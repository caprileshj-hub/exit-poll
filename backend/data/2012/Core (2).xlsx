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9585" yWindow="165" windowWidth="2415" windowHeight="4860" tabRatio="855"/>
  </bookViews>
  <sheets>
    <sheet name="Entrada" sheetId="1" r:id="rId1"/>
    <sheet name="CORE" sheetId="2" r:id="rId2"/>
    <sheet name="VZA" sheetId="3" r:id="rId3"/>
    <sheet name="T1" sheetId="4" r:id="rId4"/>
    <sheet name="T2" sheetId="5" r:id="rId5"/>
    <sheet name="R1" sheetId="6" r:id="rId6"/>
    <sheet name="R2" sheetId="7" r:id="rId7"/>
  </sheets>
  <definedNames>
    <definedName name="_xlnm._FilterDatabase" localSheetId="1" hidden="1">CORE!$B$1:$Y$1111</definedName>
    <definedName name="_xlnm._FilterDatabase" localSheetId="0" hidden="1">Entrada!#REF!</definedName>
    <definedName name="_xlnm._FilterDatabase" localSheetId="6" hidden="1">'R2'!$D$2:$I$183</definedName>
    <definedName name="Capriles">Tabla_Transcripcion.accdb[[#All],[capriles]]</definedName>
    <definedName name="Centro">Tabla_Transcripcion.accdb[[#All],[centro]]</definedName>
    <definedName name="Chavez">Tabla_Transcripcion.accdb[[#All],[chavez]]</definedName>
    <definedName name="codigo">Tabla_Transcripcion.accdb[[#All],[cod]]</definedName>
    <definedName name="datos_pres_2012.accdb" localSheetId="0" hidden="1">Entrada!#REF!</definedName>
    <definedName name="Municipio">#REF!</definedName>
    <definedName name="Otro">Tabla_Transcripcion.accdb[[#All],[otro]]</definedName>
    <definedName name="PesosM">#REF!</definedName>
    <definedName name="totalv">Tabla_Transcripcion.accdb[[#All],[totalv]]</definedName>
    <definedName name="Transcripcion.accdb" localSheetId="0" hidden="1">Entrada!$A$2:$G$2043</definedName>
    <definedName name="Turno">Tabla_Transcripcion.accdb[[#All],[turno]]</definedName>
    <definedName name="Z_FD329D6D_133B_41A2_9E62_45727D40D6B4_.wvu.Cols" localSheetId="5" hidden="1">'R1'!$G:$G</definedName>
    <definedName name="Z_FD329D6D_133B_41A2_9E62_45727D40D6B4_.wvu.FilterData" localSheetId="1" hidden="1">CORE!$B$1:$Y$1111</definedName>
    <definedName name="Z_FD329D6D_133B_41A2_9E62_45727D40D6B4_.wvu.FilterData" localSheetId="0" hidden="1">Entrada!#REF!</definedName>
    <definedName name="Z_FD329D6D_133B_41A2_9E62_45727D40D6B4_.wvu.FilterData" localSheetId="6" hidden="1">'R2'!$D$2:$I$183</definedName>
  </definedNames>
  <calcPr calcId="144525"/>
  <customWorkbookViews>
    <customWorkbookView name="Felix - Vista personalizada" guid="{FD329D6D-133B-41A2-9E62-45727D40D6B4}" autoUpdate="1" mergeInterval="5" personalView="1" maximized="1" windowWidth="1276" windowHeight="799" tabRatio="855" activeSheetId="1"/>
  </customWorkbookViews>
</workbook>
</file>

<file path=xl/calcChain.xml><?xml version="1.0" encoding="utf-8"?>
<calcChain xmlns="http://schemas.openxmlformats.org/spreadsheetml/2006/main">
  <c r="G4" i="6" l="1"/>
  <c r="I1" i="7" l="1"/>
  <c r="D2" i="6"/>
  <c r="F28" i="2" l="1"/>
  <c r="P30" i="2"/>
  <c r="P29" i="2"/>
  <c r="T24" i="2"/>
  <c r="R23" i="2"/>
  <c r="S1106" i="2"/>
  <c r="U1094" i="2"/>
  <c r="V1016" i="2"/>
  <c r="V1011" i="2"/>
  <c r="S975" i="2"/>
  <c r="S973" i="2"/>
  <c r="W949" i="2"/>
  <c r="R913" i="2"/>
  <c r="R911" i="2"/>
  <c r="T863" i="2"/>
  <c r="S827" i="2"/>
  <c r="S825" i="2"/>
  <c r="U789" i="2"/>
  <c r="S784" i="2"/>
  <c r="S782" i="2"/>
  <c r="P752" i="2"/>
  <c r="K728" i="2"/>
  <c r="K726" i="2"/>
  <c r="M624" i="2"/>
  <c r="V593" i="2"/>
  <c r="M592" i="2"/>
  <c r="R501" i="2"/>
  <c r="Q469" i="2"/>
  <c r="Q470" i="2"/>
  <c r="Y337" i="2"/>
  <c r="X335" i="2"/>
  <c r="U336" i="2"/>
  <c r="X337" i="2"/>
  <c r="V337" i="2"/>
  <c r="T337" i="2"/>
  <c r="R337" i="2"/>
  <c r="P337" i="2"/>
  <c r="N337" i="2"/>
  <c r="L337" i="2"/>
  <c r="J337" i="2"/>
  <c r="H337" i="2"/>
  <c r="Y336" i="2"/>
  <c r="V336" i="2"/>
  <c r="S336" i="2"/>
  <c r="P336" i="2"/>
  <c r="M336" i="2"/>
  <c r="K336" i="2"/>
  <c r="I336" i="2"/>
  <c r="G336" i="2"/>
  <c r="V335" i="2"/>
  <c r="T335" i="2"/>
  <c r="R335" i="2"/>
  <c r="P335" i="2"/>
  <c r="N335" i="2"/>
  <c r="L335" i="2"/>
  <c r="J335" i="2"/>
  <c r="H335" i="2"/>
  <c r="F337" i="2"/>
  <c r="F335" i="2"/>
  <c r="T318" i="2"/>
  <c r="S317" i="2"/>
  <c r="S207" i="2"/>
  <c r="Q207" i="2"/>
  <c r="S9" i="2"/>
  <c r="F9" i="2"/>
  <c r="S23" i="2"/>
  <c r="S1088" i="2"/>
  <c r="S1100" i="2"/>
  <c r="V1022" i="2"/>
  <c r="V1012" i="2"/>
  <c r="V1010" i="2"/>
  <c r="S974" i="2"/>
  <c r="W950" i="2"/>
  <c r="W948" i="2"/>
  <c r="R912" i="2"/>
  <c r="T864" i="2"/>
  <c r="T862" i="2"/>
  <c r="S826" i="2"/>
  <c r="U790" i="2"/>
  <c r="U788" i="2"/>
  <c r="U784" i="2"/>
  <c r="S783" i="2"/>
  <c r="P753" i="2"/>
  <c r="P751" i="2"/>
  <c r="K727" i="2"/>
  <c r="M625" i="2"/>
  <c r="M623" i="2"/>
  <c r="P593" i="2"/>
  <c r="R502" i="2"/>
  <c r="R500" i="2"/>
  <c r="Q471" i="2"/>
  <c r="N336" i="2"/>
  <c r="Y335" i="2"/>
  <c r="W336" i="2"/>
  <c r="R336" i="2"/>
  <c r="W337" i="2"/>
  <c r="U337" i="2"/>
  <c r="S337" i="2"/>
  <c r="Q337" i="2"/>
  <c r="O337" i="2"/>
  <c r="M337" i="2"/>
  <c r="K337" i="2"/>
  <c r="I337" i="2"/>
  <c r="G337" i="2"/>
  <c r="X336" i="2"/>
  <c r="T336" i="2"/>
  <c r="Q336" i="2"/>
  <c r="O336" i="2"/>
  <c r="L336" i="2"/>
  <c r="J336" i="2"/>
  <c r="H336" i="2"/>
  <c r="W335" i="2"/>
  <c r="U335" i="2"/>
  <c r="S335" i="2"/>
  <c r="Q335" i="2"/>
  <c r="O335" i="2"/>
  <c r="M335" i="2"/>
  <c r="K335" i="2"/>
  <c r="I335" i="2"/>
  <c r="G335" i="2"/>
  <c r="F336" i="2"/>
  <c r="T322" i="2"/>
  <c r="S316" i="2"/>
  <c r="O239" i="2"/>
  <c r="R207" i="2"/>
  <c r="Y9" i="2"/>
  <c r="P9" i="2"/>
  <c r="O800" i="2"/>
  <c r="X814" i="2"/>
  <c r="V814" i="2"/>
  <c r="T814" i="2"/>
  <c r="R814" i="2"/>
  <c r="P814" i="2"/>
  <c r="N814" i="2"/>
  <c r="L814" i="2"/>
  <c r="J814" i="2"/>
  <c r="H814" i="2"/>
  <c r="F814" i="2"/>
  <c r="X813" i="2"/>
  <c r="V813" i="2"/>
  <c r="T813" i="2"/>
  <c r="R813" i="2"/>
  <c r="P813" i="2"/>
  <c r="N813" i="2"/>
  <c r="L813" i="2"/>
  <c r="J813" i="2"/>
  <c r="H813" i="2"/>
  <c r="F813" i="2"/>
  <c r="X812" i="2"/>
  <c r="V812" i="2"/>
  <c r="T812" i="2"/>
  <c r="R812" i="2"/>
  <c r="P812" i="2"/>
  <c r="N812" i="2"/>
  <c r="L812" i="2"/>
  <c r="J812" i="2"/>
  <c r="H812" i="2"/>
  <c r="F812" i="2"/>
  <c r="X808" i="2"/>
  <c r="V808" i="2"/>
  <c r="T808" i="2"/>
  <c r="R808" i="2"/>
  <c r="P808" i="2"/>
  <c r="N808" i="2"/>
  <c r="L808" i="2"/>
  <c r="J808" i="2"/>
  <c r="H808" i="2"/>
  <c r="F808" i="2"/>
  <c r="X807" i="2"/>
  <c r="V807" i="2"/>
  <c r="T807" i="2"/>
  <c r="R807" i="2"/>
  <c r="P807" i="2"/>
  <c r="N807" i="2"/>
  <c r="L807" i="2"/>
  <c r="J807" i="2"/>
  <c r="H807" i="2"/>
  <c r="F807" i="2"/>
  <c r="X806" i="2"/>
  <c r="V806" i="2"/>
  <c r="T806" i="2"/>
  <c r="R806" i="2"/>
  <c r="P806" i="2"/>
  <c r="N806" i="2"/>
  <c r="L806" i="2"/>
  <c r="J806" i="2"/>
  <c r="H806" i="2"/>
  <c r="F806" i="2"/>
  <c r="X802" i="2"/>
  <c r="V802" i="2"/>
  <c r="T802" i="2"/>
  <c r="R802" i="2"/>
  <c r="P802" i="2"/>
  <c r="N802" i="2"/>
  <c r="L802" i="2"/>
  <c r="J802" i="2"/>
  <c r="H802" i="2"/>
  <c r="F802" i="2"/>
  <c r="X801" i="2"/>
  <c r="V801" i="2"/>
  <c r="T801" i="2"/>
  <c r="R801" i="2"/>
  <c r="P801" i="2"/>
  <c r="O794" i="2"/>
  <c r="Y814" i="2"/>
  <c r="W814" i="2"/>
  <c r="U814" i="2"/>
  <c r="S814" i="2"/>
  <c r="Q814" i="2"/>
  <c r="O814" i="2"/>
  <c r="M814" i="2"/>
  <c r="K814" i="2"/>
  <c r="I814" i="2"/>
  <c r="G814" i="2"/>
  <c r="Y813" i="2"/>
  <c r="W813" i="2"/>
  <c r="U813" i="2"/>
  <c r="S813" i="2"/>
  <c r="Q813" i="2"/>
  <c r="O813" i="2"/>
  <c r="M813" i="2"/>
  <c r="K813" i="2"/>
  <c r="I813" i="2"/>
  <c r="G813" i="2"/>
  <c r="Y812" i="2"/>
  <c r="W812" i="2"/>
  <c r="U812" i="2"/>
  <c r="S812" i="2"/>
  <c r="Q812" i="2"/>
  <c r="O812" i="2"/>
  <c r="M812" i="2"/>
  <c r="K812" i="2"/>
  <c r="I812" i="2"/>
  <c r="G812" i="2"/>
  <c r="Y808" i="2"/>
  <c r="W808" i="2"/>
  <c r="U808" i="2"/>
  <c r="S808" i="2"/>
  <c r="Q808" i="2"/>
  <c r="O808" i="2"/>
  <c r="M808" i="2"/>
  <c r="K808" i="2"/>
  <c r="I808" i="2"/>
  <c r="G808" i="2"/>
  <c r="Y807" i="2"/>
  <c r="W807" i="2"/>
  <c r="U807" i="2"/>
  <c r="S807" i="2"/>
  <c r="Q807" i="2"/>
  <c r="O807" i="2"/>
  <c r="M807" i="2"/>
  <c r="K807" i="2"/>
  <c r="I807" i="2"/>
  <c r="G807" i="2"/>
  <c r="Y806" i="2"/>
  <c r="W806" i="2"/>
  <c r="U806" i="2"/>
  <c r="S806" i="2"/>
  <c r="Q806" i="2"/>
  <c r="O806" i="2"/>
  <c r="M806" i="2"/>
  <c r="K806" i="2"/>
  <c r="I806" i="2"/>
  <c r="G806" i="2"/>
  <c r="Y802" i="2"/>
  <c r="W802" i="2"/>
  <c r="U802" i="2"/>
  <c r="S802" i="2"/>
  <c r="Q802" i="2"/>
  <c r="O802" i="2"/>
  <c r="M802" i="2"/>
  <c r="K802" i="2"/>
  <c r="I802" i="2"/>
  <c r="G802" i="2"/>
  <c r="Y801" i="2"/>
  <c r="W801" i="2"/>
  <c r="U801" i="2"/>
  <c r="S801" i="2"/>
  <c r="Q801" i="2"/>
  <c r="O801" i="2"/>
  <c r="M801" i="2"/>
  <c r="K801" i="2"/>
  <c r="I801" i="2"/>
  <c r="G801" i="2"/>
  <c r="Y800" i="2"/>
  <c r="W800" i="2"/>
  <c r="U800" i="2"/>
  <c r="S800" i="2"/>
  <c r="Q800" i="2"/>
  <c r="M800" i="2"/>
  <c r="K800" i="2"/>
  <c r="I800" i="2"/>
  <c r="G800" i="2"/>
  <c r="Y796" i="2"/>
  <c r="W796" i="2"/>
  <c r="U796" i="2"/>
  <c r="S796" i="2"/>
  <c r="Q796" i="2"/>
  <c r="O796" i="2"/>
  <c r="M796" i="2"/>
  <c r="K796" i="2"/>
  <c r="I796" i="2"/>
  <c r="G796" i="2"/>
  <c r="Y795" i="2"/>
  <c r="W795" i="2"/>
  <c r="U795" i="2"/>
  <c r="S795" i="2"/>
  <c r="Q795" i="2"/>
  <c r="O795" i="2"/>
  <c r="M795" i="2"/>
  <c r="K795" i="2"/>
  <c r="I795" i="2"/>
  <c r="G795" i="2"/>
  <c r="Y794" i="2"/>
  <c r="W794" i="2"/>
  <c r="U794" i="2"/>
  <c r="S794" i="2"/>
  <c r="Q794" i="2"/>
  <c r="M794" i="2"/>
  <c r="K794" i="2"/>
  <c r="I794" i="2"/>
  <c r="G794" i="2"/>
  <c r="Y790" i="2"/>
  <c r="W790" i="2"/>
  <c r="T790" i="2"/>
  <c r="R790" i="2"/>
  <c r="P790" i="2"/>
  <c r="N790" i="2"/>
  <c r="L790" i="2"/>
  <c r="J790" i="2"/>
  <c r="H790" i="2"/>
  <c r="F790" i="2"/>
  <c r="X789" i="2"/>
  <c r="V789" i="2"/>
  <c r="S789" i="2"/>
  <c r="Q789" i="2"/>
  <c r="O789" i="2"/>
  <c r="M789" i="2"/>
  <c r="K789" i="2"/>
  <c r="I789" i="2"/>
  <c r="G789" i="2"/>
  <c r="Y788" i="2"/>
  <c r="W788" i="2"/>
  <c r="T788" i="2"/>
  <c r="R788" i="2"/>
  <c r="P788" i="2"/>
  <c r="N788" i="2"/>
  <c r="L788" i="2"/>
  <c r="J788" i="2"/>
  <c r="H788" i="2"/>
  <c r="F788" i="2"/>
  <c r="X784" i="2"/>
  <c r="V784" i="2"/>
  <c r="R784" i="2"/>
  <c r="P784" i="2"/>
  <c r="N784" i="2"/>
  <c r="L784" i="2"/>
  <c r="J784" i="2"/>
  <c r="H784" i="2"/>
  <c r="F784" i="2"/>
  <c r="X783" i="2"/>
  <c r="V783" i="2"/>
  <c r="T783" i="2"/>
  <c r="Q783" i="2"/>
  <c r="O783" i="2"/>
  <c r="M783" i="2"/>
  <c r="K783" i="2"/>
  <c r="I783" i="2"/>
  <c r="G783" i="2"/>
  <c r="Y782" i="2"/>
  <c r="W782" i="2"/>
  <c r="U782" i="2"/>
  <c r="R782" i="2"/>
  <c r="P782" i="2"/>
  <c r="N782" i="2"/>
  <c r="L782" i="2"/>
  <c r="J782" i="2"/>
  <c r="H782" i="2"/>
  <c r="F782" i="2"/>
  <c r="G1010" i="2"/>
  <c r="I1010" i="2"/>
  <c r="K1010" i="2"/>
  <c r="M1010" i="2"/>
  <c r="O1010" i="2"/>
  <c r="Q1010" i="2"/>
  <c r="S1010" i="2"/>
  <c r="U1010" i="2"/>
  <c r="X1010" i="2"/>
  <c r="F1011" i="2"/>
  <c r="H1011" i="2"/>
  <c r="J1011" i="2"/>
  <c r="L1011" i="2"/>
  <c r="N1011" i="2"/>
  <c r="P1011" i="2"/>
  <c r="R1011" i="2"/>
  <c r="T1011" i="2"/>
  <c r="W1011" i="2"/>
  <c r="Y1011" i="2"/>
  <c r="G1012" i="2"/>
  <c r="I1012" i="2"/>
  <c r="K1012" i="2"/>
  <c r="M1012" i="2"/>
  <c r="O1012" i="2"/>
  <c r="Q1012" i="2"/>
  <c r="S1012" i="2"/>
  <c r="U1012" i="2"/>
  <c r="X1012" i="2"/>
  <c r="F1016" i="2"/>
  <c r="H1016" i="2"/>
  <c r="J1016" i="2"/>
  <c r="L1016" i="2"/>
  <c r="N1016" i="2"/>
  <c r="P1016" i="2"/>
  <c r="R1016" i="2"/>
  <c r="T1016" i="2"/>
  <c r="W1016" i="2"/>
  <c r="Y1016" i="2"/>
  <c r="G1017" i="2"/>
  <c r="I1017" i="2"/>
  <c r="K1017" i="2"/>
  <c r="M1017" i="2"/>
  <c r="O1017" i="2"/>
  <c r="Q1017" i="2"/>
  <c r="S1017" i="2"/>
  <c r="U1017" i="2"/>
  <c r="N801" i="2"/>
  <c r="L801" i="2"/>
  <c r="J801" i="2"/>
  <c r="H801" i="2"/>
  <c r="F801" i="2"/>
  <c r="X800" i="2"/>
  <c r="V800" i="2"/>
  <c r="T800" i="2"/>
  <c r="R800" i="2"/>
  <c r="P800" i="2"/>
  <c r="N800" i="2"/>
  <c r="L800" i="2"/>
  <c r="J800" i="2"/>
  <c r="H800" i="2"/>
  <c r="F800" i="2"/>
  <c r="X796" i="2"/>
  <c r="V796" i="2"/>
  <c r="T796" i="2"/>
  <c r="R796" i="2"/>
  <c r="P796" i="2"/>
  <c r="N796" i="2"/>
  <c r="L796" i="2"/>
  <c r="J796" i="2"/>
  <c r="H796" i="2"/>
  <c r="F796" i="2"/>
  <c r="X795" i="2"/>
  <c r="V795" i="2"/>
  <c r="T795" i="2"/>
  <c r="R795" i="2"/>
  <c r="P795" i="2"/>
  <c r="N795" i="2"/>
  <c r="L795" i="2"/>
  <c r="J795" i="2"/>
  <c r="H795" i="2"/>
  <c r="F795" i="2"/>
  <c r="X794" i="2"/>
  <c r="V794" i="2"/>
  <c r="T794" i="2"/>
  <c r="R794" i="2"/>
  <c r="P794" i="2"/>
  <c r="N794" i="2"/>
  <c r="L794" i="2"/>
  <c r="J794" i="2"/>
  <c r="H794" i="2"/>
  <c r="F794" i="2"/>
  <c r="X790" i="2"/>
  <c r="V790" i="2"/>
  <c r="S790" i="2"/>
  <c r="Q790" i="2"/>
  <c r="O790" i="2"/>
  <c r="M790" i="2"/>
  <c r="K790" i="2"/>
  <c r="I790" i="2"/>
  <c r="G790" i="2"/>
  <c r="Y789" i="2"/>
  <c r="W789" i="2"/>
  <c r="T789" i="2"/>
  <c r="R789" i="2"/>
  <c r="P789" i="2"/>
  <c r="N789" i="2"/>
  <c r="L789" i="2"/>
  <c r="J789" i="2"/>
  <c r="H789" i="2"/>
  <c r="F789" i="2"/>
  <c r="X788" i="2"/>
  <c r="V788" i="2"/>
  <c r="S788" i="2"/>
  <c r="Q788" i="2"/>
  <c r="O788" i="2"/>
  <c r="M788" i="2"/>
  <c r="K788" i="2"/>
  <c r="I788" i="2"/>
  <c r="G788" i="2"/>
  <c r="Y784" i="2"/>
  <c r="W784" i="2"/>
  <c r="T784" i="2"/>
  <c r="Q784" i="2"/>
  <c r="O784" i="2"/>
  <c r="M784" i="2"/>
  <c r="K784" i="2"/>
  <c r="I784" i="2"/>
  <c r="G784" i="2"/>
  <c r="Y783" i="2"/>
  <c r="W783" i="2"/>
  <c r="U783" i="2"/>
  <c r="R783" i="2"/>
  <c r="P783" i="2"/>
  <c r="N783" i="2"/>
  <c r="L783" i="2"/>
  <c r="J783" i="2"/>
  <c r="H783" i="2"/>
  <c r="F783" i="2"/>
  <c r="X782" i="2"/>
  <c r="V782" i="2"/>
  <c r="T782" i="2"/>
  <c r="Q782" i="2"/>
  <c r="O782" i="2"/>
  <c r="M782" i="2"/>
  <c r="K782" i="2"/>
  <c r="I782" i="2"/>
  <c r="G782" i="2"/>
  <c r="F1010" i="2"/>
  <c r="H1010" i="2"/>
  <c r="J1010" i="2"/>
  <c r="L1010" i="2"/>
  <c r="N1010" i="2"/>
  <c r="P1010" i="2"/>
  <c r="R1010" i="2"/>
  <c r="T1010" i="2"/>
  <c r="W1010" i="2"/>
  <c r="Y1010" i="2"/>
  <c r="G1011" i="2"/>
  <c r="I1011" i="2"/>
  <c r="K1011" i="2"/>
  <c r="M1011" i="2"/>
  <c r="O1011" i="2"/>
  <c r="Q1011" i="2"/>
  <c r="S1011" i="2"/>
  <c r="U1011" i="2"/>
  <c r="X1011" i="2"/>
  <c r="F1012" i="2"/>
  <c r="H1012" i="2"/>
  <c r="J1012" i="2"/>
  <c r="L1012" i="2"/>
  <c r="N1012" i="2"/>
  <c r="P1012" i="2"/>
  <c r="R1012" i="2"/>
  <c r="T1012" i="2"/>
  <c r="W1012" i="2"/>
  <c r="Y1012" i="2"/>
  <c r="G1016" i="2"/>
  <c r="I1016" i="2"/>
  <c r="K1016" i="2"/>
  <c r="M1016" i="2"/>
  <c r="O1016" i="2"/>
  <c r="Q1016" i="2"/>
  <c r="S1016" i="2"/>
  <c r="U1016" i="2"/>
  <c r="X1016" i="2"/>
  <c r="F1017" i="2"/>
  <c r="H1017" i="2"/>
  <c r="J1017" i="2"/>
  <c r="L1017" i="2"/>
  <c r="N1017" i="2"/>
  <c r="P1017" i="2"/>
  <c r="R1017" i="2"/>
  <c r="V1017" i="2"/>
  <c r="X1017" i="2"/>
  <c r="F1018" i="2"/>
  <c r="H1018" i="2"/>
  <c r="J1018" i="2"/>
  <c r="L1018" i="2"/>
  <c r="N1018" i="2"/>
  <c r="P1018" i="2"/>
  <c r="R1018" i="2"/>
  <c r="T1018" i="2"/>
  <c r="V1018" i="2"/>
  <c r="X1018" i="2"/>
  <c r="G1022" i="2"/>
  <c r="I1022" i="2"/>
  <c r="K1022" i="2"/>
  <c r="M1022" i="2"/>
  <c r="O1022" i="2"/>
  <c r="Q1022" i="2"/>
  <c r="S1022" i="2"/>
  <c r="U1022" i="2"/>
  <c r="X1022" i="2"/>
  <c r="F1023" i="2"/>
  <c r="H1023" i="2"/>
  <c r="J1023" i="2"/>
  <c r="L1023" i="2"/>
  <c r="N1023" i="2"/>
  <c r="P1023" i="2"/>
  <c r="R1023" i="2"/>
  <c r="T1023" i="2"/>
  <c r="V1023" i="2"/>
  <c r="X1023" i="2"/>
  <c r="F1024" i="2"/>
  <c r="H1024" i="2"/>
  <c r="J1024" i="2"/>
  <c r="L1024" i="2"/>
  <c r="N1024" i="2"/>
  <c r="P1024" i="2"/>
  <c r="R1024" i="2"/>
  <c r="T1024" i="2"/>
  <c r="V1024" i="2"/>
  <c r="X1024" i="2"/>
  <c r="G1028" i="2"/>
  <c r="I1028" i="2"/>
  <c r="K1028" i="2"/>
  <c r="M1028" i="2"/>
  <c r="O1028" i="2"/>
  <c r="Q1028" i="2"/>
  <c r="S1028" i="2"/>
  <c r="U1028" i="2"/>
  <c r="W1028" i="2"/>
  <c r="Y1028" i="2"/>
  <c r="G1029" i="2"/>
  <c r="I1029" i="2"/>
  <c r="K1029" i="2"/>
  <c r="M1029" i="2"/>
  <c r="O1029" i="2"/>
  <c r="Q1029" i="2"/>
  <c r="S1029" i="2"/>
  <c r="U1029" i="2"/>
  <c r="W1029" i="2"/>
  <c r="Y1029" i="2"/>
  <c r="G1030" i="2"/>
  <c r="I1030" i="2"/>
  <c r="K1030" i="2"/>
  <c r="M1030" i="2"/>
  <c r="O1030" i="2"/>
  <c r="Q1030" i="2"/>
  <c r="S1030" i="2"/>
  <c r="U1030" i="2"/>
  <c r="W1030" i="2"/>
  <c r="Y1030" i="2"/>
  <c r="F1034" i="2"/>
  <c r="H1034" i="2"/>
  <c r="J1034" i="2"/>
  <c r="L1034" i="2"/>
  <c r="N1034" i="2"/>
  <c r="P1034" i="2"/>
  <c r="R1034" i="2"/>
  <c r="T1034" i="2"/>
  <c r="V1034" i="2"/>
  <c r="X1034" i="2"/>
  <c r="F1035" i="2"/>
  <c r="H1035" i="2"/>
  <c r="J1035" i="2"/>
  <c r="L1035" i="2"/>
  <c r="N1035" i="2"/>
  <c r="P1035" i="2"/>
  <c r="R1035" i="2"/>
  <c r="T1035" i="2"/>
  <c r="V1035" i="2"/>
  <c r="X1035" i="2"/>
  <c r="F1036" i="2"/>
  <c r="H1036" i="2"/>
  <c r="J1036" i="2"/>
  <c r="L1036" i="2"/>
  <c r="N1036" i="2"/>
  <c r="P1036" i="2"/>
  <c r="R1036" i="2"/>
  <c r="T1036" i="2"/>
  <c r="V1036" i="2"/>
  <c r="X1036" i="2"/>
  <c r="F1040" i="2"/>
  <c r="T1017" i="2"/>
  <c r="W1017" i="2"/>
  <c r="Y1017" i="2"/>
  <c r="G1018" i="2"/>
  <c r="I1018" i="2"/>
  <c r="K1018" i="2"/>
  <c r="M1018" i="2"/>
  <c r="O1018" i="2"/>
  <c r="Q1018" i="2"/>
  <c r="S1018" i="2"/>
  <c r="U1018" i="2"/>
  <c r="W1018" i="2"/>
  <c r="Y1018" i="2"/>
  <c r="F1022" i="2"/>
  <c r="H1022" i="2"/>
  <c r="J1022" i="2"/>
  <c r="L1022" i="2"/>
  <c r="N1022" i="2"/>
  <c r="P1022" i="2"/>
  <c r="R1022" i="2"/>
  <c r="T1022" i="2"/>
  <c r="W1022" i="2"/>
  <c r="Y1022" i="2"/>
  <c r="G1023" i="2"/>
  <c r="I1023" i="2"/>
  <c r="K1023" i="2"/>
  <c r="M1023" i="2"/>
  <c r="O1023" i="2"/>
  <c r="Q1023" i="2"/>
  <c r="S1023" i="2"/>
  <c r="U1023" i="2"/>
  <c r="W1023" i="2"/>
  <c r="Y1023" i="2"/>
  <c r="G1024" i="2"/>
  <c r="I1024" i="2"/>
  <c r="K1024" i="2"/>
  <c r="M1024" i="2"/>
  <c r="O1024" i="2"/>
  <c r="Q1024" i="2"/>
  <c r="S1024" i="2"/>
  <c r="U1024" i="2"/>
  <c r="W1024" i="2"/>
  <c r="Y1024" i="2"/>
  <c r="F1028" i="2"/>
  <c r="H1028" i="2"/>
  <c r="J1028" i="2"/>
  <c r="L1028" i="2"/>
  <c r="N1028" i="2"/>
  <c r="P1028" i="2"/>
  <c r="R1028" i="2"/>
  <c r="T1028" i="2"/>
  <c r="V1028" i="2"/>
  <c r="X1028" i="2"/>
  <c r="F1029" i="2"/>
  <c r="H1029" i="2"/>
  <c r="J1029" i="2"/>
  <c r="L1029" i="2"/>
  <c r="N1029" i="2"/>
  <c r="P1029" i="2"/>
  <c r="R1029" i="2"/>
  <c r="T1029" i="2"/>
  <c r="V1029" i="2"/>
  <c r="X1029" i="2"/>
  <c r="F1030" i="2"/>
  <c r="H1030" i="2"/>
  <c r="J1030" i="2"/>
  <c r="L1030" i="2"/>
  <c r="N1030" i="2"/>
  <c r="P1030" i="2"/>
  <c r="R1030" i="2"/>
  <c r="T1030" i="2"/>
  <c r="V1030" i="2"/>
  <c r="X1030" i="2"/>
  <c r="G1034" i="2"/>
  <c r="I1034" i="2"/>
  <c r="K1034" i="2"/>
  <c r="M1034" i="2"/>
  <c r="O1034" i="2"/>
  <c r="Q1034" i="2"/>
  <c r="S1034" i="2"/>
  <c r="U1034" i="2"/>
  <c r="W1034" i="2"/>
  <c r="Y1034" i="2"/>
  <c r="G1035" i="2"/>
  <c r="I1035" i="2"/>
  <c r="K1035" i="2"/>
  <c r="M1035" i="2"/>
  <c r="O1035" i="2"/>
  <c r="Q1035" i="2"/>
  <c r="S1035" i="2"/>
  <c r="U1035" i="2"/>
  <c r="W1035" i="2"/>
  <c r="Y1035" i="2"/>
  <c r="G1036" i="2"/>
  <c r="I1036" i="2"/>
  <c r="K1036" i="2"/>
  <c r="M1036" i="2"/>
  <c r="O1036" i="2"/>
  <c r="Q1036" i="2"/>
  <c r="S1036" i="2"/>
  <c r="U1036" i="2"/>
  <c r="W1036" i="2"/>
  <c r="Y1036" i="2"/>
  <c r="H1040" i="2"/>
  <c r="J1040" i="2"/>
  <c r="L1040" i="2"/>
  <c r="N1040" i="2"/>
  <c r="P1040" i="2"/>
  <c r="R1040" i="2"/>
  <c r="T1040" i="2"/>
  <c r="V1040" i="2"/>
  <c r="X1040" i="2"/>
  <c r="F1041" i="2"/>
  <c r="H1041" i="2"/>
  <c r="J1041" i="2"/>
  <c r="L1041" i="2"/>
  <c r="N1041" i="2"/>
  <c r="P1041" i="2"/>
  <c r="R1041" i="2"/>
  <c r="T1041" i="2"/>
  <c r="V1041" i="2"/>
  <c r="X1041" i="2"/>
  <c r="F1042" i="2"/>
  <c r="H1042" i="2"/>
  <c r="J1042" i="2"/>
  <c r="L1042" i="2"/>
  <c r="N1042" i="2"/>
  <c r="P1042" i="2"/>
  <c r="R1042" i="2"/>
  <c r="T1042" i="2"/>
  <c r="V1042" i="2"/>
  <c r="X1042" i="2"/>
  <c r="F1046" i="2"/>
  <c r="H1046" i="2"/>
  <c r="J1046" i="2"/>
  <c r="L1046" i="2"/>
  <c r="N1046" i="2"/>
  <c r="P1046" i="2"/>
  <c r="R1046" i="2"/>
  <c r="T1046" i="2"/>
  <c r="V1046" i="2"/>
  <c r="X1046" i="2"/>
  <c r="F1047" i="2"/>
  <c r="H1047" i="2"/>
  <c r="J1047" i="2"/>
  <c r="L1047" i="2"/>
  <c r="N1047" i="2"/>
  <c r="P1047" i="2"/>
  <c r="R1047" i="2"/>
  <c r="T1047" i="2"/>
  <c r="V1047" i="2"/>
  <c r="X1047" i="2"/>
  <c r="F1048" i="2"/>
  <c r="H1048" i="2"/>
  <c r="J1048" i="2"/>
  <c r="L1048" i="2"/>
  <c r="N1048" i="2"/>
  <c r="P1048" i="2"/>
  <c r="R1048" i="2"/>
  <c r="T1048" i="2"/>
  <c r="V1048" i="2"/>
  <c r="X1048" i="2"/>
  <c r="F1052" i="2"/>
  <c r="H1052" i="2"/>
  <c r="J1052" i="2"/>
  <c r="L1052" i="2"/>
  <c r="N1052" i="2"/>
  <c r="P1052" i="2"/>
  <c r="R1052" i="2"/>
  <c r="T1052" i="2"/>
  <c r="V1052" i="2"/>
  <c r="X1052" i="2"/>
  <c r="F1053" i="2"/>
  <c r="H1053" i="2"/>
  <c r="J1053" i="2"/>
  <c r="L1053" i="2"/>
  <c r="N1053" i="2"/>
  <c r="P1053" i="2"/>
  <c r="R1053" i="2"/>
  <c r="T1053" i="2"/>
  <c r="V1053" i="2"/>
  <c r="X1053" i="2"/>
  <c r="F1054" i="2"/>
  <c r="H1054" i="2"/>
  <c r="J1054" i="2"/>
  <c r="L1054" i="2"/>
  <c r="N1054" i="2"/>
  <c r="P1054" i="2"/>
  <c r="R1054" i="2"/>
  <c r="T1054" i="2"/>
  <c r="V1054" i="2"/>
  <c r="X1054" i="2"/>
  <c r="F1058" i="2"/>
  <c r="H1058" i="2"/>
  <c r="J1058" i="2"/>
  <c r="L1058" i="2"/>
  <c r="N1058" i="2"/>
  <c r="P1058" i="2"/>
  <c r="R1058" i="2"/>
  <c r="T1058" i="2"/>
  <c r="V1058" i="2"/>
  <c r="X1058" i="2"/>
  <c r="F1059" i="2"/>
  <c r="H1059" i="2"/>
  <c r="J1059" i="2"/>
  <c r="L1059" i="2"/>
  <c r="N1059" i="2"/>
  <c r="P1059" i="2"/>
  <c r="R1059" i="2"/>
  <c r="T1059" i="2"/>
  <c r="V1059" i="2"/>
  <c r="X1059" i="2"/>
  <c r="F1060" i="2"/>
  <c r="H1060" i="2"/>
  <c r="J1060" i="2"/>
  <c r="L1060" i="2"/>
  <c r="N1060" i="2"/>
  <c r="P1060" i="2"/>
  <c r="R1060" i="2"/>
  <c r="T1060" i="2"/>
  <c r="V1060" i="2"/>
  <c r="X1060" i="2"/>
  <c r="F1064" i="2"/>
  <c r="H1064" i="2"/>
  <c r="J1064" i="2"/>
  <c r="L1064" i="2"/>
  <c r="N1064" i="2"/>
  <c r="P1064" i="2"/>
  <c r="R1064" i="2"/>
  <c r="T1064" i="2"/>
  <c r="V1064" i="2"/>
  <c r="X1064" i="2"/>
  <c r="F1065" i="2"/>
  <c r="H1065" i="2"/>
  <c r="J1065" i="2"/>
  <c r="L1065" i="2"/>
  <c r="N1065" i="2"/>
  <c r="P1065" i="2"/>
  <c r="R1065" i="2"/>
  <c r="T1065" i="2"/>
  <c r="V1065" i="2"/>
  <c r="X1065" i="2"/>
  <c r="F1066" i="2"/>
  <c r="H1066" i="2"/>
  <c r="J1066" i="2"/>
  <c r="L1066" i="2"/>
  <c r="N1066" i="2"/>
  <c r="P1066" i="2"/>
  <c r="R1066" i="2"/>
  <c r="T1066" i="2"/>
  <c r="V1066" i="2"/>
  <c r="X1066" i="2"/>
  <c r="F1070" i="2"/>
  <c r="H1070" i="2"/>
  <c r="J1070" i="2"/>
  <c r="L1070" i="2"/>
  <c r="N1070" i="2"/>
  <c r="P1070" i="2"/>
  <c r="R1070" i="2"/>
  <c r="T1070" i="2"/>
  <c r="V1070" i="2"/>
  <c r="X1070" i="2"/>
  <c r="F1071" i="2"/>
  <c r="H1071" i="2"/>
  <c r="J1071" i="2"/>
  <c r="L1071" i="2"/>
  <c r="N1071" i="2"/>
  <c r="P1071" i="2"/>
  <c r="R1071" i="2"/>
  <c r="T1071" i="2"/>
  <c r="V1071" i="2"/>
  <c r="X1071" i="2"/>
  <c r="F1072" i="2"/>
  <c r="H1072" i="2"/>
  <c r="J1072" i="2"/>
  <c r="L1072" i="2"/>
  <c r="N1072" i="2"/>
  <c r="P1072" i="2"/>
  <c r="R1072" i="2"/>
  <c r="T1072" i="2"/>
  <c r="V1072" i="2"/>
  <c r="X1072" i="2"/>
  <c r="G1040" i="2"/>
  <c r="I1040" i="2"/>
  <c r="K1040" i="2"/>
  <c r="M1040" i="2"/>
  <c r="O1040" i="2"/>
  <c r="Q1040" i="2"/>
  <c r="S1040" i="2"/>
  <c r="U1040" i="2"/>
  <c r="W1040" i="2"/>
  <c r="Y1040" i="2"/>
  <c r="G1041" i="2"/>
  <c r="I1041" i="2"/>
  <c r="K1041" i="2"/>
  <c r="M1041" i="2"/>
  <c r="O1041" i="2"/>
  <c r="Q1041" i="2"/>
  <c r="S1041" i="2"/>
  <c r="U1041" i="2"/>
  <c r="W1041" i="2"/>
  <c r="Y1041" i="2"/>
  <c r="G1042" i="2"/>
  <c r="I1042" i="2"/>
  <c r="K1042" i="2"/>
  <c r="M1042" i="2"/>
  <c r="O1042" i="2"/>
  <c r="Q1042" i="2"/>
  <c r="S1042" i="2"/>
  <c r="U1042" i="2"/>
  <c r="W1042" i="2"/>
  <c r="Y1042" i="2"/>
  <c r="G1046" i="2"/>
  <c r="I1046" i="2"/>
  <c r="K1046" i="2"/>
  <c r="M1046" i="2"/>
  <c r="O1046" i="2"/>
  <c r="Q1046" i="2"/>
  <c r="S1046" i="2"/>
  <c r="U1046" i="2"/>
  <c r="W1046" i="2"/>
  <c r="Y1046" i="2"/>
  <c r="G1047" i="2"/>
  <c r="I1047" i="2"/>
  <c r="K1047" i="2"/>
  <c r="M1047" i="2"/>
  <c r="O1047" i="2"/>
  <c r="Q1047" i="2"/>
  <c r="S1047" i="2"/>
  <c r="U1047" i="2"/>
  <c r="W1047" i="2"/>
  <c r="Y1047" i="2"/>
  <c r="G1048" i="2"/>
  <c r="I1048" i="2"/>
  <c r="K1048" i="2"/>
  <c r="M1048" i="2"/>
  <c r="O1048" i="2"/>
  <c r="Q1048" i="2"/>
  <c r="S1048" i="2"/>
  <c r="U1048" i="2"/>
  <c r="W1048" i="2"/>
  <c r="Y1048" i="2"/>
  <c r="G1052" i="2"/>
  <c r="I1052" i="2"/>
  <c r="K1052" i="2"/>
  <c r="M1052" i="2"/>
  <c r="O1052" i="2"/>
  <c r="Q1052" i="2"/>
  <c r="S1052" i="2"/>
  <c r="U1052" i="2"/>
  <c r="W1052" i="2"/>
  <c r="Y1052" i="2"/>
  <c r="G1053" i="2"/>
  <c r="I1053" i="2"/>
  <c r="K1053" i="2"/>
  <c r="M1053" i="2"/>
  <c r="O1053" i="2"/>
  <c r="Q1053" i="2"/>
  <c r="S1053" i="2"/>
  <c r="U1053" i="2"/>
  <c r="W1053" i="2"/>
  <c r="Y1053" i="2"/>
  <c r="G1054" i="2"/>
  <c r="I1054" i="2"/>
  <c r="K1054" i="2"/>
  <c r="M1054" i="2"/>
  <c r="O1054" i="2"/>
  <c r="Q1054" i="2"/>
  <c r="S1054" i="2"/>
  <c r="U1054" i="2"/>
  <c r="W1054" i="2"/>
  <c r="Y1054" i="2"/>
  <c r="G1058" i="2"/>
  <c r="I1058" i="2"/>
  <c r="K1058" i="2"/>
  <c r="M1058" i="2"/>
  <c r="O1058" i="2"/>
  <c r="Q1058" i="2"/>
  <c r="S1058" i="2"/>
  <c r="U1058" i="2"/>
  <c r="W1058" i="2"/>
  <c r="Y1058" i="2"/>
  <c r="G1059" i="2"/>
  <c r="I1059" i="2"/>
  <c r="K1059" i="2"/>
  <c r="M1059" i="2"/>
  <c r="O1059" i="2"/>
  <c r="Q1059" i="2"/>
  <c r="S1059" i="2"/>
  <c r="U1059" i="2"/>
  <c r="W1059" i="2"/>
  <c r="Y1059" i="2"/>
  <c r="G1060" i="2"/>
  <c r="I1060" i="2"/>
  <c r="K1060" i="2"/>
  <c r="M1060" i="2"/>
  <c r="O1060" i="2"/>
  <c r="Q1060" i="2"/>
  <c r="S1060" i="2"/>
  <c r="U1060" i="2"/>
  <c r="W1060" i="2"/>
  <c r="Y1060" i="2"/>
  <c r="G1064" i="2"/>
  <c r="I1064" i="2"/>
  <c r="K1064" i="2"/>
  <c r="M1064" i="2"/>
  <c r="O1064" i="2"/>
  <c r="Q1064" i="2"/>
  <c r="S1064" i="2"/>
  <c r="U1064" i="2"/>
  <c r="W1064" i="2"/>
  <c r="Y1064" i="2"/>
  <c r="G1065" i="2"/>
  <c r="I1065" i="2"/>
  <c r="K1065" i="2"/>
  <c r="M1065" i="2"/>
  <c r="O1065" i="2"/>
  <c r="Q1065" i="2"/>
  <c r="S1065" i="2"/>
  <c r="U1065" i="2"/>
  <c r="W1065" i="2"/>
  <c r="Y1065" i="2"/>
  <c r="G1066" i="2"/>
  <c r="I1066" i="2"/>
  <c r="K1066" i="2"/>
  <c r="M1066" i="2"/>
  <c r="O1066" i="2"/>
  <c r="Q1066" i="2"/>
  <c r="S1066" i="2"/>
  <c r="U1066" i="2"/>
  <c r="W1066" i="2"/>
  <c r="Y1066" i="2"/>
  <c r="G1070" i="2"/>
  <c r="I1070" i="2"/>
  <c r="K1070" i="2"/>
  <c r="M1070" i="2"/>
  <c r="O1070" i="2"/>
  <c r="Q1070" i="2"/>
  <c r="S1070" i="2"/>
  <c r="U1070" i="2"/>
  <c r="W1070" i="2"/>
  <c r="Y1070" i="2"/>
  <c r="G1071" i="2"/>
  <c r="I1071" i="2"/>
  <c r="K1071" i="2"/>
  <c r="M1071" i="2"/>
  <c r="O1071" i="2"/>
  <c r="Q1071" i="2"/>
  <c r="S1071" i="2"/>
  <c r="U1071" i="2"/>
  <c r="W1071" i="2"/>
  <c r="Y1071" i="2"/>
  <c r="G1072" i="2"/>
  <c r="I1072" i="2"/>
  <c r="K1072" i="2"/>
  <c r="M1072" i="2"/>
  <c r="O1072" i="2"/>
  <c r="S1072" i="2"/>
  <c r="W1072" i="2"/>
  <c r="G1076" i="2"/>
  <c r="I1076" i="2"/>
  <c r="K1076" i="2"/>
  <c r="M1076" i="2"/>
  <c r="O1076" i="2"/>
  <c r="Q1076" i="2"/>
  <c r="S1076" i="2"/>
  <c r="U1076" i="2"/>
  <c r="W1076" i="2"/>
  <c r="Y1076" i="2"/>
  <c r="G1077" i="2"/>
  <c r="I1077" i="2"/>
  <c r="K1077" i="2"/>
  <c r="M1077" i="2"/>
  <c r="O1077" i="2"/>
  <c r="Q1077" i="2"/>
  <c r="S1077" i="2"/>
  <c r="U1077" i="2"/>
  <c r="W1077" i="2"/>
  <c r="Y1077" i="2"/>
  <c r="G1078" i="2"/>
  <c r="I1078" i="2"/>
  <c r="K1078" i="2"/>
  <c r="M1078" i="2"/>
  <c r="O1078" i="2"/>
  <c r="Q1078" i="2"/>
  <c r="S1078" i="2"/>
  <c r="U1078" i="2"/>
  <c r="W1078" i="2"/>
  <c r="Y1078" i="2"/>
  <c r="G1082" i="2"/>
  <c r="I1082" i="2"/>
  <c r="K1082" i="2"/>
  <c r="M1082" i="2"/>
  <c r="O1082" i="2"/>
  <c r="Q1082" i="2"/>
  <c r="S1082" i="2"/>
  <c r="U1082" i="2"/>
  <c r="W1082" i="2"/>
  <c r="Y1082" i="2"/>
  <c r="G1083" i="2"/>
  <c r="I1083" i="2"/>
  <c r="K1083" i="2"/>
  <c r="M1083" i="2"/>
  <c r="O1083" i="2"/>
  <c r="Q1083" i="2"/>
  <c r="S1083" i="2"/>
  <c r="U1083" i="2"/>
  <c r="W1083" i="2"/>
  <c r="Y1083" i="2"/>
  <c r="G1084" i="2"/>
  <c r="I1084" i="2"/>
  <c r="K1084" i="2"/>
  <c r="M1084" i="2"/>
  <c r="O1084" i="2"/>
  <c r="Q1084" i="2"/>
  <c r="S1084" i="2"/>
  <c r="U1084" i="2"/>
  <c r="W1084" i="2"/>
  <c r="Y1084" i="2"/>
  <c r="G1088" i="2"/>
  <c r="I1088" i="2"/>
  <c r="K1088" i="2"/>
  <c r="M1088" i="2"/>
  <c r="O1088" i="2"/>
  <c r="Q1088" i="2"/>
  <c r="T1088" i="2"/>
  <c r="V1088" i="2"/>
  <c r="X1088" i="2"/>
  <c r="F1089" i="2"/>
  <c r="H1089" i="2"/>
  <c r="J1089" i="2"/>
  <c r="L1089" i="2"/>
  <c r="N1089" i="2"/>
  <c r="P1089" i="2"/>
  <c r="R1089" i="2"/>
  <c r="T1089" i="2"/>
  <c r="V1089" i="2"/>
  <c r="X1089" i="2"/>
  <c r="F1090" i="2"/>
  <c r="H1090" i="2"/>
  <c r="J1090" i="2"/>
  <c r="L1090" i="2"/>
  <c r="N1090" i="2"/>
  <c r="P1090" i="2"/>
  <c r="R1090" i="2"/>
  <c r="T1090" i="2"/>
  <c r="V1090" i="2"/>
  <c r="X1090" i="2"/>
  <c r="F1094" i="2"/>
  <c r="H1094" i="2"/>
  <c r="J1094" i="2"/>
  <c r="L1094" i="2"/>
  <c r="N1094" i="2"/>
  <c r="P1094" i="2"/>
  <c r="R1094" i="2"/>
  <c r="T1094" i="2"/>
  <c r="W1094" i="2"/>
  <c r="Y1094" i="2"/>
  <c r="G1095" i="2"/>
  <c r="I1095" i="2"/>
  <c r="K1095" i="2"/>
  <c r="M1095" i="2"/>
  <c r="O1095" i="2"/>
  <c r="Q1095" i="2"/>
  <c r="S1095" i="2"/>
  <c r="U1095" i="2"/>
  <c r="W1095" i="2"/>
  <c r="Y1095" i="2"/>
  <c r="G1096" i="2"/>
  <c r="I1096" i="2"/>
  <c r="K1096" i="2"/>
  <c r="M1096" i="2"/>
  <c r="O1096" i="2"/>
  <c r="Q1096" i="2"/>
  <c r="S1096" i="2"/>
  <c r="U1096" i="2"/>
  <c r="W1096" i="2"/>
  <c r="Y1096" i="2"/>
  <c r="F1100" i="2"/>
  <c r="H1100" i="2"/>
  <c r="J1100" i="2"/>
  <c r="L1100" i="2"/>
  <c r="N1100" i="2"/>
  <c r="P1100" i="2"/>
  <c r="R1100" i="2"/>
  <c r="U1100" i="2"/>
  <c r="W1100" i="2"/>
  <c r="Y1100" i="2"/>
  <c r="G1101" i="2"/>
  <c r="I1101" i="2"/>
  <c r="K1101" i="2"/>
  <c r="M1101" i="2"/>
  <c r="O1101" i="2"/>
  <c r="Q1101" i="2"/>
  <c r="S1101" i="2"/>
  <c r="U1101" i="2"/>
  <c r="W1101" i="2"/>
  <c r="Y1101" i="2"/>
  <c r="G1102" i="2"/>
  <c r="I1102" i="2"/>
  <c r="K1102" i="2"/>
  <c r="M1102" i="2"/>
  <c r="O1102" i="2"/>
  <c r="Q1102" i="2"/>
  <c r="S1102" i="2"/>
  <c r="U1102" i="2"/>
  <c r="W1102" i="2"/>
  <c r="Y1102" i="2"/>
  <c r="F1106" i="2"/>
  <c r="H1106" i="2"/>
  <c r="J1106" i="2"/>
  <c r="L1106" i="2"/>
  <c r="N1106" i="2"/>
  <c r="P1106" i="2"/>
  <c r="R1106" i="2"/>
  <c r="U1106" i="2"/>
  <c r="W1106" i="2"/>
  <c r="Y1106" i="2"/>
  <c r="G1107" i="2"/>
  <c r="I1107" i="2"/>
  <c r="K1107" i="2"/>
  <c r="M1107" i="2"/>
  <c r="O1107" i="2"/>
  <c r="Q1107" i="2"/>
  <c r="S1107" i="2"/>
  <c r="U1107" i="2"/>
  <c r="W1107" i="2"/>
  <c r="Y1107" i="2"/>
  <c r="G1108" i="2"/>
  <c r="I1108" i="2"/>
  <c r="K1108" i="2"/>
  <c r="M1108" i="2"/>
  <c r="O1108" i="2"/>
  <c r="Q1108" i="2"/>
  <c r="S1108" i="2"/>
  <c r="U1108" i="2"/>
  <c r="W1108" i="2"/>
  <c r="Y1108" i="2"/>
  <c r="F973" i="2"/>
  <c r="H973" i="2"/>
  <c r="J973" i="2"/>
  <c r="L973" i="2"/>
  <c r="N973" i="2"/>
  <c r="P973" i="2"/>
  <c r="R973" i="2"/>
  <c r="U973" i="2"/>
  <c r="W973" i="2"/>
  <c r="Y973" i="2"/>
  <c r="G974" i="2"/>
  <c r="I974" i="2"/>
  <c r="K974" i="2"/>
  <c r="M974" i="2"/>
  <c r="O974" i="2"/>
  <c r="Q974" i="2"/>
  <c r="T974" i="2"/>
  <c r="V974" i="2"/>
  <c r="X974" i="2"/>
  <c r="F975" i="2"/>
  <c r="Q1072" i="2"/>
  <c r="U1072" i="2"/>
  <c r="Y1072" i="2"/>
  <c r="F1076" i="2"/>
  <c r="H1076" i="2"/>
  <c r="J1076" i="2"/>
  <c r="L1076" i="2"/>
  <c r="N1076" i="2"/>
  <c r="P1076" i="2"/>
  <c r="R1076" i="2"/>
  <c r="T1076" i="2"/>
  <c r="V1076" i="2"/>
  <c r="X1076" i="2"/>
  <c r="F1077" i="2"/>
  <c r="H1077" i="2"/>
  <c r="J1077" i="2"/>
  <c r="L1077" i="2"/>
  <c r="N1077" i="2"/>
  <c r="P1077" i="2"/>
  <c r="R1077" i="2"/>
  <c r="T1077" i="2"/>
  <c r="V1077" i="2"/>
  <c r="X1077" i="2"/>
  <c r="F1078" i="2"/>
  <c r="H1078" i="2"/>
  <c r="J1078" i="2"/>
  <c r="L1078" i="2"/>
  <c r="N1078" i="2"/>
  <c r="P1078" i="2"/>
  <c r="R1078" i="2"/>
  <c r="T1078" i="2"/>
  <c r="V1078" i="2"/>
  <c r="X1078" i="2"/>
  <c r="F1082" i="2"/>
  <c r="H1082" i="2"/>
  <c r="J1082" i="2"/>
  <c r="L1082" i="2"/>
  <c r="N1082" i="2"/>
  <c r="P1082" i="2"/>
  <c r="R1082" i="2"/>
  <c r="T1082" i="2"/>
  <c r="V1082" i="2"/>
  <c r="X1082" i="2"/>
  <c r="F1083" i="2"/>
  <c r="H1083" i="2"/>
  <c r="J1083" i="2"/>
  <c r="L1083" i="2"/>
  <c r="N1083" i="2"/>
  <c r="P1083" i="2"/>
  <c r="R1083" i="2"/>
  <c r="T1083" i="2"/>
  <c r="V1083" i="2"/>
  <c r="X1083" i="2"/>
  <c r="F1084" i="2"/>
  <c r="H1084" i="2"/>
  <c r="J1084" i="2"/>
  <c r="L1084" i="2"/>
  <c r="N1084" i="2"/>
  <c r="P1084" i="2"/>
  <c r="R1084" i="2"/>
  <c r="T1084" i="2"/>
  <c r="V1084" i="2"/>
  <c r="X1084" i="2"/>
  <c r="F1088" i="2"/>
  <c r="H1088" i="2"/>
  <c r="J1088" i="2"/>
  <c r="L1088" i="2"/>
  <c r="N1088" i="2"/>
  <c r="P1088" i="2"/>
  <c r="R1088" i="2"/>
  <c r="U1088" i="2"/>
  <c r="W1088" i="2"/>
  <c r="Y1088" i="2"/>
  <c r="G1089" i="2"/>
  <c r="I1089" i="2"/>
  <c r="K1089" i="2"/>
  <c r="M1089" i="2"/>
  <c r="O1089" i="2"/>
  <c r="Q1089" i="2"/>
  <c r="S1089" i="2"/>
  <c r="U1089" i="2"/>
  <c r="W1089" i="2"/>
  <c r="Y1089" i="2"/>
  <c r="G1090" i="2"/>
  <c r="I1090" i="2"/>
  <c r="K1090" i="2"/>
  <c r="M1090" i="2"/>
  <c r="O1090" i="2"/>
  <c r="Q1090" i="2"/>
  <c r="S1090" i="2"/>
  <c r="U1090" i="2"/>
  <c r="W1090" i="2"/>
  <c r="Y1090" i="2"/>
  <c r="G1094" i="2"/>
  <c r="I1094" i="2"/>
  <c r="K1094" i="2"/>
  <c r="M1094" i="2"/>
  <c r="O1094" i="2"/>
  <c r="Q1094" i="2"/>
  <c r="S1094" i="2"/>
  <c r="V1094" i="2"/>
  <c r="X1094" i="2"/>
  <c r="F1095" i="2"/>
  <c r="H1095" i="2"/>
  <c r="J1095" i="2"/>
  <c r="L1095" i="2"/>
  <c r="N1095" i="2"/>
  <c r="P1095" i="2"/>
  <c r="R1095" i="2"/>
  <c r="T1095" i="2"/>
  <c r="V1095" i="2"/>
  <c r="X1095" i="2"/>
  <c r="F1096" i="2"/>
  <c r="H1096" i="2"/>
  <c r="J1096" i="2"/>
  <c r="L1096" i="2"/>
  <c r="N1096" i="2"/>
  <c r="P1096" i="2"/>
  <c r="R1096" i="2"/>
  <c r="T1096" i="2"/>
  <c r="V1096" i="2"/>
  <c r="X1096" i="2"/>
  <c r="G1100" i="2"/>
  <c r="I1100" i="2"/>
  <c r="K1100" i="2"/>
  <c r="M1100" i="2"/>
  <c r="O1100" i="2"/>
  <c r="Q1100" i="2"/>
  <c r="T1100" i="2"/>
  <c r="V1100" i="2"/>
  <c r="X1100" i="2"/>
  <c r="F1101" i="2"/>
  <c r="H1101" i="2"/>
  <c r="J1101" i="2"/>
  <c r="L1101" i="2"/>
  <c r="N1101" i="2"/>
  <c r="P1101" i="2"/>
  <c r="R1101" i="2"/>
  <c r="T1101" i="2"/>
  <c r="V1101" i="2"/>
  <c r="X1101" i="2"/>
  <c r="F1102" i="2"/>
  <c r="H1102" i="2"/>
  <c r="J1102" i="2"/>
  <c r="L1102" i="2"/>
  <c r="N1102" i="2"/>
  <c r="P1102" i="2"/>
  <c r="R1102" i="2"/>
  <c r="T1102" i="2"/>
  <c r="V1102" i="2"/>
  <c r="X1102" i="2"/>
  <c r="G1106" i="2"/>
  <c r="I1106" i="2"/>
  <c r="K1106" i="2"/>
  <c r="M1106" i="2"/>
  <c r="O1106" i="2"/>
  <c r="Q1106" i="2"/>
  <c r="T1106" i="2"/>
  <c r="V1106" i="2"/>
  <c r="X1106" i="2"/>
  <c r="F1107" i="2"/>
  <c r="H1107" i="2"/>
  <c r="J1107" i="2"/>
  <c r="L1107" i="2"/>
  <c r="N1107" i="2"/>
  <c r="P1107" i="2"/>
  <c r="R1107" i="2"/>
  <c r="T1107" i="2"/>
  <c r="V1107" i="2"/>
  <c r="X1107" i="2"/>
  <c r="F1108" i="2"/>
  <c r="H1108" i="2"/>
  <c r="J1108" i="2"/>
  <c r="L1108" i="2"/>
  <c r="N1108" i="2"/>
  <c r="P1108" i="2"/>
  <c r="R1108" i="2"/>
  <c r="T1108" i="2"/>
  <c r="V1108" i="2"/>
  <c r="X1108" i="2"/>
  <c r="G973" i="2"/>
  <c r="I973" i="2"/>
  <c r="K973" i="2"/>
  <c r="M973" i="2"/>
  <c r="O973" i="2"/>
  <c r="Q973" i="2"/>
  <c r="T973" i="2"/>
  <c r="V973" i="2"/>
  <c r="X973" i="2"/>
  <c r="F974" i="2"/>
  <c r="H974" i="2"/>
  <c r="J974" i="2"/>
  <c r="L974" i="2"/>
  <c r="N974" i="2"/>
  <c r="P974" i="2"/>
  <c r="R974" i="2"/>
  <c r="U974" i="2"/>
  <c r="W974" i="2"/>
  <c r="Y974" i="2"/>
  <c r="H975" i="2"/>
  <c r="J975" i="2"/>
  <c r="L975" i="2"/>
  <c r="N975" i="2"/>
  <c r="P975" i="2"/>
  <c r="R975" i="2"/>
  <c r="U975" i="2"/>
  <c r="W975" i="2"/>
  <c r="Y975" i="2"/>
  <c r="G979" i="2"/>
  <c r="I979" i="2"/>
  <c r="K979" i="2"/>
  <c r="M979" i="2"/>
  <c r="O979" i="2"/>
  <c r="Q979" i="2"/>
  <c r="S979" i="2"/>
  <c r="U979" i="2"/>
  <c r="W979" i="2"/>
  <c r="Y979" i="2"/>
  <c r="G980" i="2"/>
  <c r="I980" i="2"/>
  <c r="K980" i="2"/>
  <c r="M980" i="2"/>
  <c r="O980" i="2"/>
  <c r="Q980" i="2"/>
  <c r="S980" i="2"/>
  <c r="U980" i="2"/>
  <c r="W980" i="2"/>
  <c r="Y980" i="2"/>
  <c r="G981" i="2"/>
  <c r="I981" i="2"/>
  <c r="K981" i="2"/>
  <c r="M981" i="2"/>
  <c r="O981" i="2"/>
  <c r="Q981" i="2"/>
  <c r="S981" i="2"/>
  <c r="U981" i="2"/>
  <c r="W981" i="2"/>
  <c r="Y981" i="2"/>
  <c r="G985" i="2"/>
  <c r="I985" i="2"/>
  <c r="K985" i="2"/>
  <c r="M985" i="2"/>
  <c r="O985" i="2"/>
  <c r="Q985" i="2"/>
  <c r="S985" i="2"/>
  <c r="U985" i="2"/>
  <c r="W985" i="2"/>
  <c r="Y985" i="2"/>
  <c r="G986" i="2"/>
  <c r="I986" i="2"/>
  <c r="K986" i="2"/>
  <c r="M986" i="2"/>
  <c r="O986" i="2"/>
  <c r="Q986" i="2"/>
  <c r="S986" i="2"/>
  <c r="U986" i="2"/>
  <c r="W986" i="2"/>
  <c r="Y986" i="2"/>
  <c r="G987" i="2"/>
  <c r="I987" i="2"/>
  <c r="K987" i="2"/>
  <c r="M987" i="2"/>
  <c r="O987" i="2"/>
  <c r="Q987" i="2"/>
  <c r="S987" i="2"/>
  <c r="U987" i="2"/>
  <c r="W987" i="2"/>
  <c r="Y987" i="2"/>
  <c r="F991" i="2"/>
  <c r="H991" i="2"/>
  <c r="J991" i="2"/>
  <c r="L991" i="2"/>
  <c r="N991" i="2"/>
  <c r="P991" i="2"/>
  <c r="R991" i="2"/>
  <c r="T991" i="2"/>
  <c r="V991" i="2"/>
  <c r="X991" i="2"/>
  <c r="F992" i="2"/>
  <c r="H992" i="2"/>
  <c r="J992" i="2"/>
  <c r="L992" i="2"/>
  <c r="N992" i="2"/>
  <c r="P992" i="2"/>
  <c r="R992" i="2"/>
  <c r="T992" i="2"/>
  <c r="V992" i="2"/>
  <c r="X992" i="2"/>
  <c r="F993" i="2"/>
  <c r="H993" i="2"/>
  <c r="J993" i="2"/>
  <c r="L993" i="2"/>
  <c r="N993" i="2"/>
  <c r="P993" i="2"/>
  <c r="R993" i="2"/>
  <c r="T993" i="2"/>
  <c r="V993" i="2"/>
  <c r="X993" i="2"/>
  <c r="F997" i="2"/>
  <c r="H997" i="2"/>
  <c r="J997" i="2"/>
  <c r="L997" i="2"/>
  <c r="N997" i="2"/>
  <c r="P997" i="2"/>
  <c r="R997" i="2"/>
  <c r="T997" i="2"/>
  <c r="V997" i="2"/>
  <c r="X997" i="2"/>
  <c r="F998" i="2"/>
  <c r="H998" i="2"/>
  <c r="J998" i="2"/>
  <c r="L998" i="2"/>
  <c r="N998" i="2"/>
  <c r="P998" i="2"/>
  <c r="R998" i="2"/>
  <c r="T998" i="2"/>
  <c r="V998" i="2"/>
  <c r="X998" i="2"/>
  <c r="F999" i="2"/>
  <c r="H999" i="2"/>
  <c r="J999" i="2"/>
  <c r="L999" i="2"/>
  <c r="N999" i="2"/>
  <c r="P999" i="2"/>
  <c r="R999" i="2"/>
  <c r="T999" i="2"/>
  <c r="V999" i="2"/>
  <c r="X999" i="2"/>
  <c r="F948" i="2"/>
  <c r="H948" i="2"/>
  <c r="J948" i="2"/>
  <c r="L948" i="2"/>
  <c r="N948" i="2"/>
  <c r="P948" i="2"/>
  <c r="R948" i="2"/>
  <c r="T948" i="2"/>
  <c r="V948" i="2"/>
  <c r="Y948" i="2"/>
  <c r="G949" i="2"/>
  <c r="I949" i="2"/>
  <c r="K949" i="2"/>
  <c r="M949" i="2"/>
  <c r="O949" i="2"/>
  <c r="Q949" i="2"/>
  <c r="S949" i="2"/>
  <c r="U949" i="2"/>
  <c r="X949" i="2"/>
  <c r="F950" i="2"/>
  <c r="H950" i="2"/>
  <c r="J950" i="2"/>
  <c r="L950" i="2"/>
  <c r="N950" i="2"/>
  <c r="P950" i="2"/>
  <c r="R950" i="2"/>
  <c r="T950" i="2"/>
  <c r="V950" i="2"/>
  <c r="Y950" i="2"/>
  <c r="G954" i="2"/>
  <c r="I954" i="2"/>
  <c r="K954" i="2"/>
  <c r="M954" i="2"/>
  <c r="O954" i="2"/>
  <c r="Q954" i="2"/>
  <c r="S954" i="2"/>
  <c r="U954" i="2"/>
  <c r="W954" i="2"/>
  <c r="Y954" i="2"/>
  <c r="G955" i="2"/>
  <c r="I955" i="2"/>
  <c r="K955" i="2"/>
  <c r="M955" i="2"/>
  <c r="O955" i="2"/>
  <c r="Q955" i="2"/>
  <c r="S955" i="2"/>
  <c r="U955" i="2"/>
  <c r="W955" i="2"/>
  <c r="Y955" i="2"/>
  <c r="G956" i="2"/>
  <c r="I956" i="2"/>
  <c r="K956" i="2"/>
  <c r="M956" i="2"/>
  <c r="O956" i="2"/>
  <c r="Q956" i="2"/>
  <c r="S956" i="2"/>
  <c r="U956" i="2"/>
  <c r="W956" i="2"/>
  <c r="Y956" i="2"/>
  <c r="G960" i="2"/>
  <c r="I960" i="2"/>
  <c r="K960" i="2"/>
  <c r="M960" i="2"/>
  <c r="O960" i="2"/>
  <c r="Q960" i="2"/>
  <c r="S960" i="2"/>
  <c r="U960" i="2"/>
  <c r="W960" i="2"/>
  <c r="Y960" i="2"/>
  <c r="G961" i="2"/>
  <c r="I961" i="2"/>
  <c r="K961" i="2"/>
  <c r="M961" i="2"/>
  <c r="O961" i="2"/>
  <c r="Q961" i="2"/>
  <c r="S961" i="2"/>
  <c r="U961" i="2"/>
  <c r="W961" i="2"/>
  <c r="Y961" i="2"/>
  <c r="G962" i="2"/>
  <c r="I962" i="2"/>
  <c r="K962" i="2"/>
  <c r="M962" i="2"/>
  <c r="O962" i="2"/>
  <c r="Q962" i="2"/>
  <c r="S962" i="2"/>
  <c r="U962" i="2"/>
  <c r="W962" i="2"/>
  <c r="Y962" i="2"/>
  <c r="G911" i="2"/>
  <c r="I911" i="2"/>
  <c r="K911" i="2"/>
  <c r="M911" i="2"/>
  <c r="O911" i="2"/>
  <c r="Q911" i="2"/>
  <c r="T911" i="2"/>
  <c r="V911" i="2"/>
  <c r="X911" i="2"/>
  <c r="F912" i="2"/>
  <c r="H912" i="2"/>
  <c r="J912" i="2"/>
  <c r="L912" i="2"/>
  <c r="N912" i="2"/>
  <c r="P912" i="2"/>
  <c r="S912" i="2"/>
  <c r="U912" i="2"/>
  <c r="W912" i="2"/>
  <c r="Y912" i="2"/>
  <c r="G913" i="2"/>
  <c r="I913" i="2"/>
  <c r="K913" i="2"/>
  <c r="M913" i="2"/>
  <c r="O913" i="2"/>
  <c r="Q913" i="2"/>
  <c r="T913" i="2"/>
  <c r="V913" i="2"/>
  <c r="X913" i="2"/>
  <c r="F917" i="2"/>
  <c r="H917" i="2"/>
  <c r="J917" i="2"/>
  <c r="L917" i="2"/>
  <c r="N917" i="2"/>
  <c r="P917" i="2"/>
  <c r="R917" i="2"/>
  <c r="T917" i="2"/>
  <c r="V917" i="2"/>
  <c r="X917" i="2"/>
  <c r="F918" i="2"/>
  <c r="H918" i="2"/>
  <c r="J918" i="2"/>
  <c r="L918" i="2"/>
  <c r="N918" i="2"/>
  <c r="P918" i="2"/>
  <c r="R918" i="2"/>
  <c r="T918" i="2"/>
  <c r="V918" i="2"/>
  <c r="X918" i="2"/>
  <c r="F919" i="2"/>
  <c r="H919" i="2"/>
  <c r="J919" i="2"/>
  <c r="L919" i="2"/>
  <c r="N919" i="2"/>
  <c r="P919" i="2"/>
  <c r="R919" i="2"/>
  <c r="T919" i="2"/>
  <c r="V919" i="2"/>
  <c r="X919" i="2"/>
  <c r="F923" i="2"/>
  <c r="H923" i="2"/>
  <c r="J923" i="2"/>
  <c r="L923" i="2"/>
  <c r="N923" i="2"/>
  <c r="P923" i="2"/>
  <c r="R923" i="2"/>
  <c r="T923" i="2"/>
  <c r="V923" i="2"/>
  <c r="X923" i="2"/>
  <c r="F924" i="2"/>
  <c r="H924" i="2"/>
  <c r="J924" i="2"/>
  <c r="L924" i="2"/>
  <c r="N924" i="2"/>
  <c r="P924" i="2"/>
  <c r="R924" i="2"/>
  <c r="T924" i="2"/>
  <c r="V924" i="2"/>
  <c r="X924" i="2"/>
  <c r="F925" i="2"/>
  <c r="H925" i="2"/>
  <c r="J925" i="2"/>
  <c r="L925" i="2"/>
  <c r="N925" i="2"/>
  <c r="P925" i="2"/>
  <c r="R925" i="2"/>
  <c r="T925" i="2"/>
  <c r="V925" i="2"/>
  <c r="X925" i="2"/>
  <c r="F929" i="2"/>
  <c r="H929" i="2"/>
  <c r="J929" i="2"/>
  <c r="L929" i="2"/>
  <c r="N929" i="2"/>
  <c r="P929" i="2"/>
  <c r="R929" i="2"/>
  <c r="T929" i="2"/>
  <c r="V929" i="2"/>
  <c r="X929" i="2"/>
  <c r="F930" i="2"/>
  <c r="H930" i="2"/>
  <c r="J930" i="2"/>
  <c r="L930" i="2"/>
  <c r="N930" i="2"/>
  <c r="P930" i="2"/>
  <c r="R930" i="2"/>
  <c r="T930" i="2"/>
  <c r="V930" i="2"/>
  <c r="X930" i="2"/>
  <c r="F931" i="2"/>
  <c r="H931" i="2"/>
  <c r="J931" i="2"/>
  <c r="L931" i="2"/>
  <c r="N931" i="2"/>
  <c r="P931" i="2"/>
  <c r="R931" i="2"/>
  <c r="T931" i="2"/>
  <c r="V931" i="2"/>
  <c r="X931" i="2"/>
  <c r="F935" i="2"/>
  <c r="H935" i="2"/>
  <c r="J935" i="2"/>
  <c r="L935" i="2"/>
  <c r="N935" i="2"/>
  <c r="P935" i="2"/>
  <c r="R935" i="2"/>
  <c r="T935" i="2"/>
  <c r="V935" i="2"/>
  <c r="X935" i="2"/>
  <c r="F936" i="2"/>
  <c r="H936" i="2"/>
  <c r="J936" i="2"/>
  <c r="L936" i="2"/>
  <c r="N936" i="2"/>
  <c r="P936" i="2"/>
  <c r="R936" i="2"/>
  <c r="T936" i="2"/>
  <c r="V936" i="2"/>
  <c r="X936" i="2"/>
  <c r="F937" i="2"/>
  <c r="H937" i="2"/>
  <c r="J937" i="2"/>
  <c r="L937" i="2"/>
  <c r="N937" i="2"/>
  <c r="P937" i="2"/>
  <c r="R937" i="2"/>
  <c r="T937" i="2"/>
  <c r="V937" i="2"/>
  <c r="X937" i="2"/>
  <c r="F862" i="2"/>
  <c r="H862" i="2"/>
  <c r="J862" i="2"/>
  <c r="L862" i="2"/>
  <c r="N862" i="2"/>
  <c r="P862" i="2"/>
  <c r="R862" i="2"/>
  <c r="U862" i="2"/>
  <c r="W862" i="2"/>
  <c r="Y862" i="2"/>
  <c r="G863" i="2"/>
  <c r="I863" i="2"/>
  <c r="K863" i="2"/>
  <c r="M863" i="2"/>
  <c r="O863" i="2"/>
  <c r="Q863" i="2"/>
  <c r="S863" i="2"/>
  <c r="V863" i="2"/>
  <c r="X863" i="2"/>
  <c r="F864" i="2"/>
  <c r="H864" i="2"/>
  <c r="J864" i="2"/>
  <c r="L864" i="2"/>
  <c r="N864" i="2"/>
  <c r="P864" i="2"/>
  <c r="R864" i="2"/>
  <c r="U864" i="2"/>
  <c r="W864" i="2"/>
  <c r="Y864" i="2"/>
  <c r="G868" i="2"/>
  <c r="I868" i="2"/>
  <c r="K868" i="2"/>
  <c r="M868" i="2"/>
  <c r="O868" i="2"/>
  <c r="Q868" i="2"/>
  <c r="S868" i="2"/>
  <c r="U868" i="2"/>
  <c r="W868" i="2"/>
  <c r="Y868" i="2"/>
  <c r="G869" i="2"/>
  <c r="I869" i="2"/>
  <c r="K869" i="2"/>
  <c r="M869" i="2"/>
  <c r="O869" i="2"/>
  <c r="Q869" i="2"/>
  <c r="S869" i="2"/>
  <c r="U869" i="2"/>
  <c r="W869" i="2"/>
  <c r="Y869" i="2"/>
  <c r="G870" i="2"/>
  <c r="I870" i="2"/>
  <c r="K870" i="2"/>
  <c r="M870" i="2"/>
  <c r="O870" i="2"/>
  <c r="Q870" i="2"/>
  <c r="S870" i="2"/>
  <c r="U870" i="2"/>
  <c r="W870" i="2"/>
  <c r="Y870" i="2"/>
  <c r="G975" i="2"/>
  <c r="I975" i="2"/>
  <c r="K975" i="2"/>
  <c r="M975" i="2"/>
  <c r="O975" i="2"/>
  <c r="Q975" i="2"/>
  <c r="T975" i="2"/>
  <c r="V975" i="2"/>
  <c r="X975" i="2"/>
  <c r="F979" i="2"/>
  <c r="H979" i="2"/>
  <c r="J979" i="2"/>
  <c r="L979" i="2"/>
  <c r="N979" i="2"/>
  <c r="P979" i="2"/>
  <c r="R979" i="2"/>
  <c r="T979" i="2"/>
  <c r="V979" i="2"/>
  <c r="X979" i="2"/>
  <c r="F980" i="2"/>
  <c r="H980" i="2"/>
  <c r="J980" i="2"/>
  <c r="L980" i="2"/>
  <c r="N980" i="2"/>
  <c r="P980" i="2"/>
  <c r="R980" i="2"/>
  <c r="T980" i="2"/>
  <c r="V980" i="2"/>
  <c r="X980" i="2"/>
  <c r="F981" i="2"/>
  <c r="H981" i="2"/>
  <c r="J981" i="2"/>
  <c r="L981" i="2"/>
  <c r="N981" i="2"/>
  <c r="P981" i="2"/>
  <c r="R981" i="2"/>
  <c r="T981" i="2"/>
  <c r="V981" i="2"/>
  <c r="X981" i="2"/>
  <c r="F985" i="2"/>
  <c r="H985" i="2"/>
  <c r="J985" i="2"/>
  <c r="L985" i="2"/>
  <c r="N985" i="2"/>
  <c r="P985" i="2"/>
  <c r="R985" i="2"/>
  <c r="T985" i="2"/>
  <c r="V985" i="2"/>
  <c r="X985" i="2"/>
  <c r="F986" i="2"/>
  <c r="H986" i="2"/>
  <c r="J986" i="2"/>
  <c r="L986" i="2"/>
  <c r="N986" i="2"/>
  <c r="P986" i="2"/>
  <c r="R986" i="2"/>
  <c r="T986" i="2"/>
  <c r="V986" i="2"/>
  <c r="X986" i="2"/>
  <c r="F987" i="2"/>
  <c r="H987" i="2"/>
  <c r="J987" i="2"/>
  <c r="L987" i="2"/>
  <c r="N987" i="2"/>
  <c r="P987" i="2"/>
  <c r="R987" i="2"/>
  <c r="T987" i="2"/>
  <c r="V987" i="2"/>
  <c r="X987" i="2"/>
  <c r="G991" i="2"/>
  <c r="I991" i="2"/>
  <c r="K991" i="2"/>
  <c r="M991" i="2"/>
  <c r="O991" i="2"/>
  <c r="Q991" i="2"/>
  <c r="S991" i="2"/>
  <c r="U991" i="2"/>
  <c r="W991" i="2"/>
  <c r="Y991" i="2"/>
  <c r="G992" i="2"/>
  <c r="I992" i="2"/>
  <c r="K992" i="2"/>
  <c r="M992" i="2"/>
  <c r="O992" i="2"/>
  <c r="Q992" i="2"/>
  <c r="S992" i="2"/>
  <c r="U992" i="2"/>
  <c r="W992" i="2"/>
  <c r="Y992" i="2"/>
  <c r="G993" i="2"/>
  <c r="I993" i="2"/>
  <c r="K993" i="2"/>
  <c r="M993" i="2"/>
  <c r="O993" i="2"/>
  <c r="Q993" i="2"/>
  <c r="S993" i="2"/>
  <c r="U993" i="2"/>
  <c r="W993" i="2"/>
  <c r="Y993" i="2"/>
  <c r="G997" i="2"/>
  <c r="I997" i="2"/>
  <c r="K997" i="2"/>
  <c r="M997" i="2"/>
  <c r="O997" i="2"/>
  <c r="Q997" i="2"/>
  <c r="S997" i="2"/>
  <c r="U997" i="2"/>
  <c r="W997" i="2"/>
  <c r="Y997" i="2"/>
  <c r="G998" i="2"/>
  <c r="I998" i="2"/>
  <c r="K998" i="2"/>
  <c r="M998" i="2"/>
  <c r="O998" i="2"/>
  <c r="Q998" i="2"/>
  <c r="S998" i="2"/>
  <c r="U998" i="2"/>
  <c r="W998" i="2"/>
  <c r="Y998" i="2"/>
  <c r="G999" i="2"/>
  <c r="I999" i="2"/>
  <c r="K999" i="2"/>
  <c r="M999" i="2"/>
  <c r="O999" i="2"/>
  <c r="Q999" i="2"/>
  <c r="S999" i="2"/>
  <c r="U999" i="2"/>
  <c r="W999" i="2"/>
  <c r="Y999" i="2"/>
  <c r="G948" i="2"/>
  <c r="I948" i="2"/>
  <c r="K948" i="2"/>
  <c r="M948" i="2"/>
  <c r="O948" i="2"/>
  <c r="Q948" i="2"/>
  <c r="S948" i="2"/>
  <c r="U948" i="2"/>
  <c r="X948" i="2"/>
  <c r="F949" i="2"/>
  <c r="H949" i="2"/>
  <c r="J949" i="2"/>
  <c r="L949" i="2"/>
  <c r="N949" i="2"/>
  <c r="P949" i="2"/>
  <c r="R949" i="2"/>
  <c r="T949" i="2"/>
  <c r="V949" i="2"/>
  <c r="Y949" i="2"/>
  <c r="G950" i="2"/>
  <c r="I950" i="2"/>
  <c r="I944" i="2" s="1"/>
  <c r="K950" i="2"/>
  <c r="M950" i="2"/>
  <c r="M944" i="2" s="1"/>
  <c r="O950" i="2"/>
  <c r="Q950" i="2"/>
  <c r="Q944" i="2" s="1"/>
  <c r="S950" i="2"/>
  <c r="U950" i="2"/>
  <c r="U944" i="2" s="1"/>
  <c r="X950" i="2"/>
  <c r="F954" i="2"/>
  <c r="H954" i="2"/>
  <c r="J954" i="2"/>
  <c r="L954" i="2"/>
  <c r="N954" i="2"/>
  <c r="P954" i="2"/>
  <c r="R954" i="2"/>
  <c r="T954" i="2"/>
  <c r="V954" i="2"/>
  <c r="X954" i="2"/>
  <c r="F955" i="2"/>
  <c r="H955" i="2"/>
  <c r="J955" i="2"/>
  <c r="L955" i="2"/>
  <c r="N955" i="2"/>
  <c r="P955" i="2"/>
  <c r="R955" i="2"/>
  <c r="T955" i="2"/>
  <c r="V955" i="2"/>
  <c r="X955" i="2"/>
  <c r="F956" i="2"/>
  <c r="H956" i="2"/>
  <c r="J956" i="2"/>
  <c r="L956" i="2"/>
  <c r="N956" i="2"/>
  <c r="P956" i="2"/>
  <c r="R956" i="2"/>
  <c r="T956" i="2"/>
  <c r="V956" i="2"/>
  <c r="X956" i="2"/>
  <c r="F960" i="2"/>
  <c r="H960" i="2"/>
  <c r="J960" i="2"/>
  <c r="L960" i="2"/>
  <c r="N960" i="2"/>
  <c r="P960" i="2"/>
  <c r="R960" i="2"/>
  <c r="T960" i="2"/>
  <c r="V960" i="2"/>
  <c r="X960" i="2"/>
  <c r="F961" i="2"/>
  <c r="H961" i="2"/>
  <c r="J961" i="2"/>
  <c r="L961" i="2"/>
  <c r="N961" i="2"/>
  <c r="P961" i="2"/>
  <c r="R961" i="2"/>
  <c r="T961" i="2"/>
  <c r="V961" i="2"/>
  <c r="X961" i="2"/>
  <c r="F962" i="2"/>
  <c r="H962" i="2"/>
  <c r="J962" i="2"/>
  <c r="L962" i="2"/>
  <c r="N962" i="2"/>
  <c r="P962" i="2"/>
  <c r="R962" i="2"/>
  <c r="T962" i="2"/>
  <c r="V962" i="2"/>
  <c r="X962" i="2"/>
  <c r="F911" i="2"/>
  <c r="H911" i="2"/>
  <c r="J911" i="2"/>
  <c r="L911" i="2"/>
  <c r="N911" i="2"/>
  <c r="P911" i="2"/>
  <c r="S911" i="2"/>
  <c r="U911" i="2"/>
  <c r="W911" i="2"/>
  <c r="Y911" i="2"/>
  <c r="G912" i="2"/>
  <c r="I912" i="2"/>
  <c r="K912" i="2"/>
  <c r="M912" i="2"/>
  <c r="O912" i="2"/>
  <c r="Q912" i="2"/>
  <c r="T912" i="2"/>
  <c r="V912" i="2"/>
  <c r="X912" i="2"/>
  <c r="F913" i="2"/>
  <c r="H913" i="2"/>
  <c r="J913" i="2"/>
  <c r="L913" i="2"/>
  <c r="N913" i="2"/>
  <c r="P913" i="2"/>
  <c r="S913" i="2"/>
  <c r="U913" i="2"/>
  <c r="W913" i="2"/>
  <c r="Y913" i="2"/>
  <c r="G917" i="2"/>
  <c r="I917" i="2"/>
  <c r="K917" i="2"/>
  <c r="M917" i="2"/>
  <c r="O917" i="2"/>
  <c r="Q917" i="2"/>
  <c r="S917" i="2"/>
  <c r="U917" i="2"/>
  <c r="W917" i="2"/>
  <c r="Y917" i="2"/>
  <c r="G918" i="2"/>
  <c r="I918" i="2"/>
  <c r="K918" i="2"/>
  <c r="M918" i="2"/>
  <c r="O918" i="2"/>
  <c r="Q918" i="2"/>
  <c r="S918" i="2"/>
  <c r="U918" i="2"/>
  <c r="W918" i="2"/>
  <c r="Y918" i="2"/>
  <c r="G919" i="2"/>
  <c r="I919" i="2"/>
  <c r="K919" i="2"/>
  <c r="M919" i="2"/>
  <c r="O919" i="2"/>
  <c r="Q919" i="2"/>
  <c r="S919" i="2"/>
  <c r="U919" i="2"/>
  <c r="W919" i="2"/>
  <c r="Y919" i="2"/>
  <c r="G923" i="2"/>
  <c r="I923" i="2"/>
  <c r="K923" i="2"/>
  <c r="M923" i="2"/>
  <c r="O923" i="2"/>
  <c r="Q923" i="2"/>
  <c r="S923" i="2"/>
  <c r="U923" i="2"/>
  <c r="W923" i="2"/>
  <c r="Y923" i="2"/>
  <c r="G924" i="2"/>
  <c r="I924" i="2"/>
  <c r="K924" i="2"/>
  <c r="M924" i="2"/>
  <c r="O924" i="2"/>
  <c r="Q924" i="2"/>
  <c r="S924" i="2"/>
  <c r="U924" i="2"/>
  <c r="W924" i="2"/>
  <c r="Y924" i="2"/>
  <c r="G925" i="2"/>
  <c r="I925" i="2"/>
  <c r="K925" i="2"/>
  <c r="M925" i="2"/>
  <c r="O925" i="2"/>
  <c r="Q925" i="2"/>
  <c r="S925" i="2"/>
  <c r="U925" i="2"/>
  <c r="W925" i="2"/>
  <c r="Y925" i="2"/>
  <c r="G929" i="2"/>
  <c r="I929" i="2"/>
  <c r="K929" i="2"/>
  <c r="M929" i="2"/>
  <c r="O929" i="2"/>
  <c r="Q929" i="2"/>
  <c r="S929" i="2"/>
  <c r="U929" i="2"/>
  <c r="W929" i="2"/>
  <c r="Y929" i="2"/>
  <c r="G930" i="2"/>
  <c r="I930" i="2"/>
  <c r="K930" i="2"/>
  <c r="M930" i="2"/>
  <c r="O930" i="2"/>
  <c r="Q930" i="2"/>
  <c r="S930" i="2"/>
  <c r="U930" i="2"/>
  <c r="W930" i="2"/>
  <c r="Y930" i="2"/>
  <c r="G931" i="2"/>
  <c r="I931" i="2"/>
  <c r="K931" i="2"/>
  <c r="M931" i="2"/>
  <c r="O931" i="2"/>
  <c r="Q931" i="2"/>
  <c r="S931" i="2"/>
  <c r="U931" i="2"/>
  <c r="W931" i="2"/>
  <c r="Y931" i="2"/>
  <c r="G935" i="2"/>
  <c r="I935" i="2"/>
  <c r="K935" i="2"/>
  <c r="M935" i="2"/>
  <c r="O935" i="2"/>
  <c r="Q935" i="2"/>
  <c r="S935" i="2"/>
  <c r="U935" i="2"/>
  <c r="W935" i="2"/>
  <c r="Y935" i="2"/>
  <c r="G936" i="2"/>
  <c r="I936" i="2"/>
  <c r="K936" i="2"/>
  <c r="M936" i="2"/>
  <c r="O936" i="2"/>
  <c r="Q936" i="2"/>
  <c r="S936" i="2"/>
  <c r="U936" i="2"/>
  <c r="W936" i="2"/>
  <c r="Y936" i="2"/>
  <c r="G937" i="2"/>
  <c r="I937" i="2"/>
  <c r="K937" i="2"/>
  <c r="M937" i="2"/>
  <c r="O937" i="2"/>
  <c r="Q937" i="2"/>
  <c r="S937" i="2"/>
  <c r="U937" i="2"/>
  <c r="W937" i="2"/>
  <c r="Y937" i="2"/>
  <c r="G862" i="2"/>
  <c r="I862" i="2"/>
  <c r="K862" i="2"/>
  <c r="M862" i="2"/>
  <c r="O862" i="2"/>
  <c r="Q862" i="2"/>
  <c r="S862" i="2"/>
  <c r="V862" i="2"/>
  <c r="X862" i="2"/>
  <c r="F863" i="2"/>
  <c r="H863" i="2"/>
  <c r="J863" i="2"/>
  <c r="L863" i="2"/>
  <c r="N863" i="2"/>
  <c r="P863" i="2"/>
  <c r="R863" i="2"/>
  <c r="U863" i="2"/>
  <c r="W863" i="2"/>
  <c r="Y863" i="2"/>
  <c r="G864" i="2"/>
  <c r="I864" i="2"/>
  <c r="K864" i="2"/>
  <c r="M864" i="2"/>
  <c r="O864" i="2"/>
  <c r="Q864" i="2"/>
  <c r="S864" i="2"/>
  <c r="V864" i="2"/>
  <c r="X864" i="2"/>
  <c r="F868" i="2"/>
  <c r="H868" i="2"/>
  <c r="J868" i="2"/>
  <c r="L868" i="2"/>
  <c r="N868" i="2"/>
  <c r="P868" i="2"/>
  <c r="R868" i="2"/>
  <c r="T868" i="2"/>
  <c r="V868" i="2"/>
  <c r="X868" i="2"/>
  <c r="F869" i="2"/>
  <c r="H869" i="2"/>
  <c r="J869" i="2"/>
  <c r="L869" i="2"/>
  <c r="N869" i="2"/>
  <c r="P869" i="2"/>
  <c r="R869" i="2"/>
  <c r="T869" i="2"/>
  <c r="V869" i="2"/>
  <c r="X869" i="2"/>
  <c r="F870" i="2"/>
  <c r="H870" i="2"/>
  <c r="J870" i="2"/>
  <c r="L870" i="2"/>
  <c r="N870" i="2"/>
  <c r="P870" i="2"/>
  <c r="T870" i="2"/>
  <c r="X870" i="2"/>
  <c r="G874" i="2"/>
  <c r="I874" i="2"/>
  <c r="K874" i="2"/>
  <c r="M874" i="2"/>
  <c r="O874" i="2"/>
  <c r="Q874" i="2"/>
  <c r="S874" i="2"/>
  <c r="U874" i="2"/>
  <c r="W874" i="2"/>
  <c r="Y874" i="2"/>
  <c r="G875" i="2"/>
  <c r="I875" i="2"/>
  <c r="K875" i="2"/>
  <c r="M875" i="2"/>
  <c r="O875" i="2"/>
  <c r="Q875" i="2"/>
  <c r="S875" i="2"/>
  <c r="U875" i="2"/>
  <c r="W875" i="2"/>
  <c r="Y875" i="2"/>
  <c r="G876" i="2"/>
  <c r="I876" i="2"/>
  <c r="K876" i="2"/>
  <c r="M876" i="2"/>
  <c r="O876" i="2"/>
  <c r="Q876" i="2"/>
  <c r="S876" i="2"/>
  <c r="U876" i="2"/>
  <c r="W876" i="2"/>
  <c r="Y876" i="2"/>
  <c r="G880" i="2"/>
  <c r="I880" i="2"/>
  <c r="K880" i="2"/>
  <c r="M880" i="2"/>
  <c r="O880" i="2"/>
  <c r="Q880" i="2"/>
  <c r="S880" i="2"/>
  <c r="U880" i="2"/>
  <c r="W880" i="2"/>
  <c r="Y880" i="2"/>
  <c r="G881" i="2"/>
  <c r="I881" i="2"/>
  <c r="K881" i="2"/>
  <c r="M881" i="2"/>
  <c r="O881" i="2"/>
  <c r="Q881" i="2"/>
  <c r="S881" i="2"/>
  <c r="U881" i="2"/>
  <c r="W881" i="2"/>
  <c r="Y881" i="2"/>
  <c r="G882" i="2"/>
  <c r="I882" i="2"/>
  <c r="K882" i="2"/>
  <c r="M882" i="2"/>
  <c r="O882" i="2"/>
  <c r="Q882" i="2"/>
  <c r="S882" i="2"/>
  <c r="U882" i="2"/>
  <c r="W882" i="2"/>
  <c r="Y882" i="2"/>
  <c r="G886" i="2"/>
  <c r="I886" i="2"/>
  <c r="K886" i="2"/>
  <c r="M886" i="2"/>
  <c r="O886" i="2"/>
  <c r="Q886" i="2"/>
  <c r="S886" i="2"/>
  <c r="U886" i="2"/>
  <c r="W886" i="2"/>
  <c r="Y886" i="2"/>
  <c r="G887" i="2"/>
  <c r="I887" i="2"/>
  <c r="K887" i="2"/>
  <c r="M887" i="2"/>
  <c r="O887" i="2"/>
  <c r="Q887" i="2"/>
  <c r="S887" i="2"/>
  <c r="U887" i="2"/>
  <c r="W887" i="2"/>
  <c r="Y887" i="2"/>
  <c r="G888" i="2"/>
  <c r="I888" i="2"/>
  <c r="K888" i="2"/>
  <c r="M888" i="2"/>
  <c r="O888" i="2"/>
  <c r="Q888" i="2"/>
  <c r="S888" i="2"/>
  <c r="U888" i="2"/>
  <c r="W888" i="2"/>
  <c r="Y888" i="2"/>
  <c r="G892" i="2"/>
  <c r="I892" i="2"/>
  <c r="K892" i="2"/>
  <c r="M892" i="2"/>
  <c r="O892" i="2"/>
  <c r="Q892" i="2"/>
  <c r="S892" i="2"/>
  <c r="U892" i="2"/>
  <c r="W892" i="2"/>
  <c r="Y892" i="2"/>
  <c r="G893" i="2"/>
  <c r="I893" i="2"/>
  <c r="K893" i="2"/>
  <c r="M893" i="2"/>
  <c r="O893" i="2"/>
  <c r="Q893" i="2"/>
  <c r="S893" i="2"/>
  <c r="U893" i="2"/>
  <c r="W893" i="2"/>
  <c r="Y893" i="2"/>
  <c r="G894" i="2"/>
  <c r="I894" i="2"/>
  <c r="K894" i="2"/>
  <c r="M894" i="2"/>
  <c r="O894" i="2"/>
  <c r="Q894" i="2"/>
  <c r="S894" i="2"/>
  <c r="U894" i="2"/>
  <c r="W894" i="2"/>
  <c r="Y894" i="2"/>
  <c r="G898" i="2"/>
  <c r="I898" i="2"/>
  <c r="K898" i="2"/>
  <c r="M898" i="2"/>
  <c r="O898" i="2"/>
  <c r="Q898" i="2"/>
  <c r="S898" i="2"/>
  <c r="U898" i="2"/>
  <c r="W898" i="2"/>
  <c r="Y898" i="2"/>
  <c r="G899" i="2"/>
  <c r="I899" i="2"/>
  <c r="K899" i="2"/>
  <c r="M899" i="2"/>
  <c r="O899" i="2"/>
  <c r="Q899" i="2"/>
  <c r="S899" i="2"/>
  <c r="U899" i="2"/>
  <c r="W899" i="2"/>
  <c r="Y899" i="2"/>
  <c r="G900" i="2"/>
  <c r="I900" i="2"/>
  <c r="K900" i="2"/>
  <c r="M900" i="2"/>
  <c r="O900" i="2"/>
  <c r="Q900" i="2"/>
  <c r="S900" i="2"/>
  <c r="U900" i="2"/>
  <c r="W900" i="2"/>
  <c r="Y900" i="2"/>
  <c r="G825" i="2"/>
  <c r="I825" i="2"/>
  <c r="K825" i="2"/>
  <c r="M825" i="2"/>
  <c r="O825" i="2"/>
  <c r="Q825" i="2"/>
  <c r="T825" i="2"/>
  <c r="V825" i="2"/>
  <c r="X825" i="2"/>
  <c r="F826" i="2"/>
  <c r="H826" i="2"/>
  <c r="J826" i="2"/>
  <c r="L826" i="2"/>
  <c r="N826" i="2"/>
  <c r="P826" i="2"/>
  <c r="R826" i="2"/>
  <c r="U826" i="2"/>
  <c r="W826" i="2"/>
  <c r="Y826" i="2"/>
  <c r="G827" i="2"/>
  <c r="I827" i="2"/>
  <c r="K827" i="2"/>
  <c r="M827" i="2"/>
  <c r="O827" i="2"/>
  <c r="Q827" i="2"/>
  <c r="T827" i="2"/>
  <c r="V827" i="2"/>
  <c r="X827" i="2"/>
  <c r="G831" i="2"/>
  <c r="I831" i="2"/>
  <c r="K831" i="2"/>
  <c r="M831" i="2"/>
  <c r="O831" i="2"/>
  <c r="Q831" i="2"/>
  <c r="S831" i="2"/>
  <c r="U831" i="2"/>
  <c r="W831" i="2"/>
  <c r="Y831" i="2"/>
  <c r="G832" i="2"/>
  <c r="I832" i="2"/>
  <c r="K832" i="2"/>
  <c r="M832" i="2"/>
  <c r="O832" i="2"/>
  <c r="Q832" i="2"/>
  <c r="S832" i="2"/>
  <c r="U832" i="2"/>
  <c r="W832" i="2"/>
  <c r="Y832" i="2"/>
  <c r="G833" i="2"/>
  <c r="I833" i="2"/>
  <c r="K833" i="2"/>
  <c r="M833" i="2"/>
  <c r="O833" i="2"/>
  <c r="Q833" i="2"/>
  <c r="S833" i="2"/>
  <c r="U833" i="2"/>
  <c r="W833" i="2"/>
  <c r="Y833" i="2"/>
  <c r="G837" i="2"/>
  <c r="I837" i="2"/>
  <c r="K837" i="2"/>
  <c r="M837" i="2"/>
  <c r="O837" i="2"/>
  <c r="R870" i="2"/>
  <c r="V870" i="2"/>
  <c r="F874" i="2"/>
  <c r="H874" i="2"/>
  <c r="J874" i="2"/>
  <c r="L874" i="2"/>
  <c r="N874" i="2"/>
  <c r="P874" i="2"/>
  <c r="R874" i="2"/>
  <c r="T874" i="2"/>
  <c r="V874" i="2"/>
  <c r="X874" i="2"/>
  <c r="F875" i="2"/>
  <c r="H875" i="2"/>
  <c r="J875" i="2"/>
  <c r="L875" i="2"/>
  <c r="N875" i="2"/>
  <c r="P875" i="2"/>
  <c r="R875" i="2"/>
  <c r="T875" i="2"/>
  <c r="V875" i="2"/>
  <c r="X875" i="2"/>
  <c r="F876" i="2"/>
  <c r="H876" i="2"/>
  <c r="J876" i="2"/>
  <c r="L876" i="2"/>
  <c r="N876" i="2"/>
  <c r="P876" i="2"/>
  <c r="R876" i="2"/>
  <c r="T876" i="2"/>
  <c r="V876" i="2"/>
  <c r="X876" i="2"/>
  <c r="F880" i="2"/>
  <c r="H880" i="2"/>
  <c r="J880" i="2"/>
  <c r="L880" i="2"/>
  <c r="N880" i="2"/>
  <c r="P880" i="2"/>
  <c r="R880" i="2"/>
  <c r="T880" i="2"/>
  <c r="V880" i="2"/>
  <c r="X880" i="2"/>
  <c r="F881" i="2"/>
  <c r="H881" i="2"/>
  <c r="J881" i="2"/>
  <c r="L881" i="2"/>
  <c r="N881" i="2"/>
  <c r="P881" i="2"/>
  <c r="R881" i="2"/>
  <c r="T881" i="2"/>
  <c r="V881" i="2"/>
  <c r="X881" i="2"/>
  <c r="F882" i="2"/>
  <c r="H882" i="2"/>
  <c r="J882" i="2"/>
  <c r="L882" i="2"/>
  <c r="N882" i="2"/>
  <c r="P882" i="2"/>
  <c r="R882" i="2"/>
  <c r="T882" i="2"/>
  <c r="V882" i="2"/>
  <c r="X882" i="2"/>
  <c r="F886" i="2"/>
  <c r="H886" i="2"/>
  <c r="J886" i="2"/>
  <c r="L886" i="2"/>
  <c r="N886" i="2"/>
  <c r="P886" i="2"/>
  <c r="R886" i="2"/>
  <c r="T886" i="2"/>
  <c r="V886" i="2"/>
  <c r="X886" i="2"/>
  <c r="F887" i="2"/>
  <c r="H887" i="2"/>
  <c r="J887" i="2"/>
  <c r="L887" i="2"/>
  <c r="N887" i="2"/>
  <c r="P887" i="2"/>
  <c r="R887" i="2"/>
  <c r="T887" i="2"/>
  <c r="V887" i="2"/>
  <c r="X887" i="2"/>
  <c r="F888" i="2"/>
  <c r="H888" i="2"/>
  <c r="J888" i="2"/>
  <c r="L888" i="2"/>
  <c r="N888" i="2"/>
  <c r="P888" i="2"/>
  <c r="R888" i="2"/>
  <c r="T888" i="2"/>
  <c r="V888" i="2"/>
  <c r="X888" i="2"/>
  <c r="F892" i="2"/>
  <c r="H892" i="2"/>
  <c r="J892" i="2"/>
  <c r="L892" i="2"/>
  <c r="N892" i="2"/>
  <c r="P892" i="2"/>
  <c r="R892" i="2"/>
  <c r="T892" i="2"/>
  <c r="V892" i="2"/>
  <c r="X892" i="2"/>
  <c r="F893" i="2"/>
  <c r="H893" i="2"/>
  <c r="J893" i="2"/>
  <c r="L893" i="2"/>
  <c r="N893" i="2"/>
  <c r="P893" i="2"/>
  <c r="R893" i="2"/>
  <c r="T893" i="2"/>
  <c r="V893" i="2"/>
  <c r="X893" i="2"/>
  <c r="F894" i="2"/>
  <c r="H894" i="2"/>
  <c r="J894" i="2"/>
  <c r="L894" i="2"/>
  <c r="N894" i="2"/>
  <c r="P894" i="2"/>
  <c r="R894" i="2"/>
  <c r="T894" i="2"/>
  <c r="V894" i="2"/>
  <c r="X894" i="2"/>
  <c r="F898" i="2"/>
  <c r="H898" i="2"/>
  <c r="J898" i="2"/>
  <c r="L898" i="2"/>
  <c r="N898" i="2"/>
  <c r="P898" i="2"/>
  <c r="R898" i="2"/>
  <c r="T898" i="2"/>
  <c r="V898" i="2"/>
  <c r="X898" i="2"/>
  <c r="F899" i="2"/>
  <c r="H899" i="2"/>
  <c r="J899" i="2"/>
  <c r="L899" i="2"/>
  <c r="N899" i="2"/>
  <c r="P899" i="2"/>
  <c r="R899" i="2"/>
  <c r="T899" i="2"/>
  <c r="V899" i="2"/>
  <c r="X899" i="2"/>
  <c r="F900" i="2"/>
  <c r="H900" i="2"/>
  <c r="J900" i="2"/>
  <c r="L900" i="2"/>
  <c r="N900" i="2"/>
  <c r="P900" i="2"/>
  <c r="R900" i="2"/>
  <c r="T900" i="2"/>
  <c r="V900" i="2"/>
  <c r="X900" i="2"/>
  <c r="F825" i="2"/>
  <c r="H825" i="2"/>
  <c r="J825" i="2"/>
  <c r="L825" i="2"/>
  <c r="N825" i="2"/>
  <c r="P825" i="2"/>
  <c r="R825" i="2"/>
  <c r="U825" i="2"/>
  <c r="W825" i="2"/>
  <c r="Y825" i="2"/>
  <c r="G826" i="2"/>
  <c r="I826" i="2"/>
  <c r="K826" i="2"/>
  <c r="M826" i="2"/>
  <c r="O826" i="2"/>
  <c r="Q826" i="2"/>
  <c r="T826" i="2"/>
  <c r="V826" i="2"/>
  <c r="X826" i="2"/>
  <c r="F827" i="2"/>
  <c r="H827" i="2"/>
  <c r="J827" i="2"/>
  <c r="L827" i="2"/>
  <c r="N827" i="2"/>
  <c r="P827" i="2"/>
  <c r="R827" i="2"/>
  <c r="U827" i="2"/>
  <c r="W827" i="2"/>
  <c r="Y827" i="2"/>
  <c r="F831" i="2"/>
  <c r="H831" i="2"/>
  <c r="J831" i="2"/>
  <c r="L831" i="2"/>
  <c r="N831" i="2"/>
  <c r="P831" i="2"/>
  <c r="R831" i="2"/>
  <c r="T831" i="2"/>
  <c r="V831" i="2"/>
  <c r="X831" i="2"/>
  <c r="F832" i="2"/>
  <c r="H832" i="2"/>
  <c r="J832" i="2"/>
  <c r="L832" i="2"/>
  <c r="N832" i="2"/>
  <c r="P832" i="2"/>
  <c r="R832" i="2"/>
  <c r="T832" i="2"/>
  <c r="V832" i="2"/>
  <c r="X832" i="2"/>
  <c r="F833" i="2"/>
  <c r="H833" i="2"/>
  <c r="J833" i="2"/>
  <c r="L833" i="2"/>
  <c r="N833" i="2"/>
  <c r="P833" i="2"/>
  <c r="R833" i="2"/>
  <c r="T833" i="2"/>
  <c r="V833" i="2"/>
  <c r="X833" i="2"/>
  <c r="F837" i="2"/>
  <c r="H837" i="2"/>
  <c r="J837" i="2"/>
  <c r="L837" i="2"/>
  <c r="N837" i="2"/>
  <c r="P837" i="2"/>
  <c r="R837" i="2"/>
  <c r="T837" i="2"/>
  <c r="V837" i="2"/>
  <c r="X837" i="2"/>
  <c r="F838" i="2"/>
  <c r="H838" i="2"/>
  <c r="J838" i="2"/>
  <c r="L838" i="2"/>
  <c r="N838" i="2"/>
  <c r="P838" i="2"/>
  <c r="R838" i="2"/>
  <c r="T838" i="2"/>
  <c r="V838" i="2"/>
  <c r="X838" i="2"/>
  <c r="F839" i="2"/>
  <c r="H839" i="2"/>
  <c r="J839" i="2"/>
  <c r="L839" i="2"/>
  <c r="N839" i="2"/>
  <c r="P839" i="2"/>
  <c r="R839" i="2"/>
  <c r="T839" i="2"/>
  <c r="V839" i="2"/>
  <c r="X839" i="2"/>
  <c r="F843" i="2"/>
  <c r="H843" i="2"/>
  <c r="J843" i="2"/>
  <c r="L843" i="2"/>
  <c r="N843" i="2"/>
  <c r="P843" i="2"/>
  <c r="R843" i="2"/>
  <c r="T843" i="2"/>
  <c r="V843" i="2"/>
  <c r="X843" i="2"/>
  <c r="F844" i="2"/>
  <c r="H844" i="2"/>
  <c r="J844" i="2"/>
  <c r="L844" i="2"/>
  <c r="N844" i="2"/>
  <c r="P844" i="2"/>
  <c r="R844" i="2"/>
  <c r="T844" i="2"/>
  <c r="V844" i="2"/>
  <c r="X844" i="2"/>
  <c r="F845" i="2"/>
  <c r="H845" i="2"/>
  <c r="J845" i="2"/>
  <c r="L845" i="2"/>
  <c r="N845" i="2"/>
  <c r="P845" i="2"/>
  <c r="R845" i="2"/>
  <c r="T845" i="2"/>
  <c r="V845" i="2"/>
  <c r="X845" i="2"/>
  <c r="F849" i="2"/>
  <c r="H849" i="2"/>
  <c r="J849" i="2"/>
  <c r="L849" i="2"/>
  <c r="N849" i="2"/>
  <c r="P849" i="2"/>
  <c r="R849" i="2"/>
  <c r="T849" i="2"/>
  <c r="V849" i="2"/>
  <c r="X849" i="2"/>
  <c r="F850" i="2"/>
  <c r="H850" i="2"/>
  <c r="J850" i="2"/>
  <c r="L850" i="2"/>
  <c r="N850" i="2"/>
  <c r="P850" i="2"/>
  <c r="R850" i="2"/>
  <c r="T850" i="2"/>
  <c r="V850" i="2"/>
  <c r="X850" i="2"/>
  <c r="F851" i="2"/>
  <c r="H851" i="2"/>
  <c r="J851" i="2"/>
  <c r="L851" i="2"/>
  <c r="N851" i="2"/>
  <c r="P851" i="2"/>
  <c r="R851" i="2"/>
  <c r="T851" i="2"/>
  <c r="V851" i="2"/>
  <c r="X851" i="2"/>
  <c r="F751" i="2"/>
  <c r="H751" i="2"/>
  <c r="J751" i="2"/>
  <c r="L751" i="2"/>
  <c r="N751" i="2"/>
  <c r="Q751" i="2"/>
  <c r="S751" i="2"/>
  <c r="U751" i="2"/>
  <c r="W751" i="2"/>
  <c r="Y751" i="2"/>
  <c r="G752" i="2"/>
  <c r="I752" i="2"/>
  <c r="K752" i="2"/>
  <c r="M752" i="2"/>
  <c r="O752" i="2"/>
  <c r="R752" i="2"/>
  <c r="T752" i="2"/>
  <c r="V752" i="2"/>
  <c r="X752" i="2"/>
  <c r="F753" i="2"/>
  <c r="H753" i="2"/>
  <c r="J753" i="2"/>
  <c r="L753" i="2"/>
  <c r="N753" i="2"/>
  <c r="Q753" i="2"/>
  <c r="S753" i="2"/>
  <c r="U753" i="2"/>
  <c r="W753" i="2"/>
  <c r="Y753" i="2"/>
  <c r="F757" i="2"/>
  <c r="H757" i="2"/>
  <c r="J757" i="2"/>
  <c r="L757" i="2"/>
  <c r="N757" i="2"/>
  <c r="P757" i="2"/>
  <c r="R757" i="2"/>
  <c r="T757" i="2"/>
  <c r="V757" i="2"/>
  <c r="X757" i="2"/>
  <c r="F758" i="2"/>
  <c r="H758" i="2"/>
  <c r="J758" i="2"/>
  <c r="L758" i="2"/>
  <c r="N758" i="2"/>
  <c r="P758" i="2"/>
  <c r="R758" i="2"/>
  <c r="T758" i="2"/>
  <c r="V758" i="2"/>
  <c r="X758" i="2"/>
  <c r="F759" i="2"/>
  <c r="H759" i="2"/>
  <c r="J759" i="2"/>
  <c r="L759" i="2"/>
  <c r="N759" i="2"/>
  <c r="P759" i="2"/>
  <c r="R759" i="2"/>
  <c r="T759" i="2"/>
  <c r="V759" i="2"/>
  <c r="X759" i="2"/>
  <c r="Q837" i="2"/>
  <c r="U837" i="2"/>
  <c r="Y837" i="2"/>
  <c r="I838" i="2"/>
  <c r="M838" i="2"/>
  <c r="Q838" i="2"/>
  <c r="U838" i="2"/>
  <c r="Y838" i="2"/>
  <c r="I839" i="2"/>
  <c r="M839" i="2"/>
  <c r="Q839" i="2"/>
  <c r="U839" i="2"/>
  <c r="Y839" i="2"/>
  <c r="I843" i="2"/>
  <c r="M843" i="2"/>
  <c r="Q843" i="2"/>
  <c r="U843" i="2"/>
  <c r="Y843" i="2"/>
  <c r="I844" i="2"/>
  <c r="M844" i="2"/>
  <c r="Q844" i="2"/>
  <c r="U844" i="2"/>
  <c r="Y844" i="2"/>
  <c r="I845" i="2"/>
  <c r="M845" i="2"/>
  <c r="Q845" i="2"/>
  <c r="U845" i="2"/>
  <c r="Y845" i="2"/>
  <c r="I849" i="2"/>
  <c r="M849" i="2"/>
  <c r="Q849" i="2"/>
  <c r="U849" i="2"/>
  <c r="Y849" i="2"/>
  <c r="I850" i="2"/>
  <c r="M850" i="2"/>
  <c r="Q850" i="2"/>
  <c r="U850" i="2"/>
  <c r="Y850" i="2"/>
  <c r="I851" i="2"/>
  <c r="M851" i="2"/>
  <c r="Q851" i="2"/>
  <c r="U851" i="2"/>
  <c r="Y851" i="2"/>
  <c r="I751" i="2"/>
  <c r="M751" i="2"/>
  <c r="R751" i="2"/>
  <c r="V751" i="2"/>
  <c r="F752" i="2"/>
  <c r="J752" i="2"/>
  <c r="N752" i="2"/>
  <c r="S752" i="2"/>
  <c r="W752" i="2"/>
  <c r="G753" i="2"/>
  <c r="K753" i="2"/>
  <c r="O753" i="2"/>
  <c r="T753" i="2"/>
  <c r="X753" i="2"/>
  <c r="G757" i="2"/>
  <c r="K757" i="2"/>
  <c r="O757" i="2"/>
  <c r="S757" i="2"/>
  <c r="W757" i="2"/>
  <c r="G758" i="2"/>
  <c r="K758" i="2"/>
  <c r="O758" i="2"/>
  <c r="S758" i="2"/>
  <c r="W758" i="2"/>
  <c r="G759" i="2"/>
  <c r="K759" i="2"/>
  <c r="O759" i="2"/>
  <c r="S759" i="2"/>
  <c r="W759" i="2"/>
  <c r="G763" i="2"/>
  <c r="I763" i="2"/>
  <c r="K763" i="2"/>
  <c r="M763" i="2"/>
  <c r="O763" i="2"/>
  <c r="Q763" i="2"/>
  <c r="S763" i="2"/>
  <c r="U763" i="2"/>
  <c r="W763" i="2"/>
  <c r="Y763" i="2"/>
  <c r="G764" i="2"/>
  <c r="I764" i="2"/>
  <c r="K764" i="2"/>
  <c r="M764" i="2"/>
  <c r="O764" i="2"/>
  <c r="Q764" i="2"/>
  <c r="S764" i="2"/>
  <c r="U764" i="2"/>
  <c r="W764" i="2"/>
  <c r="Y764" i="2"/>
  <c r="G765" i="2"/>
  <c r="I765" i="2"/>
  <c r="K765" i="2"/>
  <c r="M765" i="2"/>
  <c r="O765" i="2"/>
  <c r="Q765" i="2"/>
  <c r="S765" i="2"/>
  <c r="U765" i="2"/>
  <c r="W765" i="2"/>
  <c r="Y765" i="2"/>
  <c r="F769" i="2"/>
  <c r="H769" i="2"/>
  <c r="J769" i="2"/>
  <c r="L769" i="2"/>
  <c r="N769" i="2"/>
  <c r="P769" i="2"/>
  <c r="R769" i="2"/>
  <c r="T769" i="2"/>
  <c r="V769" i="2"/>
  <c r="X769" i="2"/>
  <c r="F770" i="2"/>
  <c r="H770" i="2"/>
  <c r="J770" i="2"/>
  <c r="L770" i="2"/>
  <c r="N770" i="2"/>
  <c r="P770" i="2"/>
  <c r="R770" i="2"/>
  <c r="T770" i="2"/>
  <c r="V770" i="2"/>
  <c r="X770" i="2"/>
  <c r="F771" i="2"/>
  <c r="H771" i="2"/>
  <c r="J771" i="2"/>
  <c r="L771" i="2"/>
  <c r="N771" i="2"/>
  <c r="P771" i="2"/>
  <c r="R771" i="2"/>
  <c r="T771" i="2"/>
  <c r="V771" i="2"/>
  <c r="X771" i="2"/>
  <c r="F726" i="2"/>
  <c r="H726" i="2"/>
  <c r="J726" i="2"/>
  <c r="M726" i="2"/>
  <c r="O726" i="2"/>
  <c r="Q726" i="2"/>
  <c r="S726" i="2"/>
  <c r="U726" i="2"/>
  <c r="W726" i="2"/>
  <c r="Y726" i="2"/>
  <c r="G727" i="2"/>
  <c r="I727" i="2"/>
  <c r="L727" i="2"/>
  <c r="N727" i="2"/>
  <c r="P727" i="2"/>
  <c r="R727" i="2"/>
  <c r="T727" i="2"/>
  <c r="V727" i="2"/>
  <c r="X727" i="2"/>
  <c r="F728" i="2"/>
  <c r="H728" i="2"/>
  <c r="J728" i="2"/>
  <c r="M728" i="2"/>
  <c r="O728" i="2"/>
  <c r="Q728" i="2"/>
  <c r="S728" i="2"/>
  <c r="U728" i="2"/>
  <c r="W728" i="2"/>
  <c r="Y728" i="2"/>
  <c r="G732" i="2"/>
  <c r="I732" i="2"/>
  <c r="K732" i="2"/>
  <c r="M732" i="2"/>
  <c r="O732" i="2"/>
  <c r="Q732" i="2"/>
  <c r="S732" i="2"/>
  <c r="U732" i="2"/>
  <c r="W732" i="2"/>
  <c r="Y732" i="2"/>
  <c r="G733" i="2"/>
  <c r="I733" i="2"/>
  <c r="K733" i="2"/>
  <c r="M733" i="2"/>
  <c r="O733" i="2"/>
  <c r="Q733" i="2"/>
  <c r="S733" i="2"/>
  <c r="U733" i="2"/>
  <c r="W733" i="2"/>
  <c r="Y733" i="2"/>
  <c r="G734" i="2"/>
  <c r="I734" i="2"/>
  <c r="K734" i="2"/>
  <c r="M734" i="2"/>
  <c r="O734" i="2"/>
  <c r="Q734" i="2"/>
  <c r="S734" i="2"/>
  <c r="U734" i="2"/>
  <c r="W734" i="2"/>
  <c r="Y734" i="2"/>
  <c r="G738" i="2"/>
  <c r="I738" i="2"/>
  <c r="K738" i="2"/>
  <c r="M738" i="2"/>
  <c r="O738" i="2"/>
  <c r="Q738" i="2"/>
  <c r="S738" i="2"/>
  <c r="U738" i="2"/>
  <c r="W738" i="2"/>
  <c r="Y738" i="2"/>
  <c r="G739" i="2"/>
  <c r="I739" i="2"/>
  <c r="K739" i="2"/>
  <c r="M739" i="2"/>
  <c r="O739" i="2"/>
  <c r="Q739" i="2"/>
  <c r="S739" i="2"/>
  <c r="U739" i="2"/>
  <c r="W739" i="2"/>
  <c r="Y739" i="2"/>
  <c r="G740" i="2"/>
  <c r="I740" i="2"/>
  <c r="K740" i="2"/>
  <c r="M740" i="2"/>
  <c r="O740" i="2"/>
  <c r="Q740" i="2"/>
  <c r="S740" i="2"/>
  <c r="U740" i="2"/>
  <c r="W740" i="2"/>
  <c r="Y740" i="2"/>
  <c r="G623" i="2"/>
  <c r="I623" i="2"/>
  <c r="K623" i="2"/>
  <c r="N623" i="2"/>
  <c r="P623" i="2"/>
  <c r="R623" i="2"/>
  <c r="T623" i="2"/>
  <c r="V623" i="2"/>
  <c r="X623" i="2"/>
  <c r="F624" i="2"/>
  <c r="H624" i="2"/>
  <c r="J624" i="2"/>
  <c r="L624" i="2"/>
  <c r="O624" i="2"/>
  <c r="Q624" i="2"/>
  <c r="S624" i="2"/>
  <c r="U624" i="2"/>
  <c r="W624" i="2"/>
  <c r="Y624" i="2"/>
  <c r="G625" i="2"/>
  <c r="I625" i="2"/>
  <c r="K625" i="2"/>
  <c r="N625" i="2"/>
  <c r="P625" i="2"/>
  <c r="R625" i="2"/>
  <c r="T625" i="2"/>
  <c r="V625" i="2"/>
  <c r="X625" i="2"/>
  <c r="F629" i="2"/>
  <c r="H629" i="2"/>
  <c r="J629" i="2"/>
  <c r="L629" i="2"/>
  <c r="N629" i="2"/>
  <c r="P629" i="2"/>
  <c r="R629" i="2"/>
  <c r="T629" i="2"/>
  <c r="V629" i="2"/>
  <c r="X629" i="2"/>
  <c r="F630" i="2"/>
  <c r="H630" i="2"/>
  <c r="J630" i="2"/>
  <c r="L630" i="2"/>
  <c r="N630" i="2"/>
  <c r="P630" i="2"/>
  <c r="R630" i="2"/>
  <c r="T630" i="2"/>
  <c r="V630" i="2"/>
  <c r="X630" i="2"/>
  <c r="F631" i="2"/>
  <c r="H631" i="2"/>
  <c r="J631" i="2"/>
  <c r="L631" i="2"/>
  <c r="N631" i="2"/>
  <c r="P631" i="2"/>
  <c r="R631" i="2"/>
  <c r="T631" i="2"/>
  <c r="V631" i="2"/>
  <c r="X631" i="2"/>
  <c r="F635" i="2"/>
  <c r="H635" i="2"/>
  <c r="J635" i="2"/>
  <c r="L635" i="2"/>
  <c r="N635" i="2"/>
  <c r="P635" i="2"/>
  <c r="R635" i="2"/>
  <c r="T635" i="2"/>
  <c r="V635" i="2"/>
  <c r="X635" i="2"/>
  <c r="F636" i="2"/>
  <c r="H636" i="2"/>
  <c r="J636" i="2"/>
  <c r="L636" i="2"/>
  <c r="N636" i="2"/>
  <c r="P636" i="2"/>
  <c r="R636" i="2"/>
  <c r="T636" i="2"/>
  <c r="V636" i="2"/>
  <c r="X636" i="2"/>
  <c r="F637" i="2"/>
  <c r="H637" i="2"/>
  <c r="J637" i="2"/>
  <c r="L637" i="2"/>
  <c r="N637" i="2"/>
  <c r="P637" i="2"/>
  <c r="R637" i="2"/>
  <c r="T637" i="2"/>
  <c r="V637" i="2"/>
  <c r="X637" i="2"/>
  <c r="F641" i="2"/>
  <c r="H641" i="2"/>
  <c r="J641" i="2"/>
  <c r="L641" i="2"/>
  <c r="N641" i="2"/>
  <c r="P641" i="2"/>
  <c r="R641" i="2"/>
  <c r="T641" i="2"/>
  <c r="V641" i="2"/>
  <c r="X641" i="2"/>
  <c r="F642" i="2"/>
  <c r="H642" i="2"/>
  <c r="J642" i="2"/>
  <c r="L642" i="2"/>
  <c r="N642" i="2"/>
  <c r="P642" i="2"/>
  <c r="R642" i="2"/>
  <c r="T642" i="2"/>
  <c r="V642" i="2"/>
  <c r="X642" i="2"/>
  <c r="F643" i="2"/>
  <c r="H643" i="2"/>
  <c r="J643" i="2"/>
  <c r="L643" i="2"/>
  <c r="N643" i="2"/>
  <c r="P643" i="2"/>
  <c r="R643" i="2"/>
  <c r="T643" i="2"/>
  <c r="V643" i="2"/>
  <c r="X643" i="2"/>
  <c r="F647" i="2"/>
  <c r="H647" i="2"/>
  <c r="J647" i="2"/>
  <c r="L647" i="2"/>
  <c r="N647" i="2"/>
  <c r="P647" i="2"/>
  <c r="R647" i="2"/>
  <c r="T647" i="2"/>
  <c r="V647" i="2"/>
  <c r="X647" i="2"/>
  <c r="F648" i="2"/>
  <c r="H648" i="2"/>
  <c r="J648" i="2"/>
  <c r="L648" i="2"/>
  <c r="N648" i="2"/>
  <c r="P648" i="2"/>
  <c r="R648" i="2"/>
  <c r="T648" i="2"/>
  <c r="V648" i="2"/>
  <c r="X648" i="2"/>
  <c r="F649" i="2"/>
  <c r="H649" i="2"/>
  <c r="J649" i="2"/>
  <c r="L649" i="2"/>
  <c r="N649" i="2"/>
  <c r="P649" i="2"/>
  <c r="R649" i="2"/>
  <c r="T649" i="2"/>
  <c r="V649" i="2"/>
  <c r="X649" i="2"/>
  <c r="F653" i="2"/>
  <c r="H653" i="2"/>
  <c r="J653" i="2"/>
  <c r="L653" i="2"/>
  <c r="N653" i="2"/>
  <c r="P653" i="2"/>
  <c r="R653" i="2"/>
  <c r="T653" i="2"/>
  <c r="V653" i="2"/>
  <c r="X653" i="2"/>
  <c r="F654" i="2"/>
  <c r="H654" i="2"/>
  <c r="J654" i="2"/>
  <c r="L654" i="2"/>
  <c r="N654" i="2"/>
  <c r="P654" i="2"/>
  <c r="R654" i="2"/>
  <c r="T654" i="2"/>
  <c r="V654" i="2"/>
  <c r="X654" i="2"/>
  <c r="F655" i="2"/>
  <c r="H655" i="2"/>
  <c r="J655" i="2"/>
  <c r="L655" i="2"/>
  <c r="N655" i="2"/>
  <c r="P655" i="2"/>
  <c r="R655" i="2"/>
  <c r="T655" i="2"/>
  <c r="V655" i="2"/>
  <c r="X655" i="2"/>
  <c r="F659" i="2"/>
  <c r="H659" i="2"/>
  <c r="J659" i="2"/>
  <c r="L659" i="2"/>
  <c r="N659" i="2"/>
  <c r="P659" i="2"/>
  <c r="R659" i="2"/>
  <c r="T659" i="2"/>
  <c r="V659" i="2"/>
  <c r="X659" i="2"/>
  <c r="F660" i="2"/>
  <c r="H660" i="2"/>
  <c r="J660" i="2"/>
  <c r="L660" i="2"/>
  <c r="N660" i="2"/>
  <c r="P660" i="2"/>
  <c r="R660" i="2"/>
  <c r="T660" i="2"/>
  <c r="V660" i="2"/>
  <c r="X660" i="2"/>
  <c r="F661" i="2"/>
  <c r="H661" i="2"/>
  <c r="J661" i="2"/>
  <c r="L661" i="2"/>
  <c r="N661" i="2"/>
  <c r="P661" i="2"/>
  <c r="R661" i="2"/>
  <c r="T661" i="2"/>
  <c r="V661" i="2"/>
  <c r="X661" i="2"/>
  <c r="F665" i="2"/>
  <c r="H665" i="2"/>
  <c r="J665" i="2"/>
  <c r="L665" i="2"/>
  <c r="N665" i="2"/>
  <c r="P665" i="2"/>
  <c r="R665" i="2"/>
  <c r="T665" i="2"/>
  <c r="V665" i="2"/>
  <c r="X665" i="2"/>
  <c r="F666" i="2"/>
  <c r="H666" i="2"/>
  <c r="J666" i="2"/>
  <c r="L666" i="2"/>
  <c r="N666" i="2"/>
  <c r="P666" i="2"/>
  <c r="R666" i="2"/>
  <c r="T666" i="2"/>
  <c r="V666" i="2"/>
  <c r="X666" i="2"/>
  <c r="F667" i="2"/>
  <c r="H667" i="2"/>
  <c r="J667" i="2"/>
  <c r="L667" i="2"/>
  <c r="N667" i="2"/>
  <c r="P667" i="2"/>
  <c r="R667" i="2"/>
  <c r="T667" i="2"/>
  <c r="V667" i="2"/>
  <c r="X667" i="2"/>
  <c r="F671" i="2"/>
  <c r="H671" i="2"/>
  <c r="J671" i="2"/>
  <c r="L671" i="2"/>
  <c r="N671" i="2"/>
  <c r="P671" i="2"/>
  <c r="R671" i="2"/>
  <c r="T671" i="2"/>
  <c r="V671" i="2"/>
  <c r="X671" i="2"/>
  <c r="F672" i="2"/>
  <c r="H672" i="2"/>
  <c r="J672" i="2"/>
  <c r="L672" i="2"/>
  <c r="N672" i="2"/>
  <c r="P672" i="2"/>
  <c r="R672" i="2"/>
  <c r="T672" i="2"/>
  <c r="V672" i="2"/>
  <c r="X672" i="2"/>
  <c r="F673" i="2"/>
  <c r="H673" i="2"/>
  <c r="J673" i="2"/>
  <c r="L673" i="2"/>
  <c r="N673" i="2"/>
  <c r="P673" i="2"/>
  <c r="R673" i="2"/>
  <c r="T673" i="2"/>
  <c r="V673" i="2"/>
  <c r="X673" i="2"/>
  <c r="F677" i="2"/>
  <c r="H677" i="2"/>
  <c r="J677" i="2"/>
  <c r="L677" i="2"/>
  <c r="N677" i="2"/>
  <c r="P677" i="2"/>
  <c r="R677" i="2"/>
  <c r="T677" i="2"/>
  <c r="V677" i="2"/>
  <c r="X677" i="2"/>
  <c r="F678" i="2"/>
  <c r="H678" i="2"/>
  <c r="J678" i="2"/>
  <c r="L678" i="2"/>
  <c r="N678" i="2"/>
  <c r="P678" i="2"/>
  <c r="R678" i="2"/>
  <c r="T678" i="2"/>
  <c r="V678" i="2"/>
  <c r="X678" i="2"/>
  <c r="F679" i="2"/>
  <c r="H679" i="2"/>
  <c r="J679" i="2"/>
  <c r="L679" i="2"/>
  <c r="N679" i="2"/>
  <c r="P679" i="2"/>
  <c r="R679" i="2"/>
  <c r="T679" i="2"/>
  <c r="V679" i="2"/>
  <c r="X679" i="2"/>
  <c r="F683" i="2"/>
  <c r="H683" i="2"/>
  <c r="J683" i="2"/>
  <c r="L683" i="2"/>
  <c r="N683" i="2"/>
  <c r="P683" i="2"/>
  <c r="R683" i="2"/>
  <c r="T683" i="2"/>
  <c r="V683" i="2"/>
  <c r="X683" i="2"/>
  <c r="F684" i="2"/>
  <c r="H684" i="2"/>
  <c r="J684" i="2"/>
  <c r="L684" i="2"/>
  <c r="N684" i="2"/>
  <c r="P684" i="2"/>
  <c r="R684" i="2"/>
  <c r="T684" i="2"/>
  <c r="V684" i="2"/>
  <c r="X684" i="2"/>
  <c r="F685" i="2"/>
  <c r="H685" i="2"/>
  <c r="J685" i="2"/>
  <c r="L685" i="2"/>
  <c r="N685" i="2"/>
  <c r="P685" i="2"/>
  <c r="R685" i="2"/>
  <c r="T685" i="2"/>
  <c r="V685" i="2"/>
  <c r="X685" i="2"/>
  <c r="F689" i="2"/>
  <c r="H689" i="2"/>
  <c r="J689" i="2"/>
  <c r="L689" i="2"/>
  <c r="N689" i="2"/>
  <c r="P689" i="2"/>
  <c r="R689" i="2"/>
  <c r="T689" i="2"/>
  <c r="V689" i="2"/>
  <c r="X689" i="2"/>
  <c r="F690" i="2"/>
  <c r="H690" i="2"/>
  <c r="J690" i="2"/>
  <c r="L690" i="2"/>
  <c r="N690" i="2"/>
  <c r="P690" i="2"/>
  <c r="R690" i="2"/>
  <c r="T690" i="2"/>
  <c r="V690" i="2"/>
  <c r="X690" i="2"/>
  <c r="F691" i="2"/>
  <c r="H691" i="2"/>
  <c r="J691" i="2"/>
  <c r="L691" i="2"/>
  <c r="N691" i="2"/>
  <c r="P691" i="2"/>
  <c r="R691" i="2"/>
  <c r="T691" i="2"/>
  <c r="V691" i="2"/>
  <c r="X691" i="2"/>
  <c r="F695" i="2"/>
  <c r="H695" i="2"/>
  <c r="J695" i="2"/>
  <c r="L695" i="2"/>
  <c r="N695" i="2"/>
  <c r="P695" i="2"/>
  <c r="R695" i="2"/>
  <c r="T695" i="2"/>
  <c r="V695" i="2"/>
  <c r="X695" i="2"/>
  <c r="F696" i="2"/>
  <c r="H696" i="2"/>
  <c r="J696" i="2"/>
  <c r="L696" i="2"/>
  <c r="N696" i="2"/>
  <c r="P696" i="2"/>
  <c r="R696" i="2"/>
  <c r="T696" i="2"/>
  <c r="V696" i="2"/>
  <c r="X696" i="2"/>
  <c r="F697" i="2"/>
  <c r="H697" i="2"/>
  <c r="J697" i="2"/>
  <c r="L697" i="2"/>
  <c r="N697" i="2"/>
  <c r="P697" i="2"/>
  <c r="R697" i="2"/>
  <c r="T697" i="2"/>
  <c r="V697" i="2"/>
  <c r="X697" i="2"/>
  <c r="F701" i="2"/>
  <c r="H701" i="2"/>
  <c r="J701" i="2"/>
  <c r="L701" i="2"/>
  <c r="N701" i="2"/>
  <c r="P701" i="2"/>
  <c r="R701" i="2"/>
  <c r="T701" i="2"/>
  <c r="V701" i="2"/>
  <c r="X701" i="2"/>
  <c r="F702" i="2"/>
  <c r="H702" i="2"/>
  <c r="J702" i="2"/>
  <c r="L702" i="2"/>
  <c r="N702" i="2"/>
  <c r="P702" i="2"/>
  <c r="R702" i="2"/>
  <c r="T702" i="2"/>
  <c r="V702" i="2"/>
  <c r="X702" i="2"/>
  <c r="F703" i="2"/>
  <c r="H703" i="2"/>
  <c r="J703" i="2"/>
  <c r="L703" i="2"/>
  <c r="N703" i="2"/>
  <c r="P703" i="2"/>
  <c r="R703" i="2"/>
  <c r="T703" i="2"/>
  <c r="V703" i="2"/>
  <c r="X703" i="2"/>
  <c r="F707" i="2"/>
  <c r="H707" i="2"/>
  <c r="J707" i="2"/>
  <c r="L707" i="2"/>
  <c r="N707" i="2"/>
  <c r="P707" i="2"/>
  <c r="R707" i="2"/>
  <c r="T707" i="2"/>
  <c r="V707" i="2"/>
  <c r="X707" i="2"/>
  <c r="F708" i="2"/>
  <c r="H708" i="2"/>
  <c r="J708" i="2"/>
  <c r="L708" i="2"/>
  <c r="N708" i="2"/>
  <c r="P708" i="2"/>
  <c r="R708" i="2"/>
  <c r="T708" i="2"/>
  <c r="V708" i="2"/>
  <c r="X708" i="2"/>
  <c r="F709" i="2"/>
  <c r="H709" i="2"/>
  <c r="J709" i="2"/>
  <c r="L709" i="2"/>
  <c r="N709" i="2"/>
  <c r="P709" i="2"/>
  <c r="R709" i="2"/>
  <c r="T709" i="2"/>
  <c r="V709" i="2"/>
  <c r="X709" i="2"/>
  <c r="F713" i="2"/>
  <c r="H713" i="2"/>
  <c r="J713" i="2"/>
  <c r="L713" i="2"/>
  <c r="N713" i="2"/>
  <c r="P713" i="2"/>
  <c r="R713" i="2"/>
  <c r="T713" i="2"/>
  <c r="V713" i="2"/>
  <c r="X713" i="2"/>
  <c r="F714" i="2"/>
  <c r="H714" i="2"/>
  <c r="J714" i="2"/>
  <c r="L714" i="2"/>
  <c r="N714" i="2"/>
  <c r="P714" i="2"/>
  <c r="R714" i="2"/>
  <c r="T714" i="2"/>
  <c r="V714" i="2"/>
  <c r="X714" i="2"/>
  <c r="F715" i="2"/>
  <c r="H715" i="2"/>
  <c r="J715" i="2"/>
  <c r="L715" i="2"/>
  <c r="N715" i="2"/>
  <c r="P715" i="2"/>
  <c r="R715" i="2"/>
  <c r="T715" i="2"/>
  <c r="V715" i="2"/>
  <c r="X715" i="2"/>
  <c r="F592" i="2"/>
  <c r="H592" i="2"/>
  <c r="J592" i="2"/>
  <c r="L592" i="2"/>
  <c r="O592" i="2"/>
  <c r="Q592" i="2"/>
  <c r="S592" i="2"/>
  <c r="U592" i="2"/>
  <c r="W592" i="2"/>
  <c r="Y592" i="2"/>
  <c r="G593" i="2"/>
  <c r="I593" i="2"/>
  <c r="K593" i="2"/>
  <c r="M593" i="2"/>
  <c r="O593" i="2"/>
  <c r="R593" i="2"/>
  <c r="T593" i="2"/>
  <c r="W593" i="2"/>
  <c r="Y593" i="2"/>
  <c r="G594" i="2"/>
  <c r="I594" i="2"/>
  <c r="K594" i="2"/>
  <c r="M594" i="2"/>
  <c r="O594" i="2"/>
  <c r="Q594" i="2"/>
  <c r="S594" i="2"/>
  <c r="U594" i="2"/>
  <c r="W594" i="2"/>
  <c r="Y594" i="2"/>
  <c r="S837" i="2"/>
  <c r="W837" i="2"/>
  <c r="G838" i="2"/>
  <c r="K838" i="2"/>
  <c r="O838" i="2"/>
  <c r="S838" i="2"/>
  <c r="W838" i="2"/>
  <c r="G839" i="2"/>
  <c r="K839" i="2"/>
  <c r="O839" i="2"/>
  <c r="S839" i="2"/>
  <c r="W839" i="2"/>
  <c r="G843" i="2"/>
  <c r="K843" i="2"/>
  <c r="O843" i="2"/>
  <c r="S843" i="2"/>
  <c r="W843" i="2"/>
  <c r="G844" i="2"/>
  <c r="K844" i="2"/>
  <c r="O844" i="2"/>
  <c r="S844" i="2"/>
  <c r="W844" i="2"/>
  <c r="G845" i="2"/>
  <c r="K845" i="2"/>
  <c r="O845" i="2"/>
  <c r="S845" i="2"/>
  <c r="W845" i="2"/>
  <c r="G849" i="2"/>
  <c r="K849" i="2"/>
  <c r="O849" i="2"/>
  <c r="S849" i="2"/>
  <c r="W849" i="2"/>
  <c r="G850" i="2"/>
  <c r="K850" i="2"/>
  <c r="O850" i="2"/>
  <c r="S850" i="2"/>
  <c r="W850" i="2"/>
  <c r="G851" i="2"/>
  <c r="K851" i="2"/>
  <c r="O851" i="2"/>
  <c r="S851" i="2"/>
  <c r="W851" i="2"/>
  <c r="G751" i="2"/>
  <c r="K751" i="2"/>
  <c r="O751" i="2"/>
  <c r="T751" i="2"/>
  <c r="X751" i="2"/>
  <c r="H752" i="2"/>
  <c r="L752" i="2"/>
  <c r="Q752" i="2"/>
  <c r="U752" i="2"/>
  <c r="Y752" i="2"/>
  <c r="I753" i="2"/>
  <c r="M753" i="2"/>
  <c r="R753" i="2"/>
  <c r="V753" i="2"/>
  <c r="I757" i="2"/>
  <c r="M757" i="2"/>
  <c r="Q757" i="2"/>
  <c r="U757" i="2"/>
  <c r="Y757" i="2"/>
  <c r="I758" i="2"/>
  <c r="M758" i="2"/>
  <c r="Q758" i="2"/>
  <c r="U758" i="2"/>
  <c r="Y758" i="2"/>
  <c r="I759" i="2"/>
  <c r="M759" i="2"/>
  <c r="Q759" i="2"/>
  <c r="U759" i="2"/>
  <c r="Y759" i="2"/>
  <c r="F763" i="2"/>
  <c r="H763" i="2"/>
  <c r="J763" i="2"/>
  <c r="L763" i="2"/>
  <c r="N763" i="2"/>
  <c r="P763" i="2"/>
  <c r="R763" i="2"/>
  <c r="T763" i="2"/>
  <c r="V763" i="2"/>
  <c r="X763" i="2"/>
  <c r="F764" i="2"/>
  <c r="H764" i="2"/>
  <c r="J764" i="2"/>
  <c r="L764" i="2"/>
  <c r="N764" i="2"/>
  <c r="P764" i="2"/>
  <c r="R764" i="2"/>
  <c r="T764" i="2"/>
  <c r="V764" i="2"/>
  <c r="X764" i="2"/>
  <c r="F765" i="2"/>
  <c r="H765" i="2"/>
  <c r="J765" i="2"/>
  <c r="L765" i="2"/>
  <c r="N765" i="2"/>
  <c r="P765" i="2"/>
  <c r="R765" i="2"/>
  <c r="T765" i="2"/>
  <c r="V765" i="2"/>
  <c r="X765" i="2"/>
  <c r="G769" i="2"/>
  <c r="I769" i="2"/>
  <c r="K769" i="2"/>
  <c r="M769" i="2"/>
  <c r="O769" i="2"/>
  <c r="Q769" i="2"/>
  <c r="S769" i="2"/>
  <c r="U769" i="2"/>
  <c r="W769" i="2"/>
  <c r="Y769" i="2"/>
  <c r="G770" i="2"/>
  <c r="I770" i="2"/>
  <c r="K770" i="2"/>
  <c r="M770" i="2"/>
  <c r="O770" i="2"/>
  <c r="Q770" i="2"/>
  <c r="S770" i="2"/>
  <c r="U770" i="2"/>
  <c r="W770" i="2"/>
  <c r="Y770" i="2"/>
  <c r="G771" i="2"/>
  <c r="I771" i="2"/>
  <c r="K771" i="2"/>
  <c r="M771" i="2"/>
  <c r="O771" i="2"/>
  <c r="Q771" i="2"/>
  <c r="S771" i="2"/>
  <c r="U771" i="2"/>
  <c r="W771" i="2"/>
  <c r="Y771" i="2"/>
  <c r="G726" i="2"/>
  <c r="I726" i="2"/>
  <c r="L726" i="2"/>
  <c r="N726" i="2"/>
  <c r="P726" i="2"/>
  <c r="R726" i="2"/>
  <c r="T726" i="2"/>
  <c r="V726" i="2"/>
  <c r="X726" i="2"/>
  <c r="F727" i="2"/>
  <c r="H727" i="2"/>
  <c r="J727" i="2"/>
  <c r="M727" i="2"/>
  <c r="O727" i="2"/>
  <c r="Q727" i="2"/>
  <c r="S727" i="2"/>
  <c r="U727" i="2"/>
  <c r="W727" i="2"/>
  <c r="Y727" i="2"/>
  <c r="G728" i="2"/>
  <c r="I728" i="2"/>
  <c r="L728" i="2"/>
  <c r="N728" i="2"/>
  <c r="P728" i="2"/>
  <c r="R728" i="2"/>
  <c r="T728" i="2"/>
  <c r="V728" i="2"/>
  <c r="X728" i="2"/>
  <c r="F732" i="2"/>
  <c r="H732" i="2"/>
  <c r="J732" i="2"/>
  <c r="L732" i="2"/>
  <c r="N732" i="2"/>
  <c r="P732" i="2"/>
  <c r="R732" i="2"/>
  <c r="T732" i="2"/>
  <c r="V732" i="2"/>
  <c r="X732" i="2"/>
  <c r="F733" i="2"/>
  <c r="H733" i="2"/>
  <c r="J733" i="2"/>
  <c r="L733" i="2"/>
  <c r="N733" i="2"/>
  <c r="P733" i="2"/>
  <c r="R733" i="2"/>
  <c r="T733" i="2"/>
  <c r="V733" i="2"/>
  <c r="X733" i="2"/>
  <c r="F734" i="2"/>
  <c r="H734" i="2"/>
  <c r="J734" i="2"/>
  <c r="L734" i="2"/>
  <c r="N734" i="2"/>
  <c r="P734" i="2"/>
  <c r="R734" i="2"/>
  <c r="T734" i="2"/>
  <c r="V734" i="2"/>
  <c r="X734" i="2"/>
  <c r="F738" i="2"/>
  <c r="H738" i="2"/>
  <c r="J738" i="2"/>
  <c r="L738" i="2"/>
  <c r="N738" i="2"/>
  <c r="P738" i="2"/>
  <c r="R738" i="2"/>
  <c r="T738" i="2"/>
  <c r="V738" i="2"/>
  <c r="X738" i="2"/>
  <c r="F739" i="2"/>
  <c r="H739" i="2"/>
  <c r="J739" i="2"/>
  <c r="L739" i="2"/>
  <c r="N739" i="2"/>
  <c r="P739" i="2"/>
  <c r="R739" i="2"/>
  <c r="T739" i="2"/>
  <c r="V739" i="2"/>
  <c r="X739" i="2"/>
  <c r="F740" i="2"/>
  <c r="H740" i="2"/>
  <c r="J740" i="2"/>
  <c r="L740" i="2"/>
  <c r="N740" i="2"/>
  <c r="P740" i="2"/>
  <c r="R740" i="2"/>
  <c r="T740" i="2"/>
  <c r="V740" i="2"/>
  <c r="X740" i="2"/>
  <c r="F623" i="2"/>
  <c r="H623" i="2"/>
  <c r="J623" i="2"/>
  <c r="L623" i="2"/>
  <c r="O623" i="2"/>
  <c r="Q623" i="2"/>
  <c r="S623" i="2"/>
  <c r="U623" i="2"/>
  <c r="W623" i="2"/>
  <c r="Y623" i="2"/>
  <c r="G624" i="2"/>
  <c r="I624" i="2"/>
  <c r="K624" i="2"/>
  <c r="N624" i="2"/>
  <c r="P624" i="2"/>
  <c r="R624" i="2"/>
  <c r="T624" i="2"/>
  <c r="V624" i="2"/>
  <c r="X624" i="2"/>
  <c r="F625" i="2"/>
  <c r="H625" i="2"/>
  <c r="J625" i="2"/>
  <c r="L625" i="2"/>
  <c r="O625" i="2"/>
  <c r="Q625" i="2"/>
  <c r="S625" i="2"/>
  <c r="U625" i="2"/>
  <c r="W625" i="2"/>
  <c r="Y625" i="2"/>
  <c r="G629" i="2"/>
  <c r="I629" i="2"/>
  <c r="K629" i="2"/>
  <c r="M629" i="2"/>
  <c r="O629" i="2"/>
  <c r="Q629" i="2"/>
  <c r="S629" i="2"/>
  <c r="U629" i="2"/>
  <c r="W629" i="2"/>
  <c r="Y629" i="2"/>
  <c r="G630" i="2"/>
  <c r="I630" i="2"/>
  <c r="K630" i="2"/>
  <c r="M630" i="2"/>
  <c r="O630" i="2"/>
  <c r="Q630" i="2"/>
  <c r="S630" i="2"/>
  <c r="U630" i="2"/>
  <c r="W630" i="2"/>
  <c r="Y630" i="2"/>
  <c r="G631" i="2"/>
  <c r="I631" i="2"/>
  <c r="K631" i="2"/>
  <c r="M631" i="2"/>
  <c r="O631" i="2"/>
  <c r="Q631" i="2"/>
  <c r="S631" i="2"/>
  <c r="U631" i="2"/>
  <c r="W631" i="2"/>
  <c r="Y631" i="2"/>
  <c r="G635" i="2"/>
  <c r="I635" i="2"/>
  <c r="K635" i="2"/>
  <c r="M635" i="2"/>
  <c r="O635" i="2"/>
  <c r="Q635" i="2"/>
  <c r="S635" i="2"/>
  <c r="U635" i="2"/>
  <c r="W635" i="2"/>
  <c r="Y635" i="2"/>
  <c r="G636" i="2"/>
  <c r="I636" i="2"/>
  <c r="K636" i="2"/>
  <c r="M636" i="2"/>
  <c r="O636" i="2"/>
  <c r="Q636" i="2"/>
  <c r="S636" i="2"/>
  <c r="U636" i="2"/>
  <c r="W636" i="2"/>
  <c r="Y636" i="2"/>
  <c r="G637" i="2"/>
  <c r="I637" i="2"/>
  <c r="K637" i="2"/>
  <c r="M637" i="2"/>
  <c r="O637" i="2"/>
  <c r="Q637" i="2"/>
  <c r="S637" i="2"/>
  <c r="U637" i="2"/>
  <c r="W637" i="2"/>
  <c r="Y637" i="2"/>
  <c r="G641" i="2"/>
  <c r="I641" i="2"/>
  <c r="K641" i="2"/>
  <c r="M641" i="2"/>
  <c r="O641" i="2"/>
  <c r="Q641" i="2"/>
  <c r="S641" i="2"/>
  <c r="U641" i="2"/>
  <c r="W641" i="2"/>
  <c r="Y641" i="2"/>
  <c r="G642" i="2"/>
  <c r="I642" i="2"/>
  <c r="K642" i="2"/>
  <c r="M642" i="2"/>
  <c r="O642" i="2"/>
  <c r="Q642" i="2"/>
  <c r="S642" i="2"/>
  <c r="U642" i="2"/>
  <c r="W642" i="2"/>
  <c r="Y642" i="2"/>
  <c r="G643" i="2"/>
  <c r="I643" i="2"/>
  <c r="K643" i="2"/>
  <c r="M643" i="2"/>
  <c r="O643" i="2"/>
  <c r="Q643" i="2"/>
  <c r="S643" i="2"/>
  <c r="U643" i="2"/>
  <c r="W643" i="2"/>
  <c r="Y643" i="2"/>
  <c r="G647" i="2"/>
  <c r="I647" i="2"/>
  <c r="K647" i="2"/>
  <c r="M647" i="2"/>
  <c r="O647" i="2"/>
  <c r="Q647" i="2"/>
  <c r="S647" i="2"/>
  <c r="U647" i="2"/>
  <c r="W647" i="2"/>
  <c r="Y647" i="2"/>
  <c r="G648" i="2"/>
  <c r="I648" i="2"/>
  <c r="K648" i="2"/>
  <c r="M648" i="2"/>
  <c r="O648" i="2"/>
  <c r="Q648" i="2"/>
  <c r="S648" i="2"/>
  <c r="U648" i="2"/>
  <c r="W648" i="2"/>
  <c r="Y648" i="2"/>
  <c r="G649" i="2"/>
  <c r="I649" i="2"/>
  <c r="K649" i="2"/>
  <c r="M649" i="2"/>
  <c r="O649" i="2"/>
  <c r="Q649" i="2"/>
  <c r="S649" i="2"/>
  <c r="U649" i="2"/>
  <c r="W649" i="2"/>
  <c r="Y649" i="2"/>
  <c r="G653" i="2"/>
  <c r="I653" i="2"/>
  <c r="K653" i="2"/>
  <c r="M653" i="2"/>
  <c r="O653" i="2"/>
  <c r="Q653" i="2"/>
  <c r="S653" i="2"/>
  <c r="U653" i="2"/>
  <c r="W653" i="2"/>
  <c r="Y653" i="2"/>
  <c r="G654" i="2"/>
  <c r="I654" i="2"/>
  <c r="K654" i="2"/>
  <c r="M654" i="2"/>
  <c r="O654" i="2"/>
  <c r="Q654" i="2"/>
  <c r="S654" i="2"/>
  <c r="U654" i="2"/>
  <c r="W654" i="2"/>
  <c r="Y654" i="2"/>
  <c r="G655" i="2"/>
  <c r="I655" i="2"/>
  <c r="K655" i="2"/>
  <c r="M655" i="2"/>
  <c r="O655" i="2"/>
  <c r="Q655" i="2"/>
  <c r="S655" i="2"/>
  <c r="U655" i="2"/>
  <c r="W655" i="2"/>
  <c r="Y655" i="2"/>
  <c r="G659" i="2"/>
  <c r="I659" i="2"/>
  <c r="K659" i="2"/>
  <c r="M659" i="2"/>
  <c r="O659" i="2"/>
  <c r="Q659" i="2"/>
  <c r="S659" i="2"/>
  <c r="U659" i="2"/>
  <c r="W659" i="2"/>
  <c r="Y659" i="2"/>
  <c r="G660" i="2"/>
  <c r="I660" i="2"/>
  <c r="K660" i="2"/>
  <c r="M660" i="2"/>
  <c r="O660" i="2"/>
  <c r="Q660" i="2"/>
  <c r="S660" i="2"/>
  <c r="U660" i="2"/>
  <c r="W660" i="2"/>
  <c r="Y660" i="2"/>
  <c r="G661" i="2"/>
  <c r="I661" i="2"/>
  <c r="K661" i="2"/>
  <c r="M661" i="2"/>
  <c r="O661" i="2"/>
  <c r="Q661" i="2"/>
  <c r="S661" i="2"/>
  <c r="U661" i="2"/>
  <c r="W661" i="2"/>
  <c r="Y661" i="2"/>
  <c r="G665" i="2"/>
  <c r="I665" i="2"/>
  <c r="K665" i="2"/>
  <c r="M665" i="2"/>
  <c r="O665" i="2"/>
  <c r="Q665" i="2"/>
  <c r="S665" i="2"/>
  <c r="U665" i="2"/>
  <c r="W665" i="2"/>
  <c r="Y665" i="2"/>
  <c r="G666" i="2"/>
  <c r="I666" i="2"/>
  <c r="K666" i="2"/>
  <c r="M666" i="2"/>
  <c r="O666" i="2"/>
  <c r="Q666" i="2"/>
  <c r="S666" i="2"/>
  <c r="U666" i="2"/>
  <c r="W666" i="2"/>
  <c r="Y666" i="2"/>
  <c r="G667" i="2"/>
  <c r="I667" i="2"/>
  <c r="K667" i="2"/>
  <c r="M667" i="2"/>
  <c r="O667" i="2"/>
  <c r="Q667" i="2"/>
  <c r="S667" i="2"/>
  <c r="U667" i="2"/>
  <c r="W667" i="2"/>
  <c r="Y667" i="2"/>
  <c r="G671" i="2"/>
  <c r="I671" i="2"/>
  <c r="K671" i="2"/>
  <c r="M671" i="2"/>
  <c r="O671" i="2"/>
  <c r="Q671" i="2"/>
  <c r="S671" i="2"/>
  <c r="U671" i="2"/>
  <c r="W671" i="2"/>
  <c r="Y671" i="2"/>
  <c r="G672" i="2"/>
  <c r="I672" i="2"/>
  <c r="K672" i="2"/>
  <c r="M672" i="2"/>
  <c r="O672" i="2"/>
  <c r="Q672" i="2"/>
  <c r="S672" i="2"/>
  <c r="U672" i="2"/>
  <c r="W672" i="2"/>
  <c r="Y672" i="2"/>
  <c r="G673" i="2"/>
  <c r="I673" i="2"/>
  <c r="K673" i="2"/>
  <c r="M673" i="2"/>
  <c r="O673" i="2"/>
  <c r="Q673" i="2"/>
  <c r="S673" i="2"/>
  <c r="U673" i="2"/>
  <c r="W673" i="2"/>
  <c r="Y673" i="2"/>
  <c r="G677" i="2"/>
  <c r="I677" i="2"/>
  <c r="K677" i="2"/>
  <c r="M677" i="2"/>
  <c r="O677" i="2"/>
  <c r="Q677" i="2"/>
  <c r="S677" i="2"/>
  <c r="U677" i="2"/>
  <c r="W677" i="2"/>
  <c r="Y677" i="2"/>
  <c r="G678" i="2"/>
  <c r="I678" i="2"/>
  <c r="K678" i="2"/>
  <c r="M678" i="2"/>
  <c r="O678" i="2"/>
  <c r="Q678" i="2"/>
  <c r="S678" i="2"/>
  <c r="U678" i="2"/>
  <c r="W678" i="2"/>
  <c r="Y678" i="2"/>
  <c r="G679" i="2"/>
  <c r="I679" i="2"/>
  <c r="K679" i="2"/>
  <c r="M679" i="2"/>
  <c r="O679" i="2"/>
  <c r="Q679" i="2"/>
  <c r="S679" i="2"/>
  <c r="U679" i="2"/>
  <c r="W679" i="2"/>
  <c r="Y679" i="2"/>
  <c r="G683" i="2"/>
  <c r="I683" i="2"/>
  <c r="K683" i="2"/>
  <c r="M683" i="2"/>
  <c r="O683" i="2"/>
  <c r="Q683" i="2"/>
  <c r="S683" i="2"/>
  <c r="U683" i="2"/>
  <c r="W683" i="2"/>
  <c r="Y683" i="2"/>
  <c r="G684" i="2"/>
  <c r="I684" i="2"/>
  <c r="K684" i="2"/>
  <c r="M684" i="2"/>
  <c r="O684" i="2"/>
  <c r="Q684" i="2"/>
  <c r="S684" i="2"/>
  <c r="U684" i="2"/>
  <c r="W684" i="2"/>
  <c r="Y684" i="2"/>
  <c r="G685" i="2"/>
  <c r="I685" i="2"/>
  <c r="K685" i="2"/>
  <c r="M685" i="2"/>
  <c r="O685" i="2"/>
  <c r="Q685" i="2"/>
  <c r="S685" i="2"/>
  <c r="U685" i="2"/>
  <c r="W685" i="2"/>
  <c r="Y685" i="2"/>
  <c r="G689" i="2"/>
  <c r="I689" i="2"/>
  <c r="K689" i="2"/>
  <c r="M689" i="2"/>
  <c r="O689" i="2"/>
  <c r="Q689" i="2"/>
  <c r="S689" i="2"/>
  <c r="U689" i="2"/>
  <c r="W689" i="2"/>
  <c r="Y689" i="2"/>
  <c r="G690" i="2"/>
  <c r="I690" i="2"/>
  <c r="K690" i="2"/>
  <c r="M690" i="2"/>
  <c r="O690" i="2"/>
  <c r="Q690" i="2"/>
  <c r="S690" i="2"/>
  <c r="U690" i="2"/>
  <c r="W690" i="2"/>
  <c r="Y690" i="2"/>
  <c r="G691" i="2"/>
  <c r="I691" i="2"/>
  <c r="K691" i="2"/>
  <c r="M691" i="2"/>
  <c r="O691" i="2"/>
  <c r="Q691" i="2"/>
  <c r="S691" i="2"/>
  <c r="U691" i="2"/>
  <c r="W691" i="2"/>
  <c r="Y691" i="2"/>
  <c r="G695" i="2"/>
  <c r="I695" i="2"/>
  <c r="K695" i="2"/>
  <c r="M695" i="2"/>
  <c r="O695" i="2"/>
  <c r="Q695" i="2"/>
  <c r="S695" i="2"/>
  <c r="U695" i="2"/>
  <c r="W695" i="2"/>
  <c r="Y695" i="2"/>
  <c r="G696" i="2"/>
  <c r="I696" i="2"/>
  <c r="K696" i="2"/>
  <c r="M696" i="2"/>
  <c r="O696" i="2"/>
  <c r="Q696" i="2"/>
  <c r="S696" i="2"/>
  <c r="U696" i="2"/>
  <c r="W696" i="2"/>
  <c r="Y696" i="2"/>
  <c r="G697" i="2"/>
  <c r="I697" i="2"/>
  <c r="K697" i="2"/>
  <c r="M697" i="2"/>
  <c r="O697" i="2"/>
  <c r="Q697" i="2"/>
  <c r="S697" i="2"/>
  <c r="U697" i="2"/>
  <c r="W697" i="2"/>
  <c r="Y697" i="2"/>
  <c r="G701" i="2"/>
  <c r="I701" i="2"/>
  <c r="K701" i="2"/>
  <c r="M701" i="2"/>
  <c r="O701" i="2"/>
  <c r="Q701" i="2"/>
  <c r="S701" i="2"/>
  <c r="U701" i="2"/>
  <c r="W701" i="2"/>
  <c r="Y701" i="2"/>
  <c r="G702" i="2"/>
  <c r="I702" i="2"/>
  <c r="K702" i="2"/>
  <c r="M702" i="2"/>
  <c r="O702" i="2"/>
  <c r="Q702" i="2"/>
  <c r="S702" i="2"/>
  <c r="U702" i="2"/>
  <c r="W702" i="2"/>
  <c r="Y702" i="2"/>
  <c r="G703" i="2"/>
  <c r="I703" i="2"/>
  <c r="K703" i="2"/>
  <c r="M703" i="2"/>
  <c r="O703" i="2"/>
  <c r="Q703" i="2"/>
  <c r="S703" i="2"/>
  <c r="U703" i="2"/>
  <c r="W703" i="2"/>
  <c r="Y703" i="2"/>
  <c r="G707" i="2"/>
  <c r="I707" i="2"/>
  <c r="K707" i="2"/>
  <c r="M707" i="2"/>
  <c r="O707" i="2"/>
  <c r="Q707" i="2"/>
  <c r="S707" i="2"/>
  <c r="U707" i="2"/>
  <c r="W707" i="2"/>
  <c r="Y707" i="2"/>
  <c r="G708" i="2"/>
  <c r="I708" i="2"/>
  <c r="K708" i="2"/>
  <c r="M708" i="2"/>
  <c r="O708" i="2"/>
  <c r="Q708" i="2"/>
  <c r="S708" i="2"/>
  <c r="U708" i="2"/>
  <c r="W708" i="2"/>
  <c r="Y708" i="2"/>
  <c r="G709" i="2"/>
  <c r="I709" i="2"/>
  <c r="K709" i="2"/>
  <c r="M709" i="2"/>
  <c r="O709" i="2"/>
  <c r="Q709" i="2"/>
  <c r="S709" i="2"/>
  <c r="U709" i="2"/>
  <c r="W709" i="2"/>
  <c r="Y709" i="2"/>
  <c r="G713" i="2"/>
  <c r="I713" i="2"/>
  <c r="K713" i="2"/>
  <c r="M713" i="2"/>
  <c r="O713" i="2"/>
  <c r="Q713" i="2"/>
  <c r="S713" i="2"/>
  <c r="U713" i="2"/>
  <c r="W713" i="2"/>
  <c r="Y713" i="2"/>
  <c r="G714" i="2"/>
  <c r="I714" i="2"/>
  <c r="K714" i="2"/>
  <c r="M714" i="2"/>
  <c r="O714" i="2"/>
  <c r="Q714" i="2"/>
  <c r="S714" i="2"/>
  <c r="U714" i="2"/>
  <c r="W714" i="2"/>
  <c r="Y714" i="2"/>
  <c r="G715" i="2"/>
  <c r="I715" i="2"/>
  <c r="K715" i="2"/>
  <c r="M715" i="2"/>
  <c r="O715" i="2"/>
  <c r="Q715" i="2"/>
  <c r="S715" i="2"/>
  <c r="U715" i="2"/>
  <c r="W715" i="2"/>
  <c r="Y715" i="2"/>
  <c r="G592" i="2"/>
  <c r="I592" i="2"/>
  <c r="K592" i="2"/>
  <c r="N592" i="2"/>
  <c r="P592" i="2"/>
  <c r="R592" i="2"/>
  <c r="T592" i="2"/>
  <c r="V592" i="2"/>
  <c r="X592" i="2"/>
  <c r="F593" i="2"/>
  <c r="H593" i="2"/>
  <c r="J593" i="2"/>
  <c r="L593" i="2"/>
  <c r="N593" i="2"/>
  <c r="Q593" i="2"/>
  <c r="S593" i="2"/>
  <c r="U593" i="2"/>
  <c r="X593" i="2"/>
  <c r="F594" i="2"/>
  <c r="H594" i="2"/>
  <c r="J594" i="2"/>
  <c r="L594" i="2"/>
  <c r="N594" i="2"/>
  <c r="P594" i="2"/>
  <c r="R594" i="2"/>
  <c r="T594" i="2"/>
  <c r="V594" i="2"/>
  <c r="X594" i="2"/>
  <c r="F598" i="2"/>
  <c r="H598" i="2"/>
  <c r="J598" i="2"/>
  <c r="L598" i="2"/>
  <c r="N598" i="2"/>
  <c r="P598" i="2"/>
  <c r="R598" i="2"/>
  <c r="T598" i="2"/>
  <c r="V598" i="2"/>
  <c r="X598" i="2"/>
  <c r="F599" i="2"/>
  <c r="H599" i="2"/>
  <c r="J599" i="2"/>
  <c r="L599" i="2"/>
  <c r="N599" i="2"/>
  <c r="P599" i="2"/>
  <c r="R599" i="2"/>
  <c r="T599" i="2"/>
  <c r="V599" i="2"/>
  <c r="X599" i="2"/>
  <c r="F600" i="2"/>
  <c r="H600" i="2"/>
  <c r="J600" i="2"/>
  <c r="L600" i="2"/>
  <c r="N600" i="2"/>
  <c r="P600" i="2"/>
  <c r="R600" i="2"/>
  <c r="T600" i="2"/>
  <c r="V600" i="2"/>
  <c r="X600" i="2"/>
  <c r="F604" i="2"/>
  <c r="H604" i="2"/>
  <c r="J604" i="2"/>
  <c r="L604" i="2"/>
  <c r="N604" i="2"/>
  <c r="P604" i="2"/>
  <c r="R604" i="2"/>
  <c r="T604" i="2"/>
  <c r="V604" i="2"/>
  <c r="X604" i="2"/>
  <c r="F605" i="2"/>
  <c r="H605" i="2"/>
  <c r="J605" i="2"/>
  <c r="L605" i="2"/>
  <c r="N605" i="2"/>
  <c r="P605" i="2"/>
  <c r="R605" i="2"/>
  <c r="T605" i="2"/>
  <c r="V605" i="2"/>
  <c r="X605" i="2"/>
  <c r="F606" i="2"/>
  <c r="H606" i="2"/>
  <c r="J606" i="2"/>
  <c r="L606" i="2"/>
  <c r="N606" i="2"/>
  <c r="P606" i="2"/>
  <c r="R606" i="2"/>
  <c r="T606" i="2"/>
  <c r="V606" i="2"/>
  <c r="X606" i="2"/>
  <c r="F610" i="2"/>
  <c r="H610" i="2"/>
  <c r="J610" i="2"/>
  <c r="L610" i="2"/>
  <c r="N610" i="2"/>
  <c r="P610" i="2"/>
  <c r="R610" i="2"/>
  <c r="T610" i="2"/>
  <c r="V610" i="2"/>
  <c r="X610" i="2"/>
  <c r="F611" i="2"/>
  <c r="H611" i="2"/>
  <c r="J611" i="2"/>
  <c r="L611" i="2"/>
  <c r="N611" i="2"/>
  <c r="P611" i="2"/>
  <c r="R611" i="2"/>
  <c r="T611" i="2"/>
  <c r="V611" i="2"/>
  <c r="X611" i="2"/>
  <c r="F612" i="2"/>
  <c r="H612" i="2"/>
  <c r="J612" i="2"/>
  <c r="L612" i="2"/>
  <c r="N612" i="2"/>
  <c r="P612" i="2"/>
  <c r="R612" i="2"/>
  <c r="T612" i="2"/>
  <c r="V612" i="2"/>
  <c r="X612" i="2"/>
  <c r="F537" i="2"/>
  <c r="H537" i="2"/>
  <c r="J537" i="2"/>
  <c r="L537" i="2"/>
  <c r="N537" i="2"/>
  <c r="P537" i="2"/>
  <c r="R537" i="2"/>
  <c r="T537" i="2"/>
  <c r="V537" i="2"/>
  <c r="X537" i="2"/>
  <c r="F538" i="2"/>
  <c r="H538" i="2"/>
  <c r="J538" i="2"/>
  <c r="L538" i="2"/>
  <c r="N538" i="2"/>
  <c r="P538" i="2"/>
  <c r="R538" i="2"/>
  <c r="T538" i="2"/>
  <c r="V538" i="2"/>
  <c r="X538" i="2"/>
  <c r="F539" i="2"/>
  <c r="H539" i="2"/>
  <c r="J539" i="2"/>
  <c r="L539" i="2"/>
  <c r="N539" i="2"/>
  <c r="P539" i="2"/>
  <c r="R539" i="2"/>
  <c r="T539" i="2"/>
  <c r="V539" i="2"/>
  <c r="X539" i="2"/>
  <c r="F543" i="2"/>
  <c r="H543" i="2"/>
  <c r="J543" i="2"/>
  <c r="L543" i="2"/>
  <c r="N543" i="2"/>
  <c r="P543" i="2"/>
  <c r="R543" i="2"/>
  <c r="T543" i="2"/>
  <c r="V543" i="2"/>
  <c r="X543" i="2"/>
  <c r="F544" i="2"/>
  <c r="H544" i="2"/>
  <c r="J544" i="2"/>
  <c r="L544" i="2"/>
  <c r="N544" i="2"/>
  <c r="P544" i="2"/>
  <c r="R544" i="2"/>
  <c r="T544" i="2"/>
  <c r="V544" i="2"/>
  <c r="X544" i="2"/>
  <c r="F545" i="2"/>
  <c r="H545" i="2"/>
  <c r="J545" i="2"/>
  <c r="L545" i="2"/>
  <c r="N545" i="2"/>
  <c r="P545" i="2"/>
  <c r="R545" i="2"/>
  <c r="T545" i="2"/>
  <c r="V545" i="2"/>
  <c r="X545" i="2"/>
  <c r="F549" i="2"/>
  <c r="H549" i="2"/>
  <c r="J549" i="2"/>
  <c r="L549" i="2"/>
  <c r="N549" i="2"/>
  <c r="P549" i="2"/>
  <c r="R549" i="2"/>
  <c r="T549" i="2"/>
  <c r="V549" i="2"/>
  <c r="X549" i="2"/>
  <c r="F550" i="2"/>
  <c r="H550" i="2"/>
  <c r="J550" i="2"/>
  <c r="L550" i="2"/>
  <c r="N550" i="2"/>
  <c r="P550" i="2"/>
  <c r="R550" i="2"/>
  <c r="T550" i="2"/>
  <c r="V550" i="2"/>
  <c r="X550" i="2"/>
  <c r="F551" i="2"/>
  <c r="H551" i="2"/>
  <c r="J551" i="2"/>
  <c r="L551" i="2"/>
  <c r="N551" i="2"/>
  <c r="P551" i="2"/>
  <c r="R551" i="2"/>
  <c r="T551" i="2"/>
  <c r="V551" i="2"/>
  <c r="X551" i="2"/>
  <c r="F555" i="2"/>
  <c r="H555" i="2"/>
  <c r="J555" i="2"/>
  <c r="L555" i="2"/>
  <c r="N555" i="2"/>
  <c r="P555" i="2"/>
  <c r="R555" i="2"/>
  <c r="T555" i="2"/>
  <c r="V555" i="2"/>
  <c r="X555" i="2"/>
  <c r="F556" i="2"/>
  <c r="H556" i="2"/>
  <c r="J556" i="2"/>
  <c r="L556" i="2"/>
  <c r="N556" i="2"/>
  <c r="P556" i="2"/>
  <c r="R556" i="2"/>
  <c r="T556" i="2"/>
  <c r="V556" i="2"/>
  <c r="X556" i="2"/>
  <c r="F557" i="2"/>
  <c r="H557" i="2"/>
  <c r="J557" i="2"/>
  <c r="L557" i="2"/>
  <c r="N557" i="2"/>
  <c r="P557" i="2"/>
  <c r="R557" i="2"/>
  <c r="T557" i="2"/>
  <c r="V557" i="2"/>
  <c r="X557" i="2"/>
  <c r="F561" i="2"/>
  <c r="H561" i="2"/>
  <c r="J561" i="2"/>
  <c r="L561" i="2"/>
  <c r="N561" i="2"/>
  <c r="P561" i="2"/>
  <c r="R561" i="2"/>
  <c r="T561" i="2"/>
  <c r="V561" i="2"/>
  <c r="X561" i="2"/>
  <c r="F562" i="2"/>
  <c r="H562" i="2"/>
  <c r="J562" i="2"/>
  <c r="L562" i="2"/>
  <c r="N562" i="2"/>
  <c r="P562" i="2"/>
  <c r="R562" i="2"/>
  <c r="T562" i="2"/>
  <c r="V562" i="2"/>
  <c r="X562" i="2"/>
  <c r="F563" i="2"/>
  <c r="H563" i="2"/>
  <c r="J563" i="2"/>
  <c r="L563" i="2"/>
  <c r="N563" i="2"/>
  <c r="P563" i="2"/>
  <c r="R563" i="2"/>
  <c r="T563" i="2"/>
  <c r="V563" i="2"/>
  <c r="X563" i="2"/>
  <c r="F567" i="2"/>
  <c r="H567" i="2"/>
  <c r="J567" i="2"/>
  <c r="L567" i="2"/>
  <c r="N567" i="2"/>
  <c r="P567" i="2"/>
  <c r="R567" i="2"/>
  <c r="T567" i="2"/>
  <c r="V567" i="2"/>
  <c r="X567" i="2"/>
  <c r="F568" i="2"/>
  <c r="H568" i="2"/>
  <c r="J568" i="2"/>
  <c r="L568" i="2"/>
  <c r="N568" i="2"/>
  <c r="P568" i="2"/>
  <c r="R568" i="2"/>
  <c r="T568" i="2"/>
  <c r="V568" i="2"/>
  <c r="X568" i="2"/>
  <c r="F569" i="2"/>
  <c r="H569" i="2"/>
  <c r="J569" i="2"/>
  <c r="L569" i="2"/>
  <c r="N569" i="2"/>
  <c r="P569" i="2"/>
  <c r="R569" i="2"/>
  <c r="T569" i="2"/>
  <c r="V569" i="2"/>
  <c r="X569" i="2"/>
  <c r="F573" i="2"/>
  <c r="H573" i="2"/>
  <c r="J573" i="2"/>
  <c r="L573" i="2"/>
  <c r="N573" i="2"/>
  <c r="P573" i="2"/>
  <c r="R573" i="2"/>
  <c r="T573" i="2"/>
  <c r="V573" i="2"/>
  <c r="X573" i="2"/>
  <c r="F574" i="2"/>
  <c r="H574" i="2"/>
  <c r="J574" i="2"/>
  <c r="L574" i="2"/>
  <c r="N574" i="2"/>
  <c r="P574" i="2"/>
  <c r="R574" i="2"/>
  <c r="T574" i="2"/>
  <c r="V574" i="2"/>
  <c r="X574" i="2"/>
  <c r="F575" i="2"/>
  <c r="H575" i="2"/>
  <c r="J575" i="2"/>
  <c r="L575" i="2"/>
  <c r="N575" i="2"/>
  <c r="P575" i="2"/>
  <c r="R575" i="2"/>
  <c r="T575" i="2"/>
  <c r="V575" i="2"/>
  <c r="X575" i="2"/>
  <c r="F579" i="2"/>
  <c r="H579" i="2"/>
  <c r="J579" i="2"/>
  <c r="L579" i="2"/>
  <c r="N579" i="2"/>
  <c r="P579" i="2"/>
  <c r="R579" i="2"/>
  <c r="T579" i="2"/>
  <c r="V579" i="2"/>
  <c r="X579" i="2"/>
  <c r="F580" i="2"/>
  <c r="H580" i="2"/>
  <c r="J580" i="2"/>
  <c r="L580" i="2"/>
  <c r="N580" i="2"/>
  <c r="P580" i="2"/>
  <c r="R580" i="2"/>
  <c r="T580" i="2"/>
  <c r="V580" i="2"/>
  <c r="X580" i="2"/>
  <c r="F581" i="2"/>
  <c r="H581" i="2"/>
  <c r="J581" i="2"/>
  <c r="L581" i="2"/>
  <c r="N581" i="2"/>
  <c r="P581" i="2"/>
  <c r="R581" i="2"/>
  <c r="T581" i="2"/>
  <c r="V581" i="2"/>
  <c r="X581" i="2"/>
  <c r="F500" i="2"/>
  <c r="H500" i="2"/>
  <c r="J500" i="2"/>
  <c r="L500" i="2"/>
  <c r="N500" i="2"/>
  <c r="P500" i="2"/>
  <c r="S500" i="2"/>
  <c r="U500" i="2"/>
  <c r="W500" i="2"/>
  <c r="Y500" i="2"/>
  <c r="G501" i="2"/>
  <c r="I501" i="2"/>
  <c r="K501" i="2"/>
  <c r="M501" i="2"/>
  <c r="O501" i="2"/>
  <c r="Q501" i="2"/>
  <c r="T501" i="2"/>
  <c r="V501" i="2"/>
  <c r="X501" i="2"/>
  <c r="F502" i="2"/>
  <c r="H502" i="2"/>
  <c r="J502" i="2"/>
  <c r="L502" i="2"/>
  <c r="N502" i="2"/>
  <c r="P502" i="2"/>
  <c r="S502" i="2"/>
  <c r="U502" i="2"/>
  <c r="W502" i="2"/>
  <c r="Y502" i="2"/>
  <c r="G506" i="2"/>
  <c r="I506" i="2"/>
  <c r="K506" i="2"/>
  <c r="M506" i="2"/>
  <c r="O506" i="2"/>
  <c r="Q506" i="2"/>
  <c r="S506" i="2"/>
  <c r="U506" i="2"/>
  <c r="W506" i="2"/>
  <c r="Y506" i="2"/>
  <c r="G507" i="2"/>
  <c r="I507" i="2"/>
  <c r="K507" i="2"/>
  <c r="M507" i="2"/>
  <c r="O507" i="2"/>
  <c r="Q507" i="2"/>
  <c r="S507" i="2"/>
  <c r="U507" i="2"/>
  <c r="W507" i="2"/>
  <c r="Y507" i="2"/>
  <c r="G508" i="2"/>
  <c r="I508" i="2"/>
  <c r="K508" i="2"/>
  <c r="M508" i="2"/>
  <c r="O508" i="2"/>
  <c r="Q508" i="2"/>
  <c r="S508" i="2"/>
  <c r="U508" i="2"/>
  <c r="W508" i="2"/>
  <c r="Y508" i="2"/>
  <c r="G512" i="2"/>
  <c r="I512" i="2"/>
  <c r="K512" i="2"/>
  <c r="M512" i="2"/>
  <c r="O512" i="2"/>
  <c r="Q512" i="2"/>
  <c r="S512" i="2"/>
  <c r="U512" i="2"/>
  <c r="W512" i="2"/>
  <c r="Y512" i="2"/>
  <c r="G513" i="2"/>
  <c r="I513" i="2"/>
  <c r="K513" i="2"/>
  <c r="M513" i="2"/>
  <c r="O513" i="2"/>
  <c r="Q513" i="2"/>
  <c r="S513" i="2"/>
  <c r="U513" i="2"/>
  <c r="W513" i="2"/>
  <c r="Y513" i="2"/>
  <c r="G514" i="2"/>
  <c r="I514" i="2"/>
  <c r="K514" i="2"/>
  <c r="M514" i="2"/>
  <c r="O514" i="2"/>
  <c r="Q514" i="2"/>
  <c r="S514" i="2"/>
  <c r="U514" i="2"/>
  <c r="W514" i="2"/>
  <c r="Y514" i="2"/>
  <c r="G518" i="2"/>
  <c r="I518" i="2"/>
  <c r="K518" i="2"/>
  <c r="M518" i="2"/>
  <c r="O518" i="2"/>
  <c r="Q518" i="2"/>
  <c r="S518" i="2"/>
  <c r="U518" i="2"/>
  <c r="W518" i="2"/>
  <c r="Y518" i="2"/>
  <c r="G519" i="2"/>
  <c r="I519" i="2"/>
  <c r="K519" i="2"/>
  <c r="M519" i="2"/>
  <c r="O519" i="2"/>
  <c r="Q519" i="2"/>
  <c r="S519" i="2"/>
  <c r="U519" i="2"/>
  <c r="W519" i="2"/>
  <c r="Y519" i="2"/>
  <c r="G520" i="2"/>
  <c r="I520" i="2"/>
  <c r="K520" i="2"/>
  <c r="M520" i="2"/>
  <c r="O520" i="2"/>
  <c r="Q520" i="2"/>
  <c r="S520" i="2"/>
  <c r="U520" i="2"/>
  <c r="W520" i="2"/>
  <c r="Y520" i="2"/>
  <c r="G524" i="2"/>
  <c r="I524" i="2"/>
  <c r="K524" i="2"/>
  <c r="M524" i="2"/>
  <c r="O524" i="2"/>
  <c r="Q524" i="2"/>
  <c r="S524" i="2"/>
  <c r="U524" i="2"/>
  <c r="W524" i="2"/>
  <c r="Y524" i="2"/>
  <c r="G525" i="2"/>
  <c r="I525" i="2"/>
  <c r="K525" i="2"/>
  <c r="M525" i="2"/>
  <c r="O525" i="2"/>
  <c r="Q525" i="2"/>
  <c r="S525" i="2"/>
  <c r="U525" i="2"/>
  <c r="W525" i="2"/>
  <c r="Y525" i="2"/>
  <c r="G526" i="2"/>
  <c r="I526" i="2"/>
  <c r="K526" i="2"/>
  <c r="M526" i="2"/>
  <c r="O526" i="2"/>
  <c r="Q526" i="2"/>
  <c r="S526" i="2"/>
  <c r="U526" i="2"/>
  <c r="W526" i="2"/>
  <c r="Y526" i="2"/>
  <c r="G469" i="2"/>
  <c r="I469" i="2"/>
  <c r="K469" i="2"/>
  <c r="M469" i="2"/>
  <c r="O469" i="2"/>
  <c r="R469" i="2"/>
  <c r="T469" i="2"/>
  <c r="V469" i="2"/>
  <c r="X469" i="2"/>
  <c r="F470" i="2"/>
  <c r="H470" i="2"/>
  <c r="J470" i="2"/>
  <c r="L470" i="2"/>
  <c r="N470" i="2"/>
  <c r="P470" i="2"/>
  <c r="S470" i="2"/>
  <c r="U470" i="2"/>
  <c r="W470" i="2"/>
  <c r="Y470" i="2"/>
  <c r="G471" i="2"/>
  <c r="I471" i="2"/>
  <c r="K471" i="2"/>
  <c r="M471" i="2"/>
  <c r="O471" i="2"/>
  <c r="R471" i="2"/>
  <c r="T471" i="2"/>
  <c r="V471" i="2"/>
  <c r="X471" i="2"/>
  <c r="G475" i="2"/>
  <c r="I475" i="2"/>
  <c r="K475" i="2"/>
  <c r="M475" i="2"/>
  <c r="O475" i="2"/>
  <c r="Q475" i="2"/>
  <c r="S475" i="2"/>
  <c r="U475" i="2"/>
  <c r="W475" i="2"/>
  <c r="Y475" i="2"/>
  <c r="G476" i="2"/>
  <c r="I476" i="2"/>
  <c r="K476" i="2"/>
  <c r="M476" i="2"/>
  <c r="O476" i="2"/>
  <c r="Q476" i="2"/>
  <c r="S476" i="2"/>
  <c r="U476" i="2"/>
  <c r="W476" i="2"/>
  <c r="Y476" i="2"/>
  <c r="G477" i="2"/>
  <c r="I477" i="2"/>
  <c r="K477" i="2"/>
  <c r="M477" i="2"/>
  <c r="O477" i="2"/>
  <c r="Q477" i="2"/>
  <c r="S477" i="2"/>
  <c r="U477" i="2"/>
  <c r="W477" i="2"/>
  <c r="Y477" i="2"/>
  <c r="F481" i="2"/>
  <c r="H481" i="2"/>
  <c r="J481" i="2"/>
  <c r="L481" i="2"/>
  <c r="N481" i="2"/>
  <c r="P481" i="2"/>
  <c r="R481" i="2"/>
  <c r="T481" i="2"/>
  <c r="V481" i="2"/>
  <c r="X481" i="2"/>
  <c r="F482" i="2"/>
  <c r="H482" i="2"/>
  <c r="J482" i="2"/>
  <c r="L482" i="2"/>
  <c r="N482" i="2"/>
  <c r="P482" i="2"/>
  <c r="R482" i="2"/>
  <c r="T482" i="2"/>
  <c r="V482" i="2"/>
  <c r="X482" i="2"/>
  <c r="F483" i="2"/>
  <c r="H483" i="2"/>
  <c r="J483" i="2"/>
  <c r="L483" i="2"/>
  <c r="N483" i="2"/>
  <c r="P483" i="2"/>
  <c r="R483" i="2"/>
  <c r="T483" i="2"/>
  <c r="V483" i="2"/>
  <c r="X483" i="2"/>
  <c r="F487" i="2"/>
  <c r="H487" i="2"/>
  <c r="J487" i="2"/>
  <c r="L487" i="2"/>
  <c r="N487" i="2"/>
  <c r="P487" i="2"/>
  <c r="R487" i="2"/>
  <c r="T487" i="2"/>
  <c r="V487" i="2"/>
  <c r="X487" i="2"/>
  <c r="F488" i="2"/>
  <c r="H488" i="2"/>
  <c r="J488" i="2"/>
  <c r="L488" i="2"/>
  <c r="N488" i="2"/>
  <c r="P488" i="2"/>
  <c r="R488" i="2"/>
  <c r="T488" i="2"/>
  <c r="V488" i="2"/>
  <c r="X488" i="2"/>
  <c r="F489" i="2"/>
  <c r="H489" i="2"/>
  <c r="J489" i="2"/>
  <c r="L489" i="2"/>
  <c r="N489" i="2"/>
  <c r="P489" i="2"/>
  <c r="R489" i="2"/>
  <c r="T489" i="2"/>
  <c r="V489" i="2"/>
  <c r="X489" i="2"/>
  <c r="F348" i="2"/>
  <c r="H348" i="2"/>
  <c r="J348" i="2"/>
  <c r="L348" i="2"/>
  <c r="N348" i="2"/>
  <c r="P348" i="2"/>
  <c r="R348" i="2"/>
  <c r="T348" i="2"/>
  <c r="V348" i="2"/>
  <c r="X348" i="2"/>
  <c r="F349" i="2"/>
  <c r="H349" i="2"/>
  <c r="J349" i="2"/>
  <c r="L349" i="2"/>
  <c r="N349" i="2"/>
  <c r="P349" i="2"/>
  <c r="R349" i="2"/>
  <c r="T349" i="2"/>
  <c r="V349" i="2"/>
  <c r="X349" i="2"/>
  <c r="F350" i="2"/>
  <c r="H350" i="2"/>
  <c r="J350" i="2"/>
  <c r="L350" i="2"/>
  <c r="N350" i="2"/>
  <c r="P350" i="2"/>
  <c r="R350" i="2"/>
  <c r="T350" i="2"/>
  <c r="V350" i="2"/>
  <c r="X350" i="2"/>
  <c r="F354" i="2"/>
  <c r="H354" i="2"/>
  <c r="J354" i="2"/>
  <c r="L354" i="2"/>
  <c r="N354" i="2"/>
  <c r="P354" i="2"/>
  <c r="R354" i="2"/>
  <c r="T354" i="2"/>
  <c r="V354" i="2"/>
  <c r="X354" i="2"/>
  <c r="F355" i="2"/>
  <c r="H355" i="2"/>
  <c r="J355" i="2"/>
  <c r="L355" i="2"/>
  <c r="N355" i="2"/>
  <c r="P355" i="2"/>
  <c r="R355" i="2"/>
  <c r="T355" i="2"/>
  <c r="V355" i="2"/>
  <c r="X355" i="2"/>
  <c r="F356" i="2"/>
  <c r="H356" i="2"/>
  <c r="J356" i="2"/>
  <c r="L356" i="2"/>
  <c r="N356" i="2"/>
  <c r="P356" i="2"/>
  <c r="R356" i="2"/>
  <c r="T356" i="2"/>
  <c r="V356" i="2"/>
  <c r="X356" i="2"/>
  <c r="F360" i="2"/>
  <c r="H360" i="2"/>
  <c r="J360" i="2"/>
  <c r="L360" i="2"/>
  <c r="N360" i="2"/>
  <c r="P360" i="2"/>
  <c r="R360" i="2"/>
  <c r="T360" i="2"/>
  <c r="V360" i="2"/>
  <c r="X360" i="2"/>
  <c r="F361" i="2"/>
  <c r="H361" i="2"/>
  <c r="J361" i="2"/>
  <c r="L361" i="2"/>
  <c r="N361" i="2"/>
  <c r="P361" i="2"/>
  <c r="R361" i="2"/>
  <c r="T361" i="2"/>
  <c r="V361" i="2"/>
  <c r="X361" i="2"/>
  <c r="F362" i="2"/>
  <c r="H362" i="2"/>
  <c r="J362" i="2"/>
  <c r="L362" i="2"/>
  <c r="N362" i="2"/>
  <c r="P362" i="2"/>
  <c r="R362" i="2"/>
  <c r="T362" i="2"/>
  <c r="V362" i="2"/>
  <c r="X362" i="2"/>
  <c r="F366" i="2"/>
  <c r="H366" i="2"/>
  <c r="J366" i="2"/>
  <c r="L366" i="2"/>
  <c r="N366" i="2"/>
  <c r="P366" i="2"/>
  <c r="R366" i="2"/>
  <c r="T366" i="2"/>
  <c r="V366" i="2"/>
  <c r="X366" i="2"/>
  <c r="F367" i="2"/>
  <c r="H367" i="2"/>
  <c r="J367" i="2"/>
  <c r="L367" i="2"/>
  <c r="N367" i="2"/>
  <c r="P367" i="2"/>
  <c r="R367" i="2"/>
  <c r="T367" i="2"/>
  <c r="V367" i="2"/>
  <c r="X367" i="2"/>
  <c r="F368" i="2"/>
  <c r="H368" i="2"/>
  <c r="J368" i="2"/>
  <c r="L368" i="2"/>
  <c r="N368" i="2"/>
  <c r="P368" i="2"/>
  <c r="R368" i="2"/>
  <c r="T368" i="2"/>
  <c r="V368" i="2"/>
  <c r="X368" i="2"/>
  <c r="F372" i="2"/>
  <c r="H372" i="2"/>
  <c r="J372" i="2"/>
  <c r="L372" i="2"/>
  <c r="N372" i="2"/>
  <c r="P372" i="2"/>
  <c r="R372" i="2"/>
  <c r="T372" i="2"/>
  <c r="V372" i="2"/>
  <c r="X372" i="2"/>
  <c r="F373" i="2"/>
  <c r="H373" i="2"/>
  <c r="J373" i="2"/>
  <c r="L373" i="2"/>
  <c r="N373" i="2"/>
  <c r="P373" i="2"/>
  <c r="R373" i="2"/>
  <c r="T373" i="2"/>
  <c r="V373" i="2"/>
  <c r="X373" i="2"/>
  <c r="F374" i="2"/>
  <c r="H374" i="2"/>
  <c r="J374" i="2"/>
  <c r="L374" i="2"/>
  <c r="N374" i="2"/>
  <c r="P374" i="2"/>
  <c r="R374" i="2"/>
  <c r="T374" i="2"/>
  <c r="V374" i="2"/>
  <c r="X374" i="2"/>
  <c r="F378" i="2"/>
  <c r="H378" i="2"/>
  <c r="J378" i="2"/>
  <c r="L378" i="2"/>
  <c r="N378" i="2"/>
  <c r="P378" i="2"/>
  <c r="R378" i="2"/>
  <c r="T378" i="2"/>
  <c r="G598" i="2"/>
  <c r="I598" i="2"/>
  <c r="K598" i="2"/>
  <c r="M598" i="2"/>
  <c r="O598" i="2"/>
  <c r="Q598" i="2"/>
  <c r="S598" i="2"/>
  <c r="U598" i="2"/>
  <c r="W598" i="2"/>
  <c r="Y598" i="2"/>
  <c r="G599" i="2"/>
  <c r="I599" i="2"/>
  <c r="K599" i="2"/>
  <c r="M599" i="2"/>
  <c r="O599" i="2"/>
  <c r="Q599" i="2"/>
  <c r="S599" i="2"/>
  <c r="U599" i="2"/>
  <c r="W599" i="2"/>
  <c r="Y599" i="2"/>
  <c r="G600" i="2"/>
  <c r="I600" i="2"/>
  <c r="K600" i="2"/>
  <c r="M600" i="2"/>
  <c r="O600" i="2"/>
  <c r="Q600" i="2"/>
  <c r="S600" i="2"/>
  <c r="U600" i="2"/>
  <c r="W600" i="2"/>
  <c r="Y600" i="2"/>
  <c r="G604" i="2"/>
  <c r="I604" i="2"/>
  <c r="K604" i="2"/>
  <c r="M604" i="2"/>
  <c r="O604" i="2"/>
  <c r="Q604" i="2"/>
  <c r="S604" i="2"/>
  <c r="U604" i="2"/>
  <c r="W604" i="2"/>
  <c r="Y604" i="2"/>
  <c r="G605" i="2"/>
  <c r="I605" i="2"/>
  <c r="K605" i="2"/>
  <c r="M605" i="2"/>
  <c r="O605" i="2"/>
  <c r="Q605" i="2"/>
  <c r="S605" i="2"/>
  <c r="U605" i="2"/>
  <c r="W605" i="2"/>
  <c r="Y605" i="2"/>
  <c r="G606" i="2"/>
  <c r="I606" i="2"/>
  <c r="K606" i="2"/>
  <c r="M606" i="2"/>
  <c r="O606" i="2"/>
  <c r="Q606" i="2"/>
  <c r="S606" i="2"/>
  <c r="U606" i="2"/>
  <c r="W606" i="2"/>
  <c r="Y606" i="2"/>
  <c r="G610" i="2"/>
  <c r="I610" i="2"/>
  <c r="K610" i="2"/>
  <c r="M610" i="2"/>
  <c r="O610" i="2"/>
  <c r="Q610" i="2"/>
  <c r="S610" i="2"/>
  <c r="U610" i="2"/>
  <c r="W610" i="2"/>
  <c r="Y610" i="2"/>
  <c r="G611" i="2"/>
  <c r="I611" i="2"/>
  <c r="K611" i="2"/>
  <c r="M611" i="2"/>
  <c r="O611" i="2"/>
  <c r="Q611" i="2"/>
  <c r="S611" i="2"/>
  <c r="U611" i="2"/>
  <c r="W611" i="2"/>
  <c r="Y611" i="2"/>
  <c r="G612" i="2"/>
  <c r="I612" i="2"/>
  <c r="K612" i="2"/>
  <c r="M612" i="2"/>
  <c r="O612" i="2"/>
  <c r="Q612" i="2"/>
  <c r="S612" i="2"/>
  <c r="U612" i="2"/>
  <c r="W612" i="2"/>
  <c r="Y612" i="2"/>
  <c r="G537" i="2"/>
  <c r="I537" i="2"/>
  <c r="K537" i="2"/>
  <c r="M537" i="2"/>
  <c r="O537" i="2"/>
  <c r="Q537" i="2"/>
  <c r="S537" i="2"/>
  <c r="U537" i="2"/>
  <c r="W537" i="2"/>
  <c r="Y537" i="2"/>
  <c r="G538" i="2"/>
  <c r="I538" i="2"/>
  <c r="K538" i="2"/>
  <c r="M538" i="2"/>
  <c r="O538" i="2"/>
  <c r="Q538" i="2"/>
  <c r="S538" i="2"/>
  <c r="U538" i="2"/>
  <c r="W538" i="2"/>
  <c r="Y538" i="2"/>
  <c r="G539" i="2"/>
  <c r="I539" i="2"/>
  <c r="K539" i="2"/>
  <c r="M539" i="2"/>
  <c r="O539" i="2"/>
  <c r="Q539" i="2"/>
  <c r="S539" i="2"/>
  <c r="U539" i="2"/>
  <c r="W539" i="2"/>
  <c r="Y539" i="2"/>
  <c r="G543" i="2"/>
  <c r="I543" i="2"/>
  <c r="K543" i="2"/>
  <c r="M543" i="2"/>
  <c r="O543" i="2"/>
  <c r="Q543" i="2"/>
  <c r="S543" i="2"/>
  <c r="U543" i="2"/>
  <c r="W543" i="2"/>
  <c r="Y543" i="2"/>
  <c r="G544" i="2"/>
  <c r="I544" i="2"/>
  <c r="K544" i="2"/>
  <c r="M544" i="2"/>
  <c r="O544" i="2"/>
  <c r="Q544" i="2"/>
  <c r="S544" i="2"/>
  <c r="U544" i="2"/>
  <c r="W544" i="2"/>
  <c r="Y544" i="2"/>
  <c r="G545" i="2"/>
  <c r="I545" i="2"/>
  <c r="K545" i="2"/>
  <c r="M545" i="2"/>
  <c r="O545" i="2"/>
  <c r="Q545" i="2"/>
  <c r="S545" i="2"/>
  <c r="U545" i="2"/>
  <c r="W545" i="2"/>
  <c r="Y545" i="2"/>
  <c r="G549" i="2"/>
  <c r="I549" i="2"/>
  <c r="K549" i="2"/>
  <c r="M549" i="2"/>
  <c r="O549" i="2"/>
  <c r="Q549" i="2"/>
  <c r="S549" i="2"/>
  <c r="U549" i="2"/>
  <c r="W549" i="2"/>
  <c r="Y549" i="2"/>
  <c r="G550" i="2"/>
  <c r="I550" i="2"/>
  <c r="K550" i="2"/>
  <c r="M550" i="2"/>
  <c r="O550" i="2"/>
  <c r="Q550" i="2"/>
  <c r="S550" i="2"/>
  <c r="U550" i="2"/>
  <c r="W550" i="2"/>
  <c r="Y550" i="2"/>
  <c r="G551" i="2"/>
  <c r="I551" i="2"/>
  <c r="K551" i="2"/>
  <c r="M551" i="2"/>
  <c r="O551" i="2"/>
  <c r="Q551" i="2"/>
  <c r="S551" i="2"/>
  <c r="U551" i="2"/>
  <c r="W551" i="2"/>
  <c r="Y551" i="2"/>
  <c r="G555" i="2"/>
  <c r="I555" i="2"/>
  <c r="K555" i="2"/>
  <c r="M555" i="2"/>
  <c r="O555" i="2"/>
  <c r="Q555" i="2"/>
  <c r="S555" i="2"/>
  <c r="U555" i="2"/>
  <c r="W555" i="2"/>
  <c r="Y555" i="2"/>
  <c r="G556" i="2"/>
  <c r="I556" i="2"/>
  <c r="K556" i="2"/>
  <c r="M556" i="2"/>
  <c r="O556" i="2"/>
  <c r="Q556" i="2"/>
  <c r="S556" i="2"/>
  <c r="U556" i="2"/>
  <c r="W556" i="2"/>
  <c r="Y556" i="2"/>
  <c r="G557" i="2"/>
  <c r="I557" i="2"/>
  <c r="K557" i="2"/>
  <c r="M557" i="2"/>
  <c r="O557" i="2"/>
  <c r="Q557" i="2"/>
  <c r="S557" i="2"/>
  <c r="U557" i="2"/>
  <c r="W557" i="2"/>
  <c r="Y557" i="2"/>
  <c r="G561" i="2"/>
  <c r="I561" i="2"/>
  <c r="K561" i="2"/>
  <c r="M561" i="2"/>
  <c r="O561" i="2"/>
  <c r="Q561" i="2"/>
  <c r="S561" i="2"/>
  <c r="U561" i="2"/>
  <c r="W561" i="2"/>
  <c r="Y561" i="2"/>
  <c r="G562" i="2"/>
  <c r="I562" i="2"/>
  <c r="K562" i="2"/>
  <c r="M562" i="2"/>
  <c r="O562" i="2"/>
  <c r="Q562" i="2"/>
  <c r="S562" i="2"/>
  <c r="U562" i="2"/>
  <c r="W562" i="2"/>
  <c r="Y562" i="2"/>
  <c r="G563" i="2"/>
  <c r="I563" i="2"/>
  <c r="K563" i="2"/>
  <c r="M563" i="2"/>
  <c r="O563" i="2"/>
  <c r="Q563" i="2"/>
  <c r="S563" i="2"/>
  <c r="U563" i="2"/>
  <c r="W563" i="2"/>
  <c r="Y563" i="2"/>
  <c r="G567" i="2"/>
  <c r="I567" i="2"/>
  <c r="K567" i="2"/>
  <c r="M567" i="2"/>
  <c r="O567" i="2"/>
  <c r="Q567" i="2"/>
  <c r="S567" i="2"/>
  <c r="U567" i="2"/>
  <c r="W567" i="2"/>
  <c r="Y567" i="2"/>
  <c r="G568" i="2"/>
  <c r="I568" i="2"/>
  <c r="K568" i="2"/>
  <c r="M568" i="2"/>
  <c r="O568" i="2"/>
  <c r="Q568" i="2"/>
  <c r="S568" i="2"/>
  <c r="U568" i="2"/>
  <c r="W568" i="2"/>
  <c r="Y568" i="2"/>
  <c r="G569" i="2"/>
  <c r="I569" i="2"/>
  <c r="K569" i="2"/>
  <c r="M569" i="2"/>
  <c r="O569" i="2"/>
  <c r="Q569" i="2"/>
  <c r="S569" i="2"/>
  <c r="U569" i="2"/>
  <c r="W569" i="2"/>
  <c r="Y569" i="2"/>
  <c r="G573" i="2"/>
  <c r="I573" i="2"/>
  <c r="K573" i="2"/>
  <c r="M573" i="2"/>
  <c r="O573" i="2"/>
  <c r="Q573" i="2"/>
  <c r="S573" i="2"/>
  <c r="U573" i="2"/>
  <c r="W573" i="2"/>
  <c r="Y573" i="2"/>
  <c r="G574" i="2"/>
  <c r="I574" i="2"/>
  <c r="K574" i="2"/>
  <c r="M574" i="2"/>
  <c r="O574" i="2"/>
  <c r="Q574" i="2"/>
  <c r="S574" i="2"/>
  <c r="U574" i="2"/>
  <c r="W574" i="2"/>
  <c r="Y574" i="2"/>
  <c r="G575" i="2"/>
  <c r="I575" i="2"/>
  <c r="K575" i="2"/>
  <c r="M575" i="2"/>
  <c r="O575" i="2"/>
  <c r="Q575" i="2"/>
  <c r="S575" i="2"/>
  <c r="U575" i="2"/>
  <c r="W575" i="2"/>
  <c r="Y575" i="2"/>
  <c r="G579" i="2"/>
  <c r="I579" i="2"/>
  <c r="K579" i="2"/>
  <c r="M579" i="2"/>
  <c r="O579" i="2"/>
  <c r="Q579" i="2"/>
  <c r="S579" i="2"/>
  <c r="U579" i="2"/>
  <c r="W579" i="2"/>
  <c r="Y579" i="2"/>
  <c r="G580" i="2"/>
  <c r="I580" i="2"/>
  <c r="K580" i="2"/>
  <c r="M580" i="2"/>
  <c r="O580" i="2"/>
  <c r="Q580" i="2"/>
  <c r="S580" i="2"/>
  <c r="U580" i="2"/>
  <c r="W580" i="2"/>
  <c r="Y580" i="2"/>
  <c r="G581" i="2"/>
  <c r="I581" i="2"/>
  <c r="K581" i="2"/>
  <c r="M581" i="2"/>
  <c r="O581" i="2"/>
  <c r="Q581" i="2"/>
  <c r="S581" i="2"/>
  <c r="U581" i="2"/>
  <c r="W581" i="2"/>
  <c r="Y581" i="2"/>
  <c r="G500" i="2"/>
  <c r="I500" i="2"/>
  <c r="K500" i="2"/>
  <c r="M500" i="2"/>
  <c r="O500" i="2"/>
  <c r="Q500" i="2"/>
  <c r="T500" i="2"/>
  <c r="V500" i="2"/>
  <c r="X500" i="2"/>
  <c r="F501" i="2"/>
  <c r="H501" i="2"/>
  <c r="J501" i="2"/>
  <c r="L501" i="2"/>
  <c r="N501" i="2"/>
  <c r="P501" i="2"/>
  <c r="S501" i="2"/>
  <c r="U501" i="2"/>
  <c r="W501" i="2"/>
  <c r="Y501" i="2"/>
  <c r="G502" i="2"/>
  <c r="I502" i="2"/>
  <c r="K502" i="2"/>
  <c r="M502" i="2"/>
  <c r="O502" i="2"/>
  <c r="Q502" i="2"/>
  <c r="T502" i="2"/>
  <c r="V502" i="2"/>
  <c r="X502" i="2"/>
  <c r="F506" i="2"/>
  <c r="H506" i="2"/>
  <c r="J506" i="2"/>
  <c r="L506" i="2"/>
  <c r="N506" i="2"/>
  <c r="P506" i="2"/>
  <c r="R506" i="2"/>
  <c r="T506" i="2"/>
  <c r="V506" i="2"/>
  <c r="X506" i="2"/>
  <c r="F507" i="2"/>
  <c r="H507" i="2"/>
  <c r="J507" i="2"/>
  <c r="L507" i="2"/>
  <c r="N507" i="2"/>
  <c r="P507" i="2"/>
  <c r="R507" i="2"/>
  <c r="T507" i="2"/>
  <c r="V507" i="2"/>
  <c r="X507" i="2"/>
  <c r="F508" i="2"/>
  <c r="H508" i="2"/>
  <c r="J508" i="2"/>
  <c r="L508" i="2"/>
  <c r="N508" i="2"/>
  <c r="P508" i="2"/>
  <c r="R508" i="2"/>
  <c r="T508" i="2"/>
  <c r="V508" i="2"/>
  <c r="X508" i="2"/>
  <c r="F512" i="2"/>
  <c r="H512" i="2"/>
  <c r="J512" i="2"/>
  <c r="L512" i="2"/>
  <c r="N512" i="2"/>
  <c r="P512" i="2"/>
  <c r="R512" i="2"/>
  <c r="T512" i="2"/>
  <c r="V512" i="2"/>
  <c r="X512" i="2"/>
  <c r="F513" i="2"/>
  <c r="H513" i="2"/>
  <c r="J513" i="2"/>
  <c r="L513" i="2"/>
  <c r="N513" i="2"/>
  <c r="P513" i="2"/>
  <c r="R513" i="2"/>
  <c r="T513" i="2"/>
  <c r="V513" i="2"/>
  <c r="X513" i="2"/>
  <c r="F514" i="2"/>
  <c r="H514" i="2"/>
  <c r="J514" i="2"/>
  <c r="L514" i="2"/>
  <c r="N514" i="2"/>
  <c r="P514" i="2"/>
  <c r="R514" i="2"/>
  <c r="T514" i="2"/>
  <c r="V514" i="2"/>
  <c r="X514" i="2"/>
  <c r="F518" i="2"/>
  <c r="H518" i="2"/>
  <c r="J518" i="2"/>
  <c r="L518" i="2"/>
  <c r="N518" i="2"/>
  <c r="P518" i="2"/>
  <c r="R518" i="2"/>
  <c r="T518" i="2"/>
  <c r="V518" i="2"/>
  <c r="X518" i="2"/>
  <c r="F519" i="2"/>
  <c r="H519" i="2"/>
  <c r="J519" i="2"/>
  <c r="L519" i="2"/>
  <c r="N519" i="2"/>
  <c r="P519" i="2"/>
  <c r="R519" i="2"/>
  <c r="T519" i="2"/>
  <c r="V519" i="2"/>
  <c r="X519" i="2"/>
  <c r="F520" i="2"/>
  <c r="H520" i="2"/>
  <c r="J520" i="2"/>
  <c r="L520" i="2"/>
  <c r="N520" i="2"/>
  <c r="P520" i="2"/>
  <c r="R520" i="2"/>
  <c r="T520" i="2"/>
  <c r="V520" i="2"/>
  <c r="X520" i="2"/>
  <c r="F524" i="2"/>
  <c r="H524" i="2"/>
  <c r="J524" i="2"/>
  <c r="L524" i="2"/>
  <c r="N524" i="2"/>
  <c r="P524" i="2"/>
  <c r="R524" i="2"/>
  <c r="T524" i="2"/>
  <c r="V524" i="2"/>
  <c r="X524" i="2"/>
  <c r="F525" i="2"/>
  <c r="H525" i="2"/>
  <c r="J525" i="2"/>
  <c r="L525" i="2"/>
  <c r="N525" i="2"/>
  <c r="P525" i="2"/>
  <c r="R525" i="2"/>
  <c r="T525" i="2"/>
  <c r="V525" i="2"/>
  <c r="X525" i="2"/>
  <c r="F526" i="2"/>
  <c r="H526" i="2"/>
  <c r="J526" i="2"/>
  <c r="L526" i="2"/>
  <c r="N526" i="2"/>
  <c r="P526" i="2"/>
  <c r="R526" i="2"/>
  <c r="T526" i="2"/>
  <c r="V526" i="2"/>
  <c r="X526" i="2"/>
  <c r="F469" i="2"/>
  <c r="H469" i="2"/>
  <c r="J469" i="2"/>
  <c r="L469" i="2"/>
  <c r="N469" i="2"/>
  <c r="P469" i="2"/>
  <c r="S469" i="2"/>
  <c r="U469" i="2"/>
  <c r="W469" i="2"/>
  <c r="Y469" i="2"/>
  <c r="G470" i="2"/>
  <c r="I470" i="2"/>
  <c r="K470" i="2"/>
  <c r="M470" i="2"/>
  <c r="O470" i="2"/>
  <c r="R470" i="2"/>
  <c r="T470" i="2"/>
  <c r="V470" i="2"/>
  <c r="X470" i="2"/>
  <c r="F471" i="2"/>
  <c r="H471" i="2"/>
  <c r="J471" i="2"/>
  <c r="L471" i="2"/>
  <c r="N471" i="2"/>
  <c r="P471" i="2"/>
  <c r="S471" i="2"/>
  <c r="U471" i="2"/>
  <c r="W471" i="2"/>
  <c r="Y471" i="2"/>
  <c r="F475" i="2"/>
  <c r="H475" i="2"/>
  <c r="J475" i="2"/>
  <c r="L475" i="2"/>
  <c r="N475" i="2"/>
  <c r="P475" i="2"/>
  <c r="R475" i="2"/>
  <c r="T475" i="2"/>
  <c r="V475" i="2"/>
  <c r="X475" i="2"/>
  <c r="F476" i="2"/>
  <c r="H476" i="2"/>
  <c r="J476" i="2"/>
  <c r="L476" i="2"/>
  <c r="N476" i="2"/>
  <c r="P476" i="2"/>
  <c r="R476" i="2"/>
  <c r="T476" i="2"/>
  <c r="V476" i="2"/>
  <c r="X476" i="2"/>
  <c r="F477" i="2"/>
  <c r="H477" i="2"/>
  <c r="J477" i="2"/>
  <c r="L477" i="2"/>
  <c r="N477" i="2"/>
  <c r="P477" i="2"/>
  <c r="R477" i="2"/>
  <c r="T477" i="2"/>
  <c r="V477" i="2"/>
  <c r="X477" i="2"/>
  <c r="G481" i="2"/>
  <c r="I481" i="2"/>
  <c r="K481" i="2"/>
  <c r="M481" i="2"/>
  <c r="O481" i="2"/>
  <c r="Q481" i="2"/>
  <c r="S481" i="2"/>
  <c r="U481" i="2"/>
  <c r="W481" i="2"/>
  <c r="Y481" i="2"/>
  <c r="G482" i="2"/>
  <c r="I482" i="2"/>
  <c r="K482" i="2"/>
  <c r="M482" i="2"/>
  <c r="O482" i="2"/>
  <c r="Q482" i="2"/>
  <c r="S482" i="2"/>
  <c r="U482" i="2"/>
  <c r="W482" i="2"/>
  <c r="Y482" i="2"/>
  <c r="G483" i="2"/>
  <c r="I483" i="2"/>
  <c r="K483" i="2"/>
  <c r="M483" i="2"/>
  <c r="O483" i="2"/>
  <c r="Q483" i="2"/>
  <c r="S483" i="2"/>
  <c r="U483" i="2"/>
  <c r="W483" i="2"/>
  <c r="Y483" i="2"/>
  <c r="G487" i="2"/>
  <c r="I487" i="2"/>
  <c r="K487" i="2"/>
  <c r="M487" i="2"/>
  <c r="O487" i="2"/>
  <c r="Q487" i="2"/>
  <c r="S487" i="2"/>
  <c r="U487" i="2"/>
  <c r="W487" i="2"/>
  <c r="Y487" i="2"/>
  <c r="G488" i="2"/>
  <c r="I488" i="2"/>
  <c r="K488" i="2"/>
  <c r="M488" i="2"/>
  <c r="O488" i="2"/>
  <c r="Q488" i="2"/>
  <c r="S488" i="2"/>
  <c r="U488" i="2"/>
  <c r="W488" i="2"/>
  <c r="Y488" i="2"/>
  <c r="G489" i="2"/>
  <c r="I489" i="2"/>
  <c r="K489" i="2"/>
  <c r="M489" i="2"/>
  <c r="O489" i="2"/>
  <c r="Q489" i="2"/>
  <c r="S489" i="2"/>
  <c r="U489" i="2"/>
  <c r="W489" i="2"/>
  <c r="Y489" i="2"/>
  <c r="G348" i="2"/>
  <c r="I348" i="2"/>
  <c r="K348" i="2"/>
  <c r="M348" i="2"/>
  <c r="O348" i="2"/>
  <c r="Q348" i="2"/>
  <c r="S348" i="2"/>
  <c r="U348" i="2"/>
  <c r="W348" i="2"/>
  <c r="Y348" i="2"/>
  <c r="G349" i="2"/>
  <c r="I349" i="2"/>
  <c r="K349" i="2"/>
  <c r="M349" i="2"/>
  <c r="O349" i="2"/>
  <c r="Q349" i="2"/>
  <c r="S349" i="2"/>
  <c r="U349" i="2"/>
  <c r="W349" i="2"/>
  <c r="Y349" i="2"/>
  <c r="G350" i="2"/>
  <c r="I350" i="2"/>
  <c r="K350" i="2"/>
  <c r="M350" i="2"/>
  <c r="O350" i="2"/>
  <c r="Q350" i="2"/>
  <c r="S350" i="2"/>
  <c r="U350" i="2"/>
  <c r="W350" i="2"/>
  <c r="Y350" i="2"/>
  <c r="G354" i="2"/>
  <c r="I354" i="2"/>
  <c r="K354" i="2"/>
  <c r="M354" i="2"/>
  <c r="O354" i="2"/>
  <c r="Q354" i="2"/>
  <c r="S354" i="2"/>
  <c r="U354" i="2"/>
  <c r="W354" i="2"/>
  <c r="Y354" i="2"/>
  <c r="G355" i="2"/>
  <c r="I355" i="2"/>
  <c r="K355" i="2"/>
  <c r="M355" i="2"/>
  <c r="O355" i="2"/>
  <c r="Q355" i="2"/>
  <c r="S355" i="2"/>
  <c r="U355" i="2"/>
  <c r="W355" i="2"/>
  <c r="Y355" i="2"/>
  <c r="G356" i="2"/>
  <c r="I356" i="2"/>
  <c r="K356" i="2"/>
  <c r="M356" i="2"/>
  <c r="O356" i="2"/>
  <c r="Q356" i="2"/>
  <c r="S356" i="2"/>
  <c r="U356" i="2"/>
  <c r="W356" i="2"/>
  <c r="Y356" i="2"/>
  <c r="G360" i="2"/>
  <c r="I360" i="2"/>
  <c r="K360" i="2"/>
  <c r="M360" i="2"/>
  <c r="O360" i="2"/>
  <c r="Q360" i="2"/>
  <c r="S360" i="2"/>
  <c r="U360" i="2"/>
  <c r="W360" i="2"/>
  <c r="Y360" i="2"/>
  <c r="G361" i="2"/>
  <c r="I361" i="2"/>
  <c r="K361" i="2"/>
  <c r="M361" i="2"/>
  <c r="O361" i="2"/>
  <c r="Q361" i="2"/>
  <c r="S361" i="2"/>
  <c r="U361" i="2"/>
  <c r="W361" i="2"/>
  <c r="Y361" i="2"/>
  <c r="G362" i="2"/>
  <c r="I362" i="2"/>
  <c r="K362" i="2"/>
  <c r="M362" i="2"/>
  <c r="O362" i="2"/>
  <c r="Q362" i="2"/>
  <c r="S362" i="2"/>
  <c r="U362" i="2"/>
  <c r="W362" i="2"/>
  <c r="Y362" i="2"/>
  <c r="G366" i="2"/>
  <c r="I366" i="2"/>
  <c r="K366" i="2"/>
  <c r="M366" i="2"/>
  <c r="O366" i="2"/>
  <c r="Q366" i="2"/>
  <c r="S366" i="2"/>
  <c r="U366" i="2"/>
  <c r="W366" i="2"/>
  <c r="Y366" i="2"/>
  <c r="G367" i="2"/>
  <c r="I367" i="2"/>
  <c r="K367" i="2"/>
  <c r="M367" i="2"/>
  <c r="O367" i="2"/>
  <c r="Q367" i="2"/>
  <c r="S367" i="2"/>
  <c r="U367" i="2"/>
  <c r="W367" i="2"/>
  <c r="Y367" i="2"/>
  <c r="G368" i="2"/>
  <c r="I368" i="2"/>
  <c r="K368" i="2"/>
  <c r="M368" i="2"/>
  <c r="O368" i="2"/>
  <c r="Q368" i="2"/>
  <c r="S368" i="2"/>
  <c r="U368" i="2"/>
  <c r="W368" i="2"/>
  <c r="Y368" i="2"/>
  <c r="G372" i="2"/>
  <c r="I372" i="2"/>
  <c r="K372" i="2"/>
  <c r="M372" i="2"/>
  <c r="O372" i="2"/>
  <c r="Q372" i="2"/>
  <c r="S372" i="2"/>
  <c r="U372" i="2"/>
  <c r="W372" i="2"/>
  <c r="Y372" i="2"/>
  <c r="G373" i="2"/>
  <c r="I373" i="2"/>
  <c r="K373" i="2"/>
  <c r="M373" i="2"/>
  <c r="O373" i="2"/>
  <c r="Q373" i="2"/>
  <c r="S373" i="2"/>
  <c r="U373" i="2"/>
  <c r="W373" i="2"/>
  <c r="Y373" i="2"/>
  <c r="G374" i="2"/>
  <c r="I374" i="2"/>
  <c r="K374" i="2"/>
  <c r="M374" i="2"/>
  <c r="O374" i="2"/>
  <c r="Q374" i="2"/>
  <c r="S374" i="2"/>
  <c r="U374" i="2"/>
  <c r="W374" i="2"/>
  <c r="Y374" i="2"/>
  <c r="I378" i="2"/>
  <c r="M378" i="2"/>
  <c r="Q378" i="2"/>
  <c r="U378" i="2"/>
  <c r="W378" i="2"/>
  <c r="Y378" i="2"/>
  <c r="G379" i="2"/>
  <c r="I379" i="2"/>
  <c r="K379" i="2"/>
  <c r="M379" i="2"/>
  <c r="O379" i="2"/>
  <c r="Q379" i="2"/>
  <c r="S379" i="2"/>
  <c r="U379" i="2"/>
  <c r="W379" i="2"/>
  <c r="Y379" i="2"/>
  <c r="G380" i="2"/>
  <c r="I380" i="2"/>
  <c r="K380" i="2"/>
  <c r="M380" i="2"/>
  <c r="O380" i="2"/>
  <c r="Q380" i="2"/>
  <c r="S380" i="2"/>
  <c r="U380" i="2"/>
  <c r="W380" i="2"/>
  <c r="Y380" i="2"/>
  <c r="G384" i="2"/>
  <c r="I384" i="2"/>
  <c r="K384" i="2"/>
  <c r="M384" i="2"/>
  <c r="O384" i="2"/>
  <c r="Q384" i="2"/>
  <c r="S384" i="2"/>
  <c r="U384" i="2"/>
  <c r="W384" i="2"/>
  <c r="Y384" i="2"/>
  <c r="G385" i="2"/>
  <c r="I385" i="2"/>
  <c r="K385" i="2"/>
  <c r="M385" i="2"/>
  <c r="O385" i="2"/>
  <c r="Q385" i="2"/>
  <c r="S385" i="2"/>
  <c r="U385" i="2"/>
  <c r="W385" i="2"/>
  <c r="Y385" i="2"/>
  <c r="G386" i="2"/>
  <c r="I386" i="2"/>
  <c r="K386" i="2"/>
  <c r="M386" i="2"/>
  <c r="O386" i="2"/>
  <c r="Q386" i="2"/>
  <c r="S386" i="2"/>
  <c r="U386" i="2"/>
  <c r="W386" i="2"/>
  <c r="Y386" i="2"/>
  <c r="G390" i="2"/>
  <c r="I390" i="2"/>
  <c r="K390" i="2"/>
  <c r="M390" i="2"/>
  <c r="O390" i="2"/>
  <c r="Q390" i="2"/>
  <c r="S390" i="2"/>
  <c r="U390" i="2"/>
  <c r="W390" i="2"/>
  <c r="Y390" i="2"/>
  <c r="G391" i="2"/>
  <c r="I391" i="2"/>
  <c r="K391" i="2"/>
  <c r="M391" i="2"/>
  <c r="O391" i="2"/>
  <c r="Q391" i="2"/>
  <c r="S391" i="2"/>
  <c r="U391" i="2"/>
  <c r="W391" i="2"/>
  <c r="Y391" i="2"/>
  <c r="G392" i="2"/>
  <c r="I392" i="2"/>
  <c r="K392" i="2"/>
  <c r="M392" i="2"/>
  <c r="O392" i="2"/>
  <c r="Q392" i="2"/>
  <c r="S392" i="2"/>
  <c r="U392" i="2"/>
  <c r="W392" i="2"/>
  <c r="Y392" i="2"/>
  <c r="G396" i="2"/>
  <c r="I396" i="2"/>
  <c r="K396" i="2"/>
  <c r="M396" i="2"/>
  <c r="O396" i="2"/>
  <c r="Q396" i="2"/>
  <c r="S396" i="2"/>
  <c r="U396" i="2"/>
  <c r="W396" i="2"/>
  <c r="Y396" i="2"/>
  <c r="G397" i="2"/>
  <c r="I397" i="2"/>
  <c r="K397" i="2"/>
  <c r="M397" i="2"/>
  <c r="O397" i="2"/>
  <c r="Q397" i="2"/>
  <c r="S397" i="2"/>
  <c r="U397" i="2"/>
  <c r="W397" i="2"/>
  <c r="Y397" i="2"/>
  <c r="G398" i="2"/>
  <c r="I398" i="2"/>
  <c r="K398" i="2"/>
  <c r="M398" i="2"/>
  <c r="O398" i="2"/>
  <c r="Q398" i="2"/>
  <c r="S398" i="2"/>
  <c r="U398" i="2"/>
  <c r="W398" i="2"/>
  <c r="Y398" i="2"/>
  <c r="F402" i="2"/>
  <c r="H402" i="2"/>
  <c r="J402" i="2"/>
  <c r="L402" i="2"/>
  <c r="N402" i="2"/>
  <c r="P402" i="2"/>
  <c r="R402" i="2"/>
  <c r="T402" i="2"/>
  <c r="V402" i="2"/>
  <c r="X402" i="2"/>
  <c r="F403" i="2"/>
  <c r="H403" i="2"/>
  <c r="J403" i="2"/>
  <c r="L403" i="2"/>
  <c r="N403" i="2"/>
  <c r="P403" i="2"/>
  <c r="R403" i="2"/>
  <c r="T403" i="2"/>
  <c r="V403" i="2"/>
  <c r="X403" i="2"/>
  <c r="F404" i="2"/>
  <c r="H404" i="2"/>
  <c r="J404" i="2"/>
  <c r="L404" i="2"/>
  <c r="N404" i="2"/>
  <c r="P404" i="2"/>
  <c r="R404" i="2"/>
  <c r="T404" i="2"/>
  <c r="V404" i="2"/>
  <c r="X404" i="2"/>
  <c r="G408" i="2"/>
  <c r="I408" i="2"/>
  <c r="K408" i="2"/>
  <c r="M408" i="2"/>
  <c r="O408" i="2"/>
  <c r="Q408" i="2"/>
  <c r="S408" i="2"/>
  <c r="U408" i="2"/>
  <c r="W408" i="2"/>
  <c r="Y408" i="2"/>
  <c r="G409" i="2"/>
  <c r="I409" i="2"/>
  <c r="K409" i="2"/>
  <c r="M409" i="2"/>
  <c r="O409" i="2"/>
  <c r="Q409" i="2"/>
  <c r="S409" i="2"/>
  <c r="U409" i="2"/>
  <c r="W409" i="2"/>
  <c r="Y409" i="2"/>
  <c r="G410" i="2"/>
  <c r="I410" i="2"/>
  <c r="K410" i="2"/>
  <c r="M410" i="2"/>
  <c r="O410" i="2"/>
  <c r="Q410" i="2"/>
  <c r="S410" i="2"/>
  <c r="U410" i="2"/>
  <c r="W410" i="2"/>
  <c r="Y410" i="2"/>
  <c r="G414" i="2"/>
  <c r="I414" i="2"/>
  <c r="K414" i="2"/>
  <c r="M414" i="2"/>
  <c r="O414" i="2"/>
  <c r="Q414" i="2"/>
  <c r="S414" i="2"/>
  <c r="U414" i="2"/>
  <c r="W414" i="2"/>
  <c r="Y414" i="2"/>
  <c r="G415" i="2"/>
  <c r="I415" i="2"/>
  <c r="K415" i="2"/>
  <c r="M415" i="2"/>
  <c r="O415" i="2"/>
  <c r="Q415" i="2"/>
  <c r="S415" i="2"/>
  <c r="U415" i="2"/>
  <c r="W415" i="2"/>
  <c r="Y415" i="2"/>
  <c r="G416" i="2"/>
  <c r="I416" i="2"/>
  <c r="K416" i="2"/>
  <c r="M416" i="2"/>
  <c r="O416" i="2"/>
  <c r="Q416" i="2"/>
  <c r="S416" i="2"/>
  <c r="U416" i="2"/>
  <c r="W416" i="2"/>
  <c r="Y416" i="2"/>
  <c r="F420" i="2"/>
  <c r="H420" i="2"/>
  <c r="J420" i="2"/>
  <c r="L420" i="2"/>
  <c r="N420" i="2"/>
  <c r="P420" i="2"/>
  <c r="R420" i="2"/>
  <c r="T420" i="2"/>
  <c r="V420" i="2"/>
  <c r="X420" i="2"/>
  <c r="F421" i="2"/>
  <c r="H421" i="2"/>
  <c r="J421" i="2"/>
  <c r="L421" i="2"/>
  <c r="N421" i="2"/>
  <c r="P421" i="2"/>
  <c r="R421" i="2"/>
  <c r="T421" i="2"/>
  <c r="V421" i="2"/>
  <c r="X421" i="2"/>
  <c r="F422" i="2"/>
  <c r="H422" i="2"/>
  <c r="J422" i="2"/>
  <c r="L422" i="2"/>
  <c r="N422" i="2"/>
  <c r="P422" i="2"/>
  <c r="R422" i="2"/>
  <c r="T422" i="2"/>
  <c r="V422" i="2"/>
  <c r="X422" i="2"/>
  <c r="F426" i="2"/>
  <c r="H426" i="2"/>
  <c r="J426" i="2"/>
  <c r="L426" i="2"/>
  <c r="N426" i="2"/>
  <c r="P426" i="2"/>
  <c r="R426" i="2"/>
  <c r="T426" i="2"/>
  <c r="V426" i="2"/>
  <c r="X426" i="2"/>
  <c r="F427" i="2"/>
  <c r="H427" i="2"/>
  <c r="J427" i="2"/>
  <c r="L427" i="2"/>
  <c r="N427" i="2"/>
  <c r="P427" i="2"/>
  <c r="R427" i="2"/>
  <c r="T427" i="2"/>
  <c r="V427" i="2"/>
  <c r="X427" i="2"/>
  <c r="F428" i="2"/>
  <c r="H428" i="2"/>
  <c r="J428" i="2"/>
  <c r="L428" i="2"/>
  <c r="N428" i="2"/>
  <c r="P428" i="2"/>
  <c r="R428" i="2"/>
  <c r="T428" i="2"/>
  <c r="V428" i="2"/>
  <c r="X428" i="2"/>
  <c r="F432" i="2"/>
  <c r="H432" i="2"/>
  <c r="J432" i="2"/>
  <c r="L432" i="2"/>
  <c r="N432" i="2"/>
  <c r="P432" i="2"/>
  <c r="R432" i="2"/>
  <c r="T432" i="2"/>
  <c r="V432" i="2"/>
  <c r="X432" i="2"/>
  <c r="F433" i="2"/>
  <c r="H433" i="2"/>
  <c r="J433" i="2"/>
  <c r="L433" i="2"/>
  <c r="N433" i="2"/>
  <c r="P433" i="2"/>
  <c r="R433" i="2"/>
  <c r="T433" i="2"/>
  <c r="V433" i="2"/>
  <c r="X433" i="2"/>
  <c r="F434" i="2"/>
  <c r="H434" i="2"/>
  <c r="J434" i="2"/>
  <c r="L434" i="2"/>
  <c r="N434" i="2"/>
  <c r="P434" i="2"/>
  <c r="R434" i="2"/>
  <c r="T434" i="2"/>
  <c r="V434" i="2"/>
  <c r="X434" i="2"/>
  <c r="G438" i="2"/>
  <c r="I438" i="2"/>
  <c r="K438" i="2"/>
  <c r="M438" i="2"/>
  <c r="O438" i="2"/>
  <c r="Q438" i="2"/>
  <c r="S438" i="2"/>
  <c r="U438" i="2"/>
  <c r="W438" i="2"/>
  <c r="Y438" i="2"/>
  <c r="G439" i="2"/>
  <c r="I439" i="2"/>
  <c r="K439" i="2"/>
  <c r="M439" i="2"/>
  <c r="O439" i="2"/>
  <c r="Q439" i="2"/>
  <c r="S439" i="2"/>
  <c r="U439" i="2"/>
  <c r="W439" i="2"/>
  <c r="Y439" i="2"/>
  <c r="G440" i="2"/>
  <c r="I440" i="2"/>
  <c r="K440" i="2"/>
  <c r="M440" i="2"/>
  <c r="O440" i="2"/>
  <c r="Q440" i="2"/>
  <c r="S440" i="2"/>
  <c r="U440" i="2"/>
  <c r="W440" i="2"/>
  <c r="Y440" i="2"/>
  <c r="F444" i="2"/>
  <c r="H444" i="2"/>
  <c r="J444" i="2"/>
  <c r="L444" i="2"/>
  <c r="N444" i="2"/>
  <c r="P444" i="2"/>
  <c r="R444" i="2"/>
  <c r="T444" i="2"/>
  <c r="V444" i="2"/>
  <c r="X444" i="2"/>
  <c r="F445" i="2"/>
  <c r="H445" i="2"/>
  <c r="J445" i="2"/>
  <c r="L445" i="2"/>
  <c r="N445" i="2"/>
  <c r="P445" i="2"/>
  <c r="R445" i="2"/>
  <c r="T445" i="2"/>
  <c r="V445" i="2"/>
  <c r="X445" i="2"/>
  <c r="F446" i="2"/>
  <c r="H446" i="2"/>
  <c r="J446" i="2"/>
  <c r="L446" i="2"/>
  <c r="N446" i="2"/>
  <c r="P446" i="2"/>
  <c r="R446" i="2"/>
  <c r="T446" i="2"/>
  <c r="V446" i="2"/>
  <c r="X446" i="2"/>
  <c r="F450" i="2"/>
  <c r="H450" i="2"/>
  <c r="J450" i="2"/>
  <c r="L450" i="2"/>
  <c r="N450" i="2"/>
  <c r="P450" i="2"/>
  <c r="R450" i="2"/>
  <c r="T450" i="2"/>
  <c r="V450" i="2"/>
  <c r="X450" i="2"/>
  <c r="F451" i="2"/>
  <c r="H451" i="2"/>
  <c r="J451" i="2"/>
  <c r="L451" i="2"/>
  <c r="N451" i="2"/>
  <c r="P451" i="2"/>
  <c r="R451" i="2"/>
  <c r="T451" i="2"/>
  <c r="V451" i="2"/>
  <c r="X451" i="2"/>
  <c r="F452" i="2"/>
  <c r="H452" i="2"/>
  <c r="J452" i="2"/>
  <c r="L452" i="2"/>
  <c r="N452" i="2"/>
  <c r="P452" i="2"/>
  <c r="R452" i="2"/>
  <c r="T452" i="2"/>
  <c r="V452" i="2"/>
  <c r="X452" i="2"/>
  <c r="F456" i="2"/>
  <c r="H456" i="2"/>
  <c r="J456" i="2"/>
  <c r="L456" i="2"/>
  <c r="N456" i="2"/>
  <c r="P456" i="2"/>
  <c r="R456" i="2"/>
  <c r="T456" i="2"/>
  <c r="V456" i="2"/>
  <c r="X456" i="2"/>
  <c r="F457" i="2"/>
  <c r="H457" i="2"/>
  <c r="J457" i="2"/>
  <c r="L457" i="2"/>
  <c r="N457" i="2"/>
  <c r="P457" i="2"/>
  <c r="R457" i="2"/>
  <c r="T457" i="2"/>
  <c r="V457" i="2"/>
  <c r="X457" i="2"/>
  <c r="F458" i="2"/>
  <c r="H458" i="2"/>
  <c r="J458" i="2"/>
  <c r="L458" i="2"/>
  <c r="N458" i="2"/>
  <c r="P458" i="2"/>
  <c r="R458" i="2"/>
  <c r="T458" i="2"/>
  <c r="V458" i="2"/>
  <c r="X458" i="2"/>
  <c r="W457" i="2"/>
  <c r="G458" i="2"/>
  <c r="K458" i="2"/>
  <c r="O458" i="2"/>
  <c r="Q458" i="2"/>
  <c r="U458" i="2"/>
  <c r="Y458" i="2"/>
  <c r="G378" i="2"/>
  <c r="K378" i="2"/>
  <c r="O378" i="2"/>
  <c r="S378" i="2"/>
  <c r="V378" i="2"/>
  <c r="X378" i="2"/>
  <c r="F379" i="2"/>
  <c r="H379" i="2"/>
  <c r="J379" i="2"/>
  <c r="L379" i="2"/>
  <c r="N379" i="2"/>
  <c r="P379" i="2"/>
  <c r="R379" i="2"/>
  <c r="T379" i="2"/>
  <c r="V379" i="2"/>
  <c r="X379" i="2"/>
  <c r="F380" i="2"/>
  <c r="H380" i="2"/>
  <c r="J380" i="2"/>
  <c r="L380" i="2"/>
  <c r="N380" i="2"/>
  <c r="P380" i="2"/>
  <c r="R380" i="2"/>
  <c r="T380" i="2"/>
  <c r="V380" i="2"/>
  <c r="X380" i="2"/>
  <c r="F384" i="2"/>
  <c r="H384" i="2"/>
  <c r="J384" i="2"/>
  <c r="L384" i="2"/>
  <c r="N384" i="2"/>
  <c r="P384" i="2"/>
  <c r="R384" i="2"/>
  <c r="T384" i="2"/>
  <c r="V384" i="2"/>
  <c r="X384" i="2"/>
  <c r="F385" i="2"/>
  <c r="H385" i="2"/>
  <c r="J385" i="2"/>
  <c r="L385" i="2"/>
  <c r="N385" i="2"/>
  <c r="P385" i="2"/>
  <c r="R385" i="2"/>
  <c r="T385" i="2"/>
  <c r="V385" i="2"/>
  <c r="X385" i="2"/>
  <c r="F386" i="2"/>
  <c r="H386" i="2"/>
  <c r="J386" i="2"/>
  <c r="L386" i="2"/>
  <c r="N386" i="2"/>
  <c r="P386" i="2"/>
  <c r="R386" i="2"/>
  <c r="T386" i="2"/>
  <c r="V386" i="2"/>
  <c r="X386" i="2"/>
  <c r="F390" i="2"/>
  <c r="H390" i="2"/>
  <c r="J390" i="2"/>
  <c r="L390" i="2"/>
  <c r="N390" i="2"/>
  <c r="P390" i="2"/>
  <c r="R390" i="2"/>
  <c r="T390" i="2"/>
  <c r="V390" i="2"/>
  <c r="X390" i="2"/>
  <c r="F391" i="2"/>
  <c r="H391" i="2"/>
  <c r="J391" i="2"/>
  <c r="L391" i="2"/>
  <c r="N391" i="2"/>
  <c r="P391" i="2"/>
  <c r="R391" i="2"/>
  <c r="T391" i="2"/>
  <c r="V391" i="2"/>
  <c r="X391" i="2"/>
  <c r="F392" i="2"/>
  <c r="H392" i="2"/>
  <c r="J392" i="2"/>
  <c r="L392" i="2"/>
  <c r="N392" i="2"/>
  <c r="P392" i="2"/>
  <c r="R392" i="2"/>
  <c r="T392" i="2"/>
  <c r="V392" i="2"/>
  <c r="X392" i="2"/>
  <c r="F396" i="2"/>
  <c r="H396" i="2"/>
  <c r="J396" i="2"/>
  <c r="L396" i="2"/>
  <c r="N396" i="2"/>
  <c r="P396" i="2"/>
  <c r="R396" i="2"/>
  <c r="T396" i="2"/>
  <c r="V396" i="2"/>
  <c r="X396" i="2"/>
  <c r="F397" i="2"/>
  <c r="H397" i="2"/>
  <c r="J397" i="2"/>
  <c r="L397" i="2"/>
  <c r="N397" i="2"/>
  <c r="P397" i="2"/>
  <c r="R397" i="2"/>
  <c r="T397" i="2"/>
  <c r="V397" i="2"/>
  <c r="X397" i="2"/>
  <c r="F398" i="2"/>
  <c r="H398" i="2"/>
  <c r="J398" i="2"/>
  <c r="L398" i="2"/>
  <c r="N398" i="2"/>
  <c r="P398" i="2"/>
  <c r="R398" i="2"/>
  <c r="T398" i="2"/>
  <c r="V398" i="2"/>
  <c r="X398" i="2"/>
  <c r="G402" i="2"/>
  <c r="I402" i="2"/>
  <c r="K402" i="2"/>
  <c r="M402" i="2"/>
  <c r="O402" i="2"/>
  <c r="Q402" i="2"/>
  <c r="S402" i="2"/>
  <c r="U402" i="2"/>
  <c r="W402" i="2"/>
  <c r="Y402" i="2"/>
  <c r="G403" i="2"/>
  <c r="I403" i="2"/>
  <c r="K403" i="2"/>
  <c r="M403" i="2"/>
  <c r="O403" i="2"/>
  <c r="Q403" i="2"/>
  <c r="S403" i="2"/>
  <c r="U403" i="2"/>
  <c r="W403" i="2"/>
  <c r="Y403" i="2"/>
  <c r="G404" i="2"/>
  <c r="I404" i="2"/>
  <c r="K404" i="2"/>
  <c r="M404" i="2"/>
  <c r="O404" i="2"/>
  <c r="Q404" i="2"/>
  <c r="S404" i="2"/>
  <c r="U404" i="2"/>
  <c r="W404" i="2"/>
  <c r="Y404" i="2"/>
  <c r="F408" i="2"/>
  <c r="H408" i="2"/>
  <c r="J408" i="2"/>
  <c r="L408" i="2"/>
  <c r="N408" i="2"/>
  <c r="P408" i="2"/>
  <c r="R408" i="2"/>
  <c r="T408" i="2"/>
  <c r="V408" i="2"/>
  <c r="X408" i="2"/>
  <c r="F409" i="2"/>
  <c r="H409" i="2"/>
  <c r="J409" i="2"/>
  <c r="L409" i="2"/>
  <c r="N409" i="2"/>
  <c r="P409" i="2"/>
  <c r="R409" i="2"/>
  <c r="T409" i="2"/>
  <c r="V409" i="2"/>
  <c r="X409" i="2"/>
  <c r="F410" i="2"/>
  <c r="H410" i="2"/>
  <c r="J410" i="2"/>
  <c r="L410" i="2"/>
  <c r="N410" i="2"/>
  <c r="P410" i="2"/>
  <c r="R410" i="2"/>
  <c r="T410" i="2"/>
  <c r="V410" i="2"/>
  <c r="X410" i="2"/>
  <c r="F414" i="2"/>
  <c r="H414" i="2"/>
  <c r="J414" i="2"/>
  <c r="L414" i="2"/>
  <c r="N414" i="2"/>
  <c r="P414" i="2"/>
  <c r="R414" i="2"/>
  <c r="T414" i="2"/>
  <c r="V414" i="2"/>
  <c r="X414" i="2"/>
  <c r="F415" i="2"/>
  <c r="H415" i="2"/>
  <c r="J415" i="2"/>
  <c r="L415" i="2"/>
  <c r="N415" i="2"/>
  <c r="P415" i="2"/>
  <c r="R415" i="2"/>
  <c r="T415" i="2"/>
  <c r="V415" i="2"/>
  <c r="X415" i="2"/>
  <c r="F416" i="2"/>
  <c r="H416" i="2"/>
  <c r="J416" i="2"/>
  <c r="L416" i="2"/>
  <c r="N416" i="2"/>
  <c r="P416" i="2"/>
  <c r="R416" i="2"/>
  <c r="T416" i="2"/>
  <c r="V416" i="2"/>
  <c r="X416" i="2"/>
  <c r="G420" i="2"/>
  <c r="I420" i="2"/>
  <c r="K420" i="2"/>
  <c r="M420" i="2"/>
  <c r="O420" i="2"/>
  <c r="Q420" i="2"/>
  <c r="S420" i="2"/>
  <c r="U420" i="2"/>
  <c r="W420" i="2"/>
  <c r="Y420" i="2"/>
  <c r="G421" i="2"/>
  <c r="I421" i="2"/>
  <c r="K421" i="2"/>
  <c r="M421" i="2"/>
  <c r="O421" i="2"/>
  <c r="Q421" i="2"/>
  <c r="S421" i="2"/>
  <c r="U421" i="2"/>
  <c r="W421" i="2"/>
  <c r="Y421" i="2"/>
  <c r="G422" i="2"/>
  <c r="I422" i="2"/>
  <c r="K422" i="2"/>
  <c r="M422" i="2"/>
  <c r="O422" i="2"/>
  <c r="Q422" i="2"/>
  <c r="S422" i="2"/>
  <c r="U422" i="2"/>
  <c r="W422" i="2"/>
  <c r="Y422" i="2"/>
  <c r="G426" i="2"/>
  <c r="I426" i="2"/>
  <c r="K426" i="2"/>
  <c r="M426" i="2"/>
  <c r="O426" i="2"/>
  <c r="Q426" i="2"/>
  <c r="S426" i="2"/>
  <c r="U426" i="2"/>
  <c r="W426" i="2"/>
  <c r="Y426" i="2"/>
  <c r="G427" i="2"/>
  <c r="I427" i="2"/>
  <c r="K427" i="2"/>
  <c r="M427" i="2"/>
  <c r="O427" i="2"/>
  <c r="Q427" i="2"/>
  <c r="S427" i="2"/>
  <c r="U427" i="2"/>
  <c r="W427" i="2"/>
  <c r="Y427" i="2"/>
  <c r="G428" i="2"/>
  <c r="I428" i="2"/>
  <c r="K428" i="2"/>
  <c r="M428" i="2"/>
  <c r="O428" i="2"/>
  <c r="Q428" i="2"/>
  <c r="S428" i="2"/>
  <c r="U428" i="2"/>
  <c r="W428" i="2"/>
  <c r="Y428" i="2"/>
  <c r="G432" i="2"/>
  <c r="I432" i="2"/>
  <c r="K432" i="2"/>
  <c r="M432" i="2"/>
  <c r="O432" i="2"/>
  <c r="Q432" i="2"/>
  <c r="S432" i="2"/>
  <c r="U432" i="2"/>
  <c r="W432" i="2"/>
  <c r="Y432" i="2"/>
  <c r="G433" i="2"/>
  <c r="I433" i="2"/>
  <c r="K433" i="2"/>
  <c r="M433" i="2"/>
  <c r="O433" i="2"/>
  <c r="Q433" i="2"/>
  <c r="S433" i="2"/>
  <c r="U433" i="2"/>
  <c r="W433" i="2"/>
  <c r="Y433" i="2"/>
  <c r="G434" i="2"/>
  <c r="I434" i="2"/>
  <c r="K434" i="2"/>
  <c r="M434" i="2"/>
  <c r="O434" i="2"/>
  <c r="Q434" i="2"/>
  <c r="S434" i="2"/>
  <c r="U434" i="2"/>
  <c r="W434" i="2"/>
  <c r="Y434" i="2"/>
  <c r="F438" i="2"/>
  <c r="H438" i="2"/>
  <c r="J438" i="2"/>
  <c r="L438" i="2"/>
  <c r="N438" i="2"/>
  <c r="P438" i="2"/>
  <c r="R438" i="2"/>
  <c r="T438" i="2"/>
  <c r="V438" i="2"/>
  <c r="X438" i="2"/>
  <c r="F439" i="2"/>
  <c r="H439" i="2"/>
  <c r="J439" i="2"/>
  <c r="L439" i="2"/>
  <c r="N439" i="2"/>
  <c r="P439" i="2"/>
  <c r="R439" i="2"/>
  <c r="T439" i="2"/>
  <c r="V439" i="2"/>
  <c r="X439" i="2"/>
  <c r="F440" i="2"/>
  <c r="H440" i="2"/>
  <c r="J440" i="2"/>
  <c r="L440" i="2"/>
  <c r="N440" i="2"/>
  <c r="P440" i="2"/>
  <c r="R440" i="2"/>
  <c r="T440" i="2"/>
  <c r="V440" i="2"/>
  <c r="X440" i="2"/>
  <c r="G444" i="2"/>
  <c r="I444" i="2"/>
  <c r="K444" i="2"/>
  <c r="M444" i="2"/>
  <c r="O444" i="2"/>
  <c r="Q444" i="2"/>
  <c r="S444" i="2"/>
  <c r="U444" i="2"/>
  <c r="W444" i="2"/>
  <c r="Y444" i="2"/>
  <c r="G445" i="2"/>
  <c r="I445" i="2"/>
  <c r="K445" i="2"/>
  <c r="M445" i="2"/>
  <c r="O445" i="2"/>
  <c r="Q445" i="2"/>
  <c r="S445" i="2"/>
  <c r="U445" i="2"/>
  <c r="W445" i="2"/>
  <c r="Y445" i="2"/>
  <c r="G446" i="2"/>
  <c r="I446" i="2"/>
  <c r="K446" i="2"/>
  <c r="M446" i="2"/>
  <c r="O446" i="2"/>
  <c r="Q446" i="2"/>
  <c r="S446" i="2"/>
  <c r="U446" i="2"/>
  <c r="W446" i="2"/>
  <c r="Y446" i="2"/>
  <c r="G450" i="2"/>
  <c r="I450" i="2"/>
  <c r="K450" i="2"/>
  <c r="M450" i="2"/>
  <c r="O450" i="2"/>
  <c r="Q450" i="2"/>
  <c r="S450" i="2"/>
  <c r="U450" i="2"/>
  <c r="W450" i="2"/>
  <c r="Y450" i="2"/>
  <c r="G451" i="2"/>
  <c r="I451" i="2"/>
  <c r="K451" i="2"/>
  <c r="M451" i="2"/>
  <c r="O451" i="2"/>
  <c r="Q451" i="2"/>
  <c r="S451" i="2"/>
  <c r="U451" i="2"/>
  <c r="W451" i="2"/>
  <c r="Y451" i="2"/>
  <c r="G452" i="2"/>
  <c r="I452" i="2"/>
  <c r="K452" i="2"/>
  <c r="M452" i="2"/>
  <c r="O452" i="2"/>
  <c r="Q452" i="2"/>
  <c r="S452" i="2"/>
  <c r="U452" i="2"/>
  <c r="W452" i="2"/>
  <c r="Y452" i="2"/>
  <c r="G456" i="2"/>
  <c r="I456" i="2"/>
  <c r="K456" i="2"/>
  <c r="M456" i="2"/>
  <c r="O456" i="2"/>
  <c r="Q456" i="2"/>
  <c r="S456" i="2"/>
  <c r="U456" i="2"/>
  <c r="W456" i="2"/>
  <c r="Y456" i="2"/>
  <c r="G457" i="2"/>
  <c r="I457" i="2"/>
  <c r="K457" i="2"/>
  <c r="M457" i="2"/>
  <c r="O457" i="2"/>
  <c r="Q457" i="2"/>
  <c r="S457" i="2"/>
  <c r="U457" i="2"/>
  <c r="Y457" i="2"/>
  <c r="I458" i="2"/>
  <c r="M458" i="2"/>
  <c r="S458" i="2"/>
  <c r="W458" i="2"/>
  <c r="G316" i="2"/>
  <c r="I316" i="2"/>
  <c r="K316" i="2"/>
  <c r="M316" i="2"/>
  <c r="O316" i="2"/>
  <c r="Q316" i="2"/>
  <c r="T316" i="2"/>
  <c r="V316" i="2"/>
  <c r="X316" i="2"/>
  <c r="F317" i="2"/>
  <c r="H317" i="2"/>
  <c r="J317" i="2"/>
  <c r="L317" i="2"/>
  <c r="N317" i="2"/>
  <c r="P317" i="2"/>
  <c r="R317" i="2"/>
  <c r="U317" i="2"/>
  <c r="W317" i="2"/>
  <c r="Y317" i="2"/>
  <c r="G318" i="2"/>
  <c r="I318" i="2"/>
  <c r="K318" i="2"/>
  <c r="M318" i="2"/>
  <c r="O318" i="2"/>
  <c r="Q318" i="2"/>
  <c r="S318" i="2"/>
  <c r="V318" i="2"/>
  <c r="X318" i="2"/>
  <c r="F322" i="2"/>
  <c r="H322" i="2"/>
  <c r="J322" i="2"/>
  <c r="L322" i="2"/>
  <c r="N322" i="2"/>
  <c r="P322" i="2"/>
  <c r="R322" i="2"/>
  <c r="U322" i="2"/>
  <c r="W322" i="2"/>
  <c r="Y322" i="2"/>
  <c r="G323" i="2"/>
  <c r="I323" i="2"/>
  <c r="K323" i="2"/>
  <c r="M323" i="2"/>
  <c r="O323" i="2"/>
  <c r="Q323" i="2"/>
  <c r="S323" i="2"/>
  <c r="U323" i="2"/>
  <c r="W323" i="2"/>
  <c r="Y323" i="2"/>
  <c r="G324" i="2"/>
  <c r="I324" i="2"/>
  <c r="K324" i="2"/>
  <c r="M324" i="2"/>
  <c r="O324" i="2"/>
  <c r="Q324" i="2"/>
  <c r="S324" i="2"/>
  <c r="U324" i="2"/>
  <c r="W324" i="2"/>
  <c r="Y324" i="2"/>
  <c r="G237" i="2"/>
  <c r="I237" i="2"/>
  <c r="K237" i="2"/>
  <c r="M237" i="2"/>
  <c r="O237" i="2"/>
  <c r="Q237" i="2"/>
  <c r="S237" i="2"/>
  <c r="U237" i="2"/>
  <c r="W237" i="2"/>
  <c r="Y237" i="2"/>
  <c r="G238" i="2"/>
  <c r="I238" i="2"/>
  <c r="K238" i="2"/>
  <c r="M238" i="2"/>
  <c r="O238" i="2"/>
  <c r="Q238" i="2"/>
  <c r="S238" i="2"/>
  <c r="U238" i="2"/>
  <c r="W238" i="2"/>
  <c r="Y238" i="2"/>
  <c r="G239" i="2"/>
  <c r="I239" i="2"/>
  <c r="K239" i="2"/>
  <c r="M239" i="2"/>
  <c r="P239" i="2"/>
  <c r="R239" i="2"/>
  <c r="T239" i="2"/>
  <c r="V239" i="2"/>
  <c r="X239" i="2"/>
  <c r="G243" i="2"/>
  <c r="I243" i="2"/>
  <c r="K243" i="2"/>
  <c r="M243" i="2"/>
  <c r="O243" i="2"/>
  <c r="Q243" i="2"/>
  <c r="S243" i="2"/>
  <c r="U243" i="2"/>
  <c r="W243" i="2"/>
  <c r="Y243" i="2"/>
  <c r="G244" i="2"/>
  <c r="I244" i="2"/>
  <c r="K244" i="2"/>
  <c r="M244" i="2"/>
  <c r="O244" i="2"/>
  <c r="Q244" i="2"/>
  <c r="S244" i="2"/>
  <c r="U244" i="2"/>
  <c r="W244" i="2"/>
  <c r="Y244" i="2"/>
  <c r="G245" i="2"/>
  <c r="I245" i="2"/>
  <c r="K245" i="2"/>
  <c r="M245" i="2"/>
  <c r="O245" i="2"/>
  <c r="Q245" i="2"/>
  <c r="S245" i="2"/>
  <c r="U245" i="2"/>
  <c r="W245" i="2"/>
  <c r="Y245" i="2"/>
  <c r="G249" i="2"/>
  <c r="I249" i="2"/>
  <c r="K249" i="2"/>
  <c r="M249" i="2"/>
  <c r="O249" i="2"/>
  <c r="Q249" i="2"/>
  <c r="S249" i="2"/>
  <c r="U249" i="2"/>
  <c r="W249" i="2"/>
  <c r="Y249" i="2"/>
  <c r="G250" i="2"/>
  <c r="I250" i="2"/>
  <c r="K250" i="2"/>
  <c r="M250" i="2"/>
  <c r="O250" i="2"/>
  <c r="Q250" i="2"/>
  <c r="S250" i="2"/>
  <c r="U250" i="2"/>
  <c r="W250" i="2"/>
  <c r="Y250" i="2"/>
  <c r="G251" i="2"/>
  <c r="I251" i="2"/>
  <c r="K251" i="2"/>
  <c r="M251" i="2"/>
  <c r="O251" i="2"/>
  <c r="Q251" i="2"/>
  <c r="S251" i="2"/>
  <c r="U251" i="2"/>
  <c r="W251" i="2"/>
  <c r="Y251" i="2"/>
  <c r="F255" i="2"/>
  <c r="H255" i="2"/>
  <c r="J255" i="2"/>
  <c r="L255" i="2"/>
  <c r="N255" i="2"/>
  <c r="P255" i="2"/>
  <c r="R255" i="2"/>
  <c r="T255" i="2"/>
  <c r="V255" i="2"/>
  <c r="X255" i="2"/>
  <c r="F256" i="2"/>
  <c r="H256" i="2"/>
  <c r="J256" i="2"/>
  <c r="L256" i="2"/>
  <c r="N256" i="2"/>
  <c r="P256" i="2"/>
  <c r="R256" i="2"/>
  <c r="T256" i="2"/>
  <c r="V256" i="2"/>
  <c r="X256" i="2"/>
  <c r="F257" i="2"/>
  <c r="H257" i="2"/>
  <c r="J257" i="2"/>
  <c r="L257" i="2"/>
  <c r="N257" i="2"/>
  <c r="P257" i="2"/>
  <c r="R257" i="2"/>
  <c r="T257" i="2"/>
  <c r="V257" i="2"/>
  <c r="X257" i="2"/>
  <c r="F261" i="2"/>
  <c r="H261" i="2"/>
  <c r="J261" i="2"/>
  <c r="L261" i="2"/>
  <c r="N261" i="2"/>
  <c r="P261" i="2"/>
  <c r="R261" i="2"/>
  <c r="T261" i="2"/>
  <c r="V261" i="2"/>
  <c r="X261" i="2"/>
  <c r="F262" i="2"/>
  <c r="H262" i="2"/>
  <c r="J262" i="2"/>
  <c r="L262" i="2"/>
  <c r="N262" i="2"/>
  <c r="P262" i="2"/>
  <c r="R262" i="2"/>
  <c r="T262" i="2"/>
  <c r="V262" i="2"/>
  <c r="X262" i="2"/>
  <c r="F263" i="2"/>
  <c r="H263" i="2"/>
  <c r="J263" i="2"/>
  <c r="L263" i="2"/>
  <c r="N263" i="2"/>
  <c r="P263" i="2"/>
  <c r="R263" i="2"/>
  <c r="T263" i="2"/>
  <c r="V263" i="2"/>
  <c r="X263" i="2"/>
  <c r="F267" i="2"/>
  <c r="H267" i="2"/>
  <c r="J267" i="2"/>
  <c r="L267" i="2"/>
  <c r="N267" i="2"/>
  <c r="P267" i="2"/>
  <c r="R267" i="2"/>
  <c r="T267" i="2"/>
  <c r="V267" i="2"/>
  <c r="X267" i="2"/>
  <c r="F268" i="2"/>
  <c r="H268" i="2"/>
  <c r="J268" i="2"/>
  <c r="L268" i="2"/>
  <c r="N268" i="2"/>
  <c r="P268" i="2"/>
  <c r="R268" i="2"/>
  <c r="T268" i="2"/>
  <c r="V268" i="2"/>
  <c r="X268" i="2"/>
  <c r="F269" i="2"/>
  <c r="H269" i="2"/>
  <c r="J269" i="2"/>
  <c r="L269" i="2"/>
  <c r="N269" i="2"/>
  <c r="P269" i="2"/>
  <c r="R269" i="2"/>
  <c r="T269" i="2"/>
  <c r="V269" i="2"/>
  <c r="X269" i="2"/>
  <c r="F273" i="2"/>
  <c r="H273" i="2"/>
  <c r="J273" i="2"/>
  <c r="L273" i="2"/>
  <c r="N273" i="2"/>
  <c r="P273" i="2"/>
  <c r="R273" i="2"/>
  <c r="T273" i="2"/>
  <c r="V273" i="2"/>
  <c r="X273" i="2"/>
  <c r="F274" i="2"/>
  <c r="H274" i="2"/>
  <c r="J274" i="2"/>
  <c r="L274" i="2"/>
  <c r="N274" i="2"/>
  <c r="P274" i="2"/>
  <c r="R274" i="2"/>
  <c r="T274" i="2"/>
  <c r="V274" i="2"/>
  <c r="X274" i="2"/>
  <c r="F275" i="2"/>
  <c r="H275" i="2"/>
  <c r="J275" i="2"/>
  <c r="L275" i="2"/>
  <c r="N275" i="2"/>
  <c r="P275" i="2"/>
  <c r="R275" i="2"/>
  <c r="T275" i="2"/>
  <c r="V275" i="2"/>
  <c r="X275" i="2"/>
  <c r="F279" i="2"/>
  <c r="H279" i="2"/>
  <c r="J279" i="2"/>
  <c r="L279" i="2"/>
  <c r="N279" i="2"/>
  <c r="P279" i="2"/>
  <c r="R279" i="2"/>
  <c r="T279" i="2"/>
  <c r="V279" i="2"/>
  <c r="X279" i="2"/>
  <c r="F280" i="2"/>
  <c r="H280" i="2"/>
  <c r="J280" i="2"/>
  <c r="L280" i="2"/>
  <c r="N280" i="2"/>
  <c r="P280" i="2"/>
  <c r="R280" i="2"/>
  <c r="T280" i="2"/>
  <c r="V280" i="2"/>
  <c r="X280" i="2"/>
  <c r="F281" i="2"/>
  <c r="H281" i="2"/>
  <c r="J281" i="2"/>
  <c r="L281" i="2"/>
  <c r="N281" i="2"/>
  <c r="P281" i="2"/>
  <c r="R281" i="2"/>
  <c r="T281" i="2"/>
  <c r="V281" i="2"/>
  <c r="X281" i="2"/>
  <c r="F285" i="2"/>
  <c r="H285" i="2"/>
  <c r="J285" i="2"/>
  <c r="L285" i="2"/>
  <c r="N285" i="2"/>
  <c r="P285" i="2"/>
  <c r="R285" i="2"/>
  <c r="T285" i="2"/>
  <c r="V285" i="2"/>
  <c r="X285" i="2"/>
  <c r="F286" i="2"/>
  <c r="H286" i="2"/>
  <c r="J286" i="2"/>
  <c r="L286" i="2"/>
  <c r="N286" i="2"/>
  <c r="P286" i="2"/>
  <c r="R286" i="2"/>
  <c r="T286" i="2"/>
  <c r="V286" i="2"/>
  <c r="X286" i="2"/>
  <c r="F287" i="2"/>
  <c r="H287" i="2"/>
  <c r="J287" i="2"/>
  <c r="L287" i="2"/>
  <c r="N287" i="2"/>
  <c r="P287" i="2"/>
  <c r="R287" i="2"/>
  <c r="T287" i="2"/>
  <c r="V287" i="2"/>
  <c r="X287" i="2"/>
  <c r="F291" i="2"/>
  <c r="H291" i="2"/>
  <c r="J291" i="2"/>
  <c r="L291" i="2"/>
  <c r="N291" i="2"/>
  <c r="P291" i="2"/>
  <c r="R291" i="2"/>
  <c r="T291" i="2"/>
  <c r="V291" i="2"/>
  <c r="X291" i="2"/>
  <c r="F292" i="2"/>
  <c r="H292" i="2"/>
  <c r="J292" i="2"/>
  <c r="L292" i="2"/>
  <c r="N292" i="2"/>
  <c r="P292" i="2"/>
  <c r="R292" i="2"/>
  <c r="T292" i="2"/>
  <c r="V292" i="2"/>
  <c r="X292" i="2"/>
  <c r="F293" i="2"/>
  <c r="H293" i="2"/>
  <c r="J293" i="2"/>
  <c r="L293" i="2"/>
  <c r="N293" i="2"/>
  <c r="P293" i="2"/>
  <c r="R293" i="2"/>
  <c r="T293" i="2"/>
  <c r="V293" i="2"/>
  <c r="X293" i="2"/>
  <c r="F297" i="2"/>
  <c r="H297" i="2"/>
  <c r="J297" i="2"/>
  <c r="L297" i="2"/>
  <c r="N297" i="2"/>
  <c r="P297" i="2"/>
  <c r="R297" i="2"/>
  <c r="T297" i="2"/>
  <c r="V297" i="2"/>
  <c r="X297" i="2"/>
  <c r="F298" i="2"/>
  <c r="H298" i="2"/>
  <c r="J298" i="2"/>
  <c r="L298" i="2"/>
  <c r="N298" i="2"/>
  <c r="P298" i="2"/>
  <c r="R298" i="2"/>
  <c r="T298" i="2"/>
  <c r="V298" i="2"/>
  <c r="X298" i="2"/>
  <c r="F299" i="2"/>
  <c r="H299" i="2"/>
  <c r="J299" i="2"/>
  <c r="L299" i="2"/>
  <c r="N299" i="2"/>
  <c r="P299" i="2"/>
  <c r="R299" i="2"/>
  <c r="T299" i="2"/>
  <c r="V299" i="2"/>
  <c r="X299" i="2"/>
  <c r="F303" i="2"/>
  <c r="H303" i="2"/>
  <c r="J303" i="2"/>
  <c r="L303" i="2"/>
  <c r="N303" i="2"/>
  <c r="P303" i="2"/>
  <c r="R303" i="2"/>
  <c r="T303" i="2"/>
  <c r="V303" i="2"/>
  <c r="X303" i="2"/>
  <c r="F304" i="2"/>
  <c r="H304" i="2"/>
  <c r="J304" i="2"/>
  <c r="L304" i="2"/>
  <c r="N304" i="2"/>
  <c r="P304" i="2"/>
  <c r="R304" i="2"/>
  <c r="T304" i="2"/>
  <c r="V304" i="2"/>
  <c r="X304" i="2"/>
  <c r="F305" i="2"/>
  <c r="H305" i="2"/>
  <c r="J305" i="2"/>
  <c r="L305" i="2"/>
  <c r="N305" i="2"/>
  <c r="P305" i="2"/>
  <c r="R305" i="2"/>
  <c r="T305" i="2"/>
  <c r="V305" i="2"/>
  <c r="X305" i="2"/>
  <c r="F206" i="2"/>
  <c r="H206" i="2"/>
  <c r="J206" i="2"/>
  <c r="L206" i="2"/>
  <c r="N206" i="2"/>
  <c r="P206" i="2"/>
  <c r="R206" i="2"/>
  <c r="T206" i="2"/>
  <c r="V206" i="2"/>
  <c r="X206" i="2"/>
  <c r="F207" i="2"/>
  <c r="H207" i="2"/>
  <c r="J207" i="2"/>
  <c r="L207" i="2"/>
  <c r="N207" i="2"/>
  <c r="P207" i="2"/>
  <c r="U207" i="2"/>
  <c r="W207" i="2"/>
  <c r="Y207" i="2"/>
  <c r="G208" i="2"/>
  <c r="I208" i="2"/>
  <c r="K208" i="2"/>
  <c r="M208" i="2"/>
  <c r="O208" i="2"/>
  <c r="Q208" i="2"/>
  <c r="S208" i="2"/>
  <c r="U208" i="2"/>
  <c r="W208" i="2"/>
  <c r="Y208" i="2"/>
  <c r="G212" i="2"/>
  <c r="I212" i="2"/>
  <c r="K212" i="2"/>
  <c r="M212" i="2"/>
  <c r="O212" i="2"/>
  <c r="Q212" i="2"/>
  <c r="S212" i="2"/>
  <c r="U212" i="2"/>
  <c r="W212" i="2"/>
  <c r="Y212" i="2"/>
  <c r="G213" i="2"/>
  <c r="I213" i="2"/>
  <c r="K213" i="2"/>
  <c r="M213" i="2"/>
  <c r="O213" i="2"/>
  <c r="Q213" i="2"/>
  <c r="S213" i="2"/>
  <c r="U213" i="2"/>
  <c r="W213" i="2"/>
  <c r="Y213" i="2"/>
  <c r="G214" i="2"/>
  <c r="I214" i="2"/>
  <c r="K214" i="2"/>
  <c r="M214" i="2"/>
  <c r="O214" i="2"/>
  <c r="Q214" i="2"/>
  <c r="S214" i="2"/>
  <c r="U214" i="2"/>
  <c r="W214" i="2"/>
  <c r="Y214" i="2"/>
  <c r="G218" i="2"/>
  <c r="I218" i="2"/>
  <c r="K218" i="2"/>
  <c r="M218" i="2"/>
  <c r="O218" i="2"/>
  <c r="Q218" i="2"/>
  <c r="S218" i="2"/>
  <c r="U218" i="2"/>
  <c r="W218" i="2"/>
  <c r="Y218" i="2"/>
  <c r="G219" i="2"/>
  <c r="I219" i="2"/>
  <c r="K219" i="2"/>
  <c r="M219" i="2"/>
  <c r="O219" i="2"/>
  <c r="Q219" i="2"/>
  <c r="S219" i="2"/>
  <c r="U219" i="2"/>
  <c r="W219" i="2"/>
  <c r="Y219" i="2"/>
  <c r="G220" i="2"/>
  <c r="I220" i="2"/>
  <c r="K220" i="2"/>
  <c r="M220" i="2"/>
  <c r="O220" i="2"/>
  <c r="Q220" i="2"/>
  <c r="S220" i="2"/>
  <c r="U220" i="2"/>
  <c r="W220" i="2"/>
  <c r="Y220" i="2"/>
  <c r="G224" i="2"/>
  <c r="I224" i="2"/>
  <c r="K224" i="2"/>
  <c r="M224" i="2"/>
  <c r="O224" i="2"/>
  <c r="Q224" i="2"/>
  <c r="S224" i="2"/>
  <c r="U224" i="2"/>
  <c r="W224" i="2"/>
  <c r="Y224" i="2"/>
  <c r="G225" i="2"/>
  <c r="I225" i="2"/>
  <c r="K225" i="2"/>
  <c r="M225" i="2"/>
  <c r="O225" i="2"/>
  <c r="Q225" i="2"/>
  <c r="S225" i="2"/>
  <c r="U225" i="2"/>
  <c r="W225" i="2"/>
  <c r="Y225" i="2"/>
  <c r="G226" i="2"/>
  <c r="I226" i="2"/>
  <c r="K226" i="2"/>
  <c r="M226" i="2"/>
  <c r="O226" i="2"/>
  <c r="Q226" i="2"/>
  <c r="S226" i="2"/>
  <c r="U226" i="2"/>
  <c r="W226" i="2"/>
  <c r="Y226" i="2"/>
  <c r="G169" i="2"/>
  <c r="I169" i="2"/>
  <c r="K169" i="2"/>
  <c r="M169" i="2"/>
  <c r="O169" i="2"/>
  <c r="Q169" i="2"/>
  <c r="S169" i="2"/>
  <c r="U169" i="2"/>
  <c r="W169" i="2"/>
  <c r="Y169" i="2"/>
  <c r="G170" i="2"/>
  <c r="I170" i="2"/>
  <c r="K170" i="2"/>
  <c r="M170" i="2"/>
  <c r="O170" i="2"/>
  <c r="Q170" i="2"/>
  <c r="S170" i="2"/>
  <c r="U170" i="2"/>
  <c r="W170" i="2"/>
  <c r="Y170" i="2"/>
  <c r="G171" i="2"/>
  <c r="I171" i="2"/>
  <c r="K171" i="2"/>
  <c r="M171" i="2"/>
  <c r="O171" i="2"/>
  <c r="Q171" i="2"/>
  <c r="S171" i="2"/>
  <c r="U171" i="2"/>
  <c r="W171" i="2"/>
  <c r="Y171" i="2"/>
  <c r="G175" i="2"/>
  <c r="I175" i="2"/>
  <c r="K175" i="2"/>
  <c r="M175" i="2"/>
  <c r="O175" i="2"/>
  <c r="Q175" i="2"/>
  <c r="S175" i="2"/>
  <c r="U175" i="2"/>
  <c r="W175" i="2"/>
  <c r="Y175" i="2"/>
  <c r="G176" i="2"/>
  <c r="I176" i="2"/>
  <c r="K176" i="2"/>
  <c r="M176" i="2"/>
  <c r="O176" i="2"/>
  <c r="Q176" i="2"/>
  <c r="S176" i="2"/>
  <c r="U176" i="2"/>
  <c r="W176" i="2"/>
  <c r="Y176" i="2"/>
  <c r="G177" i="2"/>
  <c r="I177" i="2"/>
  <c r="K177" i="2"/>
  <c r="M177" i="2"/>
  <c r="O177" i="2"/>
  <c r="Q177" i="2"/>
  <c r="S177" i="2"/>
  <c r="U177" i="2"/>
  <c r="W177" i="2"/>
  <c r="Y177" i="2"/>
  <c r="G181" i="2"/>
  <c r="I181" i="2"/>
  <c r="K181" i="2"/>
  <c r="M181" i="2"/>
  <c r="O181" i="2"/>
  <c r="Q181" i="2"/>
  <c r="S181" i="2"/>
  <c r="U181" i="2"/>
  <c r="W181" i="2"/>
  <c r="Y181" i="2"/>
  <c r="G182" i="2"/>
  <c r="I182" i="2"/>
  <c r="K182" i="2"/>
  <c r="M182" i="2"/>
  <c r="O182" i="2"/>
  <c r="Q182" i="2"/>
  <c r="S182" i="2"/>
  <c r="U182" i="2"/>
  <c r="W182" i="2"/>
  <c r="Y182" i="2"/>
  <c r="G183" i="2"/>
  <c r="I183" i="2"/>
  <c r="K183" i="2"/>
  <c r="M183" i="2"/>
  <c r="O183" i="2"/>
  <c r="Q183" i="2"/>
  <c r="S183" i="2"/>
  <c r="U183" i="2"/>
  <c r="W183" i="2"/>
  <c r="Y183" i="2"/>
  <c r="G187" i="2"/>
  <c r="I187" i="2"/>
  <c r="K187" i="2"/>
  <c r="M187" i="2"/>
  <c r="O187" i="2"/>
  <c r="Q187" i="2"/>
  <c r="S187" i="2"/>
  <c r="U187" i="2"/>
  <c r="W187" i="2"/>
  <c r="Y187" i="2"/>
  <c r="G188" i="2"/>
  <c r="I188" i="2"/>
  <c r="K188" i="2"/>
  <c r="M188" i="2"/>
  <c r="O188" i="2"/>
  <c r="Q188" i="2"/>
  <c r="S188" i="2"/>
  <c r="U188" i="2"/>
  <c r="W188" i="2"/>
  <c r="Y188" i="2"/>
  <c r="G189" i="2"/>
  <c r="I189" i="2"/>
  <c r="K189" i="2"/>
  <c r="M189" i="2"/>
  <c r="O189" i="2"/>
  <c r="Q189" i="2"/>
  <c r="S189" i="2"/>
  <c r="U189" i="2"/>
  <c r="W189" i="2"/>
  <c r="Y189" i="2"/>
  <c r="G193" i="2"/>
  <c r="I193" i="2"/>
  <c r="K193" i="2"/>
  <c r="M193" i="2"/>
  <c r="O193" i="2"/>
  <c r="Q193" i="2"/>
  <c r="S193" i="2"/>
  <c r="U193" i="2"/>
  <c r="W193" i="2"/>
  <c r="Y193" i="2"/>
  <c r="G194" i="2"/>
  <c r="I194" i="2"/>
  <c r="K194" i="2"/>
  <c r="M194" i="2"/>
  <c r="O194" i="2"/>
  <c r="Q194" i="2"/>
  <c r="S194" i="2"/>
  <c r="U194" i="2"/>
  <c r="W194" i="2"/>
  <c r="Y194" i="2"/>
  <c r="G195" i="2"/>
  <c r="I195" i="2"/>
  <c r="K195" i="2"/>
  <c r="M195" i="2"/>
  <c r="O195" i="2"/>
  <c r="Q195" i="2"/>
  <c r="S195" i="2"/>
  <c r="U195" i="2"/>
  <c r="W195" i="2"/>
  <c r="Y195" i="2"/>
  <c r="G108" i="2"/>
  <c r="I108" i="2"/>
  <c r="K108" i="2"/>
  <c r="M108" i="2"/>
  <c r="O108" i="2"/>
  <c r="Q108" i="2"/>
  <c r="S108" i="2"/>
  <c r="U108" i="2"/>
  <c r="W108" i="2"/>
  <c r="Y108" i="2"/>
  <c r="G109" i="2"/>
  <c r="I109" i="2"/>
  <c r="K109" i="2"/>
  <c r="M109" i="2"/>
  <c r="O109" i="2"/>
  <c r="Q109" i="2"/>
  <c r="S109" i="2"/>
  <c r="U109" i="2"/>
  <c r="W109" i="2"/>
  <c r="Y109" i="2"/>
  <c r="G110" i="2"/>
  <c r="I110" i="2"/>
  <c r="K110" i="2"/>
  <c r="M110" i="2"/>
  <c r="O110" i="2"/>
  <c r="Q110" i="2"/>
  <c r="S110" i="2"/>
  <c r="U110" i="2"/>
  <c r="W110" i="2"/>
  <c r="Y110" i="2"/>
  <c r="G114" i="2"/>
  <c r="I114" i="2"/>
  <c r="K114" i="2"/>
  <c r="M114" i="2"/>
  <c r="O114" i="2"/>
  <c r="Q114" i="2"/>
  <c r="S114" i="2"/>
  <c r="U114" i="2"/>
  <c r="W114" i="2"/>
  <c r="Y114" i="2"/>
  <c r="G115" i="2"/>
  <c r="I115" i="2"/>
  <c r="K115" i="2"/>
  <c r="M115" i="2"/>
  <c r="O115" i="2"/>
  <c r="Q115" i="2"/>
  <c r="S115" i="2"/>
  <c r="U115" i="2"/>
  <c r="W115" i="2"/>
  <c r="Y115" i="2"/>
  <c r="G116" i="2"/>
  <c r="I116" i="2"/>
  <c r="K116" i="2"/>
  <c r="M116" i="2"/>
  <c r="O116" i="2"/>
  <c r="Q116" i="2"/>
  <c r="S116" i="2"/>
  <c r="U116" i="2"/>
  <c r="W116" i="2"/>
  <c r="Y116" i="2"/>
  <c r="G120" i="2"/>
  <c r="I120" i="2"/>
  <c r="K120" i="2"/>
  <c r="M120" i="2"/>
  <c r="O120" i="2"/>
  <c r="Q120" i="2"/>
  <c r="S120" i="2"/>
  <c r="U120" i="2"/>
  <c r="W120" i="2"/>
  <c r="Y120" i="2"/>
  <c r="G121" i="2"/>
  <c r="I121" i="2"/>
  <c r="K121" i="2"/>
  <c r="M121" i="2"/>
  <c r="O121" i="2"/>
  <c r="Q121" i="2"/>
  <c r="S121" i="2"/>
  <c r="U121" i="2"/>
  <c r="W121" i="2"/>
  <c r="Y121" i="2"/>
  <c r="G122" i="2"/>
  <c r="I122" i="2"/>
  <c r="K122" i="2"/>
  <c r="M122" i="2"/>
  <c r="O122" i="2"/>
  <c r="Q122" i="2"/>
  <c r="S122" i="2"/>
  <c r="U122" i="2"/>
  <c r="W122" i="2"/>
  <c r="Y122" i="2"/>
  <c r="F126" i="2"/>
  <c r="H126" i="2"/>
  <c r="J126" i="2"/>
  <c r="L126" i="2"/>
  <c r="N126" i="2"/>
  <c r="P126" i="2"/>
  <c r="R126" i="2"/>
  <c r="T126" i="2"/>
  <c r="V126" i="2"/>
  <c r="X126" i="2"/>
  <c r="F127" i="2"/>
  <c r="H127" i="2"/>
  <c r="J127" i="2"/>
  <c r="L127" i="2"/>
  <c r="N127" i="2"/>
  <c r="P127" i="2"/>
  <c r="R127" i="2"/>
  <c r="T127" i="2"/>
  <c r="V127" i="2"/>
  <c r="X127" i="2"/>
  <c r="F128" i="2"/>
  <c r="H128" i="2"/>
  <c r="J128" i="2"/>
  <c r="L128" i="2"/>
  <c r="N128" i="2"/>
  <c r="P128" i="2"/>
  <c r="R128" i="2"/>
  <c r="T128" i="2"/>
  <c r="V128" i="2"/>
  <c r="X128" i="2"/>
  <c r="F132" i="2"/>
  <c r="H132" i="2"/>
  <c r="J132" i="2"/>
  <c r="L132" i="2"/>
  <c r="N132" i="2"/>
  <c r="P132" i="2"/>
  <c r="R132" i="2"/>
  <c r="T132" i="2"/>
  <c r="V132" i="2"/>
  <c r="X132" i="2"/>
  <c r="F133" i="2"/>
  <c r="H133" i="2"/>
  <c r="J133" i="2"/>
  <c r="L133" i="2"/>
  <c r="N133" i="2"/>
  <c r="P133" i="2"/>
  <c r="R133" i="2"/>
  <c r="T133" i="2"/>
  <c r="V133" i="2"/>
  <c r="X133" i="2"/>
  <c r="F134" i="2"/>
  <c r="H134" i="2"/>
  <c r="J134" i="2"/>
  <c r="L134" i="2"/>
  <c r="N134" i="2"/>
  <c r="P134" i="2"/>
  <c r="R134" i="2"/>
  <c r="T134" i="2"/>
  <c r="V134" i="2"/>
  <c r="X134" i="2"/>
  <c r="F138" i="2"/>
  <c r="H138" i="2"/>
  <c r="J138" i="2"/>
  <c r="L138" i="2"/>
  <c r="N138" i="2"/>
  <c r="P138" i="2"/>
  <c r="R138" i="2"/>
  <c r="T138" i="2"/>
  <c r="V138" i="2"/>
  <c r="X138" i="2"/>
  <c r="F139" i="2"/>
  <c r="H139" i="2"/>
  <c r="J139" i="2"/>
  <c r="L139" i="2"/>
  <c r="N139" i="2"/>
  <c r="P139" i="2"/>
  <c r="R139" i="2"/>
  <c r="T139" i="2"/>
  <c r="V139" i="2"/>
  <c r="X139" i="2"/>
  <c r="F140" i="2"/>
  <c r="H140" i="2"/>
  <c r="J140" i="2"/>
  <c r="L140" i="2"/>
  <c r="N140" i="2"/>
  <c r="P140" i="2"/>
  <c r="R140" i="2"/>
  <c r="T140" i="2"/>
  <c r="V140" i="2"/>
  <c r="X140" i="2"/>
  <c r="F144" i="2"/>
  <c r="H144" i="2"/>
  <c r="J144" i="2"/>
  <c r="L144" i="2"/>
  <c r="N144" i="2"/>
  <c r="P144" i="2"/>
  <c r="R144" i="2"/>
  <c r="T144" i="2"/>
  <c r="V144" i="2"/>
  <c r="X144" i="2"/>
  <c r="F145" i="2"/>
  <c r="H145" i="2"/>
  <c r="J145" i="2"/>
  <c r="L145" i="2"/>
  <c r="N145" i="2"/>
  <c r="P145" i="2"/>
  <c r="R145" i="2"/>
  <c r="T145" i="2"/>
  <c r="V145" i="2"/>
  <c r="X145" i="2"/>
  <c r="F146" i="2"/>
  <c r="H146" i="2"/>
  <c r="J146" i="2"/>
  <c r="L146" i="2"/>
  <c r="N146" i="2"/>
  <c r="P146" i="2"/>
  <c r="R146" i="2"/>
  <c r="T146" i="2"/>
  <c r="V146" i="2"/>
  <c r="X146" i="2"/>
  <c r="F150" i="2"/>
  <c r="H150" i="2"/>
  <c r="J150" i="2"/>
  <c r="L150" i="2"/>
  <c r="N150" i="2"/>
  <c r="P150" i="2"/>
  <c r="R150" i="2"/>
  <c r="T150" i="2"/>
  <c r="V150" i="2"/>
  <c r="X150" i="2"/>
  <c r="F151" i="2"/>
  <c r="H151" i="2"/>
  <c r="J151" i="2"/>
  <c r="L151" i="2"/>
  <c r="N151" i="2"/>
  <c r="P151" i="2"/>
  <c r="R151" i="2"/>
  <c r="T151" i="2"/>
  <c r="V151" i="2"/>
  <c r="X151" i="2"/>
  <c r="F152" i="2"/>
  <c r="H152" i="2"/>
  <c r="J152" i="2"/>
  <c r="L152" i="2"/>
  <c r="N152" i="2"/>
  <c r="P152" i="2"/>
  <c r="R152" i="2"/>
  <c r="T152" i="2"/>
  <c r="V152" i="2"/>
  <c r="X152" i="2"/>
  <c r="F156" i="2"/>
  <c r="H156" i="2"/>
  <c r="J156" i="2"/>
  <c r="L156" i="2"/>
  <c r="N156" i="2"/>
  <c r="P156" i="2"/>
  <c r="R156" i="2"/>
  <c r="T156" i="2"/>
  <c r="V156" i="2"/>
  <c r="X156" i="2"/>
  <c r="F157" i="2"/>
  <c r="H157" i="2"/>
  <c r="J157" i="2"/>
  <c r="L157" i="2"/>
  <c r="N157" i="2"/>
  <c r="P157" i="2"/>
  <c r="R157" i="2"/>
  <c r="T157" i="2"/>
  <c r="V157" i="2"/>
  <c r="X157" i="2"/>
  <c r="F158" i="2"/>
  <c r="H158" i="2"/>
  <c r="J158" i="2"/>
  <c r="L158" i="2"/>
  <c r="N158" i="2"/>
  <c r="P158" i="2"/>
  <c r="R158" i="2"/>
  <c r="T158" i="2"/>
  <c r="V158" i="2"/>
  <c r="X158" i="2"/>
  <c r="F22" i="2"/>
  <c r="H22" i="2"/>
  <c r="J22" i="2"/>
  <c r="L22" i="2"/>
  <c r="N22" i="2"/>
  <c r="P22" i="2"/>
  <c r="R22" i="2"/>
  <c r="T22" i="2"/>
  <c r="V22" i="2"/>
  <c r="X22" i="2"/>
  <c r="F23" i="2"/>
  <c r="H23" i="2"/>
  <c r="J23" i="2"/>
  <c r="L23" i="2"/>
  <c r="N23" i="2"/>
  <c r="P23" i="2"/>
  <c r="T23" i="2"/>
  <c r="V23" i="2"/>
  <c r="X23" i="2"/>
  <c r="F24" i="2"/>
  <c r="H24" i="2"/>
  <c r="J24" i="2"/>
  <c r="L24" i="2"/>
  <c r="N24" i="2"/>
  <c r="P24" i="2"/>
  <c r="R24" i="2"/>
  <c r="U24" i="2"/>
  <c r="W24" i="2"/>
  <c r="Y24" i="2"/>
  <c r="H28" i="2"/>
  <c r="J28" i="2"/>
  <c r="L28" i="2"/>
  <c r="N28" i="2"/>
  <c r="P28" i="2"/>
  <c r="R28" i="2"/>
  <c r="T28" i="2"/>
  <c r="V28" i="2"/>
  <c r="X28" i="2"/>
  <c r="F29" i="2"/>
  <c r="H29" i="2"/>
  <c r="J29" i="2"/>
  <c r="L29" i="2"/>
  <c r="N29" i="2"/>
  <c r="R29" i="2"/>
  <c r="T29" i="2"/>
  <c r="V29" i="2"/>
  <c r="X29" i="2"/>
  <c r="F30" i="2"/>
  <c r="H30" i="2"/>
  <c r="J30" i="2"/>
  <c r="L30" i="2"/>
  <c r="N30" i="2"/>
  <c r="R30" i="2"/>
  <c r="T30" i="2"/>
  <c r="V30" i="2"/>
  <c r="X30" i="2"/>
  <c r="F34" i="2"/>
  <c r="H34" i="2"/>
  <c r="J34" i="2"/>
  <c r="L34" i="2"/>
  <c r="N34" i="2"/>
  <c r="P34" i="2"/>
  <c r="R34" i="2"/>
  <c r="T34" i="2"/>
  <c r="V34" i="2"/>
  <c r="X34" i="2"/>
  <c r="F35" i="2"/>
  <c r="H35" i="2"/>
  <c r="J35" i="2"/>
  <c r="L35" i="2"/>
  <c r="N35" i="2"/>
  <c r="P35" i="2"/>
  <c r="R35" i="2"/>
  <c r="T35" i="2"/>
  <c r="V35" i="2"/>
  <c r="X35" i="2"/>
  <c r="F36" i="2"/>
  <c r="H36" i="2"/>
  <c r="J36" i="2"/>
  <c r="L36" i="2"/>
  <c r="N36" i="2"/>
  <c r="P36" i="2"/>
  <c r="R36" i="2"/>
  <c r="T36" i="2"/>
  <c r="V36" i="2"/>
  <c r="X36" i="2"/>
  <c r="G40" i="2"/>
  <c r="I40" i="2"/>
  <c r="K40" i="2"/>
  <c r="M40" i="2"/>
  <c r="O40" i="2"/>
  <c r="Q40" i="2"/>
  <c r="S40" i="2"/>
  <c r="U40" i="2"/>
  <c r="W40" i="2"/>
  <c r="Y40" i="2"/>
  <c r="G41" i="2"/>
  <c r="I41" i="2"/>
  <c r="K41" i="2"/>
  <c r="M41" i="2"/>
  <c r="O41" i="2"/>
  <c r="Q41" i="2"/>
  <c r="S41" i="2"/>
  <c r="U41" i="2"/>
  <c r="W41" i="2"/>
  <c r="Y41" i="2"/>
  <c r="G42" i="2"/>
  <c r="I42" i="2"/>
  <c r="K42" i="2"/>
  <c r="M42" i="2"/>
  <c r="O42" i="2"/>
  <c r="Q42" i="2"/>
  <c r="S42" i="2"/>
  <c r="U42" i="2"/>
  <c r="W42" i="2"/>
  <c r="Y42" i="2"/>
  <c r="G46" i="2"/>
  <c r="I46" i="2"/>
  <c r="K46" i="2"/>
  <c r="M46" i="2"/>
  <c r="O46" i="2"/>
  <c r="Q46" i="2"/>
  <c r="S46" i="2"/>
  <c r="U46" i="2"/>
  <c r="W46" i="2"/>
  <c r="Y46" i="2"/>
  <c r="G47" i="2"/>
  <c r="I47" i="2"/>
  <c r="K47" i="2"/>
  <c r="M47" i="2"/>
  <c r="O47" i="2"/>
  <c r="Q47" i="2"/>
  <c r="S47" i="2"/>
  <c r="U47" i="2"/>
  <c r="W47" i="2"/>
  <c r="Y47" i="2"/>
  <c r="G48" i="2"/>
  <c r="I48" i="2"/>
  <c r="K48" i="2"/>
  <c r="M48" i="2"/>
  <c r="O48" i="2"/>
  <c r="Q48" i="2"/>
  <c r="S48" i="2"/>
  <c r="U48" i="2"/>
  <c r="W48" i="2"/>
  <c r="Y48" i="2"/>
  <c r="G52" i="2"/>
  <c r="I52" i="2"/>
  <c r="K52" i="2"/>
  <c r="M52" i="2"/>
  <c r="O52" i="2"/>
  <c r="Q52" i="2"/>
  <c r="S52" i="2"/>
  <c r="U52" i="2"/>
  <c r="W52" i="2"/>
  <c r="Y52" i="2"/>
  <c r="G53" i="2"/>
  <c r="I53" i="2"/>
  <c r="K53" i="2"/>
  <c r="M53" i="2"/>
  <c r="O53" i="2"/>
  <c r="Q53" i="2"/>
  <c r="S53" i="2"/>
  <c r="U53" i="2"/>
  <c r="W53" i="2"/>
  <c r="Y53" i="2"/>
  <c r="G54" i="2"/>
  <c r="I54" i="2"/>
  <c r="K54" i="2"/>
  <c r="M54" i="2"/>
  <c r="O54" i="2"/>
  <c r="Q54" i="2"/>
  <c r="S54" i="2"/>
  <c r="U54" i="2"/>
  <c r="W54" i="2"/>
  <c r="Y54" i="2"/>
  <c r="G58" i="2"/>
  <c r="I58" i="2"/>
  <c r="K58" i="2"/>
  <c r="M58" i="2"/>
  <c r="O58" i="2"/>
  <c r="Q58" i="2"/>
  <c r="S58" i="2"/>
  <c r="U58" i="2"/>
  <c r="W58" i="2"/>
  <c r="Y58" i="2"/>
  <c r="G59" i="2"/>
  <c r="I59" i="2"/>
  <c r="K59" i="2"/>
  <c r="M59" i="2"/>
  <c r="O59" i="2"/>
  <c r="Q59" i="2"/>
  <c r="S59" i="2"/>
  <c r="U59" i="2"/>
  <c r="W59" i="2"/>
  <c r="Y59" i="2"/>
  <c r="G60" i="2"/>
  <c r="I60" i="2"/>
  <c r="K60" i="2"/>
  <c r="M60" i="2"/>
  <c r="O60" i="2"/>
  <c r="Q60" i="2"/>
  <c r="S60" i="2"/>
  <c r="U60" i="2"/>
  <c r="W60" i="2"/>
  <c r="Y60" i="2"/>
  <c r="G64" i="2"/>
  <c r="I64" i="2"/>
  <c r="K64" i="2"/>
  <c r="M64" i="2"/>
  <c r="O64" i="2"/>
  <c r="Q64" i="2"/>
  <c r="S64" i="2"/>
  <c r="U64" i="2"/>
  <c r="W64" i="2"/>
  <c r="Y64" i="2"/>
  <c r="G65" i="2"/>
  <c r="I65" i="2"/>
  <c r="K65" i="2"/>
  <c r="M65" i="2"/>
  <c r="O65" i="2"/>
  <c r="Q65" i="2"/>
  <c r="S65" i="2"/>
  <c r="U65" i="2"/>
  <c r="W65" i="2"/>
  <c r="Y65" i="2"/>
  <c r="G66" i="2"/>
  <c r="I66" i="2"/>
  <c r="K66" i="2"/>
  <c r="M66" i="2"/>
  <c r="O66" i="2"/>
  <c r="Q66" i="2"/>
  <c r="S66" i="2"/>
  <c r="U66" i="2"/>
  <c r="W66" i="2"/>
  <c r="Y66" i="2"/>
  <c r="F77" i="2"/>
  <c r="H77" i="2"/>
  <c r="J77" i="2"/>
  <c r="L77" i="2"/>
  <c r="N77" i="2"/>
  <c r="P77" i="2"/>
  <c r="R77" i="2"/>
  <c r="T77" i="2"/>
  <c r="V77" i="2"/>
  <c r="X77" i="2"/>
  <c r="F78" i="2"/>
  <c r="H78" i="2"/>
  <c r="J78" i="2"/>
  <c r="L78" i="2"/>
  <c r="N78" i="2"/>
  <c r="P78" i="2"/>
  <c r="R78" i="2"/>
  <c r="T78" i="2"/>
  <c r="V78" i="2"/>
  <c r="X78" i="2"/>
  <c r="F79" i="2"/>
  <c r="H79" i="2"/>
  <c r="J79" i="2"/>
  <c r="L79" i="2"/>
  <c r="N79" i="2"/>
  <c r="P79" i="2"/>
  <c r="R79" i="2"/>
  <c r="T79" i="2"/>
  <c r="V79" i="2"/>
  <c r="X79" i="2"/>
  <c r="F83" i="2"/>
  <c r="H83" i="2"/>
  <c r="J83" i="2"/>
  <c r="L83" i="2"/>
  <c r="N83" i="2"/>
  <c r="P83" i="2"/>
  <c r="R83" i="2"/>
  <c r="T83" i="2"/>
  <c r="V83" i="2"/>
  <c r="X83" i="2"/>
  <c r="F84" i="2"/>
  <c r="H84" i="2"/>
  <c r="J84" i="2"/>
  <c r="L84" i="2"/>
  <c r="N84" i="2"/>
  <c r="P84" i="2"/>
  <c r="R84" i="2"/>
  <c r="T84" i="2"/>
  <c r="V84" i="2"/>
  <c r="X84" i="2"/>
  <c r="F85" i="2"/>
  <c r="H85" i="2"/>
  <c r="J85" i="2"/>
  <c r="L85" i="2"/>
  <c r="N85" i="2"/>
  <c r="P85" i="2"/>
  <c r="R85" i="2"/>
  <c r="T85" i="2"/>
  <c r="V85" i="2"/>
  <c r="X85" i="2"/>
  <c r="G89" i="2"/>
  <c r="I89" i="2"/>
  <c r="K89" i="2"/>
  <c r="M89" i="2"/>
  <c r="O89" i="2"/>
  <c r="Q89" i="2"/>
  <c r="S89" i="2"/>
  <c r="U89" i="2"/>
  <c r="W89" i="2"/>
  <c r="Y89" i="2"/>
  <c r="G90" i="2"/>
  <c r="I90" i="2"/>
  <c r="K90" i="2"/>
  <c r="M90" i="2"/>
  <c r="O90" i="2"/>
  <c r="Q90" i="2"/>
  <c r="S90" i="2"/>
  <c r="U90" i="2"/>
  <c r="W90" i="2"/>
  <c r="Y90" i="2"/>
  <c r="G91" i="2"/>
  <c r="I91" i="2"/>
  <c r="K91" i="2"/>
  <c r="M91" i="2"/>
  <c r="O91" i="2"/>
  <c r="Q91" i="2"/>
  <c r="S91" i="2"/>
  <c r="U91" i="2"/>
  <c r="W91" i="2"/>
  <c r="Y91" i="2"/>
  <c r="G95" i="2"/>
  <c r="I95" i="2"/>
  <c r="K95" i="2"/>
  <c r="M95" i="2"/>
  <c r="O95" i="2"/>
  <c r="Q95" i="2"/>
  <c r="S95" i="2"/>
  <c r="U95" i="2"/>
  <c r="W95" i="2"/>
  <c r="Y95" i="2"/>
  <c r="G96" i="2"/>
  <c r="I96" i="2"/>
  <c r="K96" i="2"/>
  <c r="M96" i="2"/>
  <c r="O96" i="2"/>
  <c r="Q96" i="2"/>
  <c r="S96" i="2"/>
  <c r="U96" i="2"/>
  <c r="W96" i="2"/>
  <c r="Y96" i="2"/>
  <c r="G97" i="2"/>
  <c r="I97" i="2"/>
  <c r="K97" i="2"/>
  <c r="M97" i="2"/>
  <c r="O97" i="2"/>
  <c r="Q97" i="2"/>
  <c r="S97" i="2"/>
  <c r="U97" i="2"/>
  <c r="W97" i="2"/>
  <c r="Y97" i="2"/>
  <c r="T64" i="2"/>
  <c r="H65" i="2"/>
  <c r="L65" i="2"/>
  <c r="P65" i="2"/>
  <c r="R65" i="2"/>
  <c r="V65" i="2"/>
  <c r="F66" i="2"/>
  <c r="J66" i="2"/>
  <c r="N66" i="2"/>
  <c r="R66" i="2"/>
  <c r="V66" i="2"/>
  <c r="I77" i="2"/>
  <c r="M77" i="2"/>
  <c r="Q77" i="2"/>
  <c r="U77" i="2"/>
  <c r="Y77" i="2"/>
  <c r="I78" i="2"/>
  <c r="K78" i="2"/>
  <c r="O78" i="2"/>
  <c r="S78" i="2"/>
  <c r="W78" i="2"/>
  <c r="G79" i="2"/>
  <c r="K79" i="2"/>
  <c r="O79" i="2"/>
  <c r="S79" i="2"/>
  <c r="W79" i="2"/>
  <c r="I83" i="2"/>
  <c r="M83" i="2"/>
  <c r="Q83" i="2"/>
  <c r="U83" i="2"/>
  <c r="Y83" i="2"/>
  <c r="I84" i="2"/>
  <c r="K84" i="2"/>
  <c r="O84" i="2"/>
  <c r="S84" i="2"/>
  <c r="W84" i="2"/>
  <c r="G85" i="2"/>
  <c r="K85" i="2"/>
  <c r="O85" i="2"/>
  <c r="S85" i="2"/>
  <c r="W85" i="2"/>
  <c r="F89" i="2"/>
  <c r="J89" i="2"/>
  <c r="N89" i="2"/>
  <c r="R89" i="2"/>
  <c r="V89" i="2"/>
  <c r="F90" i="2"/>
  <c r="J90" i="2"/>
  <c r="L90" i="2"/>
  <c r="P90" i="2"/>
  <c r="T90" i="2"/>
  <c r="X90" i="2"/>
  <c r="H91" i="2"/>
  <c r="L91" i="2"/>
  <c r="P91" i="2"/>
  <c r="T91" i="2"/>
  <c r="X91" i="2"/>
  <c r="F95" i="2"/>
  <c r="J95" i="2"/>
  <c r="N95" i="2"/>
  <c r="R95" i="2"/>
  <c r="V95" i="2"/>
  <c r="F96" i="2"/>
  <c r="J96" i="2"/>
  <c r="N96" i="2"/>
  <c r="R96" i="2"/>
  <c r="V96" i="2"/>
  <c r="X96" i="2"/>
  <c r="H97" i="2"/>
  <c r="L97" i="2"/>
  <c r="P97" i="2"/>
  <c r="T97" i="2"/>
  <c r="X97" i="2"/>
  <c r="F316" i="2"/>
  <c r="H316" i="2"/>
  <c r="J316" i="2"/>
  <c r="L316" i="2"/>
  <c r="N316" i="2"/>
  <c r="P316" i="2"/>
  <c r="R316" i="2"/>
  <c r="U316" i="2"/>
  <c r="W316" i="2"/>
  <c r="Y316" i="2"/>
  <c r="G317" i="2"/>
  <c r="I317" i="2"/>
  <c r="K317" i="2"/>
  <c r="M317" i="2"/>
  <c r="O317" i="2"/>
  <c r="Q317" i="2"/>
  <c r="T317" i="2"/>
  <c r="V317" i="2"/>
  <c r="X317" i="2"/>
  <c r="F318" i="2"/>
  <c r="H318" i="2"/>
  <c r="J318" i="2"/>
  <c r="L318" i="2"/>
  <c r="N318" i="2"/>
  <c r="P318" i="2"/>
  <c r="R318" i="2"/>
  <c r="U318" i="2"/>
  <c r="W318" i="2"/>
  <c r="Y318" i="2"/>
  <c r="G322" i="2"/>
  <c r="I322" i="2"/>
  <c r="K322" i="2"/>
  <c r="M322" i="2"/>
  <c r="O322" i="2"/>
  <c r="Q322" i="2"/>
  <c r="S322" i="2"/>
  <c r="V322" i="2"/>
  <c r="X322" i="2"/>
  <c r="F323" i="2"/>
  <c r="H323" i="2"/>
  <c r="J323" i="2"/>
  <c r="L323" i="2"/>
  <c r="N323" i="2"/>
  <c r="P323" i="2"/>
  <c r="R323" i="2"/>
  <c r="T323" i="2"/>
  <c r="V323" i="2"/>
  <c r="X323" i="2"/>
  <c r="F324" i="2"/>
  <c r="H324" i="2"/>
  <c r="J324" i="2"/>
  <c r="L324" i="2"/>
  <c r="N324" i="2"/>
  <c r="P324" i="2"/>
  <c r="R324" i="2"/>
  <c r="T324" i="2"/>
  <c r="V324" i="2"/>
  <c r="X324" i="2"/>
  <c r="F237" i="2"/>
  <c r="H237" i="2"/>
  <c r="J237" i="2"/>
  <c r="L237" i="2"/>
  <c r="N237" i="2"/>
  <c r="P237" i="2"/>
  <c r="R237" i="2"/>
  <c r="T237" i="2"/>
  <c r="V237" i="2"/>
  <c r="X237" i="2"/>
  <c r="F238" i="2"/>
  <c r="H238" i="2"/>
  <c r="J238" i="2"/>
  <c r="L238" i="2"/>
  <c r="N238" i="2"/>
  <c r="P238" i="2"/>
  <c r="R238" i="2"/>
  <c r="T238" i="2"/>
  <c r="V238" i="2"/>
  <c r="X238" i="2"/>
  <c r="F239" i="2"/>
  <c r="H239" i="2"/>
  <c r="J239" i="2"/>
  <c r="L239" i="2"/>
  <c r="N239" i="2"/>
  <c r="Q239" i="2"/>
  <c r="S239" i="2"/>
  <c r="U239" i="2"/>
  <c r="W239" i="2"/>
  <c r="Y239" i="2"/>
  <c r="F243" i="2"/>
  <c r="H243" i="2"/>
  <c r="J243" i="2"/>
  <c r="L243" i="2"/>
  <c r="N243" i="2"/>
  <c r="P243" i="2"/>
  <c r="R243" i="2"/>
  <c r="T243" i="2"/>
  <c r="V243" i="2"/>
  <c r="X243" i="2"/>
  <c r="F244" i="2"/>
  <c r="H244" i="2"/>
  <c r="J244" i="2"/>
  <c r="L244" i="2"/>
  <c r="N244" i="2"/>
  <c r="P244" i="2"/>
  <c r="R244" i="2"/>
  <c r="T244" i="2"/>
  <c r="V244" i="2"/>
  <c r="X244" i="2"/>
  <c r="F245" i="2"/>
  <c r="H245" i="2"/>
  <c r="J245" i="2"/>
  <c r="L245" i="2"/>
  <c r="N245" i="2"/>
  <c r="P245" i="2"/>
  <c r="R245" i="2"/>
  <c r="T245" i="2"/>
  <c r="V245" i="2"/>
  <c r="X245" i="2"/>
  <c r="F249" i="2"/>
  <c r="H249" i="2"/>
  <c r="J249" i="2"/>
  <c r="L249" i="2"/>
  <c r="N249" i="2"/>
  <c r="P249" i="2"/>
  <c r="R249" i="2"/>
  <c r="T249" i="2"/>
  <c r="V249" i="2"/>
  <c r="X249" i="2"/>
  <c r="F250" i="2"/>
  <c r="H250" i="2"/>
  <c r="J250" i="2"/>
  <c r="L250" i="2"/>
  <c r="N250" i="2"/>
  <c r="P250" i="2"/>
  <c r="R250" i="2"/>
  <c r="T250" i="2"/>
  <c r="V250" i="2"/>
  <c r="X250" i="2"/>
  <c r="F251" i="2"/>
  <c r="H251" i="2"/>
  <c r="J251" i="2"/>
  <c r="L251" i="2"/>
  <c r="N251" i="2"/>
  <c r="P251" i="2"/>
  <c r="R251" i="2"/>
  <c r="T251" i="2"/>
  <c r="V251" i="2"/>
  <c r="X251" i="2"/>
  <c r="G255" i="2"/>
  <c r="I255" i="2"/>
  <c r="K255" i="2"/>
  <c r="M255" i="2"/>
  <c r="O255" i="2"/>
  <c r="Q255" i="2"/>
  <c r="S255" i="2"/>
  <c r="U255" i="2"/>
  <c r="W255" i="2"/>
  <c r="Y255" i="2"/>
  <c r="G256" i="2"/>
  <c r="I256" i="2"/>
  <c r="K256" i="2"/>
  <c r="M256" i="2"/>
  <c r="O256" i="2"/>
  <c r="Q256" i="2"/>
  <c r="S256" i="2"/>
  <c r="U256" i="2"/>
  <c r="W256" i="2"/>
  <c r="Y256" i="2"/>
  <c r="G257" i="2"/>
  <c r="I257" i="2"/>
  <c r="K257" i="2"/>
  <c r="M257" i="2"/>
  <c r="O257" i="2"/>
  <c r="Q257" i="2"/>
  <c r="S257" i="2"/>
  <c r="U257" i="2"/>
  <c r="W257" i="2"/>
  <c r="Y257" i="2"/>
  <c r="G261" i="2"/>
  <c r="I261" i="2"/>
  <c r="K261" i="2"/>
  <c r="M261" i="2"/>
  <c r="O261" i="2"/>
  <c r="Q261" i="2"/>
  <c r="S261" i="2"/>
  <c r="U261" i="2"/>
  <c r="W261" i="2"/>
  <c r="Y261" i="2"/>
  <c r="G262" i="2"/>
  <c r="I262" i="2"/>
  <c r="K262" i="2"/>
  <c r="M262" i="2"/>
  <c r="O262" i="2"/>
  <c r="Q262" i="2"/>
  <c r="S262" i="2"/>
  <c r="U262" i="2"/>
  <c r="W262" i="2"/>
  <c r="Y262" i="2"/>
  <c r="G263" i="2"/>
  <c r="I263" i="2"/>
  <c r="K263" i="2"/>
  <c r="M263" i="2"/>
  <c r="O263" i="2"/>
  <c r="Q263" i="2"/>
  <c r="S263" i="2"/>
  <c r="U263" i="2"/>
  <c r="W263" i="2"/>
  <c r="Y263" i="2"/>
  <c r="G267" i="2"/>
  <c r="I267" i="2"/>
  <c r="K267" i="2"/>
  <c r="M267" i="2"/>
  <c r="O267" i="2"/>
  <c r="Q267" i="2"/>
  <c r="S267" i="2"/>
  <c r="U267" i="2"/>
  <c r="W267" i="2"/>
  <c r="Y267" i="2"/>
  <c r="G268" i="2"/>
  <c r="I268" i="2"/>
  <c r="K268" i="2"/>
  <c r="M268" i="2"/>
  <c r="O268" i="2"/>
  <c r="Q268" i="2"/>
  <c r="S268" i="2"/>
  <c r="U268" i="2"/>
  <c r="W268" i="2"/>
  <c r="Y268" i="2"/>
  <c r="G269" i="2"/>
  <c r="I269" i="2"/>
  <c r="K269" i="2"/>
  <c r="M269" i="2"/>
  <c r="O269" i="2"/>
  <c r="Q269" i="2"/>
  <c r="S269" i="2"/>
  <c r="U269" i="2"/>
  <c r="W269" i="2"/>
  <c r="Y269" i="2"/>
  <c r="G273" i="2"/>
  <c r="I273" i="2"/>
  <c r="K273" i="2"/>
  <c r="M273" i="2"/>
  <c r="O273" i="2"/>
  <c r="Q273" i="2"/>
  <c r="S273" i="2"/>
  <c r="U273" i="2"/>
  <c r="W273" i="2"/>
  <c r="Y273" i="2"/>
  <c r="G274" i="2"/>
  <c r="I274" i="2"/>
  <c r="K274" i="2"/>
  <c r="M274" i="2"/>
  <c r="O274" i="2"/>
  <c r="Q274" i="2"/>
  <c r="S274" i="2"/>
  <c r="U274" i="2"/>
  <c r="W274" i="2"/>
  <c r="Y274" i="2"/>
  <c r="G275" i="2"/>
  <c r="I275" i="2"/>
  <c r="K275" i="2"/>
  <c r="M275" i="2"/>
  <c r="O275" i="2"/>
  <c r="Q275" i="2"/>
  <c r="S275" i="2"/>
  <c r="U275" i="2"/>
  <c r="W275" i="2"/>
  <c r="Y275" i="2"/>
  <c r="G279" i="2"/>
  <c r="I279" i="2"/>
  <c r="K279" i="2"/>
  <c r="M279" i="2"/>
  <c r="O279" i="2"/>
  <c r="Q279" i="2"/>
  <c r="S279" i="2"/>
  <c r="U279" i="2"/>
  <c r="W279" i="2"/>
  <c r="Y279" i="2"/>
  <c r="G280" i="2"/>
  <c r="I280" i="2"/>
  <c r="K280" i="2"/>
  <c r="M280" i="2"/>
  <c r="O280" i="2"/>
  <c r="Q280" i="2"/>
  <c r="S280" i="2"/>
  <c r="U280" i="2"/>
  <c r="W280" i="2"/>
  <c r="Y280" i="2"/>
  <c r="G281" i="2"/>
  <c r="I281" i="2"/>
  <c r="K281" i="2"/>
  <c r="M281" i="2"/>
  <c r="O281" i="2"/>
  <c r="Q281" i="2"/>
  <c r="S281" i="2"/>
  <c r="U281" i="2"/>
  <c r="W281" i="2"/>
  <c r="Y281" i="2"/>
  <c r="G285" i="2"/>
  <c r="I285" i="2"/>
  <c r="K285" i="2"/>
  <c r="M285" i="2"/>
  <c r="O285" i="2"/>
  <c r="Q285" i="2"/>
  <c r="S285" i="2"/>
  <c r="U285" i="2"/>
  <c r="W285" i="2"/>
  <c r="Y285" i="2"/>
  <c r="G286" i="2"/>
  <c r="I286" i="2"/>
  <c r="K286" i="2"/>
  <c r="M286" i="2"/>
  <c r="O286" i="2"/>
  <c r="Q286" i="2"/>
  <c r="S286" i="2"/>
  <c r="U286" i="2"/>
  <c r="W286" i="2"/>
  <c r="Y286" i="2"/>
  <c r="G287" i="2"/>
  <c r="I287" i="2"/>
  <c r="K287" i="2"/>
  <c r="M287" i="2"/>
  <c r="O287" i="2"/>
  <c r="Q287" i="2"/>
  <c r="S287" i="2"/>
  <c r="U287" i="2"/>
  <c r="W287" i="2"/>
  <c r="Y287" i="2"/>
  <c r="G291" i="2"/>
  <c r="I291" i="2"/>
  <c r="K291" i="2"/>
  <c r="M291" i="2"/>
  <c r="O291" i="2"/>
  <c r="Q291" i="2"/>
  <c r="S291" i="2"/>
  <c r="U291" i="2"/>
  <c r="W291" i="2"/>
  <c r="Y291" i="2"/>
  <c r="G292" i="2"/>
  <c r="I292" i="2"/>
  <c r="K292" i="2"/>
  <c r="M292" i="2"/>
  <c r="O292" i="2"/>
  <c r="Q292" i="2"/>
  <c r="S292" i="2"/>
  <c r="U292" i="2"/>
  <c r="W292" i="2"/>
  <c r="Y292" i="2"/>
  <c r="G293" i="2"/>
  <c r="I293" i="2"/>
  <c r="K293" i="2"/>
  <c r="M293" i="2"/>
  <c r="O293" i="2"/>
  <c r="Q293" i="2"/>
  <c r="S293" i="2"/>
  <c r="U293" i="2"/>
  <c r="W293" i="2"/>
  <c r="Y293" i="2"/>
  <c r="G297" i="2"/>
  <c r="I297" i="2"/>
  <c r="K297" i="2"/>
  <c r="M297" i="2"/>
  <c r="O297" i="2"/>
  <c r="Q297" i="2"/>
  <c r="S297" i="2"/>
  <c r="U297" i="2"/>
  <c r="W297" i="2"/>
  <c r="Y297" i="2"/>
  <c r="G298" i="2"/>
  <c r="I298" i="2"/>
  <c r="K298" i="2"/>
  <c r="M298" i="2"/>
  <c r="O298" i="2"/>
  <c r="Q298" i="2"/>
  <c r="S298" i="2"/>
  <c r="U298" i="2"/>
  <c r="W298" i="2"/>
  <c r="Y298" i="2"/>
  <c r="G299" i="2"/>
  <c r="I299" i="2"/>
  <c r="K299" i="2"/>
  <c r="M299" i="2"/>
  <c r="O299" i="2"/>
  <c r="Q299" i="2"/>
  <c r="S299" i="2"/>
  <c r="U299" i="2"/>
  <c r="W299" i="2"/>
  <c r="Y299" i="2"/>
  <c r="G303" i="2"/>
  <c r="I303" i="2"/>
  <c r="K303" i="2"/>
  <c r="M303" i="2"/>
  <c r="O303" i="2"/>
  <c r="Q303" i="2"/>
  <c r="S303" i="2"/>
  <c r="U303" i="2"/>
  <c r="W303" i="2"/>
  <c r="Y303" i="2"/>
  <c r="G304" i="2"/>
  <c r="I304" i="2"/>
  <c r="K304" i="2"/>
  <c r="M304" i="2"/>
  <c r="O304" i="2"/>
  <c r="Q304" i="2"/>
  <c r="S304" i="2"/>
  <c r="U304" i="2"/>
  <c r="W304" i="2"/>
  <c r="Y304" i="2"/>
  <c r="G305" i="2"/>
  <c r="I305" i="2"/>
  <c r="K305" i="2"/>
  <c r="M305" i="2"/>
  <c r="O305" i="2"/>
  <c r="Q305" i="2"/>
  <c r="S305" i="2"/>
  <c r="U305" i="2"/>
  <c r="W305" i="2"/>
  <c r="Y305" i="2"/>
  <c r="G206" i="2"/>
  <c r="I206" i="2"/>
  <c r="K206" i="2"/>
  <c r="M206" i="2"/>
  <c r="O206" i="2"/>
  <c r="Q206" i="2"/>
  <c r="S206" i="2"/>
  <c r="U206" i="2"/>
  <c r="W206" i="2"/>
  <c r="Y206" i="2"/>
  <c r="G207" i="2"/>
  <c r="I207" i="2"/>
  <c r="K207" i="2"/>
  <c r="M207" i="2"/>
  <c r="O207" i="2"/>
  <c r="T207" i="2"/>
  <c r="V207" i="2"/>
  <c r="X207" i="2"/>
  <c r="F208" i="2"/>
  <c r="H208" i="2"/>
  <c r="J208" i="2"/>
  <c r="L208" i="2"/>
  <c r="N208" i="2"/>
  <c r="P208" i="2"/>
  <c r="R208" i="2"/>
  <c r="T208" i="2"/>
  <c r="V208" i="2"/>
  <c r="X208" i="2"/>
  <c r="F212" i="2"/>
  <c r="H212" i="2"/>
  <c r="J212" i="2"/>
  <c r="L212" i="2"/>
  <c r="N212" i="2"/>
  <c r="P212" i="2"/>
  <c r="R212" i="2"/>
  <c r="T212" i="2"/>
  <c r="V212" i="2"/>
  <c r="X212" i="2"/>
  <c r="F213" i="2"/>
  <c r="H213" i="2"/>
  <c r="J213" i="2"/>
  <c r="L213" i="2"/>
  <c r="N213" i="2"/>
  <c r="P213" i="2"/>
  <c r="R213" i="2"/>
  <c r="T213" i="2"/>
  <c r="V213" i="2"/>
  <c r="X213" i="2"/>
  <c r="F214" i="2"/>
  <c r="H214" i="2"/>
  <c r="J214" i="2"/>
  <c r="L214" i="2"/>
  <c r="N214" i="2"/>
  <c r="P214" i="2"/>
  <c r="R214" i="2"/>
  <c r="T214" i="2"/>
  <c r="V214" i="2"/>
  <c r="X214" i="2"/>
  <c r="F218" i="2"/>
  <c r="H218" i="2"/>
  <c r="J218" i="2"/>
  <c r="L218" i="2"/>
  <c r="N218" i="2"/>
  <c r="P218" i="2"/>
  <c r="R218" i="2"/>
  <c r="T218" i="2"/>
  <c r="V218" i="2"/>
  <c r="X218" i="2"/>
  <c r="F219" i="2"/>
  <c r="H219" i="2"/>
  <c r="J219" i="2"/>
  <c r="L219" i="2"/>
  <c r="N219" i="2"/>
  <c r="P219" i="2"/>
  <c r="R219" i="2"/>
  <c r="T219" i="2"/>
  <c r="V219" i="2"/>
  <c r="X219" i="2"/>
  <c r="F220" i="2"/>
  <c r="H220" i="2"/>
  <c r="J220" i="2"/>
  <c r="L220" i="2"/>
  <c r="N220" i="2"/>
  <c r="P220" i="2"/>
  <c r="R220" i="2"/>
  <c r="T220" i="2"/>
  <c r="V220" i="2"/>
  <c r="X220" i="2"/>
  <c r="F224" i="2"/>
  <c r="H224" i="2"/>
  <c r="J224" i="2"/>
  <c r="L224" i="2"/>
  <c r="N224" i="2"/>
  <c r="P224" i="2"/>
  <c r="R224" i="2"/>
  <c r="T224" i="2"/>
  <c r="V224" i="2"/>
  <c r="X224" i="2"/>
  <c r="F225" i="2"/>
  <c r="H225" i="2"/>
  <c r="J225" i="2"/>
  <c r="L225" i="2"/>
  <c r="N225" i="2"/>
  <c r="P225" i="2"/>
  <c r="R225" i="2"/>
  <c r="T225" i="2"/>
  <c r="V225" i="2"/>
  <c r="X225" i="2"/>
  <c r="F226" i="2"/>
  <c r="H226" i="2"/>
  <c r="J226" i="2"/>
  <c r="L226" i="2"/>
  <c r="N226" i="2"/>
  <c r="P226" i="2"/>
  <c r="R226" i="2"/>
  <c r="T226" i="2"/>
  <c r="V226" i="2"/>
  <c r="X226" i="2"/>
  <c r="F169" i="2"/>
  <c r="H169" i="2"/>
  <c r="J169" i="2"/>
  <c r="L169" i="2"/>
  <c r="N169" i="2"/>
  <c r="P169" i="2"/>
  <c r="R169" i="2"/>
  <c r="T169" i="2"/>
  <c r="V169" i="2"/>
  <c r="X169" i="2"/>
  <c r="F170" i="2"/>
  <c r="H170" i="2"/>
  <c r="J170" i="2"/>
  <c r="L170" i="2"/>
  <c r="N170" i="2"/>
  <c r="P170" i="2"/>
  <c r="R170" i="2"/>
  <c r="T170" i="2"/>
  <c r="V170" i="2"/>
  <c r="X170" i="2"/>
  <c r="F171" i="2"/>
  <c r="H171" i="2"/>
  <c r="J171" i="2"/>
  <c r="L171" i="2"/>
  <c r="N171" i="2"/>
  <c r="P171" i="2"/>
  <c r="R171" i="2"/>
  <c r="T171" i="2"/>
  <c r="V171" i="2"/>
  <c r="X171" i="2"/>
  <c r="F175" i="2"/>
  <c r="H175" i="2"/>
  <c r="J175" i="2"/>
  <c r="L175" i="2"/>
  <c r="N175" i="2"/>
  <c r="P175" i="2"/>
  <c r="R175" i="2"/>
  <c r="T175" i="2"/>
  <c r="V175" i="2"/>
  <c r="X175" i="2"/>
  <c r="F176" i="2"/>
  <c r="H176" i="2"/>
  <c r="J176" i="2"/>
  <c r="L176" i="2"/>
  <c r="N176" i="2"/>
  <c r="P176" i="2"/>
  <c r="R176" i="2"/>
  <c r="T176" i="2"/>
  <c r="V176" i="2"/>
  <c r="X176" i="2"/>
  <c r="F177" i="2"/>
  <c r="H177" i="2"/>
  <c r="J177" i="2"/>
  <c r="L177" i="2"/>
  <c r="N177" i="2"/>
  <c r="P177" i="2"/>
  <c r="R177" i="2"/>
  <c r="T177" i="2"/>
  <c r="V177" i="2"/>
  <c r="X177" i="2"/>
  <c r="F181" i="2"/>
  <c r="H181" i="2"/>
  <c r="J181" i="2"/>
  <c r="L181" i="2"/>
  <c r="N181" i="2"/>
  <c r="P181" i="2"/>
  <c r="R181" i="2"/>
  <c r="T181" i="2"/>
  <c r="V181" i="2"/>
  <c r="X181" i="2"/>
  <c r="F182" i="2"/>
  <c r="H182" i="2"/>
  <c r="J182" i="2"/>
  <c r="L182" i="2"/>
  <c r="N182" i="2"/>
  <c r="P182" i="2"/>
  <c r="R182" i="2"/>
  <c r="T182" i="2"/>
  <c r="V182" i="2"/>
  <c r="X182" i="2"/>
  <c r="F183" i="2"/>
  <c r="H183" i="2"/>
  <c r="J183" i="2"/>
  <c r="L183" i="2"/>
  <c r="N183" i="2"/>
  <c r="P183" i="2"/>
  <c r="R183" i="2"/>
  <c r="T183" i="2"/>
  <c r="V183" i="2"/>
  <c r="X183" i="2"/>
  <c r="F187" i="2"/>
  <c r="H187" i="2"/>
  <c r="J187" i="2"/>
  <c r="L187" i="2"/>
  <c r="N187" i="2"/>
  <c r="P187" i="2"/>
  <c r="R187" i="2"/>
  <c r="T187" i="2"/>
  <c r="V187" i="2"/>
  <c r="X187" i="2"/>
  <c r="F188" i="2"/>
  <c r="H188" i="2"/>
  <c r="J188" i="2"/>
  <c r="L188" i="2"/>
  <c r="N188" i="2"/>
  <c r="P188" i="2"/>
  <c r="R188" i="2"/>
  <c r="T188" i="2"/>
  <c r="V188" i="2"/>
  <c r="X188" i="2"/>
  <c r="F189" i="2"/>
  <c r="H189" i="2"/>
  <c r="J189" i="2"/>
  <c r="L189" i="2"/>
  <c r="N189" i="2"/>
  <c r="P189" i="2"/>
  <c r="R189" i="2"/>
  <c r="T189" i="2"/>
  <c r="V189" i="2"/>
  <c r="X189" i="2"/>
  <c r="F193" i="2"/>
  <c r="H193" i="2"/>
  <c r="J193" i="2"/>
  <c r="L193" i="2"/>
  <c r="N193" i="2"/>
  <c r="P193" i="2"/>
  <c r="R193" i="2"/>
  <c r="T193" i="2"/>
  <c r="V193" i="2"/>
  <c r="X193" i="2"/>
  <c r="F194" i="2"/>
  <c r="H194" i="2"/>
  <c r="J194" i="2"/>
  <c r="L194" i="2"/>
  <c r="N194" i="2"/>
  <c r="P194" i="2"/>
  <c r="R194" i="2"/>
  <c r="T194" i="2"/>
  <c r="V194" i="2"/>
  <c r="X194" i="2"/>
  <c r="F195" i="2"/>
  <c r="H195" i="2"/>
  <c r="J195" i="2"/>
  <c r="L195" i="2"/>
  <c r="N195" i="2"/>
  <c r="P195" i="2"/>
  <c r="R195" i="2"/>
  <c r="T195" i="2"/>
  <c r="V195" i="2"/>
  <c r="X195" i="2"/>
  <c r="F108" i="2"/>
  <c r="H108" i="2"/>
  <c r="J108" i="2"/>
  <c r="L108" i="2"/>
  <c r="N108" i="2"/>
  <c r="P108" i="2"/>
  <c r="R108" i="2"/>
  <c r="T108" i="2"/>
  <c r="V108" i="2"/>
  <c r="X108" i="2"/>
  <c r="F109" i="2"/>
  <c r="H109" i="2"/>
  <c r="J109" i="2"/>
  <c r="L109" i="2"/>
  <c r="N109" i="2"/>
  <c r="P109" i="2"/>
  <c r="R109" i="2"/>
  <c r="T109" i="2"/>
  <c r="V109" i="2"/>
  <c r="X109" i="2"/>
  <c r="F110" i="2"/>
  <c r="H110" i="2"/>
  <c r="J110" i="2"/>
  <c r="L110" i="2"/>
  <c r="N110" i="2"/>
  <c r="P110" i="2"/>
  <c r="R110" i="2"/>
  <c r="T110" i="2"/>
  <c r="V110" i="2"/>
  <c r="X110" i="2"/>
  <c r="F114" i="2"/>
  <c r="H114" i="2"/>
  <c r="J114" i="2"/>
  <c r="L114" i="2"/>
  <c r="N114" i="2"/>
  <c r="P114" i="2"/>
  <c r="R114" i="2"/>
  <c r="T114" i="2"/>
  <c r="V114" i="2"/>
  <c r="X114" i="2"/>
  <c r="F115" i="2"/>
  <c r="H115" i="2"/>
  <c r="J115" i="2"/>
  <c r="L115" i="2"/>
  <c r="N115" i="2"/>
  <c r="P115" i="2"/>
  <c r="R115" i="2"/>
  <c r="T115" i="2"/>
  <c r="V115" i="2"/>
  <c r="X115" i="2"/>
  <c r="F116" i="2"/>
  <c r="H116" i="2"/>
  <c r="J116" i="2"/>
  <c r="L116" i="2"/>
  <c r="N116" i="2"/>
  <c r="P116" i="2"/>
  <c r="R116" i="2"/>
  <c r="T116" i="2"/>
  <c r="V116" i="2"/>
  <c r="X116" i="2"/>
  <c r="F120" i="2"/>
  <c r="H120" i="2"/>
  <c r="J120" i="2"/>
  <c r="L120" i="2"/>
  <c r="N120" i="2"/>
  <c r="P120" i="2"/>
  <c r="R120" i="2"/>
  <c r="T120" i="2"/>
  <c r="V120" i="2"/>
  <c r="X120" i="2"/>
  <c r="F121" i="2"/>
  <c r="H121" i="2"/>
  <c r="J121" i="2"/>
  <c r="L121" i="2"/>
  <c r="N121" i="2"/>
  <c r="P121" i="2"/>
  <c r="R121" i="2"/>
  <c r="T121" i="2"/>
  <c r="V121" i="2"/>
  <c r="X121" i="2"/>
  <c r="F122" i="2"/>
  <c r="H122" i="2"/>
  <c r="J122" i="2"/>
  <c r="L122" i="2"/>
  <c r="N122" i="2"/>
  <c r="P122" i="2"/>
  <c r="R122" i="2"/>
  <c r="T122" i="2"/>
  <c r="V122" i="2"/>
  <c r="X122" i="2"/>
  <c r="G126" i="2"/>
  <c r="I126" i="2"/>
  <c r="K126" i="2"/>
  <c r="M126" i="2"/>
  <c r="O126" i="2"/>
  <c r="Q126" i="2"/>
  <c r="S126" i="2"/>
  <c r="U126" i="2"/>
  <c r="W126" i="2"/>
  <c r="Y126" i="2"/>
  <c r="G127" i="2"/>
  <c r="I127" i="2"/>
  <c r="K127" i="2"/>
  <c r="M127" i="2"/>
  <c r="O127" i="2"/>
  <c r="Q127" i="2"/>
  <c r="S127" i="2"/>
  <c r="U127" i="2"/>
  <c r="W127" i="2"/>
  <c r="Y127" i="2"/>
  <c r="G128" i="2"/>
  <c r="I128" i="2"/>
  <c r="K128" i="2"/>
  <c r="M128" i="2"/>
  <c r="O128" i="2"/>
  <c r="Q128" i="2"/>
  <c r="S128" i="2"/>
  <c r="U128" i="2"/>
  <c r="W128" i="2"/>
  <c r="Y128" i="2"/>
  <c r="G132" i="2"/>
  <c r="I132" i="2"/>
  <c r="K132" i="2"/>
  <c r="M132" i="2"/>
  <c r="O132" i="2"/>
  <c r="Q132" i="2"/>
  <c r="S132" i="2"/>
  <c r="U132" i="2"/>
  <c r="W132" i="2"/>
  <c r="Y132" i="2"/>
  <c r="G133" i="2"/>
  <c r="I133" i="2"/>
  <c r="K133" i="2"/>
  <c r="M133" i="2"/>
  <c r="O133" i="2"/>
  <c r="Q133" i="2"/>
  <c r="S133" i="2"/>
  <c r="U133" i="2"/>
  <c r="W133" i="2"/>
  <c r="Y133" i="2"/>
  <c r="G134" i="2"/>
  <c r="I134" i="2"/>
  <c r="K134" i="2"/>
  <c r="M134" i="2"/>
  <c r="O134" i="2"/>
  <c r="Q134" i="2"/>
  <c r="S134" i="2"/>
  <c r="U134" i="2"/>
  <c r="W134" i="2"/>
  <c r="Y134" i="2"/>
  <c r="G138" i="2"/>
  <c r="I138" i="2"/>
  <c r="K138" i="2"/>
  <c r="M138" i="2"/>
  <c r="O138" i="2"/>
  <c r="Q138" i="2"/>
  <c r="S138" i="2"/>
  <c r="U138" i="2"/>
  <c r="W138" i="2"/>
  <c r="Y138" i="2"/>
  <c r="G139" i="2"/>
  <c r="I139" i="2"/>
  <c r="K139" i="2"/>
  <c r="M139" i="2"/>
  <c r="O139" i="2"/>
  <c r="Q139" i="2"/>
  <c r="S139" i="2"/>
  <c r="U139" i="2"/>
  <c r="W139" i="2"/>
  <c r="Y139" i="2"/>
  <c r="G140" i="2"/>
  <c r="I140" i="2"/>
  <c r="K140" i="2"/>
  <c r="M140" i="2"/>
  <c r="O140" i="2"/>
  <c r="Q140" i="2"/>
  <c r="S140" i="2"/>
  <c r="U140" i="2"/>
  <c r="W140" i="2"/>
  <c r="Y140" i="2"/>
  <c r="G144" i="2"/>
  <c r="I144" i="2"/>
  <c r="K144" i="2"/>
  <c r="M144" i="2"/>
  <c r="O144" i="2"/>
  <c r="Q144" i="2"/>
  <c r="S144" i="2"/>
  <c r="U144" i="2"/>
  <c r="W144" i="2"/>
  <c r="Y144" i="2"/>
  <c r="G145" i="2"/>
  <c r="I145" i="2"/>
  <c r="K145" i="2"/>
  <c r="M145" i="2"/>
  <c r="O145" i="2"/>
  <c r="Q145" i="2"/>
  <c r="S145" i="2"/>
  <c r="U145" i="2"/>
  <c r="W145" i="2"/>
  <c r="Y145" i="2"/>
  <c r="G146" i="2"/>
  <c r="I146" i="2"/>
  <c r="K146" i="2"/>
  <c r="M146" i="2"/>
  <c r="O146" i="2"/>
  <c r="Q146" i="2"/>
  <c r="S146" i="2"/>
  <c r="U146" i="2"/>
  <c r="W146" i="2"/>
  <c r="Y146" i="2"/>
  <c r="G150" i="2"/>
  <c r="I150" i="2"/>
  <c r="K150" i="2"/>
  <c r="M150" i="2"/>
  <c r="O150" i="2"/>
  <c r="Q150" i="2"/>
  <c r="S150" i="2"/>
  <c r="U150" i="2"/>
  <c r="W150" i="2"/>
  <c r="Y150" i="2"/>
  <c r="G151" i="2"/>
  <c r="I151" i="2"/>
  <c r="K151" i="2"/>
  <c r="M151" i="2"/>
  <c r="O151" i="2"/>
  <c r="Q151" i="2"/>
  <c r="S151" i="2"/>
  <c r="U151" i="2"/>
  <c r="W151" i="2"/>
  <c r="Y151" i="2"/>
  <c r="G152" i="2"/>
  <c r="I152" i="2"/>
  <c r="K152" i="2"/>
  <c r="M152" i="2"/>
  <c r="O152" i="2"/>
  <c r="Q152" i="2"/>
  <c r="S152" i="2"/>
  <c r="U152" i="2"/>
  <c r="W152" i="2"/>
  <c r="Y152" i="2"/>
  <c r="G156" i="2"/>
  <c r="I156" i="2"/>
  <c r="K156" i="2"/>
  <c r="M156" i="2"/>
  <c r="O156" i="2"/>
  <c r="Q156" i="2"/>
  <c r="S156" i="2"/>
  <c r="U156" i="2"/>
  <c r="W156" i="2"/>
  <c r="Y156" i="2"/>
  <c r="G157" i="2"/>
  <c r="I157" i="2"/>
  <c r="K157" i="2"/>
  <c r="M157" i="2"/>
  <c r="O157" i="2"/>
  <c r="Q157" i="2"/>
  <c r="S157" i="2"/>
  <c r="U157" i="2"/>
  <c r="W157" i="2"/>
  <c r="Y157" i="2"/>
  <c r="G158" i="2"/>
  <c r="I158" i="2"/>
  <c r="K158" i="2"/>
  <c r="M158" i="2"/>
  <c r="O158" i="2"/>
  <c r="Q158" i="2"/>
  <c r="S158" i="2"/>
  <c r="U158" i="2"/>
  <c r="W158" i="2"/>
  <c r="Y158" i="2"/>
  <c r="G22" i="2"/>
  <c r="I22" i="2"/>
  <c r="K22" i="2"/>
  <c r="M22" i="2"/>
  <c r="O22" i="2"/>
  <c r="Q22" i="2"/>
  <c r="S22" i="2"/>
  <c r="U22" i="2"/>
  <c r="W22" i="2"/>
  <c r="Y22" i="2"/>
  <c r="G23" i="2"/>
  <c r="I23" i="2"/>
  <c r="K23" i="2"/>
  <c r="M23" i="2"/>
  <c r="O23" i="2"/>
  <c r="Q23" i="2"/>
  <c r="U23" i="2"/>
  <c r="W23" i="2"/>
  <c r="Y23" i="2"/>
  <c r="G24" i="2"/>
  <c r="I24" i="2"/>
  <c r="K24" i="2"/>
  <c r="M24" i="2"/>
  <c r="O24" i="2"/>
  <c r="Q24" i="2"/>
  <c r="S24" i="2"/>
  <c r="V24" i="2"/>
  <c r="X24" i="2"/>
  <c r="G28" i="2"/>
  <c r="I28" i="2"/>
  <c r="K28" i="2"/>
  <c r="M28" i="2"/>
  <c r="O28" i="2"/>
  <c r="Q28" i="2"/>
  <c r="S28" i="2"/>
  <c r="U28" i="2"/>
  <c r="W28" i="2"/>
  <c r="Y28" i="2"/>
  <c r="G29" i="2"/>
  <c r="I29" i="2"/>
  <c r="K29" i="2"/>
  <c r="M29" i="2"/>
  <c r="O29" i="2"/>
  <c r="Q29" i="2"/>
  <c r="S29" i="2"/>
  <c r="U29" i="2"/>
  <c r="W29" i="2"/>
  <c r="Y29" i="2"/>
  <c r="G30" i="2"/>
  <c r="I30" i="2"/>
  <c r="K30" i="2"/>
  <c r="M30" i="2"/>
  <c r="O30" i="2"/>
  <c r="Q30" i="2"/>
  <c r="S30" i="2"/>
  <c r="U30" i="2"/>
  <c r="W30" i="2"/>
  <c r="Y30" i="2"/>
  <c r="G34" i="2"/>
  <c r="I34" i="2"/>
  <c r="K34" i="2"/>
  <c r="M34" i="2"/>
  <c r="O34" i="2"/>
  <c r="Q34" i="2"/>
  <c r="S34" i="2"/>
  <c r="U34" i="2"/>
  <c r="W34" i="2"/>
  <c r="Y34" i="2"/>
  <c r="G35" i="2"/>
  <c r="I35" i="2"/>
  <c r="K35" i="2"/>
  <c r="M35" i="2"/>
  <c r="O35" i="2"/>
  <c r="Q35" i="2"/>
  <c r="S35" i="2"/>
  <c r="U35" i="2"/>
  <c r="W35" i="2"/>
  <c r="Y35" i="2"/>
  <c r="G36" i="2"/>
  <c r="I36" i="2"/>
  <c r="K36" i="2"/>
  <c r="M36" i="2"/>
  <c r="O36" i="2"/>
  <c r="Q36" i="2"/>
  <c r="S36" i="2"/>
  <c r="U36" i="2"/>
  <c r="W36" i="2"/>
  <c r="Y36" i="2"/>
  <c r="F40" i="2"/>
  <c r="H40" i="2"/>
  <c r="J40" i="2"/>
  <c r="L40" i="2"/>
  <c r="N40" i="2"/>
  <c r="P40" i="2"/>
  <c r="R40" i="2"/>
  <c r="T40" i="2"/>
  <c r="V40" i="2"/>
  <c r="X40" i="2"/>
  <c r="F41" i="2"/>
  <c r="H41" i="2"/>
  <c r="J41" i="2"/>
  <c r="L41" i="2"/>
  <c r="N41" i="2"/>
  <c r="P41" i="2"/>
  <c r="R41" i="2"/>
  <c r="T41" i="2"/>
  <c r="V41" i="2"/>
  <c r="X41" i="2"/>
  <c r="F42" i="2"/>
  <c r="H42" i="2"/>
  <c r="J42" i="2"/>
  <c r="L42" i="2"/>
  <c r="N42" i="2"/>
  <c r="P42" i="2"/>
  <c r="R42" i="2"/>
  <c r="T42" i="2"/>
  <c r="V42" i="2"/>
  <c r="X42" i="2"/>
  <c r="F46" i="2"/>
  <c r="H46" i="2"/>
  <c r="J46" i="2"/>
  <c r="L46" i="2"/>
  <c r="N46" i="2"/>
  <c r="P46" i="2"/>
  <c r="R46" i="2"/>
  <c r="T46" i="2"/>
  <c r="V46" i="2"/>
  <c r="X46" i="2"/>
  <c r="F47" i="2"/>
  <c r="H47" i="2"/>
  <c r="J47" i="2"/>
  <c r="L47" i="2"/>
  <c r="N47" i="2"/>
  <c r="P47" i="2"/>
  <c r="R47" i="2"/>
  <c r="T47" i="2"/>
  <c r="V47" i="2"/>
  <c r="X47" i="2"/>
  <c r="F48" i="2"/>
  <c r="H48" i="2"/>
  <c r="J48" i="2"/>
  <c r="L48" i="2"/>
  <c r="N48" i="2"/>
  <c r="P48" i="2"/>
  <c r="R48" i="2"/>
  <c r="T48" i="2"/>
  <c r="V48" i="2"/>
  <c r="X48" i="2"/>
  <c r="F52" i="2"/>
  <c r="H52" i="2"/>
  <c r="J52" i="2"/>
  <c r="L52" i="2"/>
  <c r="N52" i="2"/>
  <c r="P52" i="2"/>
  <c r="R52" i="2"/>
  <c r="T52" i="2"/>
  <c r="V52" i="2"/>
  <c r="X52" i="2"/>
  <c r="F53" i="2"/>
  <c r="H53" i="2"/>
  <c r="J53" i="2"/>
  <c r="L53" i="2"/>
  <c r="N53" i="2"/>
  <c r="P53" i="2"/>
  <c r="R53" i="2"/>
  <c r="T53" i="2"/>
  <c r="V53" i="2"/>
  <c r="X53" i="2"/>
  <c r="F54" i="2"/>
  <c r="H54" i="2"/>
  <c r="J54" i="2"/>
  <c r="L54" i="2"/>
  <c r="N54" i="2"/>
  <c r="P54" i="2"/>
  <c r="R54" i="2"/>
  <c r="T54" i="2"/>
  <c r="V54" i="2"/>
  <c r="X54" i="2"/>
  <c r="F58" i="2"/>
  <c r="H58" i="2"/>
  <c r="J58" i="2"/>
  <c r="L58" i="2"/>
  <c r="N58" i="2"/>
  <c r="P58" i="2"/>
  <c r="R58" i="2"/>
  <c r="T58" i="2"/>
  <c r="V58" i="2"/>
  <c r="X58" i="2"/>
  <c r="F59" i="2"/>
  <c r="H59" i="2"/>
  <c r="J59" i="2"/>
  <c r="L59" i="2"/>
  <c r="N59" i="2"/>
  <c r="P59" i="2"/>
  <c r="R59" i="2"/>
  <c r="T59" i="2"/>
  <c r="V59" i="2"/>
  <c r="X59" i="2"/>
  <c r="F60" i="2"/>
  <c r="H60" i="2"/>
  <c r="J60" i="2"/>
  <c r="L60" i="2"/>
  <c r="N60" i="2"/>
  <c r="P60" i="2"/>
  <c r="R60" i="2"/>
  <c r="T60" i="2"/>
  <c r="V60" i="2"/>
  <c r="X60" i="2"/>
  <c r="F64" i="2"/>
  <c r="H64" i="2"/>
  <c r="J64" i="2"/>
  <c r="L64" i="2"/>
  <c r="N64" i="2"/>
  <c r="P64" i="2"/>
  <c r="R64" i="2"/>
  <c r="V64" i="2"/>
  <c r="X64" i="2"/>
  <c r="F65" i="2"/>
  <c r="J65" i="2"/>
  <c r="N65" i="2"/>
  <c r="T65" i="2"/>
  <c r="X65" i="2"/>
  <c r="H66" i="2"/>
  <c r="L66" i="2"/>
  <c r="P66" i="2"/>
  <c r="T66" i="2"/>
  <c r="X66" i="2"/>
  <c r="G77" i="2"/>
  <c r="K77" i="2"/>
  <c r="O77" i="2"/>
  <c r="S77" i="2"/>
  <c r="W77" i="2"/>
  <c r="G78" i="2"/>
  <c r="M78" i="2"/>
  <c r="Q78" i="2"/>
  <c r="U78" i="2"/>
  <c r="Y78" i="2"/>
  <c r="I79" i="2"/>
  <c r="M79" i="2"/>
  <c r="Q79" i="2"/>
  <c r="U79" i="2"/>
  <c r="Y79" i="2"/>
  <c r="G83" i="2"/>
  <c r="K83" i="2"/>
  <c r="O83" i="2"/>
  <c r="S83" i="2"/>
  <c r="W83" i="2"/>
  <c r="G84" i="2"/>
  <c r="M84" i="2"/>
  <c r="Q84" i="2"/>
  <c r="U84" i="2"/>
  <c r="Y84" i="2"/>
  <c r="I85" i="2"/>
  <c r="M85" i="2"/>
  <c r="Q85" i="2"/>
  <c r="U85" i="2"/>
  <c r="Y85" i="2"/>
  <c r="H89" i="2"/>
  <c r="L89" i="2"/>
  <c r="P89" i="2"/>
  <c r="T89" i="2"/>
  <c r="X89" i="2"/>
  <c r="H90" i="2"/>
  <c r="N90" i="2"/>
  <c r="R90" i="2"/>
  <c r="V90" i="2"/>
  <c r="F91" i="2"/>
  <c r="J91" i="2"/>
  <c r="N91" i="2"/>
  <c r="R91" i="2"/>
  <c r="V91" i="2"/>
  <c r="H95" i="2"/>
  <c r="L95" i="2"/>
  <c r="P95" i="2"/>
  <c r="T95" i="2"/>
  <c r="X95" i="2"/>
  <c r="H96" i="2"/>
  <c r="L96" i="2"/>
  <c r="P96" i="2"/>
  <c r="T96" i="2"/>
  <c r="F97" i="2"/>
  <c r="J97" i="2"/>
  <c r="N97" i="2"/>
  <c r="R97" i="2"/>
  <c r="V97" i="2"/>
  <c r="X11" i="2"/>
  <c r="V11" i="2"/>
  <c r="T11" i="2"/>
  <c r="R11" i="2"/>
  <c r="P11" i="2"/>
  <c r="N11" i="2"/>
  <c r="L11" i="2"/>
  <c r="Y11" i="2"/>
  <c r="W11" i="2"/>
  <c r="U11" i="2"/>
  <c r="S11" i="2"/>
  <c r="Q11" i="2"/>
  <c r="O11" i="2"/>
  <c r="M11" i="2"/>
  <c r="K11" i="2"/>
  <c r="I11" i="2"/>
  <c r="G11" i="2"/>
  <c r="Y10" i="2"/>
  <c r="W10" i="2"/>
  <c r="U10" i="2"/>
  <c r="S10" i="2"/>
  <c r="Q10" i="2"/>
  <c r="O10" i="2"/>
  <c r="M10" i="2"/>
  <c r="K10" i="2"/>
  <c r="I10" i="2"/>
  <c r="G10" i="2"/>
  <c r="W9" i="2"/>
  <c r="U9" i="2"/>
  <c r="Q9" i="2"/>
  <c r="O9" i="2"/>
  <c r="M9" i="2"/>
  <c r="K9" i="2"/>
  <c r="I9" i="2"/>
  <c r="G9" i="2"/>
  <c r="J11" i="2"/>
  <c r="H11" i="2"/>
  <c r="F11" i="2"/>
  <c r="X10" i="2"/>
  <c r="V10" i="2"/>
  <c r="T10" i="2"/>
  <c r="R10" i="2"/>
  <c r="P10" i="2"/>
  <c r="N10" i="2"/>
  <c r="L10" i="2"/>
  <c r="J10" i="2"/>
  <c r="H10" i="2"/>
  <c r="F10" i="2"/>
  <c r="X9" i="2"/>
  <c r="V9" i="2"/>
  <c r="T9" i="2"/>
  <c r="R9" i="2"/>
  <c r="N9" i="2"/>
  <c r="L9" i="2"/>
  <c r="J9" i="2"/>
  <c r="H9" i="2"/>
  <c r="S944" i="2" l="1"/>
  <c r="O944" i="2"/>
  <c r="K944" i="2"/>
  <c r="G944" i="2"/>
  <c r="Y943" i="2"/>
  <c r="X326" i="2"/>
  <c r="X327" i="2"/>
  <c r="X325" i="2"/>
  <c r="T326" i="2"/>
  <c r="T327" i="2"/>
  <c r="T325" i="2"/>
  <c r="P326" i="2"/>
  <c r="P327" i="2"/>
  <c r="P325" i="2"/>
  <c r="L326" i="2"/>
  <c r="L327" i="2"/>
  <c r="L325" i="2"/>
  <c r="H326" i="2"/>
  <c r="H327" i="2"/>
  <c r="H325" i="2"/>
  <c r="V321" i="2"/>
  <c r="V319" i="2"/>
  <c r="V320" i="2"/>
  <c r="Q320" i="2"/>
  <c r="Q321" i="2"/>
  <c r="Q319" i="2"/>
  <c r="M320" i="2"/>
  <c r="M321" i="2"/>
  <c r="M319" i="2"/>
  <c r="I320" i="2"/>
  <c r="I321" i="2"/>
  <c r="I319" i="2"/>
  <c r="W327" i="2"/>
  <c r="W325" i="2"/>
  <c r="W326" i="2"/>
  <c r="S327" i="2"/>
  <c r="S325" i="2"/>
  <c r="S326" i="2"/>
  <c r="O327" i="2"/>
  <c r="O325" i="2"/>
  <c r="O326" i="2"/>
  <c r="K327" i="2"/>
  <c r="K325" i="2"/>
  <c r="K326" i="2"/>
  <c r="G327" i="2"/>
  <c r="G325" i="2"/>
  <c r="G326" i="2"/>
  <c r="Y320" i="2"/>
  <c r="Y321" i="2"/>
  <c r="Y319" i="2"/>
  <c r="U320" i="2"/>
  <c r="U321" i="2"/>
  <c r="U319" i="2"/>
  <c r="P321" i="2"/>
  <c r="P319" i="2"/>
  <c r="P320" i="2"/>
  <c r="P314" i="2" s="1"/>
  <c r="P27" i="3" s="1"/>
  <c r="L321" i="2"/>
  <c r="L319" i="2"/>
  <c r="L320" i="2"/>
  <c r="L314" i="2" s="1"/>
  <c r="L27" i="3" s="1"/>
  <c r="H321" i="2"/>
  <c r="H319" i="2"/>
  <c r="H320" i="2"/>
  <c r="H314" i="2" s="1"/>
  <c r="H27" i="3" s="1"/>
  <c r="U460" i="2"/>
  <c r="U461" i="2"/>
  <c r="U459" i="2"/>
  <c r="Q460" i="2"/>
  <c r="Q461" i="2"/>
  <c r="Q459" i="2"/>
  <c r="M460" i="2"/>
  <c r="M461" i="2"/>
  <c r="M459" i="2"/>
  <c r="I460" i="2"/>
  <c r="I461" i="2"/>
  <c r="I459" i="2"/>
  <c r="Y455" i="2"/>
  <c r="Y453" i="2"/>
  <c r="Y454" i="2"/>
  <c r="U455" i="2"/>
  <c r="U453" i="2"/>
  <c r="U454" i="2"/>
  <c r="Q455" i="2"/>
  <c r="Q453" i="2"/>
  <c r="Q454" i="2"/>
  <c r="M455" i="2"/>
  <c r="M453" i="2"/>
  <c r="M454" i="2"/>
  <c r="I455" i="2"/>
  <c r="I453" i="2"/>
  <c r="I454" i="2"/>
  <c r="Y448" i="2"/>
  <c r="Y449" i="2"/>
  <c r="Y447" i="2"/>
  <c r="U448" i="2"/>
  <c r="U449" i="2"/>
  <c r="U447" i="2"/>
  <c r="Q448" i="2"/>
  <c r="Q449" i="2"/>
  <c r="Q447" i="2"/>
  <c r="M448" i="2"/>
  <c r="M449" i="2"/>
  <c r="M447" i="2"/>
  <c r="I448" i="2"/>
  <c r="I449" i="2"/>
  <c r="I447" i="2"/>
  <c r="X442" i="2"/>
  <c r="X443" i="2"/>
  <c r="X441" i="2"/>
  <c r="T442" i="2"/>
  <c r="T443" i="2"/>
  <c r="T441" i="2"/>
  <c r="P442" i="2"/>
  <c r="P443" i="2"/>
  <c r="P441" i="2"/>
  <c r="L442" i="2"/>
  <c r="L443" i="2"/>
  <c r="L441" i="2"/>
  <c r="H442" i="2"/>
  <c r="H443" i="2"/>
  <c r="H441" i="2"/>
  <c r="Y436" i="2"/>
  <c r="Y437" i="2"/>
  <c r="Y435" i="2"/>
  <c r="U436" i="2"/>
  <c r="U437" i="2"/>
  <c r="U435" i="2"/>
  <c r="Q436" i="2"/>
  <c r="Q437" i="2"/>
  <c r="Q435" i="2"/>
  <c r="M436" i="2"/>
  <c r="M437" i="2"/>
  <c r="M435" i="2"/>
  <c r="I436" i="2"/>
  <c r="I437" i="2"/>
  <c r="I435" i="2"/>
  <c r="Y431" i="2"/>
  <c r="Y429" i="2"/>
  <c r="Y430" i="2"/>
  <c r="U431" i="2"/>
  <c r="U429" i="2"/>
  <c r="U430" i="2"/>
  <c r="Q431" i="2"/>
  <c r="Q429" i="2"/>
  <c r="Q430" i="2"/>
  <c r="M431" i="2"/>
  <c r="M429" i="2"/>
  <c r="M430" i="2"/>
  <c r="I431" i="2"/>
  <c r="I429" i="2"/>
  <c r="I430" i="2"/>
  <c r="Y424" i="2"/>
  <c r="Y425" i="2"/>
  <c r="Y423" i="2"/>
  <c r="U424" i="2"/>
  <c r="U425" i="2"/>
  <c r="U423" i="2"/>
  <c r="Q424" i="2"/>
  <c r="Q425" i="2"/>
  <c r="Q423" i="2"/>
  <c r="M424" i="2"/>
  <c r="M425" i="2"/>
  <c r="M423" i="2"/>
  <c r="I424" i="2"/>
  <c r="I425" i="2"/>
  <c r="I423" i="2"/>
  <c r="X418" i="2"/>
  <c r="X419" i="2"/>
  <c r="X417" i="2"/>
  <c r="T418" i="2"/>
  <c r="T419" i="2"/>
  <c r="T417" i="2"/>
  <c r="P418" i="2"/>
  <c r="P419" i="2"/>
  <c r="P417" i="2"/>
  <c r="L418" i="2"/>
  <c r="L419" i="2"/>
  <c r="L417" i="2"/>
  <c r="H418" i="2"/>
  <c r="H419" i="2"/>
  <c r="H417" i="2"/>
  <c r="X413" i="2"/>
  <c r="X411" i="2"/>
  <c r="X412" i="2"/>
  <c r="T413" i="2"/>
  <c r="T411" i="2"/>
  <c r="T412" i="2"/>
  <c r="P413" i="2"/>
  <c r="P411" i="2"/>
  <c r="P412" i="2"/>
  <c r="L413" i="2"/>
  <c r="L411" i="2"/>
  <c r="L412" i="2"/>
  <c r="H413" i="2"/>
  <c r="H411" i="2"/>
  <c r="H412" i="2"/>
  <c r="Y407" i="2"/>
  <c r="Y405" i="2"/>
  <c r="Y406" i="2"/>
  <c r="U407" i="2"/>
  <c r="U405" i="2"/>
  <c r="U406" i="2"/>
  <c r="Q407" i="2"/>
  <c r="Q405" i="2"/>
  <c r="Q406" i="2"/>
  <c r="M407" i="2"/>
  <c r="M405" i="2"/>
  <c r="M406" i="2"/>
  <c r="I407" i="2"/>
  <c r="I405" i="2"/>
  <c r="I406" i="2"/>
  <c r="X401" i="2"/>
  <c r="X399" i="2"/>
  <c r="X400" i="2"/>
  <c r="T401" i="2"/>
  <c r="T399" i="2"/>
  <c r="T400" i="2"/>
  <c r="P401" i="2"/>
  <c r="P399" i="2"/>
  <c r="P400" i="2"/>
  <c r="L401" i="2"/>
  <c r="L399" i="2"/>
  <c r="L400" i="2"/>
  <c r="H401" i="2"/>
  <c r="H399" i="2"/>
  <c r="H400" i="2"/>
  <c r="X394" i="2"/>
  <c r="X395" i="2"/>
  <c r="X393" i="2"/>
  <c r="T394" i="2"/>
  <c r="T395" i="2"/>
  <c r="T393" i="2"/>
  <c r="P394" i="2"/>
  <c r="P395" i="2"/>
  <c r="P393" i="2"/>
  <c r="L394" i="2"/>
  <c r="L395" i="2"/>
  <c r="L393" i="2"/>
  <c r="H394" i="2"/>
  <c r="H395" i="2"/>
  <c r="H393" i="2"/>
  <c r="X389" i="2"/>
  <c r="X387" i="2"/>
  <c r="X388" i="2"/>
  <c r="T389" i="2"/>
  <c r="T387" i="2"/>
  <c r="T388" i="2"/>
  <c r="P389" i="2"/>
  <c r="P387" i="2"/>
  <c r="P388" i="2"/>
  <c r="L389" i="2"/>
  <c r="L387" i="2"/>
  <c r="L388" i="2"/>
  <c r="H389" i="2"/>
  <c r="H387" i="2"/>
  <c r="H388" i="2"/>
  <c r="X382" i="2"/>
  <c r="X383" i="2"/>
  <c r="X381" i="2"/>
  <c r="T382" i="2"/>
  <c r="T383" i="2"/>
  <c r="T381" i="2"/>
  <c r="P382" i="2"/>
  <c r="P383" i="2"/>
  <c r="P381" i="2"/>
  <c r="L382" i="2"/>
  <c r="L383" i="2"/>
  <c r="L381" i="2"/>
  <c r="H382" i="2"/>
  <c r="H383" i="2"/>
  <c r="H381" i="2"/>
  <c r="W460" i="2"/>
  <c r="W461" i="2"/>
  <c r="W459" i="2"/>
  <c r="V461" i="2"/>
  <c r="V459" i="2"/>
  <c r="V460" i="2"/>
  <c r="R461" i="2"/>
  <c r="R459" i="2"/>
  <c r="R460" i="2"/>
  <c r="N461" i="2"/>
  <c r="N459" i="2"/>
  <c r="N460" i="2"/>
  <c r="J461" i="2"/>
  <c r="J459" i="2"/>
  <c r="J460" i="2"/>
  <c r="F461" i="2"/>
  <c r="F459" i="2"/>
  <c r="F460" i="2"/>
  <c r="V454" i="2"/>
  <c r="V455" i="2"/>
  <c r="V453" i="2"/>
  <c r="R454" i="2"/>
  <c r="R455" i="2"/>
  <c r="R453" i="2"/>
  <c r="N454" i="2"/>
  <c r="N455" i="2"/>
  <c r="N453" i="2"/>
  <c r="J454" i="2"/>
  <c r="J455" i="2"/>
  <c r="J453" i="2"/>
  <c r="F454" i="2"/>
  <c r="F455" i="2"/>
  <c r="F453" i="2"/>
  <c r="V449" i="2"/>
  <c r="V447" i="2"/>
  <c r="V448" i="2"/>
  <c r="R449" i="2"/>
  <c r="R447" i="2"/>
  <c r="R448" i="2"/>
  <c r="N449" i="2"/>
  <c r="N447" i="2"/>
  <c r="N448" i="2"/>
  <c r="J449" i="2"/>
  <c r="J447" i="2"/>
  <c r="J448" i="2"/>
  <c r="F449" i="2"/>
  <c r="F447" i="2"/>
  <c r="F448" i="2"/>
  <c r="W443" i="2"/>
  <c r="W441" i="2"/>
  <c r="W442" i="2"/>
  <c r="S443" i="2"/>
  <c r="S441" i="2"/>
  <c r="S442" i="2"/>
  <c r="O443" i="2"/>
  <c r="O441" i="2"/>
  <c r="O442" i="2"/>
  <c r="K443" i="2"/>
  <c r="K441" i="2"/>
  <c r="K442" i="2"/>
  <c r="G443" i="2"/>
  <c r="G441" i="2"/>
  <c r="G442" i="2"/>
  <c r="V437" i="2"/>
  <c r="V435" i="2"/>
  <c r="V436" i="2"/>
  <c r="R437" i="2"/>
  <c r="R435" i="2"/>
  <c r="R436" i="2"/>
  <c r="N437" i="2"/>
  <c r="N435" i="2"/>
  <c r="N436" i="2"/>
  <c r="J437" i="2"/>
  <c r="J435" i="2"/>
  <c r="J436" i="2"/>
  <c r="F437" i="2"/>
  <c r="F435" i="2"/>
  <c r="F436" i="2"/>
  <c r="V430" i="2"/>
  <c r="V431" i="2"/>
  <c r="V429" i="2"/>
  <c r="R430" i="2"/>
  <c r="R431" i="2"/>
  <c r="R429" i="2"/>
  <c r="N430" i="2"/>
  <c r="N431" i="2"/>
  <c r="N429" i="2"/>
  <c r="J430" i="2"/>
  <c r="J431" i="2"/>
  <c r="J429" i="2"/>
  <c r="F430" i="2"/>
  <c r="F431" i="2"/>
  <c r="F429" i="2"/>
  <c r="V425" i="2"/>
  <c r="V423" i="2"/>
  <c r="V424" i="2"/>
  <c r="R425" i="2"/>
  <c r="R423" i="2"/>
  <c r="R424" i="2"/>
  <c r="N425" i="2"/>
  <c r="N423" i="2"/>
  <c r="N424" i="2"/>
  <c r="J425" i="2"/>
  <c r="J423" i="2"/>
  <c r="J424" i="2"/>
  <c r="F425" i="2"/>
  <c r="F423" i="2"/>
  <c r="F424" i="2"/>
  <c r="W419" i="2"/>
  <c r="W417" i="2"/>
  <c r="W418" i="2"/>
  <c r="S419" i="2"/>
  <c r="S417" i="2"/>
  <c r="S418" i="2"/>
  <c r="O419" i="2"/>
  <c r="O417" i="2"/>
  <c r="O418" i="2"/>
  <c r="K419" i="2"/>
  <c r="K417" i="2"/>
  <c r="K418" i="2"/>
  <c r="G419" i="2"/>
  <c r="G417" i="2"/>
  <c r="G418" i="2"/>
  <c r="W412" i="2"/>
  <c r="W413" i="2"/>
  <c r="W411" i="2"/>
  <c r="S412" i="2"/>
  <c r="S413" i="2"/>
  <c r="S411" i="2"/>
  <c r="O412" i="2"/>
  <c r="O413" i="2"/>
  <c r="O411" i="2"/>
  <c r="K412" i="2"/>
  <c r="K413" i="2"/>
  <c r="K411" i="2"/>
  <c r="G412" i="2"/>
  <c r="G413" i="2"/>
  <c r="G411" i="2"/>
  <c r="V406" i="2"/>
  <c r="V407" i="2"/>
  <c r="V405" i="2"/>
  <c r="R406" i="2"/>
  <c r="R407" i="2"/>
  <c r="R405" i="2"/>
  <c r="N406" i="2"/>
  <c r="N407" i="2"/>
  <c r="N405" i="2"/>
  <c r="J406" i="2"/>
  <c r="J407" i="2"/>
  <c r="J405" i="2"/>
  <c r="F406" i="2"/>
  <c r="F407" i="2"/>
  <c r="F405" i="2"/>
  <c r="W400" i="2"/>
  <c r="W401" i="2"/>
  <c r="W399" i="2"/>
  <c r="S400" i="2"/>
  <c r="S401" i="2"/>
  <c r="S399" i="2"/>
  <c r="O400" i="2"/>
  <c r="O401" i="2"/>
  <c r="O399" i="2"/>
  <c r="K400" i="2"/>
  <c r="K401" i="2"/>
  <c r="K399" i="2"/>
  <c r="G400" i="2"/>
  <c r="G401" i="2"/>
  <c r="G399" i="2"/>
  <c r="W395" i="2"/>
  <c r="W393" i="2"/>
  <c r="W394" i="2"/>
  <c r="S395" i="2"/>
  <c r="S393" i="2"/>
  <c r="S394" i="2"/>
  <c r="O395" i="2"/>
  <c r="O393" i="2"/>
  <c r="O394" i="2"/>
  <c r="K395" i="2"/>
  <c r="K393" i="2"/>
  <c r="K394" i="2"/>
  <c r="G395" i="2"/>
  <c r="G393" i="2"/>
  <c r="G394" i="2"/>
  <c r="W388" i="2"/>
  <c r="W389" i="2"/>
  <c r="W387" i="2"/>
  <c r="S388" i="2"/>
  <c r="S389" i="2"/>
  <c r="S387" i="2"/>
  <c r="O388" i="2"/>
  <c r="O389" i="2"/>
  <c r="O387" i="2"/>
  <c r="K388" i="2"/>
  <c r="K389" i="2"/>
  <c r="K387" i="2"/>
  <c r="G388" i="2"/>
  <c r="G389" i="2"/>
  <c r="G387" i="2"/>
  <c r="W383" i="2"/>
  <c r="W381" i="2"/>
  <c r="W382" i="2"/>
  <c r="S383" i="2"/>
  <c r="S381" i="2"/>
  <c r="S382" i="2"/>
  <c r="O383" i="2"/>
  <c r="O381" i="2"/>
  <c r="O382" i="2"/>
  <c r="K383" i="2"/>
  <c r="K381" i="2"/>
  <c r="K382" i="2"/>
  <c r="G383" i="2"/>
  <c r="G381" i="2"/>
  <c r="G382" i="2"/>
  <c r="W376" i="2"/>
  <c r="W377" i="2"/>
  <c r="W375" i="2"/>
  <c r="S376" i="2"/>
  <c r="S377" i="2"/>
  <c r="S375" i="2"/>
  <c r="O376" i="2"/>
  <c r="O377" i="2"/>
  <c r="O375" i="2"/>
  <c r="K376" i="2"/>
  <c r="K377" i="2"/>
  <c r="K375" i="2"/>
  <c r="G376" i="2"/>
  <c r="G377" i="2"/>
  <c r="G375" i="2"/>
  <c r="W371" i="2"/>
  <c r="W369" i="2"/>
  <c r="W370" i="2"/>
  <c r="S371" i="2"/>
  <c r="S369" i="2"/>
  <c r="S370" i="2"/>
  <c r="O371" i="2"/>
  <c r="O369" i="2"/>
  <c r="O370" i="2"/>
  <c r="K371" i="2"/>
  <c r="K369" i="2"/>
  <c r="K370" i="2"/>
  <c r="G371" i="2"/>
  <c r="G369" i="2"/>
  <c r="G370" i="2"/>
  <c r="W364" i="2"/>
  <c r="W365" i="2"/>
  <c r="W363" i="2"/>
  <c r="S364" i="2"/>
  <c r="S365" i="2"/>
  <c r="S363" i="2"/>
  <c r="O364" i="2"/>
  <c r="O365" i="2"/>
  <c r="O363" i="2"/>
  <c r="K364" i="2"/>
  <c r="K365" i="2"/>
  <c r="K363" i="2"/>
  <c r="G364" i="2"/>
  <c r="G365" i="2"/>
  <c r="G363" i="2"/>
  <c r="W359" i="2"/>
  <c r="W357" i="2"/>
  <c r="W358" i="2"/>
  <c r="S359" i="2"/>
  <c r="S357" i="2"/>
  <c r="S358" i="2"/>
  <c r="O359" i="2"/>
  <c r="O357" i="2"/>
  <c r="O358" i="2"/>
  <c r="K359" i="2"/>
  <c r="K357" i="2"/>
  <c r="K358" i="2"/>
  <c r="G359" i="2"/>
  <c r="G357" i="2"/>
  <c r="G358" i="2"/>
  <c r="W352" i="2"/>
  <c r="W353" i="2"/>
  <c r="W351" i="2"/>
  <c r="S352" i="2"/>
  <c r="S353" i="2"/>
  <c r="S351" i="2"/>
  <c r="O352" i="2"/>
  <c r="O353" i="2"/>
  <c r="O351" i="2"/>
  <c r="K352" i="2"/>
  <c r="K353" i="2"/>
  <c r="K351" i="2"/>
  <c r="G352" i="2"/>
  <c r="G353" i="2"/>
  <c r="G351" i="2"/>
  <c r="W492" i="2"/>
  <c r="W490" i="2"/>
  <c r="W491" i="2"/>
  <c r="S492" i="2"/>
  <c r="S490" i="2"/>
  <c r="S491" i="2"/>
  <c r="O492" i="2"/>
  <c r="O490" i="2"/>
  <c r="O491" i="2"/>
  <c r="K492" i="2"/>
  <c r="K490" i="2"/>
  <c r="K491" i="2"/>
  <c r="G492" i="2"/>
  <c r="G490" i="2"/>
  <c r="G491" i="2"/>
  <c r="W485" i="2"/>
  <c r="W486" i="2"/>
  <c r="W484" i="2"/>
  <c r="S485" i="2"/>
  <c r="S486" i="2"/>
  <c r="S484" i="2"/>
  <c r="O485" i="2"/>
  <c r="O486" i="2"/>
  <c r="O484" i="2"/>
  <c r="K485" i="2"/>
  <c r="K486" i="2"/>
  <c r="K484" i="2"/>
  <c r="G485" i="2"/>
  <c r="G486" i="2"/>
  <c r="G484" i="2"/>
  <c r="V479" i="2"/>
  <c r="V480" i="2"/>
  <c r="V478" i="2"/>
  <c r="R479" i="2"/>
  <c r="R480" i="2"/>
  <c r="R478" i="2"/>
  <c r="N479" i="2"/>
  <c r="N480" i="2"/>
  <c r="N478" i="2"/>
  <c r="J479" i="2"/>
  <c r="J480" i="2"/>
  <c r="J478" i="2"/>
  <c r="F479" i="2"/>
  <c r="F480" i="2"/>
  <c r="F478" i="2"/>
  <c r="V474" i="2"/>
  <c r="V472" i="2"/>
  <c r="V473" i="2"/>
  <c r="R474" i="2"/>
  <c r="R472" i="2"/>
  <c r="R473" i="2"/>
  <c r="M473" i="2"/>
  <c r="M474" i="2"/>
  <c r="M472" i="2"/>
  <c r="I473" i="2"/>
  <c r="I474" i="2"/>
  <c r="I472" i="2"/>
  <c r="X529" i="2"/>
  <c r="X527" i="2"/>
  <c r="X528" i="2"/>
  <c r="T529" i="2"/>
  <c r="T527" i="2"/>
  <c r="T528" i="2"/>
  <c r="P529" i="2"/>
  <c r="P527" i="2"/>
  <c r="P528" i="2"/>
  <c r="L529" i="2"/>
  <c r="L527" i="2"/>
  <c r="L528" i="2"/>
  <c r="H529" i="2"/>
  <c r="H527" i="2"/>
  <c r="H528" i="2"/>
  <c r="X522" i="2"/>
  <c r="X523" i="2"/>
  <c r="X521" i="2"/>
  <c r="T522" i="2"/>
  <c r="T523" i="2"/>
  <c r="T521" i="2"/>
  <c r="P522" i="2"/>
  <c r="P523" i="2"/>
  <c r="P521" i="2"/>
  <c r="L522" i="2"/>
  <c r="L523" i="2"/>
  <c r="L521" i="2"/>
  <c r="H522" i="2"/>
  <c r="H523" i="2"/>
  <c r="H521" i="2"/>
  <c r="X517" i="2"/>
  <c r="X515" i="2"/>
  <c r="X516" i="2"/>
  <c r="T517" i="2"/>
  <c r="T515" i="2"/>
  <c r="T516" i="2"/>
  <c r="P517" i="2"/>
  <c r="P515" i="2"/>
  <c r="P516" i="2"/>
  <c r="L517" i="2"/>
  <c r="L515" i="2"/>
  <c r="L516" i="2"/>
  <c r="H517" i="2"/>
  <c r="H515" i="2"/>
  <c r="H516" i="2"/>
  <c r="X510" i="2"/>
  <c r="X511" i="2"/>
  <c r="X509" i="2"/>
  <c r="T510" i="2"/>
  <c r="T511" i="2"/>
  <c r="T509" i="2"/>
  <c r="P510" i="2"/>
  <c r="P511" i="2"/>
  <c r="P509" i="2"/>
  <c r="L510" i="2"/>
  <c r="L511" i="2"/>
  <c r="L509" i="2"/>
  <c r="H510" i="2"/>
  <c r="H511" i="2"/>
  <c r="H509" i="2"/>
  <c r="W504" i="2"/>
  <c r="W505" i="2"/>
  <c r="W503" i="2"/>
  <c r="S504" i="2"/>
  <c r="S505" i="2"/>
  <c r="S503" i="2"/>
  <c r="N505" i="2"/>
  <c r="N503" i="2"/>
  <c r="N504" i="2"/>
  <c r="J505" i="2"/>
  <c r="J503" i="2"/>
  <c r="J504" i="2"/>
  <c r="F505" i="2"/>
  <c r="F503" i="2"/>
  <c r="F504" i="2"/>
  <c r="Y583" i="2"/>
  <c r="Y584" i="2"/>
  <c r="Y582" i="2"/>
  <c r="U583" i="2"/>
  <c r="U584" i="2"/>
  <c r="U582" i="2"/>
  <c r="Q583" i="2"/>
  <c r="Q584" i="2"/>
  <c r="Q582" i="2"/>
  <c r="M583" i="2"/>
  <c r="M584" i="2"/>
  <c r="M582" i="2"/>
  <c r="I583" i="2"/>
  <c r="I584" i="2"/>
  <c r="I582" i="2"/>
  <c r="Y578" i="2"/>
  <c r="Y576" i="2"/>
  <c r="Y577" i="2"/>
  <c r="U578" i="2"/>
  <c r="U576" i="2"/>
  <c r="U577" i="2"/>
  <c r="Q578" i="2"/>
  <c r="Q576" i="2"/>
  <c r="Q577" i="2"/>
  <c r="M578" i="2"/>
  <c r="M576" i="2"/>
  <c r="M577" i="2"/>
  <c r="I578" i="2"/>
  <c r="I576" i="2"/>
  <c r="I577" i="2"/>
  <c r="Y571" i="2"/>
  <c r="Y572" i="2"/>
  <c r="Y570" i="2"/>
  <c r="U571" i="2"/>
  <c r="U572" i="2"/>
  <c r="U570" i="2"/>
  <c r="Q571" i="2"/>
  <c r="Q572" i="2"/>
  <c r="Q570" i="2"/>
  <c r="M571" i="2"/>
  <c r="M572" i="2"/>
  <c r="M570" i="2"/>
  <c r="I571" i="2"/>
  <c r="I572" i="2"/>
  <c r="I570" i="2"/>
  <c r="Y566" i="2"/>
  <c r="Y564" i="2"/>
  <c r="Y565" i="2"/>
  <c r="U566" i="2"/>
  <c r="U564" i="2"/>
  <c r="U565" i="2"/>
  <c r="Q566" i="2"/>
  <c r="Q564" i="2"/>
  <c r="Q565" i="2"/>
  <c r="M566" i="2"/>
  <c r="M564" i="2"/>
  <c r="M565" i="2"/>
  <c r="I566" i="2"/>
  <c r="I564" i="2"/>
  <c r="I565" i="2"/>
  <c r="Y559" i="2"/>
  <c r="Y560" i="2"/>
  <c r="Y558" i="2"/>
  <c r="U559" i="2"/>
  <c r="U560" i="2"/>
  <c r="U558" i="2"/>
  <c r="Q559" i="2"/>
  <c r="Q560" i="2"/>
  <c r="Q558" i="2"/>
  <c r="M559" i="2"/>
  <c r="M560" i="2"/>
  <c r="M558" i="2"/>
  <c r="I559" i="2"/>
  <c r="I560" i="2"/>
  <c r="I558" i="2"/>
  <c r="Y554" i="2"/>
  <c r="Y552" i="2"/>
  <c r="Y553" i="2"/>
  <c r="U554" i="2"/>
  <c r="U552" i="2"/>
  <c r="U553" i="2"/>
  <c r="Q554" i="2"/>
  <c r="Q552" i="2"/>
  <c r="Q553" i="2"/>
  <c r="M554" i="2"/>
  <c r="M552" i="2"/>
  <c r="M553" i="2"/>
  <c r="I554" i="2"/>
  <c r="I552" i="2"/>
  <c r="I553" i="2"/>
  <c r="Y547" i="2"/>
  <c r="Y548" i="2"/>
  <c r="Y546" i="2"/>
  <c r="U547" i="2"/>
  <c r="U548" i="2"/>
  <c r="U546" i="2"/>
  <c r="Q547" i="2"/>
  <c r="Q548" i="2"/>
  <c r="Q546" i="2"/>
  <c r="M548" i="2"/>
  <c r="M547" i="2"/>
  <c r="M546" i="2"/>
  <c r="I548" i="2"/>
  <c r="I547" i="2"/>
  <c r="I546" i="2"/>
  <c r="Y542" i="2"/>
  <c r="Y536" i="2" s="1"/>
  <c r="Y43" i="3" s="1"/>
  <c r="Y540" i="2"/>
  <c r="Y534" i="2" s="1"/>
  <c r="Y41" i="3" s="1"/>
  <c r="Y541" i="2"/>
  <c r="U542" i="2"/>
  <c r="U540" i="2"/>
  <c r="U534" i="2" s="1"/>
  <c r="U41" i="3" s="1"/>
  <c r="U541" i="2"/>
  <c r="Q542" i="2"/>
  <c r="Q536" i="2" s="1"/>
  <c r="Q43" i="3" s="1"/>
  <c r="Q540" i="2"/>
  <c r="Q534" i="2" s="1"/>
  <c r="Q41" i="3" s="1"/>
  <c r="Q541" i="2"/>
  <c r="M542" i="2"/>
  <c r="M540" i="2"/>
  <c r="M534" i="2" s="1"/>
  <c r="M41" i="3" s="1"/>
  <c r="M541" i="2"/>
  <c r="I542" i="2"/>
  <c r="I540" i="2"/>
  <c r="I534" i="2" s="1"/>
  <c r="I41" i="3" s="1"/>
  <c r="I541" i="2"/>
  <c r="Y614" i="2"/>
  <c r="Y615" i="2"/>
  <c r="Y613" i="2"/>
  <c r="U614" i="2"/>
  <c r="U615" i="2"/>
  <c r="U613" i="2"/>
  <c r="Q614" i="2"/>
  <c r="Q615" i="2"/>
  <c r="Q613" i="2"/>
  <c r="M614" i="2"/>
  <c r="M615" i="2"/>
  <c r="M613" i="2"/>
  <c r="I614" i="2"/>
  <c r="I615" i="2"/>
  <c r="I613" i="2"/>
  <c r="Y609" i="2"/>
  <c r="Y607" i="2"/>
  <c r="Y608" i="2"/>
  <c r="U609" i="2"/>
  <c r="U607" i="2"/>
  <c r="U608" i="2"/>
  <c r="Q609" i="2"/>
  <c r="Q607" i="2"/>
  <c r="Q608" i="2"/>
  <c r="M609" i="2"/>
  <c r="M607" i="2"/>
  <c r="M608" i="2"/>
  <c r="I609" i="2"/>
  <c r="I607" i="2"/>
  <c r="I608" i="2"/>
  <c r="Y602" i="2"/>
  <c r="Y603" i="2"/>
  <c r="Y601" i="2"/>
  <c r="U602" i="2"/>
  <c r="U603" i="2"/>
  <c r="U601" i="2"/>
  <c r="Q602" i="2"/>
  <c r="Q603" i="2"/>
  <c r="Q601" i="2"/>
  <c r="M602" i="2"/>
  <c r="M603" i="2"/>
  <c r="M601" i="2"/>
  <c r="I602" i="2"/>
  <c r="I603" i="2"/>
  <c r="I601" i="2"/>
  <c r="X377" i="2"/>
  <c r="X375" i="2"/>
  <c r="X376" i="2"/>
  <c r="T377" i="2"/>
  <c r="T375" i="2"/>
  <c r="T376" i="2"/>
  <c r="P377" i="2"/>
  <c r="P375" i="2"/>
  <c r="P376" i="2"/>
  <c r="L377" i="2"/>
  <c r="L375" i="2"/>
  <c r="L376" i="2"/>
  <c r="H377" i="2"/>
  <c r="H375" i="2"/>
  <c r="H376" i="2"/>
  <c r="X370" i="2"/>
  <c r="X371" i="2"/>
  <c r="X369" i="2"/>
  <c r="T370" i="2"/>
  <c r="T371" i="2"/>
  <c r="T369" i="2"/>
  <c r="P370" i="2"/>
  <c r="P371" i="2"/>
  <c r="P369" i="2"/>
  <c r="L370" i="2"/>
  <c r="L371" i="2"/>
  <c r="L369" i="2"/>
  <c r="H370" i="2"/>
  <c r="H371" i="2"/>
  <c r="H369" i="2"/>
  <c r="X365" i="2"/>
  <c r="X363" i="2"/>
  <c r="X364" i="2"/>
  <c r="T365" i="2"/>
  <c r="T363" i="2"/>
  <c r="T364" i="2"/>
  <c r="P365" i="2"/>
  <c r="P363" i="2"/>
  <c r="P364" i="2"/>
  <c r="L365" i="2"/>
  <c r="L363" i="2"/>
  <c r="L364" i="2"/>
  <c r="H365" i="2"/>
  <c r="H363" i="2"/>
  <c r="H364" i="2"/>
  <c r="X358" i="2"/>
  <c r="X359" i="2"/>
  <c r="X357" i="2"/>
  <c r="T358" i="2"/>
  <c r="T359" i="2"/>
  <c r="T357" i="2"/>
  <c r="P358" i="2"/>
  <c r="P359" i="2"/>
  <c r="P357" i="2"/>
  <c r="L358" i="2"/>
  <c r="L359" i="2"/>
  <c r="L357" i="2"/>
  <c r="H358" i="2"/>
  <c r="H359" i="2"/>
  <c r="H357" i="2"/>
  <c r="X353" i="2"/>
  <c r="X351" i="2"/>
  <c r="X352" i="2"/>
  <c r="T353" i="2"/>
  <c r="T351" i="2"/>
  <c r="T352" i="2"/>
  <c r="P353" i="2"/>
  <c r="P351" i="2"/>
  <c r="P352" i="2"/>
  <c r="L353" i="2"/>
  <c r="L351" i="2"/>
  <c r="L352" i="2"/>
  <c r="H353" i="2"/>
  <c r="H351" i="2"/>
  <c r="H352" i="2"/>
  <c r="X491" i="2"/>
  <c r="X492" i="2"/>
  <c r="X490" i="2"/>
  <c r="T491" i="2"/>
  <c r="T492" i="2"/>
  <c r="T490" i="2"/>
  <c r="P491" i="2"/>
  <c r="P492" i="2"/>
  <c r="P490" i="2"/>
  <c r="L491" i="2"/>
  <c r="L492" i="2"/>
  <c r="L490" i="2"/>
  <c r="H491" i="2"/>
  <c r="H492" i="2"/>
  <c r="H490" i="2"/>
  <c r="X486" i="2"/>
  <c r="X484" i="2"/>
  <c r="X485" i="2"/>
  <c r="T486" i="2"/>
  <c r="T484" i="2"/>
  <c r="T485" i="2"/>
  <c r="P486" i="2"/>
  <c r="P484" i="2"/>
  <c r="P485" i="2"/>
  <c r="L486" i="2"/>
  <c r="L484" i="2"/>
  <c r="L485" i="2"/>
  <c r="H486" i="2"/>
  <c r="H484" i="2"/>
  <c r="H485" i="2"/>
  <c r="Y480" i="2"/>
  <c r="Y478" i="2"/>
  <c r="Y479" i="2"/>
  <c r="U480" i="2"/>
  <c r="U478" i="2"/>
  <c r="U479" i="2"/>
  <c r="Q480" i="2"/>
  <c r="Q478" i="2"/>
  <c r="Q479" i="2"/>
  <c r="M480" i="2"/>
  <c r="M478" i="2"/>
  <c r="M479" i="2"/>
  <c r="I480" i="2"/>
  <c r="I478" i="2"/>
  <c r="I479" i="2"/>
  <c r="W473" i="2"/>
  <c r="W474" i="2"/>
  <c r="W472" i="2"/>
  <c r="S473" i="2"/>
  <c r="S474" i="2"/>
  <c r="S472" i="2"/>
  <c r="N474" i="2"/>
  <c r="N472" i="2"/>
  <c r="N473" i="2"/>
  <c r="J474" i="2"/>
  <c r="J472" i="2"/>
  <c r="J473" i="2"/>
  <c r="F474" i="2"/>
  <c r="F472" i="2"/>
  <c r="F473" i="2"/>
  <c r="Y528" i="2"/>
  <c r="Y529" i="2"/>
  <c r="Y527" i="2"/>
  <c r="U528" i="2"/>
  <c r="U529" i="2"/>
  <c r="U527" i="2"/>
  <c r="Q528" i="2"/>
  <c r="Q529" i="2"/>
  <c r="Q527" i="2"/>
  <c r="M528" i="2"/>
  <c r="M529" i="2"/>
  <c r="M527" i="2"/>
  <c r="I528" i="2"/>
  <c r="I529" i="2"/>
  <c r="I527" i="2"/>
  <c r="Y523" i="2"/>
  <c r="Y521" i="2"/>
  <c r="Y522" i="2"/>
  <c r="U523" i="2"/>
  <c r="U521" i="2"/>
  <c r="U522" i="2"/>
  <c r="Q523" i="2"/>
  <c r="Q521" i="2"/>
  <c r="Q522" i="2"/>
  <c r="M523" i="2"/>
  <c r="M521" i="2"/>
  <c r="M522" i="2"/>
  <c r="I523" i="2"/>
  <c r="I521" i="2"/>
  <c r="I522" i="2"/>
  <c r="Y516" i="2"/>
  <c r="Y517" i="2"/>
  <c r="Y515" i="2"/>
  <c r="U516" i="2"/>
  <c r="U517" i="2"/>
  <c r="U515" i="2"/>
  <c r="Q516" i="2"/>
  <c r="Q517" i="2"/>
  <c r="Q515" i="2"/>
  <c r="M516" i="2"/>
  <c r="M517" i="2"/>
  <c r="M515" i="2"/>
  <c r="I516" i="2"/>
  <c r="I517" i="2"/>
  <c r="I515" i="2"/>
  <c r="Y511" i="2"/>
  <c r="Y509" i="2"/>
  <c r="Y510" i="2"/>
  <c r="U511" i="2"/>
  <c r="U509" i="2"/>
  <c r="U510" i="2"/>
  <c r="Q511" i="2"/>
  <c r="Q509" i="2"/>
  <c r="Q510" i="2"/>
  <c r="M511" i="2"/>
  <c r="M509" i="2"/>
  <c r="M510" i="2"/>
  <c r="I511" i="2"/>
  <c r="I509" i="2"/>
  <c r="I510" i="2"/>
  <c r="X505" i="2"/>
  <c r="X503" i="2"/>
  <c r="X504" i="2"/>
  <c r="T505" i="2"/>
  <c r="T503" i="2"/>
  <c r="T504" i="2"/>
  <c r="O504" i="2"/>
  <c r="O505" i="2"/>
  <c r="O503" i="2"/>
  <c r="K504" i="2"/>
  <c r="K505" i="2"/>
  <c r="K503" i="2"/>
  <c r="G504" i="2"/>
  <c r="G505" i="2"/>
  <c r="G503" i="2"/>
  <c r="V584" i="2"/>
  <c r="V582" i="2"/>
  <c r="V583" i="2"/>
  <c r="R584" i="2"/>
  <c r="R582" i="2"/>
  <c r="R583" i="2"/>
  <c r="N584" i="2"/>
  <c r="N582" i="2"/>
  <c r="N583" i="2"/>
  <c r="J584" i="2"/>
  <c r="J582" i="2"/>
  <c r="J583" i="2"/>
  <c r="F584" i="2"/>
  <c r="F582" i="2"/>
  <c r="F583" i="2"/>
  <c r="V577" i="2"/>
  <c r="V578" i="2"/>
  <c r="V576" i="2"/>
  <c r="R577" i="2"/>
  <c r="R578" i="2"/>
  <c r="R576" i="2"/>
  <c r="N577" i="2"/>
  <c r="N578" i="2"/>
  <c r="N576" i="2"/>
  <c r="J577" i="2"/>
  <c r="J578" i="2"/>
  <c r="J576" i="2"/>
  <c r="F577" i="2"/>
  <c r="F578" i="2"/>
  <c r="F576" i="2"/>
  <c r="V572" i="2"/>
  <c r="V570" i="2"/>
  <c r="V571" i="2"/>
  <c r="R572" i="2"/>
  <c r="R570" i="2"/>
  <c r="R571" i="2"/>
  <c r="N572" i="2"/>
  <c r="N570" i="2"/>
  <c r="N571" i="2"/>
  <c r="J572" i="2"/>
  <c r="J570" i="2"/>
  <c r="J571" i="2"/>
  <c r="F572" i="2"/>
  <c r="F570" i="2"/>
  <c r="F571" i="2"/>
  <c r="V565" i="2"/>
  <c r="V566" i="2"/>
  <c r="V564" i="2"/>
  <c r="R565" i="2"/>
  <c r="R566" i="2"/>
  <c r="R564" i="2"/>
  <c r="N565" i="2"/>
  <c r="N566" i="2"/>
  <c r="N564" i="2"/>
  <c r="J565" i="2"/>
  <c r="J566" i="2"/>
  <c r="J564" i="2"/>
  <c r="F565" i="2"/>
  <c r="F566" i="2"/>
  <c r="F564" i="2"/>
  <c r="V560" i="2"/>
  <c r="V558" i="2"/>
  <c r="V559" i="2"/>
  <c r="R560" i="2"/>
  <c r="R558" i="2"/>
  <c r="R559" i="2"/>
  <c r="N560" i="2"/>
  <c r="N558" i="2"/>
  <c r="N559" i="2"/>
  <c r="J560" i="2"/>
  <c r="J558" i="2"/>
  <c r="J559" i="2"/>
  <c r="F560" i="2"/>
  <c r="F558" i="2"/>
  <c r="F559" i="2"/>
  <c r="V553" i="2"/>
  <c r="V554" i="2"/>
  <c r="V552" i="2"/>
  <c r="R553" i="2"/>
  <c r="R554" i="2"/>
  <c r="R552" i="2"/>
  <c r="N553" i="2"/>
  <c r="N554" i="2"/>
  <c r="N552" i="2"/>
  <c r="J553" i="2"/>
  <c r="J554" i="2"/>
  <c r="J552" i="2"/>
  <c r="F553" i="2"/>
  <c r="F554" i="2"/>
  <c r="F552" i="2"/>
  <c r="V548" i="2"/>
  <c r="V547" i="2"/>
  <c r="V546" i="2"/>
  <c r="R548" i="2"/>
  <c r="R547" i="2"/>
  <c r="R546" i="2"/>
  <c r="N548" i="2"/>
  <c r="N547" i="2"/>
  <c r="N546" i="2"/>
  <c r="J548" i="2"/>
  <c r="J546" i="2"/>
  <c r="J547" i="2"/>
  <c r="F548" i="2"/>
  <c r="F546" i="2"/>
  <c r="F547" i="2"/>
  <c r="V541" i="2"/>
  <c r="V542" i="2"/>
  <c r="V536" i="2" s="1"/>
  <c r="V43" i="3" s="1"/>
  <c r="V540" i="2"/>
  <c r="R541" i="2"/>
  <c r="R542" i="2"/>
  <c r="R536" i="2" s="1"/>
  <c r="R43" i="3" s="1"/>
  <c r="R540" i="2"/>
  <c r="N541" i="2"/>
  <c r="N542" i="2"/>
  <c r="N536" i="2" s="1"/>
  <c r="N43" i="3" s="1"/>
  <c r="N540" i="2"/>
  <c r="J541" i="2"/>
  <c r="J542" i="2"/>
  <c r="J536" i="2" s="1"/>
  <c r="J43" i="3" s="1"/>
  <c r="J540" i="2"/>
  <c r="J534" i="2" s="1"/>
  <c r="J41" i="3" s="1"/>
  <c r="F541" i="2"/>
  <c r="F542" i="2"/>
  <c r="F540" i="2"/>
  <c r="V615" i="2"/>
  <c r="V613" i="2"/>
  <c r="V614" i="2"/>
  <c r="R615" i="2"/>
  <c r="R613" i="2"/>
  <c r="R614" i="2"/>
  <c r="N615" i="2"/>
  <c r="N613" i="2"/>
  <c r="N614" i="2"/>
  <c r="J615" i="2"/>
  <c r="J613" i="2"/>
  <c r="J614" i="2"/>
  <c r="F615" i="2"/>
  <c r="F613" i="2"/>
  <c r="F614" i="2"/>
  <c r="V608" i="2"/>
  <c r="V609" i="2"/>
  <c r="V607" i="2"/>
  <c r="R608" i="2"/>
  <c r="R609" i="2"/>
  <c r="R607" i="2"/>
  <c r="N608" i="2"/>
  <c r="N609" i="2"/>
  <c r="N607" i="2"/>
  <c r="J608" i="2"/>
  <c r="J609" i="2"/>
  <c r="J607" i="2"/>
  <c r="F608" i="2"/>
  <c r="F609" i="2"/>
  <c r="F607" i="2"/>
  <c r="V603" i="2"/>
  <c r="V601" i="2"/>
  <c r="V602" i="2"/>
  <c r="R603" i="2"/>
  <c r="R601" i="2"/>
  <c r="R602" i="2"/>
  <c r="N603" i="2"/>
  <c r="N601" i="2"/>
  <c r="N602" i="2"/>
  <c r="J603" i="2"/>
  <c r="J601" i="2"/>
  <c r="J602" i="2"/>
  <c r="F603" i="2"/>
  <c r="F601" i="2"/>
  <c r="F602" i="2"/>
  <c r="U597" i="2"/>
  <c r="U591" i="2" s="1"/>
  <c r="U46" i="3" s="1"/>
  <c r="U595" i="2"/>
  <c r="U589" i="2" s="1"/>
  <c r="U44" i="3" s="1"/>
  <c r="U596" i="2"/>
  <c r="Q597" i="2"/>
  <c r="Q591" i="2" s="1"/>
  <c r="Q46" i="3" s="1"/>
  <c r="Q595" i="2"/>
  <c r="Q589" i="2" s="1"/>
  <c r="Q44" i="3" s="1"/>
  <c r="Q596" i="2"/>
  <c r="L596" i="2"/>
  <c r="L597" i="2"/>
  <c r="L595" i="2"/>
  <c r="H596" i="2"/>
  <c r="H597" i="2"/>
  <c r="H595" i="2"/>
  <c r="W718" i="2"/>
  <c r="W716" i="2"/>
  <c r="W717" i="2"/>
  <c r="S718" i="2"/>
  <c r="S716" i="2"/>
  <c r="S717" i="2"/>
  <c r="O718" i="2"/>
  <c r="O716" i="2"/>
  <c r="O717" i="2"/>
  <c r="K718" i="2"/>
  <c r="K716" i="2"/>
  <c r="K717" i="2"/>
  <c r="G718" i="2"/>
  <c r="G716" i="2"/>
  <c r="G717" i="2"/>
  <c r="W711" i="2"/>
  <c r="W712" i="2"/>
  <c r="W710" i="2"/>
  <c r="S711" i="2"/>
  <c r="S712" i="2"/>
  <c r="S710" i="2"/>
  <c r="O711" i="2"/>
  <c r="O712" i="2"/>
  <c r="O710" i="2"/>
  <c r="K711" i="2"/>
  <c r="K712" i="2"/>
  <c r="K710" i="2"/>
  <c r="G711" i="2"/>
  <c r="G712" i="2"/>
  <c r="G710" i="2"/>
  <c r="W706" i="2"/>
  <c r="W704" i="2"/>
  <c r="W705" i="2"/>
  <c r="S706" i="2"/>
  <c r="S704" i="2"/>
  <c r="S705" i="2"/>
  <c r="O706" i="2"/>
  <c r="O704" i="2"/>
  <c r="O705" i="2"/>
  <c r="K706" i="2"/>
  <c r="K704" i="2"/>
  <c r="K705" i="2"/>
  <c r="G706" i="2"/>
  <c r="G704" i="2"/>
  <c r="G705" i="2"/>
  <c r="W699" i="2"/>
  <c r="W700" i="2"/>
  <c r="W698" i="2"/>
  <c r="S699" i="2"/>
  <c r="S700" i="2"/>
  <c r="S698" i="2"/>
  <c r="O699" i="2"/>
  <c r="O700" i="2"/>
  <c r="O698" i="2"/>
  <c r="K699" i="2"/>
  <c r="K700" i="2"/>
  <c r="K698" i="2"/>
  <c r="G699" i="2"/>
  <c r="G700" i="2"/>
  <c r="G698" i="2"/>
  <c r="W694" i="2"/>
  <c r="W692" i="2"/>
  <c r="W693" i="2"/>
  <c r="S694" i="2"/>
  <c r="S692" i="2"/>
  <c r="S693" i="2"/>
  <c r="O694" i="2"/>
  <c r="O692" i="2"/>
  <c r="O693" i="2"/>
  <c r="K694" i="2"/>
  <c r="K692" i="2"/>
  <c r="K693" i="2"/>
  <c r="G694" i="2"/>
  <c r="G693" i="2"/>
  <c r="G692" i="2"/>
  <c r="W687" i="2"/>
  <c r="W688" i="2"/>
  <c r="W686" i="2"/>
  <c r="S687" i="2"/>
  <c r="S688" i="2"/>
  <c r="S686" i="2"/>
  <c r="O687" i="2"/>
  <c r="O688" i="2"/>
  <c r="O686" i="2"/>
  <c r="K687" i="2"/>
  <c r="K688" i="2"/>
  <c r="K686" i="2"/>
  <c r="G687" i="2"/>
  <c r="G688" i="2"/>
  <c r="G686" i="2"/>
  <c r="W682" i="2"/>
  <c r="W680" i="2"/>
  <c r="W681" i="2"/>
  <c r="S682" i="2"/>
  <c r="S680" i="2"/>
  <c r="S681" i="2"/>
  <c r="O682" i="2"/>
  <c r="O680" i="2"/>
  <c r="O681" i="2"/>
  <c r="K682" i="2"/>
  <c r="K680" i="2"/>
  <c r="K681" i="2"/>
  <c r="G682" i="2"/>
  <c r="G680" i="2"/>
  <c r="G681" i="2"/>
  <c r="W675" i="2"/>
  <c r="W676" i="2"/>
  <c r="W674" i="2"/>
  <c r="S675" i="2"/>
  <c r="S676" i="2"/>
  <c r="S674" i="2"/>
  <c r="O675" i="2"/>
  <c r="O676" i="2"/>
  <c r="O674" i="2"/>
  <c r="K675" i="2"/>
  <c r="K676" i="2"/>
  <c r="K674" i="2"/>
  <c r="G675" i="2"/>
  <c r="G676" i="2"/>
  <c r="G674" i="2"/>
  <c r="W670" i="2"/>
  <c r="W668" i="2"/>
  <c r="W669" i="2"/>
  <c r="S670" i="2"/>
  <c r="S668" i="2"/>
  <c r="S669" i="2"/>
  <c r="O670" i="2"/>
  <c r="O668" i="2"/>
  <c r="O669" i="2"/>
  <c r="K670" i="2"/>
  <c r="K668" i="2"/>
  <c r="K669" i="2"/>
  <c r="G670" i="2"/>
  <c r="G668" i="2"/>
  <c r="G669" i="2"/>
  <c r="W663" i="2"/>
  <c r="W664" i="2"/>
  <c r="W662" i="2"/>
  <c r="S663" i="2"/>
  <c r="S664" i="2"/>
  <c r="S662" i="2"/>
  <c r="O663" i="2"/>
  <c r="O664" i="2"/>
  <c r="O662" i="2"/>
  <c r="K663" i="2"/>
  <c r="K664" i="2"/>
  <c r="K662" i="2"/>
  <c r="G663" i="2"/>
  <c r="G664" i="2"/>
  <c r="G662" i="2"/>
  <c r="W658" i="2"/>
  <c r="W656" i="2"/>
  <c r="W657" i="2"/>
  <c r="S658" i="2"/>
  <c r="S656" i="2"/>
  <c r="S657" i="2"/>
  <c r="O658" i="2"/>
  <c r="O656" i="2"/>
  <c r="O657" i="2"/>
  <c r="K658" i="2"/>
  <c r="K656" i="2"/>
  <c r="K657" i="2"/>
  <c r="G658" i="2"/>
  <c r="G656" i="2"/>
  <c r="G657" i="2"/>
  <c r="W651" i="2"/>
  <c r="W652" i="2"/>
  <c r="W650" i="2"/>
  <c r="S651" i="2"/>
  <c r="S652" i="2"/>
  <c r="S650" i="2"/>
  <c r="O651" i="2"/>
  <c r="O652" i="2"/>
  <c r="O650" i="2"/>
  <c r="K651" i="2"/>
  <c r="K652" i="2"/>
  <c r="K650" i="2"/>
  <c r="G651" i="2"/>
  <c r="G652" i="2"/>
  <c r="G650" i="2"/>
  <c r="W646" i="2"/>
  <c r="W644" i="2"/>
  <c r="W645" i="2"/>
  <c r="S646" i="2"/>
  <c r="S644" i="2"/>
  <c r="S645" i="2"/>
  <c r="O646" i="2"/>
  <c r="O644" i="2"/>
  <c r="O645" i="2"/>
  <c r="K646" i="2"/>
  <c r="K644" i="2"/>
  <c r="K645" i="2"/>
  <c r="G646" i="2"/>
  <c r="G644" i="2"/>
  <c r="G645" i="2"/>
  <c r="W639" i="2"/>
  <c r="W640" i="2"/>
  <c r="W638" i="2"/>
  <c r="S639" i="2"/>
  <c r="S640" i="2"/>
  <c r="S638" i="2"/>
  <c r="O639" i="2"/>
  <c r="O640" i="2"/>
  <c r="O638" i="2"/>
  <c r="K639" i="2"/>
  <c r="K640" i="2"/>
  <c r="K638" i="2"/>
  <c r="G639" i="2"/>
  <c r="G640" i="2"/>
  <c r="G638" i="2"/>
  <c r="W634" i="2"/>
  <c r="W632" i="2"/>
  <c r="W633" i="2"/>
  <c r="S634" i="2"/>
  <c r="S632" i="2"/>
  <c r="S633" i="2"/>
  <c r="O634" i="2"/>
  <c r="O632" i="2"/>
  <c r="O633" i="2"/>
  <c r="K634" i="2"/>
  <c r="K632" i="2"/>
  <c r="K633" i="2"/>
  <c r="G634" i="2"/>
  <c r="G632" i="2"/>
  <c r="G633" i="2"/>
  <c r="V628" i="2"/>
  <c r="V626" i="2"/>
  <c r="V627" i="2"/>
  <c r="R628" i="2"/>
  <c r="R626" i="2"/>
  <c r="R627" i="2"/>
  <c r="N628" i="2"/>
  <c r="N626" i="2"/>
  <c r="N627" i="2"/>
  <c r="I627" i="2"/>
  <c r="I628" i="2"/>
  <c r="I626" i="2"/>
  <c r="X743" i="2"/>
  <c r="X741" i="2"/>
  <c r="X742" i="2"/>
  <c r="T743" i="2"/>
  <c r="T741" i="2"/>
  <c r="T742" i="2"/>
  <c r="P743" i="2"/>
  <c r="P741" i="2"/>
  <c r="P742" i="2"/>
  <c r="L743" i="2"/>
  <c r="L741" i="2"/>
  <c r="L742" i="2"/>
  <c r="H743" i="2"/>
  <c r="H741" i="2"/>
  <c r="H742" i="2"/>
  <c r="X736" i="2"/>
  <c r="X721" i="2" s="1"/>
  <c r="X737" i="2"/>
  <c r="X722" i="2" s="1"/>
  <c r="X735" i="2"/>
  <c r="X720" i="2" s="1"/>
  <c r="T736" i="2"/>
  <c r="T721" i="2" s="1"/>
  <c r="T737" i="2"/>
  <c r="T722" i="2" s="1"/>
  <c r="T735" i="2"/>
  <c r="T720" i="2" s="1"/>
  <c r="P736" i="2"/>
  <c r="P721" i="2" s="1"/>
  <c r="P737" i="2"/>
  <c r="P722" i="2" s="1"/>
  <c r="P735" i="2"/>
  <c r="P720" i="2" s="1"/>
  <c r="L736" i="2"/>
  <c r="L721" i="2" s="1"/>
  <c r="L737" i="2"/>
  <c r="L722" i="2" s="1"/>
  <c r="L735" i="2"/>
  <c r="L720" i="2" s="1"/>
  <c r="H736" i="2"/>
  <c r="H721" i="2" s="1"/>
  <c r="H737" i="2"/>
  <c r="H722" i="2" s="1"/>
  <c r="H735" i="2"/>
  <c r="H720" i="2" s="1"/>
  <c r="W730" i="2"/>
  <c r="W731" i="2"/>
  <c r="W729" i="2"/>
  <c r="S730" i="2"/>
  <c r="S731" i="2"/>
  <c r="S729" i="2"/>
  <c r="O730" i="2"/>
  <c r="O731" i="2"/>
  <c r="O729" i="2"/>
  <c r="J731" i="2"/>
  <c r="J729" i="2"/>
  <c r="J730" i="2"/>
  <c r="F731" i="2"/>
  <c r="F729" i="2"/>
  <c r="F730" i="2"/>
  <c r="Y774" i="2"/>
  <c r="Y772" i="2"/>
  <c r="Y773" i="2"/>
  <c r="U774" i="2"/>
  <c r="U772" i="2"/>
  <c r="U773" i="2"/>
  <c r="Q774" i="2"/>
  <c r="Q772" i="2"/>
  <c r="Q773" i="2"/>
  <c r="M774" i="2"/>
  <c r="M772" i="2"/>
  <c r="M773" i="2"/>
  <c r="I774" i="2"/>
  <c r="I772" i="2"/>
  <c r="I773" i="2"/>
  <c r="X768" i="2"/>
  <c r="X766" i="2"/>
  <c r="X767" i="2"/>
  <c r="T768" i="2"/>
  <c r="T766" i="2"/>
  <c r="T767" i="2"/>
  <c r="P768" i="2"/>
  <c r="P766" i="2"/>
  <c r="P767" i="2"/>
  <c r="L768" i="2"/>
  <c r="L766" i="2"/>
  <c r="L767" i="2"/>
  <c r="H768" i="2"/>
  <c r="H766" i="2"/>
  <c r="H767" i="2"/>
  <c r="U762" i="2"/>
  <c r="U760" i="2"/>
  <c r="U761" i="2"/>
  <c r="M762" i="2"/>
  <c r="M760" i="2"/>
  <c r="M761" i="2"/>
  <c r="U755" i="2"/>
  <c r="U756" i="2"/>
  <c r="U754" i="2"/>
  <c r="L756" i="2"/>
  <c r="L754" i="2"/>
  <c r="L755" i="2"/>
  <c r="W854" i="2"/>
  <c r="W852" i="2"/>
  <c r="W853" i="2"/>
  <c r="O854" i="2"/>
  <c r="O852" i="2"/>
  <c r="O853" i="2"/>
  <c r="G854" i="2"/>
  <c r="G852" i="2"/>
  <c r="G853" i="2"/>
  <c r="S847" i="2"/>
  <c r="S848" i="2"/>
  <c r="S846" i="2"/>
  <c r="K847" i="2"/>
  <c r="K848" i="2"/>
  <c r="K846" i="2"/>
  <c r="W842" i="2"/>
  <c r="W841" i="2"/>
  <c r="W840" i="2"/>
  <c r="O842" i="2"/>
  <c r="O841" i="2"/>
  <c r="O840" i="2"/>
  <c r="G842" i="2"/>
  <c r="G841" i="2"/>
  <c r="G840" i="2"/>
  <c r="W597" i="2"/>
  <c r="W595" i="2"/>
  <c r="W596" i="2"/>
  <c r="R596" i="2"/>
  <c r="R597" i="2"/>
  <c r="R591" i="2" s="1"/>
  <c r="R46" i="3" s="1"/>
  <c r="R595" i="2"/>
  <c r="R589" i="2" s="1"/>
  <c r="R44" i="3" s="1"/>
  <c r="M597" i="2"/>
  <c r="M591" i="2" s="1"/>
  <c r="M46" i="3" s="1"/>
  <c r="M595" i="2"/>
  <c r="M589" i="2" s="1"/>
  <c r="M44" i="3" s="1"/>
  <c r="M596" i="2"/>
  <c r="I597" i="2"/>
  <c r="I591" i="2" s="1"/>
  <c r="I46" i="3" s="1"/>
  <c r="I595" i="2"/>
  <c r="I589" i="2" s="1"/>
  <c r="I44" i="3" s="1"/>
  <c r="I596" i="2"/>
  <c r="X717" i="2"/>
  <c r="X718" i="2"/>
  <c r="X716" i="2"/>
  <c r="T717" i="2"/>
  <c r="T718" i="2"/>
  <c r="T716" i="2"/>
  <c r="P717" i="2"/>
  <c r="P718" i="2"/>
  <c r="P716" i="2"/>
  <c r="L717" i="2"/>
  <c r="L718" i="2"/>
  <c r="L716" i="2"/>
  <c r="H717" i="2"/>
  <c r="H718" i="2"/>
  <c r="H716" i="2"/>
  <c r="X712" i="2"/>
  <c r="X710" i="2"/>
  <c r="X711" i="2"/>
  <c r="T712" i="2"/>
  <c r="T710" i="2"/>
  <c r="T711" i="2"/>
  <c r="P712" i="2"/>
  <c r="P710" i="2"/>
  <c r="P711" i="2"/>
  <c r="L712" i="2"/>
  <c r="L710" i="2"/>
  <c r="L711" i="2"/>
  <c r="H712" i="2"/>
  <c r="H710" i="2"/>
  <c r="H711" i="2"/>
  <c r="X705" i="2"/>
  <c r="X706" i="2"/>
  <c r="X704" i="2"/>
  <c r="T705" i="2"/>
  <c r="T706" i="2"/>
  <c r="T704" i="2"/>
  <c r="P705" i="2"/>
  <c r="P706" i="2"/>
  <c r="P704" i="2"/>
  <c r="L705" i="2"/>
  <c r="L706" i="2"/>
  <c r="L704" i="2"/>
  <c r="H705" i="2"/>
  <c r="H706" i="2"/>
  <c r="H704" i="2"/>
  <c r="X700" i="2"/>
  <c r="X698" i="2"/>
  <c r="X699" i="2"/>
  <c r="T700" i="2"/>
  <c r="T698" i="2"/>
  <c r="T699" i="2"/>
  <c r="P700" i="2"/>
  <c r="P698" i="2"/>
  <c r="P699" i="2"/>
  <c r="L700" i="2"/>
  <c r="L698" i="2"/>
  <c r="L699" i="2"/>
  <c r="H700" i="2"/>
  <c r="H698" i="2"/>
  <c r="H699" i="2"/>
  <c r="X693" i="2"/>
  <c r="X694" i="2"/>
  <c r="X692" i="2"/>
  <c r="T693" i="2"/>
  <c r="T694" i="2"/>
  <c r="T692" i="2"/>
  <c r="P693" i="2"/>
  <c r="P694" i="2"/>
  <c r="P692" i="2"/>
  <c r="L693" i="2"/>
  <c r="L694" i="2"/>
  <c r="L692" i="2"/>
  <c r="H693" i="2"/>
  <c r="H694" i="2"/>
  <c r="H692" i="2"/>
  <c r="X688" i="2"/>
  <c r="X686" i="2"/>
  <c r="X687" i="2"/>
  <c r="T688" i="2"/>
  <c r="T686" i="2"/>
  <c r="T687" i="2"/>
  <c r="P688" i="2"/>
  <c r="P686" i="2"/>
  <c r="P687" i="2"/>
  <c r="L688" i="2"/>
  <c r="L686" i="2"/>
  <c r="L687" i="2"/>
  <c r="H688" i="2"/>
  <c r="H686" i="2"/>
  <c r="H687" i="2"/>
  <c r="X681" i="2"/>
  <c r="X682" i="2"/>
  <c r="X680" i="2"/>
  <c r="T681" i="2"/>
  <c r="T682" i="2"/>
  <c r="T680" i="2"/>
  <c r="P681" i="2"/>
  <c r="P682" i="2"/>
  <c r="P680" i="2"/>
  <c r="L681" i="2"/>
  <c r="L682" i="2"/>
  <c r="L680" i="2"/>
  <c r="H681" i="2"/>
  <c r="H682" i="2"/>
  <c r="H680" i="2"/>
  <c r="X676" i="2"/>
  <c r="X674" i="2"/>
  <c r="X675" i="2"/>
  <c r="T676" i="2"/>
  <c r="T674" i="2"/>
  <c r="T675" i="2"/>
  <c r="P676" i="2"/>
  <c r="P674" i="2"/>
  <c r="P675" i="2"/>
  <c r="L676" i="2"/>
  <c r="L674" i="2"/>
  <c r="L675" i="2"/>
  <c r="H676" i="2"/>
  <c r="H674" i="2"/>
  <c r="H675" i="2"/>
  <c r="X669" i="2"/>
  <c r="X670" i="2"/>
  <c r="X668" i="2"/>
  <c r="T669" i="2"/>
  <c r="T670" i="2"/>
  <c r="T668" i="2"/>
  <c r="P669" i="2"/>
  <c r="P670" i="2"/>
  <c r="P668" i="2"/>
  <c r="L669" i="2"/>
  <c r="L670" i="2"/>
  <c r="L668" i="2"/>
  <c r="H669" i="2"/>
  <c r="H670" i="2"/>
  <c r="H668" i="2"/>
  <c r="X664" i="2"/>
  <c r="X662" i="2"/>
  <c r="X663" i="2"/>
  <c r="T664" i="2"/>
  <c r="T662" i="2"/>
  <c r="T663" i="2"/>
  <c r="P664" i="2"/>
  <c r="P662" i="2"/>
  <c r="P663" i="2"/>
  <c r="L664" i="2"/>
  <c r="L662" i="2"/>
  <c r="L663" i="2"/>
  <c r="H664" i="2"/>
  <c r="H662" i="2"/>
  <c r="H663" i="2"/>
  <c r="X657" i="2"/>
  <c r="X658" i="2"/>
  <c r="X656" i="2"/>
  <c r="T657" i="2"/>
  <c r="T658" i="2"/>
  <c r="T656" i="2"/>
  <c r="P657" i="2"/>
  <c r="P658" i="2"/>
  <c r="P656" i="2"/>
  <c r="L657" i="2"/>
  <c r="L658" i="2"/>
  <c r="L656" i="2"/>
  <c r="H657" i="2"/>
  <c r="H658" i="2"/>
  <c r="H656" i="2"/>
  <c r="X652" i="2"/>
  <c r="X650" i="2"/>
  <c r="X651" i="2"/>
  <c r="T652" i="2"/>
  <c r="T650" i="2"/>
  <c r="T651" i="2"/>
  <c r="P652" i="2"/>
  <c r="P650" i="2"/>
  <c r="P651" i="2"/>
  <c r="L652" i="2"/>
  <c r="L650" i="2"/>
  <c r="L651" i="2"/>
  <c r="H652" i="2"/>
  <c r="H650" i="2"/>
  <c r="H651" i="2"/>
  <c r="X645" i="2"/>
  <c r="X646" i="2"/>
  <c r="X644" i="2"/>
  <c r="T645" i="2"/>
  <c r="T646" i="2"/>
  <c r="T644" i="2"/>
  <c r="P645" i="2"/>
  <c r="P646" i="2"/>
  <c r="P644" i="2"/>
  <c r="L645" i="2"/>
  <c r="L646" i="2"/>
  <c r="L644" i="2"/>
  <c r="H645" i="2"/>
  <c r="H646" i="2"/>
  <c r="H644" i="2"/>
  <c r="X640" i="2"/>
  <c r="X638" i="2"/>
  <c r="X639" i="2"/>
  <c r="T640" i="2"/>
  <c r="T638" i="2"/>
  <c r="T639" i="2"/>
  <c r="P640" i="2"/>
  <c r="P638" i="2"/>
  <c r="P639" i="2"/>
  <c r="L640" i="2"/>
  <c r="L638" i="2"/>
  <c r="L639" i="2"/>
  <c r="H640" i="2"/>
  <c r="H638" i="2"/>
  <c r="H639" i="2"/>
  <c r="X633" i="2"/>
  <c r="X634" i="2"/>
  <c r="X632" i="2"/>
  <c r="T633" i="2"/>
  <c r="T634" i="2"/>
  <c r="T632" i="2"/>
  <c r="P633" i="2"/>
  <c r="P634" i="2"/>
  <c r="P632" i="2"/>
  <c r="L633" i="2"/>
  <c r="L634" i="2"/>
  <c r="L632" i="2"/>
  <c r="H633" i="2"/>
  <c r="H634" i="2"/>
  <c r="H632" i="2"/>
  <c r="W627" i="2"/>
  <c r="W628" i="2"/>
  <c r="W622" i="2" s="1"/>
  <c r="W49" i="3" s="1"/>
  <c r="W626" i="2"/>
  <c r="W620" i="2" s="1"/>
  <c r="W47" i="3" s="1"/>
  <c r="S627" i="2"/>
  <c r="S628" i="2"/>
  <c r="S622" i="2" s="1"/>
  <c r="S49" i="3" s="1"/>
  <c r="S626" i="2"/>
  <c r="S620" i="2" s="1"/>
  <c r="S47" i="3" s="1"/>
  <c r="O627" i="2"/>
  <c r="O628" i="2"/>
  <c r="O622" i="2" s="1"/>
  <c r="O49" i="3" s="1"/>
  <c r="O626" i="2"/>
  <c r="O620" i="2" s="1"/>
  <c r="O47" i="3" s="1"/>
  <c r="J628" i="2"/>
  <c r="J626" i="2"/>
  <c r="J627" i="2"/>
  <c r="F628" i="2"/>
  <c r="F626" i="2"/>
  <c r="F627" i="2"/>
  <c r="Y742" i="2"/>
  <c r="Y743" i="2"/>
  <c r="Y741" i="2"/>
  <c r="U742" i="2"/>
  <c r="U743" i="2"/>
  <c r="U741" i="2"/>
  <c r="Q742" i="2"/>
  <c r="Q743" i="2"/>
  <c r="Q741" i="2"/>
  <c r="M742" i="2"/>
  <c r="M743" i="2"/>
  <c r="M741" i="2"/>
  <c r="I742" i="2"/>
  <c r="I743" i="2"/>
  <c r="I741" i="2"/>
  <c r="Y737" i="2"/>
  <c r="Y722" i="2" s="1"/>
  <c r="Y735" i="2"/>
  <c r="Y720" i="2" s="1"/>
  <c r="Y736" i="2"/>
  <c r="Y721" i="2" s="1"/>
  <c r="U737" i="2"/>
  <c r="U722" i="2" s="1"/>
  <c r="U735" i="2"/>
  <c r="U720" i="2" s="1"/>
  <c r="U736" i="2"/>
  <c r="U721" i="2" s="1"/>
  <c r="Q737" i="2"/>
  <c r="Q722" i="2" s="1"/>
  <c r="Q735" i="2"/>
  <c r="Q720" i="2" s="1"/>
  <c r="Q736" i="2"/>
  <c r="Q721" i="2" s="1"/>
  <c r="M737" i="2"/>
  <c r="M722" i="2" s="1"/>
  <c r="M735" i="2"/>
  <c r="M720" i="2" s="1"/>
  <c r="M736" i="2"/>
  <c r="M721" i="2" s="1"/>
  <c r="I737" i="2"/>
  <c r="I722" i="2" s="1"/>
  <c r="I735" i="2"/>
  <c r="I720" i="2" s="1"/>
  <c r="I736" i="2"/>
  <c r="I721" i="2" s="1"/>
  <c r="X731" i="2"/>
  <c r="X729" i="2"/>
  <c r="X730" i="2"/>
  <c r="T731" i="2"/>
  <c r="T729" i="2"/>
  <c r="T730" i="2"/>
  <c r="P731" i="2"/>
  <c r="P729" i="2"/>
  <c r="P730" i="2"/>
  <c r="L731" i="2"/>
  <c r="L729" i="2"/>
  <c r="L730" i="2"/>
  <c r="G730" i="2"/>
  <c r="G731" i="2"/>
  <c r="G729" i="2"/>
  <c r="V773" i="2"/>
  <c r="V774" i="2"/>
  <c r="V772" i="2"/>
  <c r="R773" i="2"/>
  <c r="R774" i="2"/>
  <c r="R772" i="2"/>
  <c r="N773" i="2"/>
  <c r="N774" i="2"/>
  <c r="N772" i="2"/>
  <c r="J773" i="2"/>
  <c r="J774" i="2"/>
  <c r="J772" i="2"/>
  <c r="F773" i="2"/>
  <c r="F774" i="2"/>
  <c r="F772" i="2"/>
  <c r="W767" i="2"/>
  <c r="W768" i="2"/>
  <c r="W766" i="2"/>
  <c r="S767" i="2"/>
  <c r="S768" i="2"/>
  <c r="S766" i="2"/>
  <c r="O767" i="2"/>
  <c r="O768" i="2"/>
  <c r="O766" i="2"/>
  <c r="K767" i="2"/>
  <c r="K768" i="2"/>
  <c r="K766" i="2"/>
  <c r="G767" i="2"/>
  <c r="G768" i="2"/>
  <c r="G766" i="2"/>
  <c r="W762" i="2"/>
  <c r="W760" i="2"/>
  <c r="W761" i="2"/>
  <c r="O762" i="2"/>
  <c r="O760" i="2"/>
  <c r="O761" i="2"/>
  <c r="G762" i="2"/>
  <c r="G760" i="2"/>
  <c r="G761" i="2"/>
  <c r="S755" i="2"/>
  <c r="S756" i="2"/>
  <c r="S754" i="2"/>
  <c r="J756" i="2"/>
  <c r="J754" i="2"/>
  <c r="J755" i="2"/>
  <c r="U854" i="2"/>
  <c r="U852" i="2"/>
  <c r="U853" i="2"/>
  <c r="M854" i="2"/>
  <c r="M852" i="2"/>
  <c r="M853" i="2"/>
  <c r="Y847" i="2"/>
  <c r="Y848" i="2"/>
  <c r="Y846" i="2"/>
  <c r="Q847" i="2"/>
  <c r="Q848" i="2"/>
  <c r="Q846" i="2"/>
  <c r="I847" i="2"/>
  <c r="I848" i="2"/>
  <c r="I846" i="2"/>
  <c r="U842" i="2"/>
  <c r="U841" i="2"/>
  <c r="U840" i="2"/>
  <c r="M842" i="2"/>
  <c r="M841" i="2"/>
  <c r="M840" i="2"/>
  <c r="V761" i="2"/>
  <c r="V762" i="2"/>
  <c r="V760" i="2"/>
  <c r="R761" i="2"/>
  <c r="R762" i="2"/>
  <c r="R760" i="2"/>
  <c r="N761" i="2"/>
  <c r="N762" i="2"/>
  <c r="N760" i="2"/>
  <c r="J761" i="2"/>
  <c r="J762" i="2"/>
  <c r="J760" i="2"/>
  <c r="F761" i="2"/>
  <c r="F762" i="2"/>
  <c r="F760" i="2"/>
  <c r="V756" i="2"/>
  <c r="V754" i="2"/>
  <c r="V755" i="2"/>
  <c r="R756" i="2"/>
  <c r="R754" i="2"/>
  <c r="R755" i="2"/>
  <c r="M755" i="2"/>
  <c r="M756" i="2"/>
  <c r="M754" i="2"/>
  <c r="I755" i="2"/>
  <c r="I756" i="2"/>
  <c r="I754" i="2"/>
  <c r="X853" i="2"/>
  <c r="X854" i="2"/>
  <c r="X852" i="2"/>
  <c r="T853" i="2"/>
  <c r="T854" i="2"/>
  <c r="T852" i="2"/>
  <c r="P853" i="2"/>
  <c r="P854" i="2"/>
  <c r="P852" i="2"/>
  <c r="L853" i="2"/>
  <c r="L854" i="2"/>
  <c r="L852" i="2"/>
  <c r="H853" i="2"/>
  <c r="H854" i="2"/>
  <c r="H852" i="2"/>
  <c r="X848" i="2"/>
  <c r="X846" i="2"/>
  <c r="X847" i="2"/>
  <c r="T848" i="2"/>
  <c r="T846" i="2"/>
  <c r="T847" i="2"/>
  <c r="P848" i="2"/>
  <c r="P846" i="2"/>
  <c r="P847" i="2"/>
  <c r="L848" i="2"/>
  <c r="L846" i="2"/>
  <c r="L847" i="2"/>
  <c r="H848" i="2"/>
  <c r="H846" i="2"/>
  <c r="H847" i="2"/>
  <c r="X841" i="2"/>
  <c r="X842" i="2"/>
  <c r="X840" i="2"/>
  <c r="T842" i="2"/>
  <c r="T840" i="2"/>
  <c r="T841" i="2"/>
  <c r="P842" i="2"/>
  <c r="P840" i="2"/>
  <c r="P841" i="2"/>
  <c r="L842" i="2"/>
  <c r="L840" i="2"/>
  <c r="L841" i="2"/>
  <c r="H842" i="2"/>
  <c r="H840" i="2"/>
  <c r="H841" i="2"/>
  <c r="X835" i="2"/>
  <c r="X836" i="2"/>
  <c r="X834" i="2"/>
  <c r="T835" i="2"/>
  <c r="T836" i="2"/>
  <c r="T834" i="2"/>
  <c r="P835" i="2"/>
  <c r="P836" i="2"/>
  <c r="P834" i="2"/>
  <c r="L835" i="2"/>
  <c r="L836" i="2"/>
  <c r="L834" i="2"/>
  <c r="H835" i="2"/>
  <c r="H836" i="2"/>
  <c r="H834" i="2"/>
  <c r="X830" i="2"/>
  <c r="X828" i="2"/>
  <c r="X829" i="2"/>
  <c r="T830" i="2"/>
  <c r="T828" i="2"/>
  <c r="T829" i="2"/>
  <c r="O829" i="2"/>
  <c r="O830" i="2"/>
  <c r="O828" i="2"/>
  <c r="K829" i="2"/>
  <c r="K830" i="2"/>
  <c r="K828" i="2"/>
  <c r="G829" i="2"/>
  <c r="G830" i="2"/>
  <c r="G828" i="2"/>
  <c r="V903" i="2"/>
  <c r="V901" i="2"/>
  <c r="V902" i="2"/>
  <c r="R903" i="2"/>
  <c r="R901" i="2"/>
  <c r="R902" i="2"/>
  <c r="N903" i="2"/>
  <c r="N901" i="2"/>
  <c r="N902" i="2"/>
  <c r="J903" i="2"/>
  <c r="J901" i="2"/>
  <c r="J902" i="2"/>
  <c r="F903" i="2"/>
  <c r="F901" i="2"/>
  <c r="F902" i="2"/>
  <c r="V896" i="2"/>
  <c r="V897" i="2"/>
  <c r="V895" i="2"/>
  <c r="R896" i="2"/>
  <c r="R897" i="2"/>
  <c r="R895" i="2"/>
  <c r="N896" i="2"/>
  <c r="N897" i="2"/>
  <c r="N895" i="2"/>
  <c r="J896" i="2"/>
  <c r="J897" i="2"/>
  <c r="J895" i="2"/>
  <c r="F896" i="2"/>
  <c r="F897" i="2"/>
  <c r="F895" i="2"/>
  <c r="V891" i="2"/>
  <c r="V889" i="2"/>
  <c r="V890" i="2"/>
  <c r="R891" i="2"/>
  <c r="R889" i="2"/>
  <c r="R890" i="2"/>
  <c r="N891" i="2"/>
  <c r="N889" i="2"/>
  <c r="N890" i="2"/>
  <c r="J891" i="2"/>
  <c r="J889" i="2"/>
  <c r="J890" i="2"/>
  <c r="F891" i="2"/>
  <c r="F889" i="2"/>
  <c r="F890" i="2"/>
  <c r="V884" i="2"/>
  <c r="V885" i="2"/>
  <c r="V883" i="2"/>
  <c r="R884" i="2"/>
  <c r="R885" i="2"/>
  <c r="R883" i="2"/>
  <c r="N884" i="2"/>
  <c r="N885" i="2"/>
  <c r="N883" i="2"/>
  <c r="J884" i="2"/>
  <c r="J885" i="2"/>
  <c r="J883" i="2"/>
  <c r="F884" i="2"/>
  <c r="F885" i="2"/>
  <c r="F883" i="2"/>
  <c r="V879" i="2"/>
  <c r="V877" i="2"/>
  <c r="V878" i="2"/>
  <c r="R879" i="2"/>
  <c r="R877" i="2"/>
  <c r="R878" i="2"/>
  <c r="N879" i="2"/>
  <c r="N877" i="2"/>
  <c r="N878" i="2"/>
  <c r="J879" i="2"/>
  <c r="J877" i="2"/>
  <c r="J878" i="2"/>
  <c r="F879" i="2"/>
  <c r="F877" i="2"/>
  <c r="F878" i="2"/>
  <c r="Y836" i="2"/>
  <c r="Y834" i="2"/>
  <c r="Y835" i="2"/>
  <c r="U836" i="2"/>
  <c r="U834" i="2"/>
  <c r="U835" i="2"/>
  <c r="Q836" i="2"/>
  <c r="Q834" i="2"/>
  <c r="Q835" i="2"/>
  <c r="M836" i="2"/>
  <c r="M834" i="2"/>
  <c r="M835" i="2"/>
  <c r="I836" i="2"/>
  <c r="I834" i="2"/>
  <c r="I835" i="2"/>
  <c r="W829" i="2"/>
  <c r="W830" i="2"/>
  <c r="W828" i="2"/>
  <c r="R830" i="2"/>
  <c r="R828" i="2"/>
  <c r="R829" i="2"/>
  <c r="N830" i="2"/>
  <c r="N828" i="2"/>
  <c r="N829" i="2"/>
  <c r="J830" i="2"/>
  <c r="J828" i="2"/>
  <c r="J829" i="2"/>
  <c r="F830" i="2"/>
  <c r="F828" i="2"/>
  <c r="F829" i="2"/>
  <c r="Y902" i="2"/>
  <c r="Y903" i="2"/>
  <c r="Y901" i="2"/>
  <c r="U902" i="2"/>
  <c r="U903" i="2"/>
  <c r="U901" i="2"/>
  <c r="Q902" i="2"/>
  <c r="Q903" i="2"/>
  <c r="Q901" i="2"/>
  <c r="M902" i="2"/>
  <c r="M903" i="2"/>
  <c r="M901" i="2"/>
  <c r="I902" i="2"/>
  <c r="I903" i="2"/>
  <c r="I901" i="2"/>
  <c r="Y897" i="2"/>
  <c r="Y895" i="2"/>
  <c r="Y896" i="2"/>
  <c r="U897" i="2"/>
  <c r="U895" i="2"/>
  <c r="U896" i="2"/>
  <c r="Q897" i="2"/>
  <c r="Q895" i="2"/>
  <c r="Q896" i="2"/>
  <c r="M897" i="2"/>
  <c r="M895" i="2"/>
  <c r="M896" i="2"/>
  <c r="I897" i="2"/>
  <c r="I895" i="2"/>
  <c r="I896" i="2"/>
  <c r="Y890" i="2"/>
  <c r="Y891" i="2"/>
  <c r="Y889" i="2"/>
  <c r="U890" i="2"/>
  <c r="U891" i="2"/>
  <c r="U889" i="2"/>
  <c r="Q890" i="2"/>
  <c r="Q891" i="2"/>
  <c r="Q889" i="2"/>
  <c r="M890" i="2"/>
  <c r="M891" i="2"/>
  <c r="M889" i="2"/>
  <c r="I890" i="2"/>
  <c r="I891" i="2"/>
  <c r="I889" i="2"/>
  <c r="Y885" i="2"/>
  <c r="Y883" i="2"/>
  <c r="Y884" i="2"/>
  <c r="U885" i="2"/>
  <c r="U883" i="2"/>
  <c r="U884" i="2"/>
  <c r="Q885" i="2"/>
  <c r="Q883" i="2"/>
  <c r="Q884" i="2"/>
  <c r="M885" i="2"/>
  <c r="M883" i="2"/>
  <c r="M884" i="2"/>
  <c r="I885" i="2"/>
  <c r="I883" i="2"/>
  <c r="I884" i="2"/>
  <c r="Y878" i="2"/>
  <c r="Y879" i="2"/>
  <c r="Y877" i="2"/>
  <c r="U878" i="2"/>
  <c r="U879" i="2"/>
  <c r="U877" i="2"/>
  <c r="Q878" i="2"/>
  <c r="Q879" i="2"/>
  <c r="Q877" i="2"/>
  <c r="M878" i="2"/>
  <c r="M879" i="2"/>
  <c r="M877" i="2"/>
  <c r="I878" i="2"/>
  <c r="I879" i="2"/>
  <c r="I877" i="2"/>
  <c r="X872" i="2"/>
  <c r="X873" i="2"/>
  <c r="X871" i="2"/>
  <c r="T872" i="2"/>
  <c r="T873" i="2"/>
  <c r="T871" i="2"/>
  <c r="P872" i="2"/>
  <c r="P873" i="2"/>
  <c r="P871" i="2"/>
  <c r="L872" i="2"/>
  <c r="L873" i="2"/>
  <c r="L871" i="2"/>
  <c r="H872" i="2"/>
  <c r="H873" i="2"/>
  <c r="H871" i="2"/>
  <c r="W866" i="2"/>
  <c r="W867" i="2"/>
  <c r="W865" i="2"/>
  <c r="R867" i="2"/>
  <c r="R865" i="2"/>
  <c r="R866" i="2"/>
  <c r="N867" i="2"/>
  <c r="N865" i="2"/>
  <c r="N866" i="2"/>
  <c r="J867" i="2"/>
  <c r="J865" i="2"/>
  <c r="J866" i="2"/>
  <c r="F867" i="2"/>
  <c r="F865" i="2"/>
  <c r="F866" i="2"/>
  <c r="Y939" i="2"/>
  <c r="Y940" i="2"/>
  <c r="Y938" i="2"/>
  <c r="U939" i="2"/>
  <c r="U940" i="2"/>
  <c r="U938" i="2"/>
  <c r="Q939" i="2"/>
  <c r="Q940" i="2"/>
  <c r="Q938" i="2"/>
  <c r="M939" i="2"/>
  <c r="M940" i="2"/>
  <c r="M938" i="2"/>
  <c r="I939" i="2"/>
  <c r="I940" i="2"/>
  <c r="I938" i="2"/>
  <c r="Y934" i="2"/>
  <c r="Y932" i="2"/>
  <c r="Y933" i="2"/>
  <c r="U934" i="2"/>
  <c r="U932" i="2"/>
  <c r="U933" i="2"/>
  <c r="Q934" i="2"/>
  <c r="Q932" i="2"/>
  <c r="Q933" i="2"/>
  <c r="M934" i="2"/>
  <c r="M932" i="2"/>
  <c r="M933" i="2"/>
  <c r="I934" i="2"/>
  <c r="I932" i="2"/>
  <c r="I933" i="2"/>
  <c r="Y927" i="2"/>
  <c r="Y928" i="2"/>
  <c r="Y926" i="2"/>
  <c r="U927" i="2"/>
  <c r="U928" i="2"/>
  <c r="U926" i="2"/>
  <c r="Q927" i="2"/>
  <c r="Q928" i="2"/>
  <c r="Q926" i="2"/>
  <c r="M927" i="2"/>
  <c r="M928" i="2"/>
  <c r="M926" i="2"/>
  <c r="I927" i="2"/>
  <c r="I928" i="2"/>
  <c r="I926" i="2"/>
  <c r="Y922" i="2"/>
  <c r="Y921" i="2"/>
  <c r="Y920" i="2"/>
  <c r="U922" i="2"/>
  <c r="U921" i="2"/>
  <c r="U920" i="2"/>
  <c r="Q922" i="2"/>
  <c r="Q921" i="2"/>
  <c r="Q920" i="2"/>
  <c r="M922" i="2"/>
  <c r="M921" i="2"/>
  <c r="M920" i="2"/>
  <c r="I922" i="2"/>
  <c r="I921" i="2"/>
  <c r="I920" i="2"/>
  <c r="X915" i="2"/>
  <c r="X916" i="2"/>
  <c r="X914" i="2"/>
  <c r="T915" i="2"/>
  <c r="T916" i="2"/>
  <c r="T914" i="2"/>
  <c r="O916" i="2"/>
  <c r="O914" i="2"/>
  <c r="O915" i="2"/>
  <c r="K916" i="2"/>
  <c r="K914" i="2"/>
  <c r="K915" i="2"/>
  <c r="G916" i="2"/>
  <c r="G914" i="2"/>
  <c r="G915" i="2"/>
  <c r="W1002" i="2"/>
  <c r="W1000" i="2"/>
  <c r="W1001" i="2"/>
  <c r="S1002" i="2"/>
  <c r="S1000" i="2"/>
  <c r="S1001" i="2"/>
  <c r="O1002" i="2"/>
  <c r="O1000" i="2"/>
  <c r="O1001" i="2"/>
  <c r="K1002" i="2"/>
  <c r="K1000" i="2"/>
  <c r="K1001" i="2"/>
  <c r="G1002" i="2"/>
  <c r="G1000" i="2"/>
  <c r="G1001" i="2"/>
  <c r="W995" i="2"/>
  <c r="W996" i="2"/>
  <c r="W994" i="2"/>
  <c r="S995" i="2"/>
  <c r="S996" i="2"/>
  <c r="S994" i="2"/>
  <c r="O995" i="2"/>
  <c r="O996" i="2"/>
  <c r="O994" i="2"/>
  <c r="K995" i="2"/>
  <c r="K996" i="2"/>
  <c r="K994" i="2"/>
  <c r="G995" i="2"/>
  <c r="G996" i="2"/>
  <c r="G994" i="2"/>
  <c r="V989" i="2"/>
  <c r="V990" i="2"/>
  <c r="V988" i="2"/>
  <c r="R989" i="2"/>
  <c r="R990" i="2"/>
  <c r="R988" i="2"/>
  <c r="N989" i="2"/>
  <c r="N990" i="2"/>
  <c r="N988" i="2"/>
  <c r="J989" i="2"/>
  <c r="J990" i="2"/>
  <c r="J988" i="2"/>
  <c r="F989" i="2"/>
  <c r="F990" i="2"/>
  <c r="F988" i="2"/>
  <c r="V984" i="2"/>
  <c r="V982" i="2"/>
  <c r="V983" i="2"/>
  <c r="R984" i="2"/>
  <c r="R982" i="2"/>
  <c r="R983" i="2"/>
  <c r="N984" i="2"/>
  <c r="N982" i="2"/>
  <c r="N983" i="2"/>
  <c r="J984" i="2"/>
  <c r="J982" i="2"/>
  <c r="J983" i="2"/>
  <c r="F984" i="2"/>
  <c r="F982" i="2"/>
  <c r="F983" i="2"/>
  <c r="Y873" i="2"/>
  <c r="Y871" i="2"/>
  <c r="Y872" i="2"/>
  <c r="U873" i="2"/>
  <c r="U871" i="2"/>
  <c r="U872" i="2"/>
  <c r="Q873" i="2"/>
  <c r="Q871" i="2"/>
  <c r="Q872" i="2"/>
  <c r="M873" i="2"/>
  <c r="M871" i="2"/>
  <c r="M872" i="2"/>
  <c r="I873" i="2"/>
  <c r="I871" i="2"/>
  <c r="I872" i="2"/>
  <c r="X867" i="2"/>
  <c r="X865" i="2"/>
  <c r="X866" i="2"/>
  <c r="S866" i="2"/>
  <c r="S867" i="2"/>
  <c r="S865" i="2"/>
  <c r="O866" i="2"/>
  <c r="O867" i="2"/>
  <c r="O865" i="2"/>
  <c r="K866" i="2"/>
  <c r="K867" i="2"/>
  <c r="K865" i="2"/>
  <c r="G866" i="2"/>
  <c r="G867" i="2"/>
  <c r="G865" i="2"/>
  <c r="V940" i="2"/>
  <c r="V938" i="2"/>
  <c r="V939" i="2"/>
  <c r="R940" i="2"/>
  <c r="R938" i="2"/>
  <c r="R939" i="2"/>
  <c r="N940" i="2"/>
  <c r="N938" i="2"/>
  <c r="N939" i="2"/>
  <c r="J940" i="2"/>
  <c r="J938" i="2"/>
  <c r="J939" i="2"/>
  <c r="F940" i="2"/>
  <c r="F938" i="2"/>
  <c r="F939" i="2"/>
  <c r="V933" i="2"/>
  <c r="V934" i="2"/>
  <c r="V932" i="2"/>
  <c r="R933" i="2"/>
  <c r="R934" i="2"/>
  <c r="R932" i="2"/>
  <c r="N933" i="2"/>
  <c r="N934" i="2"/>
  <c r="N932" i="2"/>
  <c r="J933" i="2"/>
  <c r="J934" i="2"/>
  <c r="J932" i="2"/>
  <c r="F933" i="2"/>
  <c r="F934" i="2"/>
  <c r="F932" i="2"/>
  <c r="V928" i="2"/>
  <c r="V926" i="2"/>
  <c r="V927" i="2"/>
  <c r="R928" i="2"/>
  <c r="R926" i="2"/>
  <c r="R927" i="2"/>
  <c r="N928" i="2"/>
  <c r="N926" i="2"/>
  <c r="N927" i="2"/>
  <c r="J928" i="2"/>
  <c r="J926" i="2"/>
  <c r="J927" i="2"/>
  <c r="F928" i="2"/>
  <c r="F926" i="2"/>
  <c r="F927" i="2"/>
  <c r="V921" i="2"/>
  <c r="V922" i="2"/>
  <c r="V920" i="2"/>
  <c r="R921" i="2"/>
  <c r="R922" i="2"/>
  <c r="R920" i="2"/>
  <c r="N921" i="2"/>
  <c r="N922" i="2"/>
  <c r="N920" i="2"/>
  <c r="J921" i="2"/>
  <c r="J922" i="2"/>
  <c r="J920" i="2"/>
  <c r="F922" i="2"/>
  <c r="F920" i="2"/>
  <c r="F921" i="2"/>
  <c r="Y916" i="2"/>
  <c r="Y910" i="2" s="1"/>
  <c r="Y67" i="3" s="1"/>
  <c r="Y914" i="2"/>
  <c r="Y915" i="2"/>
  <c r="U916" i="2"/>
  <c r="U910" i="2" s="1"/>
  <c r="U67" i="3" s="1"/>
  <c r="U914" i="2"/>
  <c r="U915" i="2"/>
  <c r="P915" i="2"/>
  <c r="P916" i="2"/>
  <c r="P914" i="2"/>
  <c r="L915" i="2"/>
  <c r="L916" i="2"/>
  <c r="L914" i="2"/>
  <c r="H915" i="2"/>
  <c r="H916" i="2"/>
  <c r="H914" i="2"/>
  <c r="X1001" i="2"/>
  <c r="X1002" i="2"/>
  <c r="X1000" i="2"/>
  <c r="T1001" i="2"/>
  <c r="T1002" i="2"/>
  <c r="T1000" i="2"/>
  <c r="P1001" i="2"/>
  <c r="P1002" i="2"/>
  <c r="P1000" i="2"/>
  <c r="L1001" i="2"/>
  <c r="L1002" i="2"/>
  <c r="L1000" i="2"/>
  <c r="H1001" i="2"/>
  <c r="H1002" i="2"/>
  <c r="H1000" i="2"/>
  <c r="X996" i="2"/>
  <c r="X994" i="2"/>
  <c r="X995" i="2"/>
  <c r="T996" i="2"/>
  <c r="T994" i="2"/>
  <c r="T995" i="2"/>
  <c r="P996" i="2"/>
  <c r="P994" i="2"/>
  <c r="P995" i="2"/>
  <c r="L996" i="2"/>
  <c r="L994" i="2"/>
  <c r="L995" i="2"/>
  <c r="H996" i="2"/>
  <c r="H994" i="2"/>
  <c r="H995" i="2"/>
  <c r="Y990" i="2"/>
  <c r="Y988" i="2"/>
  <c r="Y989" i="2"/>
  <c r="U990" i="2"/>
  <c r="U988" i="2"/>
  <c r="U989" i="2"/>
  <c r="Q990" i="2"/>
  <c r="Q988" i="2"/>
  <c r="Q989" i="2"/>
  <c r="M990" i="2"/>
  <c r="M988" i="2"/>
  <c r="M989" i="2"/>
  <c r="I990" i="2"/>
  <c r="I988" i="2"/>
  <c r="I989" i="2"/>
  <c r="Y983" i="2"/>
  <c r="Y984" i="2"/>
  <c r="Y982" i="2"/>
  <c r="U983" i="2"/>
  <c r="U984" i="2"/>
  <c r="U982" i="2"/>
  <c r="Q983" i="2"/>
  <c r="Q984" i="2"/>
  <c r="Q982" i="2"/>
  <c r="M983" i="2"/>
  <c r="M984" i="2"/>
  <c r="M982" i="2"/>
  <c r="I983" i="2"/>
  <c r="I984" i="2"/>
  <c r="I982" i="2"/>
  <c r="W978" i="2"/>
  <c r="W976" i="2"/>
  <c r="W977" i="2"/>
  <c r="R977" i="2"/>
  <c r="R978" i="2"/>
  <c r="R976" i="2"/>
  <c r="N977" i="2"/>
  <c r="N978" i="2"/>
  <c r="N976" i="2"/>
  <c r="J977" i="2"/>
  <c r="J978" i="2"/>
  <c r="J976" i="2"/>
  <c r="F977" i="2"/>
  <c r="F978" i="2"/>
  <c r="F976" i="2"/>
  <c r="X1110" i="2"/>
  <c r="X1111" i="2"/>
  <c r="X1109" i="2"/>
  <c r="T1110" i="2"/>
  <c r="T1111" i="2"/>
  <c r="T1109" i="2"/>
  <c r="P1110" i="2"/>
  <c r="P1111" i="2"/>
  <c r="P1109" i="2"/>
  <c r="L1110" i="2"/>
  <c r="L1111" i="2"/>
  <c r="L1109" i="2"/>
  <c r="H1110" i="2"/>
  <c r="H1111" i="2"/>
  <c r="H1109" i="2"/>
  <c r="V1105" i="2"/>
  <c r="V1103" i="2"/>
  <c r="V1104" i="2"/>
  <c r="R1105" i="2"/>
  <c r="R1103" i="2"/>
  <c r="R1104" i="2"/>
  <c r="N1105" i="2"/>
  <c r="N1103" i="2"/>
  <c r="N1104" i="2"/>
  <c r="J1105" i="2"/>
  <c r="J1103" i="2"/>
  <c r="J1104" i="2"/>
  <c r="F1105" i="2"/>
  <c r="F1103" i="2"/>
  <c r="F1104" i="2"/>
  <c r="X1098" i="2"/>
  <c r="X1097" i="2"/>
  <c r="X1099" i="2"/>
  <c r="T1098" i="2"/>
  <c r="T1097" i="2"/>
  <c r="T1099" i="2"/>
  <c r="P1098" i="2"/>
  <c r="P1097" i="2"/>
  <c r="P1099" i="2"/>
  <c r="L1098" i="2"/>
  <c r="L1097" i="2"/>
  <c r="L1099" i="2"/>
  <c r="H1098" i="2"/>
  <c r="H1097" i="2"/>
  <c r="H1099" i="2"/>
  <c r="W1093" i="2"/>
  <c r="W1091" i="2"/>
  <c r="W1092" i="2"/>
  <c r="S1093" i="2"/>
  <c r="S1091" i="2"/>
  <c r="S1092" i="2"/>
  <c r="O1093" i="2"/>
  <c r="O1091" i="2"/>
  <c r="O1092" i="2"/>
  <c r="K1093" i="2"/>
  <c r="K1091" i="2"/>
  <c r="K1092" i="2"/>
  <c r="G1093" i="2"/>
  <c r="G1091" i="2"/>
  <c r="G1092" i="2"/>
  <c r="V1087" i="2"/>
  <c r="V1085" i="2"/>
  <c r="V1086" i="2"/>
  <c r="R1087" i="2"/>
  <c r="R1085" i="2"/>
  <c r="R1086" i="2"/>
  <c r="N1087" i="2"/>
  <c r="N1085" i="2"/>
  <c r="N1086" i="2"/>
  <c r="J1087" i="2"/>
  <c r="J1085" i="2"/>
  <c r="J1086" i="2"/>
  <c r="F1087" i="2"/>
  <c r="F1085" i="2"/>
  <c r="F1086" i="2"/>
  <c r="V1080" i="2"/>
  <c r="V1081" i="2"/>
  <c r="V1079" i="2"/>
  <c r="R1080" i="2"/>
  <c r="R1081" i="2"/>
  <c r="R1079" i="2"/>
  <c r="N1080" i="2"/>
  <c r="N1081" i="2"/>
  <c r="N1079" i="2"/>
  <c r="J1080" i="2"/>
  <c r="J1081" i="2"/>
  <c r="J1079" i="2"/>
  <c r="F1080" i="2"/>
  <c r="F1081" i="2"/>
  <c r="F1079" i="2"/>
  <c r="V977" i="2"/>
  <c r="V978" i="2"/>
  <c r="V976" i="2"/>
  <c r="Q978" i="2"/>
  <c r="Q976" i="2"/>
  <c r="Q977" i="2"/>
  <c r="M978" i="2"/>
  <c r="M976" i="2"/>
  <c r="M977" i="2"/>
  <c r="I978" i="2"/>
  <c r="I976" i="2"/>
  <c r="I977" i="2"/>
  <c r="Y1111" i="2"/>
  <c r="Y1109" i="2"/>
  <c r="Y1110" i="2"/>
  <c r="U1111" i="2"/>
  <c r="U1109" i="2"/>
  <c r="U1110" i="2"/>
  <c r="Q1111" i="2"/>
  <c r="Q1109" i="2"/>
  <c r="Q1110" i="2"/>
  <c r="M1111" i="2"/>
  <c r="M1109" i="2"/>
  <c r="M1110" i="2"/>
  <c r="I1111" i="2"/>
  <c r="I1109" i="2"/>
  <c r="I1110" i="2"/>
  <c r="Y1104" i="2"/>
  <c r="Y1103" i="2"/>
  <c r="Y1105" i="2"/>
  <c r="U1104" i="2"/>
  <c r="U1103" i="2"/>
  <c r="U1105" i="2"/>
  <c r="Q1104" i="2"/>
  <c r="Q1103" i="2"/>
  <c r="Q1105" i="2"/>
  <c r="M1104" i="2"/>
  <c r="M1103" i="2"/>
  <c r="M1105" i="2"/>
  <c r="I1104" i="2"/>
  <c r="I1103" i="2"/>
  <c r="I1105" i="2"/>
  <c r="Y1099" i="2"/>
  <c r="Y1097" i="2"/>
  <c r="Y1098" i="2"/>
  <c r="U1099" i="2"/>
  <c r="U1098" i="2"/>
  <c r="U1097" i="2"/>
  <c r="Q1099" i="2"/>
  <c r="Q1098" i="2"/>
  <c r="Q1097" i="2"/>
  <c r="M1099" i="2"/>
  <c r="M1098" i="2"/>
  <c r="M1097" i="2"/>
  <c r="I1099" i="2"/>
  <c r="I1098" i="2"/>
  <c r="I1097" i="2"/>
  <c r="X1092" i="2"/>
  <c r="X1093" i="2"/>
  <c r="X1091" i="2"/>
  <c r="T1092" i="2"/>
  <c r="T1093" i="2"/>
  <c r="T1091" i="2"/>
  <c r="P1092" i="2"/>
  <c r="P1093" i="2"/>
  <c r="P1091" i="2"/>
  <c r="L1092" i="2"/>
  <c r="L1093" i="2"/>
  <c r="L1091" i="2"/>
  <c r="H1092" i="2"/>
  <c r="H1093" i="2"/>
  <c r="H1091" i="2"/>
  <c r="W1087" i="2"/>
  <c r="W1086" i="2"/>
  <c r="W1085" i="2"/>
  <c r="S1086" i="2"/>
  <c r="S1087" i="2"/>
  <c r="S1085" i="2"/>
  <c r="O1086" i="2"/>
  <c r="O1087" i="2"/>
  <c r="O1085" i="2"/>
  <c r="K1086" i="2"/>
  <c r="K1087" i="2"/>
  <c r="K1085" i="2"/>
  <c r="G1086" i="2"/>
  <c r="G1087" i="2"/>
  <c r="G1085" i="2"/>
  <c r="W1081" i="2"/>
  <c r="W1079" i="2"/>
  <c r="W1080" i="2"/>
  <c r="S1081" i="2"/>
  <c r="S1079" i="2"/>
  <c r="S1080" i="2"/>
  <c r="O1081" i="2"/>
  <c r="O1079" i="2"/>
  <c r="O1080" i="2"/>
  <c r="K1081" i="2"/>
  <c r="K1079" i="2"/>
  <c r="K1080" i="2"/>
  <c r="G1081" i="2"/>
  <c r="G1079" i="2"/>
  <c r="G1080" i="2"/>
  <c r="Y1074" i="2"/>
  <c r="Y1075" i="2"/>
  <c r="Y1073" i="2"/>
  <c r="U1074" i="2"/>
  <c r="U1075" i="2"/>
  <c r="U1073" i="2"/>
  <c r="Q1074" i="2"/>
  <c r="Q1075" i="2"/>
  <c r="Q1073" i="2"/>
  <c r="M1074" i="2"/>
  <c r="M1075" i="2"/>
  <c r="M1073" i="2"/>
  <c r="I1074" i="2"/>
  <c r="I1075" i="2"/>
  <c r="I1073" i="2"/>
  <c r="Y1069" i="2"/>
  <c r="Y1067" i="2"/>
  <c r="Y1068" i="2"/>
  <c r="U1069" i="2"/>
  <c r="U1067" i="2"/>
  <c r="U1068" i="2"/>
  <c r="Q1069" i="2"/>
  <c r="Q1067" i="2"/>
  <c r="Q1068" i="2"/>
  <c r="M1069" i="2"/>
  <c r="M1067" i="2"/>
  <c r="M1068" i="2"/>
  <c r="I1069" i="2"/>
  <c r="I1067" i="2"/>
  <c r="I1068" i="2"/>
  <c r="Y1062" i="2"/>
  <c r="Y1063" i="2"/>
  <c r="Y1061" i="2"/>
  <c r="U1062" i="2"/>
  <c r="U1063" i="2"/>
  <c r="U1061" i="2"/>
  <c r="Q1062" i="2"/>
  <c r="Q1063" i="2"/>
  <c r="Q1061" i="2"/>
  <c r="M1062" i="2"/>
  <c r="M1063" i="2"/>
  <c r="M1061" i="2"/>
  <c r="I1062" i="2"/>
  <c r="I1063" i="2"/>
  <c r="I1061" i="2"/>
  <c r="Y1057" i="2"/>
  <c r="Y1056" i="2"/>
  <c r="Y1055" i="2"/>
  <c r="U1057" i="2"/>
  <c r="U1056" i="2"/>
  <c r="U1055" i="2"/>
  <c r="Q1057" i="2"/>
  <c r="Q1055" i="2"/>
  <c r="Q1056" i="2"/>
  <c r="M1057" i="2"/>
  <c r="M1055" i="2"/>
  <c r="M1056" i="2"/>
  <c r="I1057" i="2"/>
  <c r="I1055" i="2"/>
  <c r="I1056" i="2"/>
  <c r="Y1050" i="2"/>
  <c r="Y1051" i="2"/>
  <c r="Y1049" i="2"/>
  <c r="U1050" i="2"/>
  <c r="U1051" i="2"/>
  <c r="U1049" i="2"/>
  <c r="Q1050" i="2"/>
  <c r="Q1051" i="2"/>
  <c r="Q1049" i="2"/>
  <c r="M1050" i="2"/>
  <c r="M1051" i="2"/>
  <c r="M1049" i="2"/>
  <c r="I1050" i="2"/>
  <c r="I1051" i="2"/>
  <c r="I1049" i="2"/>
  <c r="Y1045" i="2"/>
  <c r="Y1043" i="2"/>
  <c r="Y1044" i="2"/>
  <c r="U1045" i="2"/>
  <c r="U1043" i="2"/>
  <c r="U1044" i="2"/>
  <c r="Q1045" i="2"/>
  <c r="Q1043" i="2"/>
  <c r="Q1044" i="2"/>
  <c r="M1045" i="2"/>
  <c r="M1043" i="2"/>
  <c r="M1044" i="2"/>
  <c r="I1045" i="2"/>
  <c r="I1043" i="2"/>
  <c r="I1044" i="2"/>
  <c r="X1075" i="2"/>
  <c r="X1073" i="2"/>
  <c r="X1074" i="2"/>
  <c r="T1075" i="2"/>
  <c r="T1073" i="2"/>
  <c r="T1074" i="2"/>
  <c r="P1075" i="2"/>
  <c r="P1073" i="2"/>
  <c r="P1074" i="2"/>
  <c r="L1075" i="2"/>
  <c r="L1073" i="2"/>
  <c r="L1074" i="2"/>
  <c r="H1075" i="2"/>
  <c r="H1073" i="2"/>
  <c r="H1074" i="2"/>
  <c r="X1068" i="2"/>
  <c r="X1069" i="2"/>
  <c r="X1067" i="2"/>
  <c r="T1068" i="2"/>
  <c r="T1069" i="2"/>
  <c r="T1067" i="2"/>
  <c r="P1068" i="2"/>
  <c r="P1069" i="2"/>
  <c r="P1067" i="2"/>
  <c r="L1068" i="2"/>
  <c r="L1069" i="2"/>
  <c r="L1067" i="2"/>
  <c r="H1068" i="2"/>
  <c r="H1069" i="2"/>
  <c r="H1067" i="2"/>
  <c r="X1063" i="2"/>
  <c r="X1061" i="2"/>
  <c r="X1062" i="2"/>
  <c r="T1063" i="2"/>
  <c r="T1061" i="2"/>
  <c r="T1062" i="2"/>
  <c r="P1063" i="2"/>
  <c r="P1061" i="2"/>
  <c r="P1062" i="2"/>
  <c r="L1063" i="2"/>
  <c r="L1061" i="2"/>
  <c r="L1062" i="2"/>
  <c r="H1063" i="2"/>
  <c r="H1061" i="2"/>
  <c r="H1062" i="2"/>
  <c r="X1056" i="2"/>
  <c r="X1057" i="2"/>
  <c r="X1055" i="2"/>
  <c r="T1056" i="2"/>
  <c r="T1057" i="2"/>
  <c r="T1055" i="2"/>
  <c r="P1057" i="2"/>
  <c r="P1056" i="2"/>
  <c r="P1055" i="2"/>
  <c r="L1057" i="2"/>
  <c r="L1056" i="2"/>
  <c r="L1055" i="2"/>
  <c r="H1057" i="2"/>
  <c r="H1056" i="2"/>
  <c r="H1055" i="2"/>
  <c r="X1051" i="2"/>
  <c r="X1049" i="2"/>
  <c r="X1050" i="2"/>
  <c r="T1051" i="2"/>
  <c r="T1049" i="2"/>
  <c r="T1050" i="2"/>
  <c r="P1051" i="2"/>
  <c r="P1049" i="2"/>
  <c r="P1050" i="2"/>
  <c r="L1051" i="2"/>
  <c r="L1049" i="2"/>
  <c r="L1050" i="2"/>
  <c r="H1051" i="2"/>
  <c r="H1049" i="2"/>
  <c r="H1050" i="2"/>
  <c r="X1044" i="2"/>
  <c r="X1045" i="2"/>
  <c r="X1043" i="2"/>
  <c r="T1044" i="2"/>
  <c r="T1045" i="2"/>
  <c r="T1043" i="2"/>
  <c r="P1044" i="2"/>
  <c r="P1045" i="2"/>
  <c r="P1043" i="2"/>
  <c r="L1044" i="2"/>
  <c r="L1045" i="2"/>
  <c r="L1043" i="2"/>
  <c r="H1044" i="2"/>
  <c r="H1045" i="2"/>
  <c r="H1043" i="2"/>
  <c r="W1038" i="2"/>
  <c r="W1039" i="2"/>
  <c r="W1037" i="2"/>
  <c r="S1038" i="2"/>
  <c r="S1039" i="2"/>
  <c r="S1037" i="2"/>
  <c r="O1038" i="2"/>
  <c r="O1039" i="2"/>
  <c r="O1037" i="2"/>
  <c r="K1038" i="2"/>
  <c r="K1039" i="2"/>
  <c r="K1037" i="2"/>
  <c r="G1038" i="2"/>
  <c r="G1039" i="2"/>
  <c r="G1037" i="2"/>
  <c r="V1032" i="2"/>
  <c r="V1033" i="2"/>
  <c r="V1031" i="2"/>
  <c r="R1032" i="2"/>
  <c r="R1033" i="2"/>
  <c r="R1031" i="2"/>
  <c r="N1032" i="2"/>
  <c r="N1033" i="2"/>
  <c r="N1031" i="2"/>
  <c r="J1032" i="2"/>
  <c r="J1033" i="2"/>
  <c r="J1031" i="2"/>
  <c r="F1032" i="2"/>
  <c r="F1033" i="2"/>
  <c r="F1031" i="2"/>
  <c r="W1026" i="2"/>
  <c r="W1027" i="2"/>
  <c r="W1025" i="2"/>
  <c r="S1026" i="2"/>
  <c r="S1027" i="2"/>
  <c r="S1025" i="2"/>
  <c r="O1026" i="2"/>
  <c r="O1027" i="2"/>
  <c r="O1025" i="2"/>
  <c r="K1026" i="2"/>
  <c r="K1027" i="2"/>
  <c r="K1025" i="2"/>
  <c r="G1026" i="2"/>
  <c r="G1027" i="2"/>
  <c r="G1025" i="2"/>
  <c r="W1020" i="2"/>
  <c r="W1021" i="2"/>
  <c r="W1019" i="2"/>
  <c r="V1039" i="2"/>
  <c r="V1037" i="2"/>
  <c r="V1038" i="2"/>
  <c r="R1039" i="2"/>
  <c r="R1037" i="2"/>
  <c r="R1038" i="2"/>
  <c r="N1039" i="2"/>
  <c r="N1037" i="2"/>
  <c r="N1038" i="2"/>
  <c r="J1039" i="2"/>
  <c r="J1037" i="2"/>
  <c r="J1038" i="2"/>
  <c r="F1039" i="2"/>
  <c r="F1037" i="2"/>
  <c r="F1038" i="2"/>
  <c r="W1033" i="2"/>
  <c r="W1031" i="2"/>
  <c r="W1032" i="2"/>
  <c r="S1033" i="2"/>
  <c r="S1031" i="2"/>
  <c r="S1032" i="2"/>
  <c r="O1033" i="2"/>
  <c r="O1031" i="2"/>
  <c r="O1032" i="2"/>
  <c r="K1033" i="2"/>
  <c r="K1031" i="2"/>
  <c r="K1032" i="2"/>
  <c r="G1033" i="2"/>
  <c r="G1031" i="2"/>
  <c r="G1032" i="2"/>
  <c r="V1027" i="2"/>
  <c r="V1025" i="2"/>
  <c r="V1026" i="2"/>
  <c r="R1027" i="2"/>
  <c r="R1025" i="2"/>
  <c r="R1026" i="2"/>
  <c r="N1027" i="2"/>
  <c r="N1025" i="2"/>
  <c r="N1026" i="2"/>
  <c r="J1027" i="2"/>
  <c r="J1026" i="2"/>
  <c r="J1025" i="2"/>
  <c r="F1027" i="2"/>
  <c r="F1026" i="2"/>
  <c r="F1025" i="2"/>
  <c r="X1021" i="2"/>
  <c r="X1019" i="2"/>
  <c r="X1020" i="2"/>
  <c r="R1021" i="2"/>
  <c r="R1019" i="2"/>
  <c r="R1020" i="2"/>
  <c r="N1021" i="2"/>
  <c r="N1019" i="2"/>
  <c r="N1020" i="2"/>
  <c r="J1021" i="2"/>
  <c r="J1019" i="2"/>
  <c r="J1020" i="2"/>
  <c r="F1021" i="2"/>
  <c r="F1019" i="2"/>
  <c r="F1020" i="2"/>
  <c r="X1014" i="2"/>
  <c r="X1015" i="2"/>
  <c r="X1013" i="2"/>
  <c r="S1015" i="2"/>
  <c r="S1013" i="2"/>
  <c r="S1014" i="2"/>
  <c r="O1015" i="2"/>
  <c r="O1013" i="2"/>
  <c r="O1014" i="2"/>
  <c r="K1015" i="2"/>
  <c r="K1013" i="2"/>
  <c r="K1014" i="2"/>
  <c r="G1015" i="2"/>
  <c r="G1013" i="2"/>
  <c r="G1014" i="2"/>
  <c r="F787" i="2"/>
  <c r="F785" i="2"/>
  <c r="F786" i="2"/>
  <c r="J787" i="2"/>
  <c r="J785" i="2"/>
  <c r="J786" i="2"/>
  <c r="N787" i="2"/>
  <c r="N785" i="2"/>
  <c r="N786" i="2"/>
  <c r="R787" i="2"/>
  <c r="R785" i="2"/>
  <c r="R786" i="2"/>
  <c r="W786" i="2"/>
  <c r="W787" i="2"/>
  <c r="W785" i="2"/>
  <c r="F792" i="2"/>
  <c r="F793" i="2"/>
  <c r="F791" i="2"/>
  <c r="J792" i="2"/>
  <c r="J793" i="2"/>
  <c r="J791" i="2"/>
  <c r="N792" i="2"/>
  <c r="N793" i="2"/>
  <c r="N791" i="2"/>
  <c r="R792" i="2"/>
  <c r="R793" i="2"/>
  <c r="R791" i="2"/>
  <c r="W793" i="2"/>
  <c r="W791" i="2"/>
  <c r="W792" i="2"/>
  <c r="H799" i="2"/>
  <c r="H797" i="2"/>
  <c r="H798" i="2"/>
  <c r="L799" i="2"/>
  <c r="L797" i="2"/>
  <c r="L798" i="2"/>
  <c r="P799" i="2"/>
  <c r="P797" i="2"/>
  <c r="P798" i="2"/>
  <c r="T799" i="2"/>
  <c r="T797" i="2"/>
  <c r="T798" i="2"/>
  <c r="X799" i="2"/>
  <c r="X797" i="2"/>
  <c r="X798" i="2"/>
  <c r="H804" i="2"/>
  <c r="H805" i="2"/>
  <c r="H803" i="2"/>
  <c r="L804" i="2"/>
  <c r="L805" i="2"/>
  <c r="L803" i="2"/>
  <c r="U1020" i="2"/>
  <c r="U1021" i="2"/>
  <c r="U1019" i="2"/>
  <c r="Q1020" i="2"/>
  <c r="Q1021" i="2"/>
  <c r="Q1019" i="2"/>
  <c r="M1020" i="2"/>
  <c r="M1021" i="2"/>
  <c r="M1019" i="2"/>
  <c r="I1020" i="2"/>
  <c r="I1021" i="2"/>
  <c r="I1019" i="2"/>
  <c r="W1015" i="2"/>
  <c r="W1013" i="2"/>
  <c r="W1014" i="2"/>
  <c r="R1014" i="2"/>
  <c r="R1015" i="2"/>
  <c r="R1013" i="2"/>
  <c r="N1014" i="2"/>
  <c r="N1015" i="2"/>
  <c r="N1013" i="2"/>
  <c r="J1014" i="2"/>
  <c r="J1015" i="2"/>
  <c r="J1013" i="2"/>
  <c r="F1014" i="2"/>
  <c r="F1015" i="2"/>
  <c r="F1013" i="2"/>
  <c r="G786" i="2"/>
  <c r="G787" i="2"/>
  <c r="G785" i="2"/>
  <c r="K786" i="2"/>
  <c r="K787" i="2"/>
  <c r="K785" i="2"/>
  <c r="O786" i="2"/>
  <c r="O787" i="2"/>
  <c r="O785" i="2"/>
  <c r="T787" i="2"/>
  <c r="T785" i="2"/>
  <c r="T786" i="2"/>
  <c r="X787" i="2"/>
  <c r="X785" i="2"/>
  <c r="X786" i="2"/>
  <c r="G793" i="2"/>
  <c r="G791" i="2"/>
  <c r="G792" i="2"/>
  <c r="K793" i="2"/>
  <c r="K791" i="2"/>
  <c r="K792" i="2"/>
  <c r="O793" i="2"/>
  <c r="O791" i="2"/>
  <c r="O792" i="2"/>
  <c r="S793" i="2"/>
  <c r="S791" i="2"/>
  <c r="S792" i="2"/>
  <c r="X792" i="2"/>
  <c r="X793" i="2"/>
  <c r="X791" i="2"/>
  <c r="G798" i="2"/>
  <c r="G799" i="2"/>
  <c r="G797" i="2"/>
  <c r="K798" i="2"/>
  <c r="K799" i="2"/>
  <c r="K797" i="2"/>
  <c r="O798" i="2"/>
  <c r="O799" i="2"/>
  <c r="O797" i="2"/>
  <c r="S798" i="2"/>
  <c r="S799" i="2"/>
  <c r="S797" i="2"/>
  <c r="W798" i="2"/>
  <c r="W799" i="2"/>
  <c r="W797" i="2"/>
  <c r="I805" i="2"/>
  <c r="I803" i="2"/>
  <c r="I804" i="2"/>
  <c r="M805" i="2"/>
  <c r="M803" i="2"/>
  <c r="M804" i="2"/>
  <c r="Q805" i="2"/>
  <c r="Q803" i="2"/>
  <c r="Q804" i="2"/>
  <c r="U805" i="2"/>
  <c r="U803" i="2"/>
  <c r="U804" i="2"/>
  <c r="Y805" i="2"/>
  <c r="Y803" i="2"/>
  <c r="Y804" i="2"/>
  <c r="I810" i="2"/>
  <c r="I811" i="2"/>
  <c r="I809" i="2"/>
  <c r="M810" i="2"/>
  <c r="M811" i="2"/>
  <c r="M809" i="2"/>
  <c r="Q810" i="2"/>
  <c r="Q811" i="2"/>
  <c r="Q809" i="2"/>
  <c r="U810" i="2"/>
  <c r="U811" i="2"/>
  <c r="U809" i="2"/>
  <c r="Y810" i="2"/>
  <c r="Y811" i="2"/>
  <c r="Y809" i="2"/>
  <c r="I817" i="2"/>
  <c r="I815" i="2"/>
  <c r="I816" i="2"/>
  <c r="M817" i="2"/>
  <c r="M815" i="2"/>
  <c r="M816" i="2"/>
  <c r="Q817" i="2"/>
  <c r="Q815" i="2"/>
  <c r="Q816" i="2"/>
  <c r="U817" i="2"/>
  <c r="U815" i="2"/>
  <c r="U816" i="2"/>
  <c r="Y817" i="2"/>
  <c r="Y815" i="2"/>
  <c r="Y816" i="2"/>
  <c r="P804" i="2"/>
  <c r="P805" i="2"/>
  <c r="P803" i="2"/>
  <c r="T804" i="2"/>
  <c r="T805" i="2"/>
  <c r="T803" i="2"/>
  <c r="X804" i="2"/>
  <c r="X805" i="2"/>
  <c r="X803" i="2"/>
  <c r="H811" i="2"/>
  <c r="H809" i="2"/>
  <c r="H810" i="2"/>
  <c r="L811" i="2"/>
  <c r="L809" i="2"/>
  <c r="L810" i="2"/>
  <c r="P811" i="2"/>
  <c r="P809" i="2"/>
  <c r="P810" i="2"/>
  <c r="T811" i="2"/>
  <c r="T809" i="2"/>
  <c r="T810" i="2"/>
  <c r="X811" i="2"/>
  <c r="X809" i="2"/>
  <c r="X810" i="2"/>
  <c r="H816" i="2"/>
  <c r="H817" i="2"/>
  <c r="H815" i="2"/>
  <c r="L816" i="2"/>
  <c r="L817" i="2"/>
  <c r="L815" i="2"/>
  <c r="P816" i="2"/>
  <c r="P817" i="2"/>
  <c r="P815" i="2"/>
  <c r="T816" i="2"/>
  <c r="T817" i="2"/>
  <c r="T815" i="2"/>
  <c r="X816" i="2"/>
  <c r="X817" i="2"/>
  <c r="X815" i="2"/>
  <c r="F340" i="2"/>
  <c r="F338" i="2"/>
  <c r="F339" i="2"/>
  <c r="H340" i="2"/>
  <c r="H334" i="2" s="1"/>
  <c r="H31" i="3" s="1"/>
  <c r="H338" i="2"/>
  <c r="H329" i="2" s="1"/>
  <c r="H339" i="2"/>
  <c r="L340" i="2"/>
  <c r="L331" i="2" s="1"/>
  <c r="L338" i="2"/>
  <c r="L339" i="2"/>
  <c r="L333" i="2" s="1"/>
  <c r="L30" i="3" s="1"/>
  <c r="Q339" i="2"/>
  <c r="Q330" i="2" s="1"/>
  <c r="Q340" i="2"/>
  <c r="Q334" i="2" s="1"/>
  <c r="Q31" i="3" s="1"/>
  <c r="Q338" i="2"/>
  <c r="Q332" i="2" s="1"/>
  <c r="Q29" i="3" s="1"/>
  <c r="X340" i="2"/>
  <c r="X331" i="2" s="1"/>
  <c r="X338" i="2"/>
  <c r="X329" i="2" s="1"/>
  <c r="X339" i="2"/>
  <c r="X330" i="2" s="1"/>
  <c r="R340" i="2"/>
  <c r="R334" i="2" s="1"/>
  <c r="R31" i="3" s="1"/>
  <c r="R338" i="2"/>
  <c r="R332" i="2" s="1"/>
  <c r="R29" i="3" s="1"/>
  <c r="R339" i="2"/>
  <c r="R330" i="2" s="1"/>
  <c r="K730" i="2"/>
  <c r="K731" i="2"/>
  <c r="K729" i="2"/>
  <c r="R915" i="2"/>
  <c r="R916" i="2"/>
  <c r="R914" i="2"/>
  <c r="S320" i="2"/>
  <c r="S314" i="2" s="1"/>
  <c r="S27" i="3" s="1"/>
  <c r="S321" i="2"/>
  <c r="S319" i="2"/>
  <c r="G339" i="2"/>
  <c r="G330" i="2" s="1"/>
  <c r="G340" i="2"/>
  <c r="G334" i="2" s="1"/>
  <c r="G31" i="3" s="1"/>
  <c r="G338" i="2"/>
  <c r="G332" i="2" s="1"/>
  <c r="G29" i="3" s="1"/>
  <c r="K339" i="2"/>
  <c r="K330" i="2" s="1"/>
  <c r="K340" i="2"/>
  <c r="K338" i="2"/>
  <c r="K329" i="2" s="1"/>
  <c r="P340" i="2"/>
  <c r="P338" i="2"/>
  <c r="P329" i="2" s="1"/>
  <c r="P339" i="2"/>
  <c r="P333" i="2" s="1"/>
  <c r="P30" i="3" s="1"/>
  <c r="V340" i="2"/>
  <c r="V331" i="2" s="1"/>
  <c r="V338" i="2"/>
  <c r="V329" i="2" s="1"/>
  <c r="V339" i="2"/>
  <c r="V330" i="2" s="1"/>
  <c r="Q473" i="2"/>
  <c r="Q474" i="2"/>
  <c r="Q472" i="2"/>
  <c r="R505" i="2"/>
  <c r="R503" i="2"/>
  <c r="R504" i="2"/>
  <c r="V596" i="2"/>
  <c r="V597" i="2"/>
  <c r="V595" i="2"/>
  <c r="P756" i="2"/>
  <c r="P754" i="2"/>
  <c r="P755" i="2"/>
  <c r="T867" i="2"/>
  <c r="T865" i="2"/>
  <c r="T866" i="2"/>
  <c r="V1014" i="2"/>
  <c r="V1015" i="2"/>
  <c r="V1013" i="2"/>
  <c r="V326" i="2"/>
  <c r="V327" i="2"/>
  <c r="V325" i="2"/>
  <c r="R326" i="2"/>
  <c r="R327" i="2"/>
  <c r="R325" i="2"/>
  <c r="N326" i="2"/>
  <c r="N327" i="2"/>
  <c r="N325" i="2"/>
  <c r="J326" i="2"/>
  <c r="J327" i="2"/>
  <c r="J325" i="2"/>
  <c r="F326" i="2"/>
  <c r="F327" i="2"/>
  <c r="F325" i="2"/>
  <c r="X321" i="2"/>
  <c r="X319" i="2"/>
  <c r="X320" i="2"/>
  <c r="X314" i="2" s="1"/>
  <c r="X27" i="3" s="1"/>
  <c r="T321" i="2"/>
  <c r="T319" i="2"/>
  <c r="T320" i="2"/>
  <c r="T314" i="2" s="1"/>
  <c r="T27" i="3" s="1"/>
  <c r="O320" i="2"/>
  <c r="O321" i="2"/>
  <c r="O315" i="2" s="1"/>
  <c r="O28" i="3" s="1"/>
  <c r="O319" i="2"/>
  <c r="O313" i="2" s="1"/>
  <c r="O26" i="3" s="1"/>
  <c r="K320" i="2"/>
  <c r="K321" i="2"/>
  <c r="K315" i="2" s="1"/>
  <c r="K28" i="3" s="1"/>
  <c r="K319" i="2"/>
  <c r="K313" i="2" s="1"/>
  <c r="K26" i="3" s="1"/>
  <c r="G320" i="2"/>
  <c r="G319" i="2"/>
  <c r="G321" i="2"/>
  <c r="Y327" i="2"/>
  <c r="Y315" i="2" s="1"/>
  <c r="Y28" i="3" s="1"/>
  <c r="Y325" i="2"/>
  <c r="Y326" i="2"/>
  <c r="U327" i="2"/>
  <c r="U325" i="2"/>
  <c r="U326" i="2"/>
  <c r="Q327" i="2"/>
  <c r="Q325" i="2"/>
  <c r="Q313" i="2" s="1"/>
  <c r="Q26" i="3" s="1"/>
  <c r="Q326" i="2"/>
  <c r="M327" i="2"/>
  <c r="M315" i="2" s="1"/>
  <c r="M28" i="3" s="1"/>
  <c r="M325" i="2"/>
  <c r="M326" i="2"/>
  <c r="I327" i="2"/>
  <c r="I325" i="2"/>
  <c r="I326" i="2"/>
  <c r="W320" i="2"/>
  <c r="W321" i="2"/>
  <c r="W315" i="2" s="1"/>
  <c r="W28" i="3" s="1"/>
  <c r="W319" i="2"/>
  <c r="W313" i="2" s="1"/>
  <c r="W26" i="3" s="1"/>
  <c r="R321" i="2"/>
  <c r="R315" i="2" s="1"/>
  <c r="R28" i="3" s="1"/>
  <c r="R319" i="2"/>
  <c r="R313" i="2" s="1"/>
  <c r="R26" i="3" s="1"/>
  <c r="R320" i="2"/>
  <c r="N321" i="2"/>
  <c r="N315" i="2" s="1"/>
  <c r="N28" i="3" s="1"/>
  <c r="N319" i="2"/>
  <c r="N313" i="2" s="1"/>
  <c r="N26" i="3" s="1"/>
  <c r="N320" i="2"/>
  <c r="J321" i="2"/>
  <c r="J315" i="2" s="1"/>
  <c r="J28" i="3" s="1"/>
  <c r="J319" i="2"/>
  <c r="J313" i="2" s="1"/>
  <c r="J26" i="3" s="1"/>
  <c r="J320" i="2"/>
  <c r="F321" i="2"/>
  <c r="F319" i="2"/>
  <c r="F320" i="2"/>
  <c r="Y460" i="2"/>
  <c r="Y461" i="2"/>
  <c r="Y459" i="2"/>
  <c r="S460" i="2"/>
  <c r="S461" i="2"/>
  <c r="S459" i="2"/>
  <c r="O460" i="2"/>
  <c r="O461" i="2"/>
  <c r="O459" i="2"/>
  <c r="K460" i="2"/>
  <c r="K461" i="2"/>
  <c r="K459" i="2"/>
  <c r="G460" i="2"/>
  <c r="G461" i="2"/>
  <c r="G459" i="2"/>
  <c r="W455" i="2"/>
  <c r="W453" i="2"/>
  <c r="W454" i="2"/>
  <c r="S455" i="2"/>
  <c r="S453" i="2"/>
  <c r="S454" i="2"/>
  <c r="O455" i="2"/>
  <c r="O453" i="2"/>
  <c r="O454" i="2"/>
  <c r="K455" i="2"/>
  <c r="K453" i="2"/>
  <c r="K454" i="2"/>
  <c r="G455" i="2"/>
  <c r="G453" i="2"/>
  <c r="G454" i="2"/>
  <c r="W448" i="2"/>
  <c r="W449" i="2"/>
  <c r="W447" i="2"/>
  <c r="S448" i="2"/>
  <c r="S449" i="2"/>
  <c r="S447" i="2"/>
  <c r="O448" i="2"/>
  <c r="O449" i="2"/>
  <c r="O447" i="2"/>
  <c r="K448" i="2"/>
  <c r="K449" i="2"/>
  <c r="K447" i="2"/>
  <c r="G448" i="2"/>
  <c r="G449" i="2"/>
  <c r="G447" i="2"/>
  <c r="V442" i="2"/>
  <c r="V443" i="2"/>
  <c r="V441" i="2"/>
  <c r="R442" i="2"/>
  <c r="R443" i="2"/>
  <c r="R441" i="2"/>
  <c r="N442" i="2"/>
  <c r="N443" i="2"/>
  <c r="N441" i="2"/>
  <c r="J442" i="2"/>
  <c r="J443" i="2"/>
  <c r="J441" i="2"/>
  <c r="F442" i="2"/>
  <c r="F443" i="2"/>
  <c r="F441" i="2"/>
  <c r="W436" i="2"/>
  <c r="W437" i="2"/>
  <c r="W435" i="2"/>
  <c r="S436" i="2"/>
  <c r="S437" i="2"/>
  <c r="S435" i="2"/>
  <c r="O436" i="2"/>
  <c r="O437" i="2"/>
  <c r="O435" i="2"/>
  <c r="K436" i="2"/>
  <c r="K437" i="2"/>
  <c r="K435" i="2"/>
  <c r="G436" i="2"/>
  <c r="G437" i="2"/>
  <c r="G435" i="2"/>
  <c r="W431" i="2"/>
  <c r="W429" i="2"/>
  <c r="W430" i="2"/>
  <c r="S431" i="2"/>
  <c r="S429" i="2"/>
  <c r="S430" i="2"/>
  <c r="O431" i="2"/>
  <c r="O429" i="2"/>
  <c r="O430" i="2"/>
  <c r="K431" i="2"/>
  <c r="K429" i="2"/>
  <c r="K430" i="2"/>
  <c r="G431" i="2"/>
  <c r="G429" i="2"/>
  <c r="G430" i="2"/>
  <c r="W424" i="2"/>
  <c r="W425" i="2"/>
  <c r="W423" i="2"/>
  <c r="S424" i="2"/>
  <c r="S425" i="2"/>
  <c r="S423" i="2"/>
  <c r="O424" i="2"/>
  <c r="O425" i="2"/>
  <c r="O423" i="2"/>
  <c r="K424" i="2"/>
  <c r="K425" i="2"/>
  <c r="K423" i="2"/>
  <c r="G424" i="2"/>
  <c r="G425" i="2"/>
  <c r="G423" i="2"/>
  <c r="V418" i="2"/>
  <c r="V419" i="2"/>
  <c r="V417" i="2"/>
  <c r="R418" i="2"/>
  <c r="R419" i="2"/>
  <c r="R417" i="2"/>
  <c r="N418" i="2"/>
  <c r="N419" i="2"/>
  <c r="N417" i="2"/>
  <c r="J418" i="2"/>
  <c r="J419" i="2"/>
  <c r="J417" i="2"/>
  <c r="F418" i="2"/>
  <c r="F419" i="2"/>
  <c r="F417" i="2"/>
  <c r="V413" i="2"/>
  <c r="V411" i="2"/>
  <c r="V412" i="2"/>
  <c r="R413" i="2"/>
  <c r="R411" i="2"/>
  <c r="R412" i="2"/>
  <c r="N413" i="2"/>
  <c r="N411" i="2"/>
  <c r="N412" i="2"/>
  <c r="J413" i="2"/>
  <c r="J411" i="2"/>
  <c r="J412" i="2"/>
  <c r="F413" i="2"/>
  <c r="F411" i="2"/>
  <c r="F412" i="2"/>
  <c r="W407" i="2"/>
  <c r="W405" i="2"/>
  <c r="W406" i="2"/>
  <c r="S407" i="2"/>
  <c r="S347" i="2" s="1"/>
  <c r="S34" i="3" s="1"/>
  <c r="S405" i="2"/>
  <c r="S345" i="2" s="1"/>
  <c r="S32" i="3" s="1"/>
  <c r="S406" i="2"/>
  <c r="O407" i="2"/>
  <c r="O405" i="2"/>
  <c r="O345" i="2" s="1"/>
  <c r="O32" i="3" s="1"/>
  <c r="O406" i="2"/>
  <c r="K407" i="2"/>
  <c r="K347" i="2" s="1"/>
  <c r="K34" i="3" s="1"/>
  <c r="K405" i="2"/>
  <c r="K406" i="2"/>
  <c r="G407" i="2"/>
  <c r="G347" i="2" s="1"/>
  <c r="G34" i="3" s="1"/>
  <c r="G405" i="2"/>
  <c r="G345" i="2" s="1"/>
  <c r="G32" i="3" s="1"/>
  <c r="G406" i="2"/>
  <c r="V401" i="2"/>
  <c r="V399" i="2"/>
  <c r="V400" i="2"/>
  <c r="R401" i="2"/>
  <c r="R399" i="2"/>
  <c r="R400" i="2"/>
  <c r="N401" i="2"/>
  <c r="N399" i="2"/>
  <c r="N400" i="2"/>
  <c r="J401" i="2"/>
  <c r="J399" i="2"/>
  <c r="J400" i="2"/>
  <c r="F401" i="2"/>
  <c r="F399" i="2"/>
  <c r="F400" i="2"/>
  <c r="V394" i="2"/>
  <c r="V395" i="2"/>
  <c r="V393" i="2"/>
  <c r="R394" i="2"/>
  <c r="R395" i="2"/>
  <c r="R393" i="2"/>
  <c r="N394" i="2"/>
  <c r="N395" i="2"/>
  <c r="N393" i="2"/>
  <c r="J394" i="2"/>
  <c r="J395" i="2"/>
  <c r="J393" i="2"/>
  <c r="F394" i="2"/>
  <c r="F395" i="2"/>
  <c r="F393" i="2"/>
  <c r="V389" i="2"/>
  <c r="V387" i="2"/>
  <c r="V388" i="2"/>
  <c r="R389" i="2"/>
  <c r="R387" i="2"/>
  <c r="R388" i="2"/>
  <c r="N389" i="2"/>
  <c r="N387" i="2"/>
  <c r="N388" i="2"/>
  <c r="J389" i="2"/>
  <c r="J387" i="2"/>
  <c r="J388" i="2"/>
  <c r="F389" i="2"/>
  <c r="F387" i="2"/>
  <c r="F388" i="2"/>
  <c r="V382" i="2"/>
  <c r="V383" i="2"/>
  <c r="V381" i="2"/>
  <c r="R382" i="2"/>
  <c r="R383" i="2"/>
  <c r="R381" i="2"/>
  <c r="N382" i="2"/>
  <c r="N383" i="2"/>
  <c r="N381" i="2"/>
  <c r="J382" i="2"/>
  <c r="J383" i="2"/>
  <c r="J381" i="2"/>
  <c r="F382" i="2"/>
  <c r="F383" i="2"/>
  <c r="F381" i="2"/>
  <c r="X461" i="2"/>
  <c r="X459" i="2"/>
  <c r="X460" i="2"/>
  <c r="T461" i="2"/>
  <c r="T459" i="2"/>
  <c r="T460" i="2"/>
  <c r="P461" i="2"/>
  <c r="P459" i="2"/>
  <c r="P460" i="2"/>
  <c r="L461" i="2"/>
  <c r="L459" i="2"/>
  <c r="L460" i="2"/>
  <c r="H461" i="2"/>
  <c r="H459" i="2"/>
  <c r="H460" i="2"/>
  <c r="X454" i="2"/>
  <c r="X455" i="2"/>
  <c r="X453" i="2"/>
  <c r="T454" i="2"/>
  <c r="T455" i="2"/>
  <c r="T453" i="2"/>
  <c r="P454" i="2"/>
  <c r="P455" i="2"/>
  <c r="P453" i="2"/>
  <c r="L454" i="2"/>
  <c r="L455" i="2"/>
  <c r="L453" i="2"/>
  <c r="H454" i="2"/>
  <c r="H455" i="2"/>
  <c r="H453" i="2"/>
  <c r="X449" i="2"/>
  <c r="X447" i="2"/>
  <c r="X448" i="2"/>
  <c r="T449" i="2"/>
  <c r="T447" i="2"/>
  <c r="T448" i="2"/>
  <c r="P449" i="2"/>
  <c r="P447" i="2"/>
  <c r="P448" i="2"/>
  <c r="L449" i="2"/>
  <c r="L447" i="2"/>
  <c r="L448" i="2"/>
  <c r="H449" i="2"/>
  <c r="H447" i="2"/>
  <c r="H448" i="2"/>
  <c r="Y443" i="2"/>
  <c r="Y441" i="2"/>
  <c r="Y442" i="2"/>
  <c r="U443" i="2"/>
  <c r="U441" i="2"/>
  <c r="U442" i="2"/>
  <c r="Q443" i="2"/>
  <c r="Q441" i="2"/>
  <c r="Q442" i="2"/>
  <c r="M443" i="2"/>
  <c r="M441" i="2"/>
  <c r="M442" i="2"/>
  <c r="I443" i="2"/>
  <c r="I441" i="2"/>
  <c r="I442" i="2"/>
  <c r="X437" i="2"/>
  <c r="X435" i="2"/>
  <c r="X436" i="2"/>
  <c r="T437" i="2"/>
  <c r="T435" i="2"/>
  <c r="T436" i="2"/>
  <c r="P437" i="2"/>
  <c r="P435" i="2"/>
  <c r="P436" i="2"/>
  <c r="L437" i="2"/>
  <c r="L435" i="2"/>
  <c r="L436" i="2"/>
  <c r="H437" i="2"/>
  <c r="H435" i="2"/>
  <c r="H436" i="2"/>
  <c r="X430" i="2"/>
  <c r="X431" i="2"/>
  <c r="X429" i="2"/>
  <c r="T430" i="2"/>
  <c r="T431" i="2"/>
  <c r="T429" i="2"/>
  <c r="P430" i="2"/>
  <c r="P431" i="2"/>
  <c r="P429" i="2"/>
  <c r="L430" i="2"/>
  <c r="L431" i="2"/>
  <c r="L429" i="2"/>
  <c r="H430" i="2"/>
  <c r="H431" i="2"/>
  <c r="H429" i="2"/>
  <c r="X425" i="2"/>
  <c r="X423" i="2"/>
  <c r="X424" i="2"/>
  <c r="T425" i="2"/>
  <c r="T423" i="2"/>
  <c r="T424" i="2"/>
  <c r="P425" i="2"/>
  <c r="P423" i="2"/>
  <c r="P424" i="2"/>
  <c r="L425" i="2"/>
  <c r="L423" i="2"/>
  <c r="L424" i="2"/>
  <c r="H425" i="2"/>
  <c r="H423" i="2"/>
  <c r="H424" i="2"/>
  <c r="Y419" i="2"/>
  <c r="Y417" i="2"/>
  <c r="Y418" i="2"/>
  <c r="U419" i="2"/>
  <c r="U417" i="2"/>
  <c r="U418" i="2"/>
  <c r="Q419" i="2"/>
  <c r="Q417" i="2"/>
  <c r="Q418" i="2"/>
  <c r="M419" i="2"/>
  <c r="M417" i="2"/>
  <c r="M418" i="2"/>
  <c r="I419" i="2"/>
  <c r="I417" i="2"/>
  <c r="I418" i="2"/>
  <c r="Y412" i="2"/>
  <c r="Y413" i="2"/>
  <c r="Y411" i="2"/>
  <c r="U412" i="2"/>
  <c r="U413" i="2"/>
  <c r="U411" i="2"/>
  <c r="Q412" i="2"/>
  <c r="Q413" i="2"/>
  <c r="Q411" i="2"/>
  <c r="M412" i="2"/>
  <c r="M413" i="2"/>
  <c r="M411" i="2"/>
  <c r="I412" i="2"/>
  <c r="I413" i="2"/>
  <c r="I411" i="2"/>
  <c r="X406" i="2"/>
  <c r="X407" i="2"/>
  <c r="X405" i="2"/>
  <c r="T406" i="2"/>
  <c r="T407" i="2"/>
  <c r="T405" i="2"/>
  <c r="P406" i="2"/>
  <c r="P407" i="2"/>
  <c r="P405" i="2"/>
  <c r="L406" i="2"/>
  <c r="L407" i="2"/>
  <c r="L405" i="2"/>
  <c r="H406" i="2"/>
  <c r="H407" i="2"/>
  <c r="H405" i="2"/>
  <c r="Y400" i="2"/>
  <c r="Y401" i="2"/>
  <c r="Y399" i="2"/>
  <c r="U400" i="2"/>
  <c r="U401" i="2"/>
  <c r="U399" i="2"/>
  <c r="Q400" i="2"/>
  <c r="Q401" i="2"/>
  <c r="Q399" i="2"/>
  <c r="M400" i="2"/>
  <c r="M401" i="2"/>
  <c r="M399" i="2"/>
  <c r="I400" i="2"/>
  <c r="I401" i="2"/>
  <c r="I399" i="2"/>
  <c r="Y395" i="2"/>
  <c r="Y393" i="2"/>
  <c r="Y394" i="2"/>
  <c r="U395" i="2"/>
  <c r="U393" i="2"/>
  <c r="U394" i="2"/>
  <c r="Q395" i="2"/>
  <c r="Q393" i="2"/>
  <c r="Q394" i="2"/>
  <c r="M395" i="2"/>
  <c r="M393" i="2"/>
  <c r="M394" i="2"/>
  <c r="I395" i="2"/>
  <c r="I393" i="2"/>
  <c r="I394" i="2"/>
  <c r="Y388" i="2"/>
  <c r="Y389" i="2"/>
  <c r="Y387" i="2"/>
  <c r="U388" i="2"/>
  <c r="U389" i="2"/>
  <c r="U387" i="2"/>
  <c r="Q388" i="2"/>
  <c r="Q389" i="2"/>
  <c r="Q387" i="2"/>
  <c r="M388" i="2"/>
  <c r="M389" i="2"/>
  <c r="M387" i="2"/>
  <c r="I388" i="2"/>
  <c r="I389" i="2"/>
  <c r="I387" i="2"/>
  <c r="Y383" i="2"/>
  <c r="Y381" i="2"/>
  <c r="Y382" i="2"/>
  <c r="U383" i="2"/>
  <c r="U381" i="2"/>
  <c r="U382" i="2"/>
  <c r="Q383" i="2"/>
  <c r="Q381" i="2"/>
  <c r="Q382" i="2"/>
  <c r="M383" i="2"/>
  <c r="M381" i="2"/>
  <c r="M382" i="2"/>
  <c r="I383" i="2"/>
  <c r="I381" i="2"/>
  <c r="I382" i="2"/>
  <c r="Y376" i="2"/>
  <c r="Y377" i="2"/>
  <c r="Y375" i="2"/>
  <c r="U376" i="2"/>
  <c r="U377" i="2"/>
  <c r="U375" i="2"/>
  <c r="Q376" i="2"/>
  <c r="Q377" i="2"/>
  <c r="Q375" i="2"/>
  <c r="M376" i="2"/>
  <c r="M377" i="2"/>
  <c r="M375" i="2"/>
  <c r="I376" i="2"/>
  <c r="I377" i="2"/>
  <c r="I375" i="2"/>
  <c r="Y371" i="2"/>
  <c r="Y369" i="2"/>
  <c r="Y370" i="2"/>
  <c r="U371" i="2"/>
  <c r="U369" i="2"/>
  <c r="U370" i="2"/>
  <c r="Q371" i="2"/>
  <c r="Q369" i="2"/>
  <c r="Q370" i="2"/>
  <c r="M371" i="2"/>
  <c r="M369" i="2"/>
  <c r="M370" i="2"/>
  <c r="I371" i="2"/>
  <c r="I369" i="2"/>
  <c r="I370" i="2"/>
  <c r="Y364" i="2"/>
  <c r="Y365" i="2"/>
  <c r="Y363" i="2"/>
  <c r="U364" i="2"/>
  <c r="U365" i="2"/>
  <c r="U363" i="2"/>
  <c r="Q364" i="2"/>
  <c r="Q365" i="2"/>
  <c r="Q363" i="2"/>
  <c r="M364" i="2"/>
  <c r="M365" i="2"/>
  <c r="M363" i="2"/>
  <c r="I364" i="2"/>
  <c r="I365" i="2"/>
  <c r="I363" i="2"/>
  <c r="Y359" i="2"/>
  <c r="Y357" i="2"/>
  <c r="Y358" i="2"/>
  <c r="U359" i="2"/>
  <c r="U357" i="2"/>
  <c r="U358" i="2"/>
  <c r="Q359" i="2"/>
  <c r="Q357" i="2"/>
  <c r="Q358" i="2"/>
  <c r="M359" i="2"/>
  <c r="M357" i="2"/>
  <c r="M358" i="2"/>
  <c r="I359" i="2"/>
  <c r="I357" i="2"/>
  <c r="I358" i="2"/>
  <c r="Y352" i="2"/>
  <c r="Y353" i="2"/>
  <c r="Y351" i="2"/>
  <c r="U352" i="2"/>
  <c r="U353" i="2"/>
  <c r="U351" i="2"/>
  <c r="Q352" i="2"/>
  <c r="Q353" i="2"/>
  <c r="Q351" i="2"/>
  <c r="M352" i="2"/>
  <c r="M353" i="2"/>
  <c r="M351" i="2"/>
  <c r="I352" i="2"/>
  <c r="I353" i="2"/>
  <c r="I351" i="2"/>
  <c r="Y492" i="2"/>
  <c r="Y490" i="2"/>
  <c r="Y491" i="2"/>
  <c r="U492" i="2"/>
  <c r="U490" i="2"/>
  <c r="U491" i="2"/>
  <c r="Q492" i="2"/>
  <c r="Q490" i="2"/>
  <c r="Q491" i="2"/>
  <c r="M492" i="2"/>
  <c r="M490" i="2"/>
  <c r="M491" i="2"/>
  <c r="I492" i="2"/>
  <c r="I490" i="2"/>
  <c r="I491" i="2"/>
  <c r="Y485" i="2"/>
  <c r="Y486" i="2"/>
  <c r="Y484" i="2"/>
  <c r="U485" i="2"/>
  <c r="U486" i="2"/>
  <c r="U484" i="2"/>
  <c r="Q485" i="2"/>
  <c r="Q486" i="2"/>
  <c r="Q468" i="2" s="1"/>
  <c r="Q37" i="3" s="1"/>
  <c r="Q484" i="2"/>
  <c r="M485" i="2"/>
  <c r="M486" i="2"/>
  <c r="M484" i="2"/>
  <c r="I485" i="2"/>
  <c r="I486" i="2"/>
  <c r="I484" i="2"/>
  <c r="X479" i="2"/>
  <c r="X480" i="2"/>
  <c r="X478" i="2"/>
  <c r="T479" i="2"/>
  <c r="T480" i="2"/>
  <c r="T478" i="2"/>
  <c r="P479" i="2"/>
  <c r="P480" i="2"/>
  <c r="P478" i="2"/>
  <c r="L479" i="2"/>
  <c r="L480" i="2"/>
  <c r="L478" i="2"/>
  <c r="H479" i="2"/>
  <c r="H480" i="2"/>
  <c r="H478" i="2"/>
  <c r="X474" i="2"/>
  <c r="X468" i="2" s="1"/>
  <c r="X37" i="3" s="1"/>
  <c r="X472" i="2"/>
  <c r="X466" i="2" s="1"/>
  <c r="X35" i="3" s="1"/>
  <c r="X473" i="2"/>
  <c r="T474" i="2"/>
  <c r="T468" i="2" s="1"/>
  <c r="T37" i="3" s="1"/>
  <c r="T472" i="2"/>
  <c r="T466" i="2" s="1"/>
  <c r="T35" i="3" s="1"/>
  <c r="T473" i="2"/>
  <c r="O473" i="2"/>
  <c r="O474" i="2"/>
  <c r="O472" i="2"/>
  <c r="K473" i="2"/>
  <c r="K474" i="2"/>
  <c r="K472" i="2"/>
  <c r="G473" i="2"/>
  <c r="G474" i="2"/>
  <c r="G472" i="2"/>
  <c r="V529" i="2"/>
  <c r="V527" i="2"/>
  <c r="V528" i="2"/>
  <c r="R529" i="2"/>
  <c r="R527" i="2"/>
  <c r="R528" i="2"/>
  <c r="N529" i="2"/>
  <c r="N527" i="2"/>
  <c r="N528" i="2"/>
  <c r="J529" i="2"/>
  <c r="J527" i="2"/>
  <c r="J528" i="2"/>
  <c r="F529" i="2"/>
  <c r="F527" i="2"/>
  <c r="F528" i="2"/>
  <c r="V522" i="2"/>
  <c r="V523" i="2"/>
  <c r="V521" i="2"/>
  <c r="R522" i="2"/>
  <c r="R523" i="2"/>
  <c r="R521" i="2"/>
  <c r="N522" i="2"/>
  <c r="N523" i="2"/>
  <c r="N521" i="2"/>
  <c r="J522" i="2"/>
  <c r="J523" i="2"/>
  <c r="J521" i="2"/>
  <c r="F522" i="2"/>
  <c r="F523" i="2"/>
  <c r="F521" i="2"/>
  <c r="V517" i="2"/>
  <c r="V515" i="2"/>
  <c r="V516" i="2"/>
  <c r="R517" i="2"/>
  <c r="R515" i="2"/>
  <c r="R516" i="2"/>
  <c r="N517" i="2"/>
  <c r="N515" i="2"/>
  <c r="N516" i="2"/>
  <c r="J517" i="2"/>
  <c r="J515" i="2"/>
  <c r="J516" i="2"/>
  <c r="F517" i="2"/>
  <c r="F515" i="2"/>
  <c r="F516" i="2"/>
  <c r="V510" i="2"/>
  <c r="V511" i="2"/>
  <c r="V509" i="2"/>
  <c r="R510" i="2"/>
  <c r="R511" i="2"/>
  <c r="R509" i="2"/>
  <c r="N510" i="2"/>
  <c r="N511" i="2"/>
  <c r="N509" i="2"/>
  <c r="J510" i="2"/>
  <c r="J511" i="2"/>
  <c r="J509" i="2"/>
  <c r="F510" i="2"/>
  <c r="F511" i="2"/>
  <c r="F509" i="2"/>
  <c r="Y504" i="2"/>
  <c r="Y505" i="2"/>
  <c r="Y499" i="2" s="1"/>
  <c r="Y40" i="3" s="1"/>
  <c r="Y503" i="2"/>
  <c r="Y497" i="2" s="1"/>
  <c r="Y38" i="3" s="1"/>
  <c r="U504" i="2"/>
  <c r="U505" i="2"/>
  <c r="U499" i="2" s="1"/>
  <c r="U40" i="3" s="1"/>
  <c r="U503" i="2"/>
  <c r="U497" i="2" s="1"/>
  <c r="U38" i="3" s="1"/>
  <c r="P505" i="2"/>
  <c r="P503" i="2"/>
  <c r="P504" i="2"/>
  <c r="L505" i="2"/>
  <c r="L503" i="2"/>
  <c r="L504" i="2"/>
  <c r="H505" i="2"/>
  <c r="H503" i="2"/>
  <c r="H504" i="2"/>
  <c r="W583" i="2"/>
  <c r="W584" i="2"/>
  <c r="W582" i="2"/>
  <c r="S583" i="2"/>
  <c r="S584" i="2"/>
  <c r="S582" i="2"/>
  <c r="O583" i="2"/>
  <c r="O584" i="2"/>
  <c r="O582" i="2"/>
  <c r="K583" i="2"/>
  <c r="K584" i="2"/>
  <c r="K582" i="2"/>
  <c r="G583" i="2"/>
  <c r="G584" i="2"/>
  <c r="G582" i="2"/>
  <c r="W578" i="2"/>
  <c r="W576" i="2"/>
  <c r="W577" i="2"/>
  <c r="S578" i="2"/>
  <c r="S576" i="2"/>
  <c r="S577" i="2"/>
  <c r="O578" i="2"/>
  <c r="O576" i="2"/>
  <c r="O577" i="2"/>
  <c r="K578" i="2"/>
  <c r="K576" i="2"/>
  <c r="K577" i="2"/>
  <c r="G578" i="2"/>
  <c r="G576" i="2"/>
  <c r="G577" i="2"/>
  <c r="W571" i="2"/>
  <c r="W572" i="2"/>
  <c r="W570" i="2"/>
  <c r="S571" i="2"/>
  <c r="S572" i="2"/>
  <c r="S570" i="2"/>
  <c r="O571" i="2"/>
  <c r="O572" i="2"/>
  <c r="O570" i="2"/>
  <c r="K571" i="2"/>
  <c r="K572" i="2"/>
  <c r="K570" i="2"/>
  <c r="G571" i="2"/>
  <c r="G572" i="2"/>
  <c r="G570" i="2"/>
  <c r="W566" i="2"/>
  <c r="W564" i="2"/>
  <c r="W565" i="2"/>
  <c r="S566" i="2"/>
  <c r="S564" i="2"/>
  <c r="S565" i="2"/>
  <c r="O566" i="2"/>
  <c r="O564" i="2"/>
  <c r="O565" i="2"/>
  <c r="K566" i="2"/>
  <c r="K564" i="2"/>
  <c r="K565" i="2"/>
  <c r="G566" i="2"/>
  <c r="G564" i="2"/>
  <c r="G565" i="2"/>
  <c r="W559" i="2"/>
  <c r="W560" i="2"/>
  <c r="W558" i="2"/>
  <c r="S559" i="2"/>
  <c r="S560" i="2"/>
  <c r="S558" i="2"/>
  <c r="O559" i="2"/>
  <c r="O560" i="2"/>
  <c r="O558" i="2"/>
  <c r="K559" i="2"/>
  <c r="K560" i="2"/>
  <c r="K558" i="2"/>
  <c r="G559" i="2"/>
  <c r="G560" i="2"/>
  <c r="G558" i="2"/>
  <c r="W554" i="2"/>
  <c r="W552" i="2"/>
  <c r="W553" i="2"/>
  <c r="S554" i="2"/>
  <c r="S552" i="2"/>
  <c r="S553" i="2"/>
  <c r="O554" i="2"/>
  <c r="O552" i="2"/>
  <c r="O553" i="2"/>
  <c r="K554" i="2"/>
  <c r="K552" i="2"/>
  <c r="K553" i="2"/>
  <c r="G554" i="2"/>
  <c r="G552" i="2"/>
  <c r="G553" i="2"/>
  <c r="W547" i="2"/>
  <c r="W548" i="2"/>
  <c r="W546" i="2"/>
  <c r="S547" i="2"/>
  <c r="S548" i="2"/>
  <c r="S546" i="2"/>
  <c r="O547" i="2"/>
  <c r="O548" i="2"/>
  <c r="O546" i="2"/>
  <c r="K548" i="2"/>
  <c r="K547" i="2"/>
  <c r="K546" i="2"/>
  <c r="G548" i="2"/>
  <c r="G547" i="2"/>
  <c r="G546" i="2"/>
  <c r="W542" i="2"/>
  <c r="W536" i="2" s="1"/>
  <c r="W43" i="3" s="1"/>
  <c r="W540" i="2"/>
  <c r="W534" i="2" s="1"/>
  <c r="W41" i="3" s="1"/>
  <c r="W541" i="2"/>
  <c r="S542" i="2"/>
  <c r="S536" i="2" s="1"/>
  <c r="S43" i="3" s="1"/>
  <c r="S540" i="2"/>
  <c r="S534" i="2" s="1"/>
  <c r="S41" i="3" s="1"/>
  <c r="S541" i="2"/>
  <c r="O542" i="2"/>
  <c r="O540" i="2"/>
  <c r="O534" i="2" s="1"/>
  <c r="O41" i="3" s="1"/>
  <c r="O541" i="2"/>
  <c r="K542" i="2"/>
  <c r="K540" i="2"/>
  <c r="K534" i="2" s="1"/>
  <c r="K41" i="3" s="1"/>
  <c r="K541" i="2"/>
  <c r="G542" i="2"/>
  <c r="G540" i="2"/>
  <c r="G534" i="2" s="1"/>
  <c r="G41" i="3" s="1"/>
  <c r="G541" i="2"/>
  <c r="W614" i="2"/>
  <c r="W615" i="2"/>
  <c r="W613" i="2"/>
  <c r="S614" i="2"/>
  <c r="S615" i="2"/>
  <c r="S613" i="2"/>
  <c r="O614" i="2"/>
  <c r="O615" i="2"/>
  <c r="O613" i="2"/>
  <c r="K614" i="2"/>
  <c r="K615" i="2"/>
  <c r="K613" i="2"/>
  <c r="G614" i="2"/>
  <c r="G615" i="2"/>
  <c r="G613" i="2"/>
  <c r="W609" i="2"/>
  <c r="W607" i="2"/>
  <c r="W608" i="2"/>
  <c r="S609" i="2"/>
  <c r="S607" i="2"/>
  <c r="S608" i="2"/>
  <c r="O609" i="2"/>
  <c r="O607" i="2"/>
  <c r="O608" i="2"/>
  <c r="K609" i="2"/>
  <c r="K607" i="2"/>
  <c r="K608" i="2"/>
  <c r="G609" i="2"/>
  <c r="G607" i="2"/>
  <c r="G608" i="2"/>
  <c r="W602" i="2"/>
  <c r="W603" i="2"/>
  <c r="W601" i="2"/>
  <c r="S602" i="2"/>
  <c r="S603" i="2"/>
  <c r="S601" i="2"/>
  <c r="O602" i="2"/>
  <c r="O603" i="2"/>
  <c r="O601" i="2"/>
  <c r="K602" i="2"/>
  <c r="K603" i="2"/>
  <c r="K601" i="2"/>
  <c r="G602" i="2"/>
  <c r="G603" i="2"/>
  <c r="G601" i="2"/>
  <c r="V377" i="2"/>
  <c r="V375" i="2"/>
  <c r="V376" i="2"/>
  <c r="R377" i="2"/>
  <c r="R375" i="2"/>
  <c r="R376" i="2"/>
  <c r="N377" i="2"/>
  <c r="N375" i="2"/>
  <c r="N376" i="2"/>
  <c r="J377" i="2"/>
  <c r="J375" i="2"/>
  <c r="J376" i="2"/>
  <c r="F377" i="2"/>
  <c r="F375" i="2"/>
  <c r="F376" i="2"/>
  <c r="V370" i="2"/>
  <c r="V371" i="2"/>
  <c r="V369" i="2"/>
  <c r="R370" i="2"/>
  <c r="R371" i="2"/>
  <c r="R369" i="2"/>
  <c r="N370" i="2"/>
  <c r="N371" i="2"/>
  <c r="N369" i="2"/>
  <c r="J370" i="2"/>
  <c r="J371" i="2"/>
  <c r="J369" i="2"/>
  <c r="F370" i="2"/>
  <c r="F371" i="2"/>
  <c r="F369" i="2"/>
  <c r="V365" i="2"/>
  <c r="V363" i="2"/>
  <c r="V364" i="2"/>
  <c r="R365" i="2"/>
  <c r="R363" i="2"/>
  <c r="R364" i="2"/>
  <c r="N365" i="2"/>
  <c r="N363" i="2"/>
  <c r="N364" i="2"/>
  <c r="J365" i="2"/>
  <c r="J363" i="2"/>
  <c r="J364" i="2"/>
  <c r="F365" i="2"/>
  <c r="F363" i="2"/>
  <c r="F364" i="2"/>
  <c r="V358" i="2"/>
  <c r="V359" i="2"/>
  <c r="V357" i="2"/>
  <c r="R358" i="2"/>
  <c r="R359" i="2"/>
  <c r="R357" i="2"/>
  <c r="N358" i="2"/>
  <c r="N359" i="2"/>
  <c r="N357" i="2"/>
  <c r="J358" i="2"/>
  <c r="J359" i="2"/>
  <c r="J357" i="2"/>
  <c r="F358" i="2"/>
  <c r="F359" i="2"/>
  <c r="F357" i="2"/>
  <c r="V353" i="2"/>
  <c r="V351" i="2"/>
  <c r="V352" i="2"/>
  <c r="R353" i="2"/>
  <c r="R351" i="2"/>
  <c r="R352" i="2"/>
  <c r="N353" i="2"/>
  <c r="N351" i="2"/>
  <c r="N352" i="2"/>
  <c r="J353" i="2"/>
  <c r="J351" i="2"/>
  <c r="J352" i="2"/>
  <c r="F353" i="2"/>
  <c r="F351" i="2"/>
  <c r="F352" i="2"/>
  <c r="V491" i="2"/>
  <c r="V492" i="2"/>
  <c r="V490" i="2"/>
  <c r="R491" i="2"/>
  <c r="R492" i="2"/>
  <c r="R490" i="2"/>
  <c r="N491" i="2"/>
  <c r="N492" i="2"/>
  <c r="N490" i="2"/>
  <c r="J491" i="2"/>
  <c r="J492" i="2"/>
  <c r="J490" i="2"/>
  <c r="F491" i="2"/>
  <c r="F492" i="2"/>
  <c r="F490" i="2"/>
  <c r="V486" i="2"/>
  <c r="V484" i="2"/>
  <c r="V485" i="2"/>
  <c r="R486" i="2"/>
  <c r="R484" i="2"/>
  <c r="R485" i="2"/>
  <c r="N486" i="2"/>
  <c r="N484" i="2"/>
  <c r="N485" i="2"/>
  <c r="J486" i="2"/>
  <c r="J484" i="2"/>
  <c r="J485" i="2"/>
  <c r="F486" i="2"/>
  <c r="F484" i="2"/>
  <c r="F485" i="2"/>
  <c r="W480" i="2"/>
  <c r="W478" i="2"/>
  <c r="W479" i="2"/>
  <c r="S480" i="2"/>
  <c r="S478" i="2"/>
  <c r="S479" i="2"/>
  <c r="O480" i="2"/>
  <c r="O478" i="2"/>
  <c r="O479" i="2"/>
  <c r="K480" i="2"/>
  <c r="K478" i="2"/>
  <c r="K479" i="2"/>
  <c r="G480" i="2"/>
  <c r="G478" i="2"/>
  <c r="G479" i="2"/>
  <c r="Y473" i="2"/>
  <c r="Y474" i="2"/>
  <c r="Y472" i="2"/>
  <c r="U473" i="2"/>
  <c r="U474" i="2"/>
  <c r="U472" i="2"/>
  <c r="P474" i="2"/>
  <c r="P472" i="2"/>
  <c r="P473" i="2"/>
  <c r="L474" i="2"/>
  <c r="L472" i="2"/>
  <c r="L473" i="2"/>
  <c r="H474" i="2"/>
  <c r="H472" i="2"/>
  <c r="H473" i="2"/>
  <c r="W528" i="2"/>
  <c r="W529" i="2"/>
  <c r="W527" i="2"/>
  <c r="S528" i="2"/>
  <c r="S529" i="2"/>
  <c r="S527" i="2"/>
  <c r="O528" i="2"/>
  <c r="O529" i="2"/>
  <c r="O527" i="2"/>
  <c r="K528" i="2"/>
  <c r="K529" i="2"/>
  <c r="K527" i="2"/>
  <c r="G528" i="2"/>
  <c r="G529" i="2"/>
  <c r="G527" i="2"/>
  <c r="W523" i="2"/>
  <c r="W521" i="2"/>
  <c r="W522" i="2"/>
  <c r="S523" i="2"/>
  <c r="S521" i="2"/>
  <c r="S522" i="2"/>
  <c r="O523" i="2"/>
  <c r="O521" i="2"/>
  <c r="O522" i="2"/>
  <c r="K523" i="2"/>
  <c r="K521" i="2"/>
  <c r="K522" i="2"/>
  <c r="G523" i="2"/>
  <c r="G521" i="2"/>
  <c r="G522" i="2"/>
  <c r="W516" i="2"/>
  <c r="W517" i="2"/>
  <c r="W515" i="2"/>
  <c r="S516" i="2"/>
  <c r="S517" i="2"/>
  <c r="S515" i="2"/>
  <c r="O516" i="2"/>
  <c r="O517" i="2"/>
  <c r="O515" i="2"/>
  <c r="K516" i="2"/>
  <c r="K517" i="2"/>
  <c r="K515" i="2"/>
  <c r="G516" i="2"/>
  <c r="G517" i="2"/>
  <c r="G515" i="2"/>
  <c r="W511" i="2"/>
  <c r="W499" i="2" s="1"/>
  <c r="W40" i="3" s="1"/>
  <c r="W509" i="2"/>
  <c r="W510" i="2"/>
  <c r="S511" i="2"/>
  <c r="S509" i="2"/>
  <c r="S510" i="2"/>
  <c r="O511" i="2"/>
  <c r="O509" i="2"/>
  <c r="O510" i="2"/>
  <c r="K511" i="2"/>
  <c r="K509" i="2"/>
  <c r="K510" i="2"/>
  <c r="G511" i="2"/>
  <c r="G509" i="2"/>
  <c r="G510" i="2"/>
  <c r="V505" i="2"/>
  <c r="V503" i="2"/>
  <c r="V504" i="2"/>
  <c r="Q504" i="2"/>
  <c r="Q505" i="2"/>
  <c r="Q499" i="2" s="1"/>
  <c r="Q40" i="3" s="1"/>
  <c r="Q503" i="2"/>
  <c r="Q497" i="2" s="1"/>
  <c r="Q38" i="3" s="1"/>
  <c r="M504" i="2"/>
  <c r="M505" i="2"/>
  <c r="M499" i="2" s="1"/>
  <c r="M40" i="3" s="1"/>
  <c r="M503" i="2"/>
  <c r="M497" i="2" s="1"/>
  <c r="M38" i="3" s="1"/>
  <c r="I504" i="2"/>
  <c r="I505" i="2"/>
  <c r="I499" i="2" s="1"/>
  <c r="I40" i="3" s="1"/>
  <c r="I503" i="2"/>
  <c r="I497" i="2" s="1"/>
  <c r="I38" i="3" s="1"/>
  <c r="X584" i="2"/>
  <c r="X582" i="2"/>
  <c r="X583" i="2"/>
  <c r="T584" i="2"/>
  <c r="T582" i="2"/>
  <c r="T583" i="2"/>
  <c r="P584" i="2"/>
  <c r="P582" i="2"/>
  <c r="P583" i="2"/>
  <c r="L584" i="2"/>
  <c r="L582" i="2"/>
  <c r="L583" i="2"/>
  <c r="H584" i="2"/>
  <c r="H582" i="2"/>
  <c r="H583" i="2"/>
  <c r="X577" i="2"/>
  <c r="X578" i="2"/>
  <c r="X576" i="2"/>
  <c r="T577" i="2"/>
  <c r="T578" i="2"/>
  <c r="T576" i="2"/>
  <c r="P577" i="2"/>
  <c r="P578" i="2"/>
  <c r="P576" i="2"/>
  <c r="L577" i="2"/>
  <c r="L578" i="2"/>
  <c r="L576" i="2"/>
  <c r="H577" i="2"/>
  <c r="H578" i="2"/>
  <c r="H576" i="2"/>
  <c r="X572" i="2"/>
  <c r="X570" i="2"/>
  <c r="X571" i="2"/>
  <c r="T572" i="2"/>
  <c r="T570" i="2"/>
  <c r="T571" i="2"/>
  <c r="P572" i="2"/>
  <c r="P570" i="2"/>
  <c r="P571" i="2"/>
  <c r="L572" i="2"/>
  <c r="L570" i="2"/>
  <c r="L571" i="2"/>
  <c r="H572" i="2"/>
  <c r="H570" i="2"/>
  <c r="H571" i="2"/>
  <c r="X565" i="2"/>
  <c r="X566" i="2"/>
  <c r="X564" i="2"/>
  <c r="T565" i="2"/>
  <c r="T566" i="2"/>
  <c r="T564" i="2"/>
  <c r="P565" i="2"/>
  <c r="P566" i="2"/>
  <c r="P564" i="2"/>
  <c r="L565" i="2"/>
  <c r="L566" i="2"/>
  <c r="L564" i="2"/>
  <c r="H565" i="2"/>
  <c r="H566" i="2"/>
  <c r="H564" i="2"/>
  <c r="X560" i="2"/>
  <c r="X558" i="2"/>
  <c r="X559" i="2"/>
  <c r="T560" i="2"/>
  <c r="T558" i="2"/>
  <c r="T559" i="2"/>
  <c r="P560" i="2"/>
  <c r="P558" i="2"/>
  <c r="P559" i="2"/>
  <c r="L560" i="2"/>
  <c r="L558" i="2"/>
  <c r="L559" i="2"/>
  <c r="H560" i="2"/>
  <c r="H558" i="2"/>
  <c r="H559" i="2"/>
  <c r="X553" i="2"/>
  <c r="X554" i="2"/>
  <c r="X552" i="2"/>
  <c r="T553" i="2"/>
  <c r="T554" i="2"/>
  <c r="T552" i="2"/>
  <c r="P553" i="2"/>
  <c r="P554" i="2"/>
  <c r="P552" i="2"/>
  <c r="L553" i="2"/>
  <c r="L554" i="2"/>
  <c r="L552" i="2"/>
  <c r="H553" i="2"/>
  <c r="H554" i="2"/>
  <c r="H552" i="2"/>
  <c r="X548" i="2"/>
  <c r="X547" i="2"/>
  <c r="X546" i="2"/>
  <c r="T548" i="2"/>
  <c r="T547" i="2"/>
  <c r="T546" i="2"/>
  <c r="P548" i="2"/>
  <c r="P547" i="2"/>
  <c r="P546" i="2"/>
  <c r="L548" i="2"/>
  <c r="L546" i="2"/>
  <c r="L547" i="2"/>
  <c r="H548" i="2"/>
  <c r="H546" i="2"/>
  <c r="H547" i="2"/>
  <c r="X541" i="2"/>
  <c r="X542" i="2"/>
  <c r="X536" i="2" s="1"/>
  <c r="X43" i="3" s="1"/>
  <c r="X540" i="2"/>
  <c r="T541" i="2"/>
  <c r="T542" i="2"/>
  <c r="T536" i="2" s="1"/>
  <c r="T43" i="3" s="1"/>
  <c r="T540" i="2"/>
  <c r="P541" i="2"/>
  <c r="P542" i="2"/>
  <c r="P536" i="2" s="1"/>
  <c r="P43" i="3" s="1"/>
  <c r="P540" i="2"/>
  <c r="L541" i="2"/>
  <c r="L542" i="2"/>
  <c r="L536" i="2" s="1"/>
  <c r="L43" i="3" s="1"/>
  <c r="L540" i="2"/>
  <c r="L534" i="2" s="1"/>
  <c r="L41" i="3" s="1"/>
  <c r="H541" i="2"/>
  <c r="H542" i="2"/>
  <c r="H536" i="2" s="1"/>
  <c r="H43" i="3" s="1"/>
  <c r="H540" i="2"/>
  <c r="H534" i="2" s="1"/>
  <c r="H41" i="3" s="1"/>
  <c r="X615" i="2"/>
  <c r="X613" i="2"/>
  <c r="X614" i="2"/>
  <c r="T615" i="2"/>
  <c r="T613" i="2"/>
  <c r="T614" i="2"/>
  <c r="P615" i="2"/>
  <c r="P613" i="2"/>
  <c r="P614" i="2"/>
  <c r="L615" i="2"/>
  <c r="L613" i="2"/>
  <c r="L614" i="2"/>
  <c r="H615" i="2"/>
  <c r="H613" i="2"/>
  <c r="H614" i="2"/>
  <c r="X608" i="2"/>
  <c r="X609" i="2"/>
  <c r="X607" i="2"/>
  <c r="T608" i="2"/>
  <c r="T609" i="2"/>
  <c r="T607" i="2"/>
  <c r="P608" i="2"/>
  <c r="P609" i="2"/>
  <c r="P607" i="2"/>
  <c r="L608" i="2"/>
  <c r="L609" i="2"/>
  <c r="L607" i="2"/>
  <c r="H608" i="2"/>
  <c r="H609" i="2"/>
  <c r="H607" i="2"/>
  <c r="X603" i="2"/>
  <c r="X601" i="2"/>
  <c r="X602" i="2"/>
  <c r="T603" i="2"/>
  <c r="T601" i="2"/>
  <c r="T602" i="2"/>
  <c r="P603" i="2"/>
  <c r="P601" i="2"/>
  <c r="P602" i="2"/>
  <c r="L603" i="2"/>
  <c r="L601" i="2"/>
  <c r="L602" i="2"/>
  <c r="H603" i="2"/>
  <c r="H601" i="2"/>
  <c r="H602" i="2"/>
  <c r="X596" i="2"/>
  <c r="X597" i="2"/>
  <c r="X591" i="2" s="1"/>
  <c r="X46" i="3" s="1"/>
  <c r="X595" i="2"/>
  <c r="X589" i="2" s="1"/>
  <c r="X44" i="3" s="1"/>
  <c r="S597" i="2"/>
  <c r="S591" i="2" s="1"/>
  <c r="S46" i="3" s="1"/>
  <c r="S595" i="2"/>
  <c r="S589" i="2" s="1"/>
  <c r="S44" i="3" s="1"/>
  <c r="S596" i="2"/>
  <c r="N596" i="2"/>
  <c r="N597" i="2"/>
  <c r="N591" i="2" s="1"/>
  <c r="N46" i="3" s="1"/>
  <c r="N595" i="2"/>
  <c r="N589" i="2" s="1"/>
  <c r="N44" i="3" s="1"/>
  <c r="J596" i="2"/>
  <c r="J597" i="2"/>
  <c r="J591" i="2" s="1"/>
  <c r="J46" i="3" s="1"/>
  <c r="J595" i="2"/>
  <c r="J589" i="2" s="1"/>
  <c r="J44" i="3" s="1"/>
  <c r="F596" i="2"/>
  <c r="F597" i="2"/>
  <c r="F595" i="2"/>
  <c r="Y718" i="2"/>
  <c r="Y716" i="2"/>
  <c r="Y717" i="2"/>
  <c r="U718" i="2"/>
  <c r="U716" i="2"/>
  <c r="U717" i="2"/>
  <c r="Q718" i="2"/>
  <c r="Q716" i="2"/>
  <c r="Q717" i="2"/>
  <c r="M718" i="2"/>
  <c r="M716" i="2"/>
  <c r="M717" i="2"/>
  <c r="I718" i="2"/>
  <c r="I716" i="2"/>
  <c r="I717" i="2"/>
  <c r="Y711" i="2"/>
  <c r="Y712" i="2"/>
  <c r="Y710" i="2"/>
  <c r="U711" i="2"/>
  <c r="U712" i="2"/>
  <c r="U710" i="2"/>
  <c r="Q711" i="2"/>
  <c r="Q712" i="2"/>
  <c r="Q710" i="2"/>
  <c r="M711" i="2"/>
  <c r="M712" i="2"/>
  <c r="M710" i="2"/>
  <c r="I711" i="2"/>
  <c r="I712" i="2"/>
  <c r="I710" i="2"/>
  <c r="Y706" i="2"/>
  <c r="Y704" i="2"/>
  <c r="Y705" i="2"/>
  <c r="U706" i="2"/>
  <c r="U704" i="2"/>
  <c r="U705" i="2"/>
  <c r="Q706" i="2"/>
  <c r="Q704" i="2"/>
  <c r="Q705" i="2"/>
  <c r="M706" i="2"/>
  <c r="M704" i="2"/>
  <c r="M705" i="2"/>
  <c r="I706" i="2"/>
  <c r="I704" i="2"/>
  <c r="I705" i="2"/>
  <c r="Y699" i="2"/>
  <c r="Y700" i="2"/>
  <c r="Y698" i="2"/>
  <c r="U699" i="2"/>
  <c r="U700" i="2"/>
  <c r="U698" i="2"/>
  <c r="Q699" i="2"/>
  <c r="Q700" i="2"/>
  <c r="Q698" i="2"/>
  <c r="M699" i="2"/>
  <c r="M700" i="2"/>
  <c r="M698" i="2"/>
  <c r="I699" i="2"/>
  <c r="I700" i="2"/>
  <c r="I698" i="2"/>
  <c r="Y694" i="2"/>
  <c r="Y692" i="2"/>
  <c r="Y693" i="2"/>
  <c r="U694" i="2"/>
  <c r="U692" i="2"/>
  <c r="U693" i="2"/>
  <c r="Q694" i="2"/>
  <c r="Q692" i="2"/>
  <c r="Q693" i="2"/>
  <c r="M694" i="2"/>
  <c r="M692" i="2"/>
  <c r="M693" i="2"/>
  <c r="I694" i="2"/>
  <c r="I692" i="2"/>
  <c r="I693" i="2"/>
  <c r="Y687" i="2"/>
  <c r="Y688" i="2"/>
  <c r="Y686" i="2"/>
  <c r="U687" i="2"/>
  <c r="U688" i="2"/>
  <c r="U686" i="2"/>
  <c r="Q687" i="2"/>
  <c r="Q688" i="2"/>
  <c r="Q686" i="2"/>
  <c r="M687" i="2"/>
  <c r="M688" i="2"/>
  <c r="M686" i="2"/>
  <c r="I687" i="2"/>
  <c r="I688" i="2"/>
  <c r="I686" i="2"/>
  <c r="Y682" i="2"/>
  <c r="Y680" i="2"/>
  <c r="Y681" i="2"/>
  <c r="U682" i="2"/>
  <c r="U680" i="2"/>
  <c r="U681" i="2"/>
  <c r="Q682" i="2"/>
  <c r="Q680" i="2"/>
  <c r="Q681" i="2"/>
  <c r="M682" i="2"/>
  <c r="M680" i="2"/>
  <c r="M681" i="2"/>
  <c r="I682" i="2"/>
  <c r="I680" i="2"/>
  <c r="I681" i="2"/>
  <c r="Y675" i="2"/>
  <c r="Y676" i="2"/>
  <c r="Y674" i="2"/>
  <c r="U675" i="2"/>
  <c r="U676" i="2"/>
  <c r="U674" i="2"/>
  <c r="Q675" i="2"/>
  <c r="Q676" i="2"/>
  <c r="Q674" i="2"/>
  <c r="M675" i="2"/>
  <c r="M676" i="2"/>
  <c r="M674" i="2"/>
  <c r="I675" i="2"/>
  <c r="I676" i="2"/>
  <c r="I674" i="2"/>
  <c r="Y670" i="2"/>
  <c r="Y668" i="2"/>
  <c r="Y669" i="2"/>
  <c r="U670" i="2"/>
  <c r="U668" i="2"/>
  <c r="U669" i="2"/>
  <c r="Q670" i="2"/>
  <c r="Q668" i="2"/>
  <c r="Q669" i="2"/>
  <c r="M670" i="2"/>
  <c r="M668" i="2"/>
  <c r="M669" i="2"/>
  <c r="I670" i="2"/>
  <c r="I668" i="2"/>
  <c r="I669" i="2"/>
  <c r="Y663" i="2"/>
  <c r="Y664" i="2"/>
  <c r="Y662" i="2"/>
  <c r="U663" i="2"/>
  <c r="U664" i="2"/>
  <c r="U662" i="2"/>
  <c r="Q663" i="2"/>
  <c r="Q664" i="2"/>
  <c r="Q662" i="2"/>
  <c r="M663" i="2"/>
  <c r="M664" i="2"/>
  <c r="M662" i="2"/>
  <c r="I663" i="2"/>
  <c r="I664" i="2"/>
  <c r="I662" i="2"/>
  <c r="Y658" i="2"/>
  <c r="Y656" i="2"/>
  <c r="Y657" i="2"/>
  <c r="U658" i="2"/>
  <c r="U656" i="2"/>
  <c r="U657" i="2"/>
  <c r="Q658" i="2"/>
  <c r="Q656" i="2"/>
  <c r="Q657" i="2"/>
  <c r="M658" i="2"/>
  <c r="M656" i="2"/>
  <c r="M657" i="2"/>
  <c r="I658" i="2"/>
  <c r="I656" i="2"/>
  <c r="I657" i="2"/>
  <c r="Y651" i="2"/>
  <c r="Y652" i="2"/>
  <c r="Y650" i="2"/>
  <c r="U651" i="2"/>
  <c r="U652" i="2"/>
  <c r="U650" i="2"/>
  <c r="Q651" i="2"/>
  <c r="Q652" i="2"/>
  <c r="Q650" i="2"/>
  <c r="M651" i="2"/>
  <c r="M652" i="2"/>
  <c r="M650" i="2"/>
  <c r="I651" i="2"/>
  <c r="I652" i="2"/>
  <c r="I650" i="2"/>
  <c r="Y646" i="2"/>
  <c r="Y644" i="2"/>
  <c r="Y645" i="2"/>
  <c r="U646" i="2"/>
  <c r="U644" i="2"/>
  <c r="U645" i="2"/>
  <c r="Q646" i="2"/>
  <c r="Q644" i="2"/>
  <c r="Q645" i="2"/>
  <c r="M646" i="2"/>
  <c r="M644" i="2"/>
  <c r="M645" i="2"/>
  <c r="I646" i="2"/>
  <c r="I644" i="2"/>
  <c r="I645" i="2"/>
  <c r="Y639" i="2"/>
  <c r="Y640" i="2"/>
  <c r="Y638" i="2"/>
  <c r="U639" i="2"/>
  <c r="U640" i="2"/>
  <c r="U638" i="2"/>
  <c r="Q639" i="2"/>
  <c r="Q640" i="2"/>
  <c r="Q638" i="2"/>
  <c r="M639" i="2"/>
  <c r="M640" i="2"/>
  <c r="M638" i="2"/>
  <c r="I639" i="2"/>
  <c r="I640" i="2"/>
  <c r="I638" i="2"/>
  <c r="Y634" i="2"/>
  <c r="Y632" i="2"/>
  <c r="Y633" i="2"/>
  <c r="U634" i="2"/>
  <c r="U632" i="2"/>
  <c r="U633" i="2"/>
  <c r="Q634" i="2"/>
  <c r="Q632" i="2"/>
  <c r="Q633" i="2"/>
  <c r="M634" i="2"/>
  <c r="M632" i="2"/>
  <c r="M633" i="2"/>
  <c r="I634" i="2"/>
  <c r="I632" i="2"/>
  <c r="I620" i="2" s="1"/>
  <c r="I47" i="3" s="1"/>
  <c r="I633" i="2"/>
  <c r="X628" i="2"/>
  <c r="X626" i="2"/>
  <c r="X627" i="2"/>
  <c r="T628" i="2"/>
  <c r="T626" i="2"/>
  <c r="T627" i="2"/>
  <c r="P628" i="2"/>
  <c r="P626" i="2"/>
  <c r="P627" i="2"/>
  <c r="K627" i="2"/>
  <c r="K628" i="2"/>
  <c r="K626" i="2"/>
  <c r="G627" i="2"/>
  <c r="G628" i="2"/>
  <c r="G626" i="2"/>
  <c r="V743" i="2"/>
  <c r="V741" i="2"/>
  <c r="V742" i="2"/>
  <c r="R743" i="2"/>
  <c r="R741" i="2"/>
  <c r="R742" i="2"/>
  <c r="N743" i="2"/>
  <c r="N741" i="2"/>
  <c r="N742" i="2"/>
  <c r="J743" i="2"/>
  <c r="J741" i="2"/>
  <c r="J742" i="2"/>
  <c r="F743" i="2"/>
  <c r="F741" i="2"/>
  <c r="F742" i="2"/>
  <c r="V736" i="2"/>
  <c r="V721" i="2" s="1"/>
  <c r="V737" i="2"/>
  <c r="V722" i="2" s="1"/>
  <c r="V735" i="2"/>
  <c r="V720" i="2" s="1"/>
  <c r="R736" i="2"/>
  <c r="R721" i="2" s="1"/>
  <c r="R737" i="2"/>
  <c r="R722" i="2" s="1"/>
  <c r="R735" i="2"/>
  <c r="R720" i="2" s="1"/>
  <c r="N736" i="2"/>
  <c r="N721" i="2" s="1"/>
  <c r="N737" i="2"/>
  <c r="N722" i="2" s="1"/>
  <c r="N735" i="2"/>
  <c r="N720" i="2" s="1"/>
  <c r="J736" i="2"/>
  <c r="J721" i="2" s="1"/>
  <c r="J737" i="2"/>
  <c r="J722" i="2" s="1"/>
  <c r="J735" i="2"/>
  <c r="J720" i="2" s="1"/>
  <c r="F736" i="2"/>
  <c r="F737" i="2"/>
  <c r="F722" i="2" s="1"/>
  <c r="F735" i="2"/>
  <c r="Y730" i="2"/>
  <c r="Y731" i="2"/>
  <c r="Y729" i="2"/>
  <c r="U730" i="2"/>
  <c r="U731" i="2"/>
  <c r="U729" i="2"/>
  <c r="Q730" i="2"/>
  <c r="Q731" i="2"/>
  <c r="Q729" i="2"/>
  <c r="M730" i="2"/>
  <c r="M731" i="2"/>
  <c r="M729" i="2"/>
  <c r="H731" i="2"/>
  <c r="H725" i="2" s="1"/>
  <c r="H52" i="3" s="1"/>
  <c r="H729" i="2"/>
  <c r="H723" i="2" s="1"/>
  <c r="H50" i="3" s="1"/>
  <c r="H730" i="2"/>
  <c r="W774" i="2"/>
  <c r="W772" i="2"/>
  <c r="W773" i="2"/>
  <c r="S774" i="2"/>
  <c r="S772" i="2"/>
  <c r="S773" i="2"/>
  <c r="O774" i="2"/>
  <c r="O772" i="2"/>
  <c r="O773" i="2"/>
  <c r="K774" i="2"/>
  <c r="K772" i="2"/>
  <c r="K773" i="2"/>
  <c r="G774" i="2"/>
  <c r="G772" i="2"/>
  <c r="G773" i="2"/>
  <c r="V768" i="2"/>
  <c r="V766" i="2"/>
  <c r="V767" i="2"/>
  <c r="R768" i="2"/>
  <c r="R766" i="2"/>
  <c r="R767" i="2"/>
  <c r="N768" i="2"/>
  <c r="N766" i="2"/>
  <c r="N767" i="2"/>
  <c r="J768" i="2"/>
  <c r="J766" i="2"/>
  <c r="J767" i="2"/>
  <c r="F768" i="2"/>
  <c r="F766" i="2"/>
  <c r="F767" i="2"/>
  <c r="Y762" i="2"/>
  <c r="Y760" i="2"/>
  <c r="Y761" i="2"/>
  <c r="Q762" i="2"/>
  <c r="Q760" i="2"/>
  <c r="Q761" i="2"/>
  <c r="I762" i="2"/>
  <c r="I760" i="2"/>
  <c r="I761" i="2"/>
  <c r="Y755" i="2"/>
  <c r="Y756" i="2"/>
  <c r="Y754" i="2"/>
  <c r="Q755" i="2"/>
  <c r="Q756" i="2"/>
  <c r="Q754" i="2"/>
  <c r="H756" i="2"/>
  <c r="H754" i="2"/>
  <c r="H755" i="2"/>
  <c r="S854" i="2"/>
  <c r="S852" i="2"/>
  <c r="S853" i="2"/>
  <c r="K854" i="2"/>
  <c r="K852" i="2"/>
  <c r="K853" i="2"/>
  <c r="W847" i="2"/>
  <c r="W848" i="2"/>
  <c r="W846" i="2"/>
  <c r="O847" i="2"/>
  <c r="O848" i="2"/>
  <c r="O846" i="2"/>
  <c r="G847" i="2"/>
  <c r="G848" i="2"/>
  <c r="G846" i="2"/>
  <c r="S842" i="2"/>
  <c r="S841" i="2"/>
  <c r="S840" i="2"/>
  <c r="K842" i="2"/>
  <c r="K841" i="2"/>
  <c r="K840" i="2"/>
  <c r="Y597" i="2"/>
  <c r="Y591" i="2" s="1"/>
  <c r="Y46" i="3" s="1"/>
  <c r="Y595" i="2"/>
  <c r="Y589" i="2" s="1"/>
  <c r="Y44" i="3" s="1"/>
  <c r="Y596" i="2"/>
  <c r="T596" i="2"/>
  <c r="T597" i="2"/>
  <c r="T595" i="2"/>
  <c r="O597" i="2"/>
  <c r="O595" i="2"/>
  <c r="O596" i="2"/>
  <c r="K597" i="2"/>
  <c r="K595" i="2"/>
  <c r="K596" i="2"/>
  <c r="G597" i="2"/>
  <c r="G595" i="2"/>
  <c r="G596" i="2"/>
  <c r="V717" i="2"/>
  <c r="V718" i="2"/>
  <c r="V716" i="2"/>
  <c r="R717" i="2"/>
  <c r="R718" i="2"/>
  <c r="R716" i="2"/>
  <c r="N717" i="2"/>
  <c r="N718" i="2"/>
  <c r="N716" i="2"/>
  <c r="J717" i="2"/>
  <c r="J718" i="2"/>
  <c r="J716" i="2"/>
  <c r="F717" i="2"/>
  <c r="F718" i="2"/>
  <c r="F716" i="2"/>
  <c r="V712" i="2"/>
  <c r="V710" i="2"/>
  <c r="V711" i="2"/>
  <c r="R712" i="2"/>
  <c r="R710" i="2"/>
  <c r="R711" i="2"/>
  <c r="N712" i="2"/>
  <c r="N710" i="2"/>
  <c r="N711" i="2"/>
  <c r="J712" i="2"/>
  <c r="J710" i="2"/>
  <c r="J711" i="2"/>
  <c r="F712" i="2"/>
  <c r="F710" i="2"/>
  <c r="F711" i="2"/>
  <c r="V705" i="2"/>
  <c r="V706" i="2"/>
  <c r="V704" i="2"/>
  <c r="R705" i="2"/>
  <c r="R706" i="2"/>
  <c r="R704" i="2"/>
  <c r="N705" i="2"/>
  <c r="N706" i="2"/>
  <c r="N704" i="2"/>
  <c r="J705" i="2"/>
  <c r="J706" i="2"/>
  <c r="J704" i="2"/>
  <c r="F705" i="2"/>
  <c r="F706" i="2"/>
  <c r="F704" i="2"/>
  <c r="V700" i="2"/>
  <c r="V698" i="2"/>
  <c r="V699" i="2"/>
  <c r="R700" i="2"/>
  <c r="R698" i="2"/>
  <c r="R699" i="2"/>
  <c r="N700" i="2"/>
  <c r="N698" i="2"/>
  <c r="N699" i="2"/>
  <c r="J700" i="2"/>
  <c r="J698" i="2"/>
  <c r="J699" i="2"/>
  <c r="F700" i="2"/>
  <c r="F698" i="2"/>
  <c r="F699" i="2"/>
  <c r="V693" i="2"/>
  <c r="V694" i="2"/>
  <c r="V692" i="2"/>
  <c r="R693" i="2"/>
  <c r="R694" i="2"/>
  <c r="R692" i="2"/>
  <c r="N693" i="2"/>
  <c r="N694" i="2"/>
  <c r="N692" i="2"/>
  <c r="J693" i="2"/>
  <c r="J694" i="2"/>
  <c r="J692" i="2"/>
  <c r="F693" i="2"/>
  <c r="F694" i="2"/>
  <c r="F692" i="2"/>
  <c r="V688" i="2"/>
  <c r="V686" i="2"/>
  <c r="V687" i="2"/>
  <c r="R688" i="2"/>
  <c r="R686" i="2"/>
  <c r="R687" i="2"/>
  <c r="N688" i="2"/>
  <c r="N686" i="2"/>
  <c r="N687" i="2"/>
  <c r="J688" i="2"/>
  <c r="J686" i="2"/>
  <c r="J687" i="2"/>
  <c r="F688" i="2"/>
  <c r="F686" i="2"/>
  <c r="F687" i="2"/>
  <c r="V681" i="2"/>
  <c r="V682" i="2"/>
  <c r="V680" i="2"/>
  <c r="R681" i="2"/>
  <c r="R682" i="2"/>
  <c r="R680" i="2"/>
  <c r="N681" i="2"/>
  <c r="N682" i="2"/>
  <c r="N680" i="2"/>
  <c r="J681" i="2"/>
  <c r="J682" i="2"/>
  <c r="J680" i="2"/>
  <c r="F681" i="2"/>
  <c r="F682" i="2"/>
  <c r="F680" i="2"/>
  <c r="V676" i="2"/>
  <c r="V674" i="2"/>
  <c r="V675" i="2"/>
  <c r="R676" i="2"/>
  <c r="R674" i="2"/>
  <c r="R675" i="2"/>
  <c r="N676" i="2"/>
  <c r="N674" i="2"/>
  <c r="N675" i="2"/>
  <c r="J676" i="2"/>
  <c r="J674" i="2"/>
  <c r="J675" i="2"/>
  <c r="F676" i="2"/>
  <c r="F674" i="2"/>
  <c r="F675" i="2"/>
  <c r="V669" i="2"/>
  <c r="V670" i="2"/>
  <c r="V668" i="2"/>
  <c r="R669" i="2"/>
  <c r="R670" i="2"/>
  <c r="R668" i="2"/>
  <c r="N669" i="2"/>
  <c r="N670" i="2"/>
  <c r="N668" i="2"/>
  <c r="J669" i="2"/>
  <c r="J670" i="2"/>
  <c r="J668" i="2"/>
  <c r="F669" i="2"/>
  <c r="F670" i="2"/>
  <c r="F668" i="2"/>
  <c r="V664" i="2"/>
  <c r="V662" i="2"/>
  <c r="V663" i="2"/>
  <c r="R664" i="2"/>
  <c r="R662" i="2"/>
  <c r="R663" i="2"/>
  <c r="N664" i="2"/>
  <c r="N662" i="2"/>
  <c r="N663" i="2"/>
  <c r="J664" i="2"/>
  <c r="J662" i="2"/>
  <c r="J663" i="2"/>
  <c r="F664" i="2"/>
  <c r="F662" i="2"/>
  <c r="F663" i="2"/>
  <c r="V657" i="2"/>
  <c r="V658" i="2"/>
  <c r="V656" i="2"/>
  <c r="R657" i="2"/>
  <c r="R658" i="2"/>
  <c r="R656" i="2"/>
  <c r="N657" i="2"/>
  <c r="N658" i="2"/>
  <c r="N656" i="2"/>
  <c r="J657" i="2"/>
  <c r="J658" i="2"/>
  <c r="J656" i="2"/>
  <c r="F657" i="2"/>
  <c r="F658" i="2"/>
  <c r="F656" i="2"/>
  <c r="V652" i="2"/>
  <c r="V650" i="2"/>
  <c r="V651" i="2"/>
  <c r="R652" i="2"/>
  <c r="R650" i="2"/>
  <c r="R651" i="2"/>
  <c r="N652" i="2"/>
  <c r="N650" i="2"/>
  <c r="N651" i="2"/>
  <c r="J652" i="2"/>
  <c r="J650" i="2"/>
  <c r="J651" i="2"/>
  <c r="F652" i="2"/>
  <c r="F650" i="2"/>
  <c r="F651" i="2"/>
  <c r="V645" i="2"/>
  <c r="V646" i="2"/>
  <c r="V644" i="2"/>
  <c r="R645" i="2"/>
  <c r="R646" i="2"/>
  <c r="R644" i="2"/>
  <c r="N645" i="2"/>
  <c r="N646" i="2"/>
  <c r="N644" i="2"/>
  <c r="J645" i="2"/>
  <c r="J646" i="2"/>
  <c r="J644" i="2"/>
  <c r="F645" i="2"/>
  <c r="F646" i="2"/>
  <c r="F644" i="2"/>
  <c r="V640" i="2"/>
  <c r="V638" i="2"/>
  <c r="V639" i="2"/>
  <c r="R640" i="2"/>
  <c r="R638" i="2"/>
  <c r="R639" i="2"/>
  <c r="N640" i="2"/>
  <c r="N638" i="2"/>
  <c r="N639" i="2"/>
  <c r="J640" i="2"/>
  <c r="J638" i="2"/>
  <c r="J639" i="2"/>
  <c r="F640" i="2"/>
  <c r="F638" i="2"/>
  <c r="F639" i="2"/>
  <c r="V633" i="2"/>
  <c r="V634" i="2"/>
  <c r="V632" i="2"/>
  <c r="V620" i="2" s="1"/>
  <c r="V47" i="3" s="1"/>
  <c r="R633" i="2"/>
  <c r="R634" i="2"/>
  <c r="R622" i="2" s="1"/>
  <c r="R49" i="3" s="1"/>
  <c r="R632" i="2"/>
  <c r="N633" i="2"/>
  <c r="N634" i="2"/>
  <c r="N632" i="2"/>
  <c r="N620" i="2" s="1"/>
  <c r="N47" i="3" s="1"/>
  <c r="J633" i="2"/>
  <c r="J634" i="2"/>
  <c r="J622" i="2" s="1"/>
  <c r="J49" i="3" s="1"/>
  <c r="J632" i="2"/>
  <c r="F633" i="2"/>
  <c r="F634" i="2"/>
  <c r="F632" i="2"/>
  <c r="Y627" i="2"/>
  <c r="Y628" i="2"/>
  <c r="Y626" i="2"/>
  <c r="U627" i="2"/>
  <c r="U628" i="2"/>
  <c r="U626" i="2"/>
  <c r="Q627" i="2"/>
  <c r="Q628" i="2"/>
  <c r="Q626" i="2"/>
  <c r="L628" i="2"/>
  <c r="L622" i="2" s="1"/>
  <c r="L49" i="3" s="1"/>
  <c r="L626" i="2"/>
  <c r="L620" i="2" s="1"/>
  <c r="L47" i="3" s="1"/>
  <c r="L627" i="2"/>
  <c r="H628" i="2"/>
  <c r="H622" i="2" s="1"/>
  <c r="H49" i="3" s="1"/>
  <c r="H626" i="2"/>
  <c r="H620" i="2" s="1"/>
  <c r="H47" i="3" s="1"/>
  <c r="H627" i="2"/>
  <c r="W742" i="2"/>
  <c r="W743" i="2"/>
  <c r="W741" i="2"/>
  <c r="S742" i="2"/>
  <c r="S743" i="2"/>
  <c r="S741" i="2"/>
  <c r="O742" i="2"/>
  <c r="O743" i="2"/>
  <c r="O741" i="2"/>
  <c r="K742" i="2"/>
  <c r="K743" i="2"/>
  <c r="K741" i="2"/>
  <c r="G742" i="2"/>
  <c r="G743" i="2"/>
  <c r="G741" i="2"/>
  <c r="W737" i="2"/>
  <c r="W722" i="2" s="1"/>
  <c r="W735" i="2"/>
  <c r="W720" i="2" s="1"/>
  <c r="W736" i="2"/>
  <c r="W721" i="2" s="1"/>
  <c r="S737" i="2"/>
  <c r="S722" i="2" s="1"/>
  <c r="S735" i="2"/>
  <c r="S720" i="2" s="1"/>
  <c r="S736" i="2"/>
  <c r="S721" i="2" s="1"/>
  <c r="O737" i="2"/>
  <c r="O722" i="2" s="1"/>
  <c r="O735" i="2"/>
  <c r="O720" i="2" s="1"/>
  <c r="O736" i="2"/>
  <c r="O721" i="2" s="1"/>
  <c r="K737" i="2"/>
  <c r="K722" i="2" s="1"/>
  <c r="K735" i="2"/>
  <c r="K720" i="2" s="1"/>
  <c r="K736" i="2"/>
  <c r="K721" i="2" s="1"/>
  <c r="G737" i="2"/>
  <c r="G722" i="2" s="1"/>
  <c r="G735" i="2"/>
  <c r="G720" i="2" s="1"/>
  <c r="G736" i="2"/>
  <c r="G721" i="2" s="1"/>
  <c r="V731" i="2"/>
  <c r="V729" i="2"/>
  <c r="V730" i="2"/>
  <c r="R731" i="2"/>
  <c r="R729" i="2"/>
  <c r="R730" i="2"/>
  <c r="N731" i="2"/>
  <c r="N729" i="2"/>
  <c r="N730" i="2"/>
  <c r="I730" i="2"/>
  <c r="I731" i="2"/>
  <c r="I729" i="2"/>
  <c r="X773" i="2"/>
  <c r="X774" i="2"/>
  <c r="X772" i="2"/>
  <c r="T773" i="2"/>
  <c r="T774" i="2"/>
  <c r="T772" i="2"/>
  <c r="P773" i="2"/>
  <c r="P774" i="2"/>
  <c r="P772" i="2"/>
  <c r="L773" i="2"/>
  <c r="L774" i="2"/>
  <c r="L772" i="2"/>
  <c r="H773" i="2"/>
  <c r="H774" i="2"/>
  <c r="H772" i="2"/>
  <c r="Y767" i="2"/>
  <c r="Y768" i="2"/>
  <c r="Y766" i="2"/>
  <c r="U767" i="2"/>
  <c r="U768" i="2"/>
  <c r="U766" i="2"/>
  <c r="Q767" i="2"/>
  <c r="Q768" i="2"/>
  <c r="Q766" i="2"/>
  <c r="M767" i="2"/>
  <c r="M768" i="2"/>
  <c r="M766" i="2"/>
  <c r="M748" i="2" s="1"/>
  <c r="M53" i="3" s="1"/>
  <c r="I767" i="2"/>
  <c r="I768" i="2"/>
  <c r="I750" i="2" s="1"/>
  <c r="I55" i="3" s="1"/>
  <c r="I766" i="2"/>
  <c r="S762" i="2"/>
  <c r="S760" i="2"/>
  <c r="S761" i="2"/>
  <c r="K762" i="2"/>
  <c r="K760" i="2"/>
  <c r="K761" i="2"/>
  <c r="W755" i="2"/>
  <c r="W756" i="2"/>
  <c r="W754" i="2"/>
  <c r="N756" i="2"/>
  <c r="N754" i="2"/>
  <c r="N755" i="2"/>
  <c r="N749" i="2" s="1"/>
  <c r="N54" i="3" s="1"/>
  <c r="F756" i="2"/>
  <c r="F754" i="2"/>
  <c r="F755" i="2"/>
  <c r="Y854" i="2"/>
  <c r="Y852" i="2"/>
  <c r="Y853" i="2"/>
  <c r="Q854" i="2"/>
  <c r="Q852" i="2"/>
  <c r="Q853" i="2"/>
  <c r="I854" i="2"/>
  <c r="I852" i="2"/>
  <c r="I853" i="2"/>
  <c r="U847" i="2"/>
  <c r="U848" i="2"/>
  <c r="U846" i="2"/>
  <c r="M847" i="2"/>
  <c r="M848" i="2"/>
  <c r="M846" i="2"/>
  <c r="Y842" i="2"/>
  <c r="Y841" i="2"/>
  <c r="Y840" i="2"/>
  <c r="Q842" i="2"/>
  <c r="Q841" i="2"/>
  <c r="Q840" i="2"/>
  <c r="I842" i="2"/>
  <c r="I841" i="2"/>
  <c r="I840" i="2"/>
  <c r="X761" i="2"/>
  <c r="X762" i="2"/>
  <c r="X760" i="2"/>
  <c r="T761" i="2"/>
  <c r="T762" i="2"/>
  <c r="T760" i="2"/>
  <c r="P761" i="2"/>
  <c r="P762" i="2"/>
  <c r="P760" i="2"/>
  <c r="L761" i="2"/>
  <c r="L762" i="2"/>
  <c r="L760" i="2"/>
  <c r="H761" i="2"/>
  <c r="H762" i="2"/>
  <c r="H760" i="2"/>
  <c r="X756" i="2"/>
  <c r="X754" i="2"/>
  <c r="X755" i="2"/>
  <c r="T756" i="2"/>
  <c r="T754" i="2"/>
  <c r="T755" i="2"/>
  <c r="O755" i="2"/>
  <c r="O749" i="2" s="1"/>
  <c r="O54" i="3" s="1"/>
  <c r="O756" i="2"/>
  <c r="O754" i="2"/>
  <c r="K755" i="2"/>
  <c r="K749" i="2" s="1"/>
  <c r="K54" i="3" s="1"/>
  <c r="K756" i="2"/>
  <c r="K754" i="2"/>
  <c r="G755" i="2"/>
  <c r="G756" i="2"/>
  <c r="G754" i="2"/>
  <c r="V853" i="2"/>
  <c r="V854" i="2"/>
  <c r="V852" i="2"/>
  <c r="R853" i="2"/>
  <c r="R854" i="2"/>
  <c r="R852" i="2"/>
  <c r="N853" i="2"/>
  <c r="N854" i="2"/>
  <c r="N852" i="2"/>
  <c r="J853" i="2"/>
  <c r="J854" i="2"/>
  <c r="J852" i="2"/>
  <c r="F853" i="2"/>
  <c r="F854" i="2"/>
  <c r="F852" i="2"/>
  <c r="V848" i="2"/>
  <c r="V846" i="2"/>
  <c r="V847" i="2"/>
  <c r="R848" i="2"/>
  <c r="R846" i="2"/>
  <c r="R847" i="2"/>
  <c r="N848" i="2"/>
  <c r="N846" i="2"/>
  <c r="N847" i="2"/>
  <c r="J848" i="2"/>
  <c r="J846" i="2"/>
  <c r="J847" i="2"/>
  <c r="F848" i="2"/>
  <c r="F846" i="2"/>
  <c r="F847" i="2"/>
  <c r="V841" i="2"/>
  <c r="V842" i="2"/>
  <c r="V840" i="2"/>
  <c r="R842" i="2"/>
  <c r="R840" i="2"/>
  <c r="R841" i="2"/>
  <c r="N842" i="2"/>
  <c r="N840" i="2"/>
  <c r="N841" i="2"/>
  <c r="J842" i="2"/>
  <c r="J840" i="2"/>
  <c r="J841" i="2"/>
  <c r="F842" i="2"/>
  <c r="F840" i="2"/>
  <c r="F841" i="2"/>
  <c r="V835" i="2"/>
  <c r="V836" i="2"/>
  <c r="V834" i="2"/>
  <c r="R835" i="2"/>
  <c r="R836" i="2"/>
  <c r="R834" i="2"/>
  <c r="N835" i="2"/>
  <c r="N836" i="2"/>
  <c r="N834" i="2"/>
  <c r="J835" i="2"/>
  <c r="J836" i="2"/>
  <c r="J834" i="2"/>
  <c r="F835" i="2"/>
  <c r="F836" i="2"/>
  <c r="F834" i="2"/>
  <c r="V830" i="2"/>
  <c r="V828" i="2"/>
  <c r="V829" i="2"/>
  <c r="Q829" i="2"/>
  <c r="Q830" i="2"/>
  <c r="Q828" i="2"/>
  <c r="M829" i="2"/>
  <c r="M823" i="2" s="1"/>
  <c r="M60" i="3" s="1"/>
  <c r="M830" i="2"/>
  <c r="M828" i="2"/>
  <c r="I829" i="2"/>
  <c r="I830" i="2"/>
  <c r="I828" i="2"/>
  <c r="X903" i="2"/>
  <c r="X901" i="2"/>
  <c r="X902" i="2"/>
  <c r="T903" i="2"/>
  <c r="T901" i="2"/>
  <c r="T902" i="2"/>
  <c r="P903" i="2"/>
  <c r="P901" i="2"/>
  <c r="P902" i="2"/>
  <c r="L903" i="2"/>
  <c r="L901" i="2"/>
  <c r="L902" i="2"/>
  <c r="H903" i="2"/>
  <c r="H901" i="2"/>
  <c r="H902" i="2"/>
  <c r="X896" i="2"/>
  <c r="X897" i="2"/>
  <c r="X895" i="2"/>
  <c r="T896" i="2"/>
  <c r="T897" i="2"/>
  <c r="T895" i="2"/>
  <c r="P896" i="2"/>
  <c r="P897" i="2"/>
  <c r="P895" i="2"/>
  <c r="L896" i="2"/>
  <c r="L897" i="2"/>
  <c r="L895" i="2"/>
  <c r="H896" i="2"/>
  <c r="H897" i="2"/>
  <c r="H895" i="2"/>
  <c r="X891" i="2"/>
  <c r="X889" i="2"/>
  <c r="X890" i="2"/>
  <c r="T891" i="2"/>
  <c r="T889" i="2"/>
  <c r="T890" i="2"/>
  <c r="P891" i="2"/>
  <c r="P889" i="2"/>
  <c r="P890" i="2"/>
  <c r="L891" i="2"/>
  <c r="L889" i="2"/>
  <c r="L890" i="2"/>
  <c r="H891" i="2"/>
  <c r="H889" i="2"/>
  <c r="H890" i="2"/>
  <c r="X884" i="2"/>
  <c r="X885" i="2"/>
  <c r="X883" i="2"/>
  <c r="T884" i="2"/>
  <c r="T885" i="2"/>
  <c r="T883" i="2"/>
  <c r="P884" i="2"/>
  <c r="P885" i="2"/>
  <c r="P883" i="2"/>
  <c r="L884" i="2"/>
  <c r="L885" i="2"/>
  <c r="L883" i="2"/>
  <c r="H884" i="2"/>
  <c r="H885" i="2"/>
  <c r="H883" i="2"/>
  <c r="X879" i="2"/>
  <c r="X877" i="2"/>
  <c r="X878" i="2"/>
  <c r="T879" i="2"/>
  <c r="T877" i="2"/>
  <c r="T878" i="2"/>
  <c r="P879" i="2"/>
  <c r="P877" i="2"/>
  <c r="P878" i="2"/>
  <c r="L879" i="2"/>
  <c r="L877" i="2"/>
  <c r="L878" i="2"/>
  <c r="H879" i="2"/>
  <c r="H877" i="2"/>
  <c r="H878" i="2"/>
  <c r="W836" i="2"/>
  <c r="W834" i="2"/>
  <c r="W835" i="2"/>
  <c r="S836" i="2"/>
  <c r="S834" i="2"/>
  <c r="S835" i="2"/>
  <c r="O836" i="2"/>
  <c r="O834" i="2"/>
  <c r="O835" i="2"/>
  <c r="K836" i="2"/>
  <c r="K834" i="2"/>
  <c r="K835" i="2"/>
  <c r="G836" i="2"/>
  <c r="G834" i="2"/>
  <c r="G835" i="2"/>
  <c r="G823" i="2" s="1"/>
  <c r="G60" i="3" s="1"/>
  <c r="Y829" i="2"/>
  <c r="Y830" i="2"/>
  <c r="Y828" i="2"/>
  <c r="U829" i="2"/>
  <c r="U830" i="2"/>
  <c r="U828" i="2"/>
  <c r="P830" i="2"/>
  <c r="P828" i="2"/>
  <c r="P829" i="2"/>
  <c r="L830" i="2"/>
  <c r="L828" i="2"/>
  <c r="L829" i="2"/>
  <c r="H830" i="2"/>
  <c r="H828" i="2"/>
  <c r="H829" i="2"/>
  <c r="W902" i="2"/>
  <c r="W903" i="2"/>
  <c r="W901" i="2"/>
  <c r="S902" i="2"/>
  <c r="S903" i="2"/>
  <c r="S901" i="2"/>
  <c r="O902" i="2"/>
  <c r="O903" i="2"/>
  <c r="O901" i="2"/>
  <c r="K902" i="2"/>
  <c r="K903" i="2"/>
  <c r="K901" i="2"/>
  <c r="G902" i="2"/>
  <c r="G903" i="2"/>
  <c r="G901" i="2"/>
  <c r="W897" i="2"/>
  <c r="W895" i="2"/>
  <c r="W896" i="2"/>
  <c r="S897" i="2"/>
  <c r="S895" i="2"/>
  <c r="S896" i="2"/>
  <c r="O897" i="2"/>
  <c r="O895" i="2"/>
  <c r="O896" i="2"/>
  <c r="K897" i="2"/>
  <c r="K895" i="2"/>
  <c r="K896" i="2"/>
  <c r="G897" i="2"/>
  <c r="G895" i="2"/>
  <c r="G896" i="2"/>
  <c r="W890" i="2"/>
  <c r="W891" i="2"/>
  <c r="W889" i="2"/>
  <c r="S890" i="2"/>
  <c r="S891" i="2"/>
  <c r="S889" i="2"/>
  <c r="O890" i="2"/>
  <c r="O891" i="2"/>
  <c r="O889" i="2"/>
  <c r="K890" i="2"/>
  <c r="K891" i="2"/>
  <c r="K889" i="2"/>
  <c r="G890" i="2"/>
  <c r="G891" i="2"/>
  <c r="G889" i="2"/>
  <c r="W885" i="2"/>
  <c r="W883" i="2"/>
  <c r="W884" i="2"/>
  <c r="S885" i="2"/>
  <c r="S883" i="2"/>
  <c r="S884" i="2"/>
  <c r="O885" i="2"/>
  <c r="O883" i="2"/>
  <c r="O884" i="2"/>
  <c r="K885" i="2"/>
  <c r="K883" i="2"/>
  <c r="K884" i="2"/>
  <c r="G885" i="2"/>
  <c r="G883" i="2"/>
  <c r="G884" i="2"/>
  <c r="W878" i="2"/>
  <c r="W879" i="2"/>
  <c r="W877" i="2"/>
  <c r="S878" i="2"/>
  <c r="S879" i="2"/>
  <c r="S877" i="2"/>
  <c r="O878" i="2"/>
  <c r="O879" i="2"/>
  <c r="O877" i="2"/>
  <c r="K878" i="2"/>
  <c r="K879" i="2"/>
  <c r="K877" i="2"/>
  <c r="G878" i="2"/>
  <c r="G879" i="2"/>
  <c r="G877" i="2"/>
  <c r="V872" i="2"/>
  <c r="V873" i="2"/>
  <c r="V871" i="2"/>
  <c r="R872" i="2"/>
  <c r="R873" i="2"/>
  <c r="R871" i="2"/>
  <c r="N872" i="2"/>
  <c r="N873" i="2"/>
  <c r="N871" i="2"/>
  <c r="J872" i="2"/>
  <c r="J873" i="2"/>
  <c r="J871" i="2"/>
  <c r="F872" i="2"/>
  <c r="F873" i="2"/>
  <c r="F871" i="2"/>
  <c r="Y866" i="2"/>
  <c r="Y867" i="2"/>
  <c r="Y865" i="2"/>
  <c r="U866" i="2"/>
  <c r="U867" i="2"/>
  <c r="U865" i="2"/>
  <c r="P867" i="2"/>
  <c r="P865" i="2"/>
  <c r="P866" i="2"/>
  <c r="L867" i="2"/>
  <c r="L865" i="2"/>
  <c r="L866" i="2"/>
  <c r="H867" i="2"/>
  <c r="H865" i="2"/>
  <c r="H866" i="2"/>
  <c r="W939" i="2"/>
  <c r="W940" i="2"/>
  <c r="W938" i="2"/>
  <c r="S939" i="2"/>
  <c r="S940" i="2"/>
  <c r="S938" i="2"/>
  <c r="O939" i="2"/>
  <c r="O940" i="2"/>
  <c r="O938" i="2"/>
  <c r="K939" i="2"/>
  <c r="K940" i="2"/>
  <c r="K938" i="2"/>
  <c r="G939" i="2"/>
  <c r="G940" i="2"/>
  <c r="G938" i="2"/>
  <c r="W934" i="2"/>
  <c r="W932" i="2"/>
  <c r="W933" i="2"/>
  <c r="S934" i="2"/>
  <c r="S932" i="2"/>
  <c r="S933" i="2"/>
  <c r="O934" i="2"/>
  <c r="O932" i="2"/>
  <c r="O933" i="2"/>
  <c r="K934" i="2"/>
  <c r="K932" i="2"/>
  <c r="K933" i="2"/>
  <c r="G934" i="2"/>
  <c r="G932" i="2"/>
  <c r="G933" i="2"/>
  <c r="W927" i="2"/>
  <c r="W928" i="2"/>
  <c r="W926" i="2"/>
  <c r="S927" i="2"/>
  <c r="S928" i="2"/>
  <c r="S926" i="2"/>
  <c r="O927" i="2"/>
  <c r="O928" i="2"/>
  <c r="O926" i="2"/>
  <c r="K927" i="2"/>
  <c r="K928" i="2"/>
  <c r="K926" i="2"/>
  <c r="G927" i="2"/>
  <c r="G928" i="2"/>
  <c r="G926" i="2"/>
  <c r="W922" i="2"/>
  <c r="W921" i="2"/>
  <c r="W920" i="2"/>
  <c r="S922" i="2"/>
  <c r="S921" i="2"/>
  <c r="S920" i="2"/>
  <c r="O922" i="2"/>
  <c r="O921" i="2"/>
  <c r="O920" i="2"/>
  <c r="K922" i="2"/>
  <c r="K921" i="2"/>
  <c r="K920" i="2"/>
  <c r="G922" i="2"/>
  <c r="G921" i="2"/>
  <c r="G920" i="2"/>
  <c r="V915" i="2"/>
  <c r="V916" i="2"/>
  <c r="V910" i="2" s="1"/>
  <c r="V67" i="3" s="1"/>
  <c r="V914" i="2"/>
  <c r="V908" i="2" s="1"/>
  <c r="V65" i="3" s="1"/>
  <c r="Q916" i="2"/>
  <c r="Q910" i="2" s="1"/>
  <c r="Q67" i="3" s="1"/>
  <c r="Q914" i="2"/>
  <c r="Q915" i="2"/>
  <c r="M916" i="2"/>
  <c r="M910" i="2" s="1"/>
  <c r="M67" i="3" s="1"/>
  <c r="M914" i="2"/>
  <c r="M915" i="2"/>
  <c r="I916" i="2"/>
  <c r="I910" i="2" s="1"/>
  <c r="I67" i="3" s="1"/>
  <c r="I914" i="2"/>
  <c r="I915" i="2"/>
  <c r="Y1002" i="2"/>
  <c r="Y1000" i="2"/>
  <c r="Y1001" i="2"/>
  <c r="U1002" i="2"/>
  <c r="U1000" i="2"/>
  <c r="U1001" i="2"/>
  <c r="Q1002" i="2"/>
  <c r="Q1000" i="2"/>
  <c r="Q1001" i="2"/>
  <c r="M1002" i="2"/>
  <c r="M1000" i="2"/>
  <c r="M1001" i="2"/>
  <c r="I1002" i="2"/>
  <c r="I1000" i="2"/>
  <c r="I1001" i="2"/>
  <c r="Y995" i="2"/>
  <c r="Y996" i="2"/>
  <c r="Y994" i="2"/>
  <c r="U995" i="2"/>
  <c r="U996" i="2"/>
  <c r="U994" i="2"/>
  <c r="Q995" i="2"/>
  <c r="Q996" i="2"/>
  <c r="Q972" i="2" s="1"/>
  <c r="Q73" i="3" s="1"/>
  <c r="Q994" i="2"/>
  <c r="Q970" i="2" s="1"/>
  <c r="Q71" i="3" s="1"/>
  <c r="M995" i="2"/>
  <c r="M996" i="2"/>
  <c r="M972" i="2" s="1"/>
  <c r="M73" i="3" s="1"/>
  <c r="M994" i="2"/>
  <c r="I995" i="2"/>
  <c r="I996" i="2"/>
  <c r="I972" i="2" s="1"/>
  <c r="I73" i="3" s="1"/>
  <c r="I994" i="2"/>
  <c r="I970" i="2" s="1"/>
  <c r="I71" i="3" s="1"/>
  <c r="X989" i="2"/>
  <c r="X990" i="2"/>
  <c r="X988" i="2"/>
  <c r="T989" i="2"/>
  <c r="T990" i="2"/>
  <c r="T988" i="2"/>
  <c r="P989" i="2"/>
  <c r="P990" i="2"/>
  <c r="P988" i="2"/>
  <c r="L989" i="2"/>
  <c r="L990" i="2"/>
  <c r="L988" i="2"/>
  <c r="H989" i="2"/>
  <c r="H990" i="2"/>
  <c r="H988" i="2"/>
  <c r="X984" i="2"/>
  <c r="X982" i="2"/>
  <c r="X983" i="2"/>
  <c r="T984" i="2"/>
  <c r="T982" i="2"/>
  <c r="T983" i="2"/>
  <c r="P984" i="2"/>
  <c r="P982" i="2"/>
  <c r="P983" i="2"/>
  <c r="L984" i="2"/>
  <c r="L982" i="2"/>
  <c r="L983" i="2"/>
  <c r="H984" i="2"/>
  <c r="H982" i="2"/>
  <c r="H983" i="2"/>
  <c r="W873" i="2"/>
  <c r="W871" i="2"/>
  <c r="W859" i="2" s="1"/>
  <c r="W62" i="3" s="1"/>
  <c r="W872" i="2"/>
  <c r="S873" i="2"/>
  <c r="S871" i="2"/>
  <c r="S872" i="2"/>
  <c r="O873" i="2"/>
  <c r="O871" i="2"/>
  <c r="O872" i="2"/>
  <c r="K873" i="2"/>
  <c r="K871" i="2"/>
  <c r="K872" i="2"/>
  <c r="G873" i="2"/>
  <c r="G871" i="2"/>
  <c r="G872" i="2"/>
  <c r="V867" i="2"/>
  <c r="V865" i="2"/>
  <c r="V866" i="2"/>
  <c r="Q866" i="2"/>
  <c r="Q867" i="2"/>
  <c r="Q865" i="2"/>
  <c r="M866" i="2"/>
  <c r="M867" i="2"/>
  <c r="M865" i="2"/>
  <c r="I866" i="2"/>
  <c r="I867" i="2"/>
  <c r="I865" i="2"/>
  <c r="X940" i="2"/>
  <c r="X938" i="2"/>
  <c r="X939" i="2"/>
  <c r="T940" i="2"/>
  <c r="T938" i="2"/>
  <c r="T939" i="2"/>
  <c r="P940" i="2"/>
  <c r="P938" i="2"/>
  <c r="P939" i="2"/>
  <c r="L940" i="2"/>
  <c r="L938" i="2"/>
  <c r="L939" i="2"/>
  <c r="H940" i="2"/>
  <c r="H938" i="2"/>
  <c r="H939" i="2"/>
  <c r="X933" i="2"/>
  <c r="X934" i="2"/>
  <c r="X932" i="2"/>
  <c r="T933" i="2"/>
  <c r="T934" i="2"/>
  <c r="T932" i="2"/>
  <c r="P933" i="2"/>
  <c r="P934" i="2"/>
  <c r="P932" i="2"/>
  <c r="L933" i="2"/>
  <c r="L934" i="2"/>
  <c r="L932" i="2"/>
  <c r="H933" i="2"/>
  <c r="H934" i="2"/>
  <c r="H932" i="2"/>
  <c r="X928" i="2"/>
  <c r="X926" i="2"/>
  <c r="X927" i="2"/>
  <c r="T928" i="2"/>
  <c r="T926" i="2"/>
  <c r="T927" i="2"/>
  <c r="P928" i="2"/>
  <c r="P926" i="2"/>
  <c r="P927" i="2"/>
  <c r="L928" i="2"/>
  <c r="L926" i="2"/>
  <c r="L927" i="2"/>
  <c r="H928" i="2"/>
  <c r="H926" i="2"/>
  <c r="H927" i="2"/>
  <c r="X921" i="2"/>
  <c r="X922" i="2"/>
  <c r="X920" i="2"/>
  <c r="T921" i="2"/>
  <c r="T922" i="2"/>
  <c r="T920" i="2"/>
  <c r="T908" i="2" s="1"/>
  <c r="T65" i="3" s="1"/>
  <c r="P921" i="2"/>
  <c r="P922" i="2"/>
  <c r="P920" i="2"/>
  <c r="L921" i="2"/>
  <c r="L922" i="2"/>
  <c r="L920" i="2"/>
  <c r="H921" i="2"/>
  <c r="H922" i="2"/>
  <c r="H920" i="2"/>
  <c r="W916" i="2"/>
  <c r="W910" i="2" s="1"/>
  <c r="W67" i="3" s="1"/>
  <c r="W914" i="2"/>
  <c r="W915" i="2"/>
  <c r="S916" i="2"/>
  <c r="S910" i="2" s="1"/>
  <c r="S67" i="3" s="1"/>
  <c r="S914" i="2"/>
  <c r="S915" i="2"/>
  <c r="N915" i="2"/>
  <c r="N916" i="2"/>
  <c r="N914" i="2"/>
  <c r="J915" i="2"/>
  <c r="J916" i="2"/>
  <c r="J914" i="2"/>
  <c r="F915" i="2"/>
  <c r="F916" i="2"/>
  <c r="F914" i="2"/>
  <c r="V1001" i="2"/>
  <c r="V1002" i="2"/>
  <c r="V1000" i="2"/>
  <c r="R1001" i="2"/>
  <c r="R1002" i="2"/>
  <c r="R1000" i="2"/>
  <c r="N1001" i="2"/>
  <c r="N1002" i="2"/>
  <c r="N1000" i="2"/>
  <c r="J1001" i="2"/>
  <c r="J1002" i="2"/>
  <c r="J1000" i="2"/>
  <c r="F1001" i="2"/>
  <c r="F1002" i="2"/>
  <c r="F1000" i="2"/>
  <c r="V996" i="2"/>
  <c r="V994" i="2"/>
  <c r="V995" i="2"/>
  <c r="R996" i="2"/>
  <c r="R994" i="2"/>
  <c r="R995" i="2"/>
  <c r="N996" i="2"/>
  <c r="N994" i="2"/>
  <c r="N995" i="2"/>
  <c r="J996" i="2"/>
  <c r="J994" i="2"/>
  <c r="J995" i="2"/>
  <c r="F996" i="2"/>
  <c r="F994" i="2"/>
  <c r="F995" i="2"/>
  <c r="W990" i="2"/>
  <c r="W988" i="2"/>
  <c r="W989" i="2"/>
  <c r="S990" i="2"/>
  <c r="S988" i="2"/>
  <c r="S989" i="2"/>
  <c r="O990" i="2"/>
  <c r="O988" i="2"/>
  <c r="O989" i="2"/>
  <c r="K990" i="2"/>
  <c r="K988" i="2"/>
  <c r="K989" i="2"/>
  <c r="G990" i="2"/>
  <c r="G988" i="2"/>
  <c r="G989" i="2"/>
  <c r="W983" i="2"/>
  <c r="W984" i="2"/>
  <c r="W982" i="2"/>
  <c r="S983" i="2"/>
  <c r="S984" i="2"/>
  <c r="S982" i="2"/>
  <c r="O983" i="2"/>
  <c r="O984" i="2"/>
  <c r="O982" i="2"/>
  <c r="K983" i="2"/>
  <c r="K984" i="2"/>
  <c r="K982" i="2"/>
  <c r="G983" i="2"/>
  <c r="G984" i="2"/>
  <c r="G982" i="2"/>
  <c r="Y978" i="2"/>
  <c r="Y972" i="2" s="1"/>
  <c r="Y73" i="3" s="1"/>
  <c r="Y976" i="2"/>
  <c r="Y970" i="2" s="1"/>
  <c r="Y71" i="3" s="1"/>
  <c r="Y977" i="2"/>
  <c r="U978" i="2"/>
  <c r="U972" i="2" s="1"/>
  <c r="U73" i="3" s="1"/>
  <c r="U976" i="2"/>
  <c r="U970" i="2" s="1"/>
  <c r="U71" i="3" s="1"/>
  <c r="U977" i="2"/>
  <c r="P977" i="2"/>
  <c r="P978" i="2"/>
  <c r="P972" i="2" s="1"/>
  <c r="P73" i="3" s="1"/>
  <c r="P976" i="2"/>
  <c r="P970" i="2" s="1"/>
  <c r="P71" i="3" s="1"/>
  <c r="L977" i="2"/>
  <c r="L978" i="2"/>
  <c r="L972" i="2" s="1"/>
  <c r="L73" i="3" s="1"/>
  <c r="L976" i="2"/>
  <c r="L970" i="2" s="1"/>
  <c r="L71" i="3" s="1"/>
  <c r="H977" i="2"/>
  <c r="H978" i="2"/>
  <c r="H972" i="2" s="1"/>
  <c r="H73" i="3" s="1"/>
  <c r="H976" i="2"/>
  <c r="H970" i="2" s="1"/>
  <c r="H71" i="3" s="1"/>
  <c r="V1110" i="2"/>
  <c r="V1109" i="2"/>
  <c r="V1111" i="2"/>
  <c r="R1110" i="2"/>
  <c r="R1109" i="2"/>
  <c r="R1111" i="2"/>
  <c r="N1110" i="2"/>
  <c r="N1109" i="2"/>
  <c r="N1111" i="2"/>
  <c r="J1110" i="2"/>
  <c r="J1109" i="2"/>
  <c r="J1111" i="2"/>
  <c r="F1110" i="2"/>
  <c r="F1109" i="2"/>
  <c r="F1111" i="2"/>
  <c r="X1105" i="2"/>
  <c r="X1103" i="2"/>
  <c r="X1104" i="2"/>
  <c r="T1105" i="2"/>
  <c r="T1103" i="2"/>
  <c r="T1104" i="2"/>
  <c r="P1105" i="2"/>
  <c r="P1103" i="2"/>
  <c r="P1104" i="2"/>
  <c r="L1105" i="2"/>
  <c r="L1103" i="2"/>
  <c r="L1104" i="2"/>
  <c r="H1105" i="2"/>
  <c r="H1103" i="2"/>
  <c r="H1104" i="2"/>
  <c r="V1098" i="2"/>
  <c r="V1099" i="2"/>
  <c r="V1097" i="2"/>
  <c r="R1098" i="2"/>
  <c r="R1099" i="2"/>
  <c r="R1097" i="2"/>
  <c r="N1098" i="2"/>
  <c r="N1099" i="2"/>
  <c r="N1097" i="2"/>
  <c r="J1098" i="2"/>
  <c r="J1099" i="2"/>
  <c r="J1097" i="2"/>
  <c r="F1098" i="2"/>
  <c r="F1099" i="2"/>
  <c r="F1097" i="2"/>
  <c r="Y1093" i="2"/>
  <c r="Y1091" i="2"/>
  <c r="Y1092" i="2"/>
  <c r="U1093" i="2"/>
  <c r="U1091" i="2"/>
  <c r="U1092" i="2"/>
  <c r="Q1093" i="2"/>
  <c r="Q1091" i="2"/>
  <c r="Q1092" i="2"/>
  <c r="M1093" i="2"/>
  <c r="M1091" i="2"/>
  <c r="M1092" i="2"/>
  <c r="I1093" i="2"/>
  <c r="I1091" i="2"/>
  <c r="I1092" i="2"/>
  <c r="X1087" i="2"/>
  <c r="X1085" i="2"/>
  <c r="X1086" i="2"/>
  <c r="T1087" i="2"/>
  <c r="T1085" i="2"/>
  <c r="T1086" i="2"/>
  <c r="P1087" i="2"/>
  <c r="P1085" i="2"/>
  <c r="P1086" i="2"/>
  <c r="L1087" i="2"/>
  <c r="L1085" i="2"/>
  <c r="L1086" i="2"/>
  <c r="H1087" i="2"/>
  <c r="H1085" i="2"/>
  <c r="H1086" i="2"/>
  <c r="X1080" i="2"/>
  <c r="X1081" i="2"/>
  <c r="X1079" i="2"/>
  <c r="T1080" i="2"/>
  <c r="T1081" i="2"/>
  <c r="T1079" i="2"/>
  <c r="P1080" i="2"/>
  <c r="P1081" i="2"/>
  <c r="P1079" i="2"/>
  <c r="L1080" i="2"/>
  <c r="L1081" i="2"/>
  <c r="L1079" i="2"/>
  <c r="H1080" i="2"/>
  <c r="H1081" i="2"/>
  <c r="H1079" i="2"/>
  <c r="X977" i="2"/>
  <c r="X978" i="2"/>
  <c r="X976" i="2"/>
  <c r="T977" i="2"/>
  <c r="T978" i="2"/>
  <c r="T976" i="2"/>
  <c r="O978" i="2"/>
  <c r="O976" i="2"/>
  <c r="O977" i="2"/>
  <c r="K978" i="2"/>
  <c r="K976" i="2"/>
  <c r="K977" i="2"/>
  <c r="G978" i="2"/>
  <c r="G976" i="2"/>
  <c r="G977" i="2"/>
  <c r="W1111" i="2"/>
  <c r="W1109" i="2"/>
  <c r="W1110" i="2"/>
  <c r="S1111" i="2"/>
  <c r="S1109" i="2"/>
  <c r="S1110" i="2"/>
  <c r="O1111" i="2"/>
  <c r="O1109" i="2"/>
  <c r="O1110" i="2"/>
  <c r="K1111" i="2"/>
  <c r="K1109" i="2"/>
  <c r="K1110" i="2"/>
  <c r="G1111" i="2"/>
  <c r="G1109" i="2"/>
  <c r="G1110" i="2"/>
  <c r="W1104" i="2"/>
  <c r="W1105" i="2"/>
  <c r="W1103" i="2"/>
  <c r="S1104" i="2"/>
  <c r="S1105" i="2"/>
  <c r="S1103" i="2"/>
  <c r="O1104" i="2"/>
  <c r="O1105" i="2"/>
  <c r="O1103" i="2"/>
  <c r="K1104" i="2"/>
  <c r="K1105" i="2"/>
  <c r="K1103" i="2"/>
  <c r="G1104" i="2"/>
  <c r="G1105" i="2"/>
  <c r="G1103" i="2"/>
  <c r="W1099" i="2"/>
  <c r="W1098" i="2"/>
  <c r="W1097" i="2"/>
  <c r="S1099" i="2"/>
  <c r="S1098" i="2"/>
  <c r="S1097" i="2"/>
  <c r="O1099" i="2"/>
  <c r="O1098" i="2"/>
  <c r="O1097" i="2"/>
  <c r="K1099" i="2"/>
  <c r="K1098" i="2"/>
  <c r="K1097" i="2"/>
  <c r="G1099" i="2"/>
  <c r="G1098" i="2"/>
  <c r="G1097" i="2"/>
  <c r="V1092" i="2"/>
  <c r="V1093" i="2"/>
  <c r="V1091" i="2"/>
  <c r="R1092" i="2"/>
  <c r="R1093" i="2"/>
  <c r="R1091" i="2"/>
  <c r="N1092" i="2"/>
  <c r="N1093" i="2"/>
  <c r="N1091" i="2"/>
  <c r="J1092" i="2"/>
  <c r="J1093" i="2"/>
  <c r="J1091" i="2"/>
  <c r="F1092" i="2"/>
  <c r="F1093" i="2"/>
  <c r="F1091" i="2"/>
  <c r="Y1087" i="2"/>
  <c r="Y1086" i="2"/>
  <c r="Y1085" i="2"/>
  <c r="U1086" i="2"/>
  <c r="U1087" i="2"/>
  <c r="U1085" i="2"/>
  <c r="Q1086" i="2"/>
  <c r="Q1087" i="2"/>
  <c r="Q1085" i="2"/>
  <c r="M1086" i="2"/>
  <c r="M1087" i="2"/>
  <c r="M1085" i="2"/>
  <c r="I1086" i="2"/>
  <c r="I1087" i="2"/>
  <c r="I1085" i="2"/>
  <c r="Y1081" i="2"/>
  <c r="Y1079" i="2"/>
  <c r="Y1080" i="2"/>
  <c r="U1081" i="2"/>
  <c r="U1079" i="2"/>
  <c r="U1080" i="2"/>
  <c r="Q1081" i="2"/>
  <c r="Q1079" i="2"/>
  <c r="Q1080" i="2"/>
  <c r="M1081" i="2"/>
  <c r="M1079" i="2"/>
  <c r="M1080" i="2"/>
  <c r="I1081" i="2"/>
  <c r="I1079" i="2"/>
  <c r="I1080" i="2"/>
  <c r="W1074" i="2"/>
  <c r="W1075" i="2"/>
  <c r="W1073" i="2"/>
  <c r="S1074" i="2"/>
  <c r="S1075" i="2"/>
  <c r="S1073" i="2"/>
  <c r="O1074" i="2"/>
  <c r="O1075" i="2"/>
  <c r="O1073" i="2"/>
  <c r="K1074" i="2"/>
  <c r="K1075" i="2"/>
  <c r="K1073" i="2"/>
  <c r="G1074" i="2"/>
  <c r="G1075" i="2"/>
  <c r="G1073" i="2"/>
  <c r="W1069" i="2"/>
  <c r="W1067" i="2"/>
  <c r="W1068" i="2"/>
  <c r="S1069" i="2"/>
  <c r="S1067" i="2"/>
  <c r="S1068" i="2"/>
  <c r="O1069" i="2"/>
  <c r="O1067" i="2"/>
  <c r="O1068" i="2"/>
  <c r="K1069" i="2"/>
  <c r="K1067" i="2"/>
  <c r="K1068" i="2"/>
  <c r="G1069" i="2"/>
  <c r="G1067" i="2"/>
  <c r="G1068" i="2"/>
  <c r="W1062" i="2"/>
  <c r="W1063" i="2"/>
  <c r="W1061" i="2"/>
  <c r="S1062" i="2"/>
  <c r="S1063" i="2"/>
  <c r="S1061" i="2"/>
  <c r="O1062" i="2"/>
  <c r="O1063" i="2"/>
  <c r="O1061" i="2"/>
  <c r="K1062" i="2"/>
  <c r="K1063" i="2"/>
  <c r="K1061" i="2"/>
  <c r="G1062" i="2"/>
  <c r="G1063" i="2"/>
  <c r="G1061" i="2"/>
  <c r="W1057" i="2"/>
  <c r="W1056" i="2"/>
  <c r="W1055" i="2"/>
  <c r="S1057" i="2"/>
  <c r="S1056" i="2"/>
  <c r="S1055" i="2"/>
  <c r="O1057" i="2"/>
  <c r="O1055" i="2"/>
  <c r="O1056" i="2"/>
  <c r="K1057" i="2"/>
  <c r="K1055" i="2"/>
  <c r="K1056" i="2"/>
  <c r="G1057" i="2"/>
  <c r="G1055" i="2"/>
  <c r="G1056" i="2"/>
  <c r="W1050" i="2"/>
  <c r="W1051" i="2"/>
  <c r="W1049" i="2"/>
  <c r="S1050" i="2"/>
  <c r="S1051" i="2"/>
  <c r="S1049" i="2"/>
  <c r="O1050" i="2"/>
  <c r="O1051" i="2"/>
  <c r="O1049" i="2"/>
  <c r="K1050" i="2"/>
  <c r="K1051" i="2"/>
  <c r="K1049" i="2"/>
  <c r="G1050" i="2"/>
  <c r="G1051" i="2"/>
  <c r="G1049" i="2"/>
  <c r="W1045" i="2"/>
  <c r="W1043" i="2"/>
  <c r="W1044" i="2"/>
  <c r="S1045" i="2"/>
  <c r="S1043" i="2"/>
  <c r="S1044" i="2"/>
  <c r="O1045" i="2"/>
  <c r="O1043" i="2"/>
  <c r="O1044" i="2"/>
  <c r="K1045" i="2"/>
  <c r="K1043" i="2"/>
  <c r="K1044" i="2"/>
  <c r="G1045" i="2"/>
  <c r="G1043" i="2"/>
  <c r="G1044" i="2"/>
  <c r="V1075" i="2"/>
  <c r="V1073" i="2"/>
  <c r="V1074" i="2"/>
  <c r="R1075" i="2"/>
  <c r="R1073" i="2"/>
  <c r="R1074" i="2"/>
  <c r="N1075" i="2"/>
  <c r="N1073" i="2"/>
  <c r="N1074" i="2"/>
  <c r="J1075" i="2"/>
  <c r="J1073" i="2"/>
  <c r="J1074" i="2"/>
  <c r="F1075" i="2"/>
  <c r="F1073" i="2"/>
  <c r="F1074" i="2"/>
  <c r="V1068" i="2"/>
  <c r="V1069" i="2"/>
  <c r="V1067" i="2"/>
  <c r="R1068" i="2"/>
  <c r="R1069" i="2"/>
  <c r="R1067" i="2"/>
  <c r="N1068" i="2"/>
  <c r="N1069" i="2"/>
  <c r="N1067" i="2"/>
  <c r="J1068" i="2"/>
  <c r="J1069" i="2"/>
  <c r="J1067" i="2"/>
  <c r="F1068" i="2"/>
  <c r="F1069" i="2"/>
  <c r="F1067" i="2"/>
  <c r="V1063" i="2"/>
  <c r="V1061" i="2"/>
  <c r="V1062" i="2"/>
  <c r="R1063" i="2"/>
  <c r="R1061" i="2"/>
  <c r="R1062" i="2"/>
  <c r="N1063" i="2"/>
  <c r="N1061" i="2"/>
  <c r="N1062" i="2"/>
  <c r="J1063" i="2"/>
  <c r="J1061" i="2"/>
  <c r="J1062" i="2"/>
  <c r="F1063" i="2"/>
  <c r="F1061" i="2"/>
  <c r="F1062" i="2"/>
  <c r="V1056" i="2"/>
  <c r="V1057" i="2"/>
  <c r="V1055" i="2"/>
  <c r="R1057" i="2"/>
  <c r="R1056" i="2"/>
  <c r="R1055" i="2"/>
  <c r="N1057" i="2"/>
  <c r="N1056" i="2"/>
  <c r="N1055" i="2"/>
  <c r="J1057" i="2"/>
  <c r="J1056" i="2"/>
  <c r="J1055" i="2"/>
  <c r="F1057" i="2"/>
  <c r="F1056" i="2"/>
  <c r="F1055" i="2"/>
  <c r="V1051" i="2"/>
  <c r="V1049" i="2"/>
  <c r="V1050" i="2"/>
  <c r="R1051" i="2"/>
  <c r="R1049" i="2"/>
  <c r="R1050" i="2"/>
  <c r="N1051" i="2"/>
  <c r="N1049" i="2"/>
  <c r="N1050" i="2"/>
  <c r="J1051" i="2"/>
  <c r="J1049" i="2"/>
  <c r="J1050" i="2"/>
  <c r="F1051" i="2"/>
  <c r="F1049" i="2"/>
  <c r="F1050" i="2"/>
  <c r="V1044" i="2"/>
  <c r="V1045" i="2"/>
  <c r="V1043" i="2"/>
  <c r="R1044" i="2"/>
  <c r="R1045" i="2"/>
  <c r="R1043" i="2"/>
  <c r="N1044" i="2"/>
  <c r="N1045" i="2"/>
  <c r="N1043" i="2"/>
  <c r="J1044" i="2"/>
  <c r="J1045" i="2"/>
  <c r="J1043" i="2"/>
  <c r="F1044" i="2"/>
  <c r="F1045" i="2"/>
  <c r="F1043" i="2"/>
  <c r="Y1038" i="2"/>
  <c r="Y1039" i="2"/>
  <c r="Y1037" i="2"/>
  <c r="U1038" i="2"/>
  <c r="U1039" i="2"/>
  <c r="U1037" i="2"/>
  <c r="Q1038" i="2"/>
  <c r="Q1039" i="2"/>
  <c r="Q1037" i="2"/>
  <c r="M1038" i="2"/>
  <c r="M1039" i="2"/>
  <c r="M1037" i="2"/>
  <c r="I1038" i="2"/>
  <c r="I1039" i="2"/>
  <c r="I1037" i="2"/>
  <c r="X1032" i="2"/>
  <c r="X1033" i="2"/>
  <c r="X1031" i="2"/>
  <c r="T1032" i="2"/>
  <c r="T1033" i="2"/>
  <c r="T1031" i="2"/>
  <c r="P1032" i="2"/>
  <c r="P1033" i="2"/>
  <c r="P1031" i="2"/>
  <c r="L1032" i="2"/>
  <c r="L1033" i="2"/>
  <c r="L1031" i="2"/>
  <c r="H1032" i="2"/>
  <c r="H1033" i="2"/>
  <c r="H1031" i="2"/>
  <c r="Y1026" i="2"/>
  <c r="Y1027" i="2"/>
  <c r="Y1025" i="2"/>
  <c r="U1026" i="2"/>
  <c r="U1027" i="2"/>
  <c r="U1025" i="2"/>
  <c r="Q1026" i="2"/>
  <c r="Q1027" i="2"/>
  <c r="Q1025" i="2"/>
  <c r="M1026" i="2"/>
  <c r="M1027" i="2"/>
  <c r="M1025" i="2"/>
  <c r="I1026" i="2"/>
  <c r="I1027" i="2"/>
  <c r="I1025" i="2"/>
  <c r="Y1020" i="2"/>
  <c r="Y1021" i="2"/>
  <c r="Y1019" i="2"/>
  <c r="T1021" i="2"/>
  <c r="T1019" i="2"/>
  <c r="T1020" i="2"/>
  <c r="X1039" i="2"/>
  <c r="X1037" i="2"/>
  <c r="X1038" i="2"/>
  <c r="T1039" i="2"/>
  <c r="T1037" i="2"/>
  <c r="T1038" i="2"/>
  <c r="P1039" i="2"/>
  <c r="P1037" i="2"/>
  <c r="P1038" i="2"/>
  <c r="L1039" i="2"/>
  <c r="L1037" i="2"/>
  <c r="L1038" i="2"/>
  <c r="H1039" i="2"/>
  <c r="H1037" i="2"/>
  <c r="H1038" i="2"/>
  <c r="Y1033" i="2"/>
  <c r="Y1031" i="2"/>
  <c r="Y1032" i="2"/>
  <c r="U1033" i="2"/>
  <c r="U1031" i="2"/>
  <c r="U1032" i="2"/>
  <c r="Q1033" i="2"/>
  <c r="Q1031" i="2"/>
  <c r="Q1032" i="2"/>
  <c r="M1033" i="2"/>
  <c r="M1031" i="2"/>
  <c r="M1032" i="2"/>
  <c r="I1033" i="2"/>
  <c r="I1031" i="2"/>
  <c r="I1032" i="2"/>
  <c r="X1027" i="2"/>
  <c r="X1025" i="2"/>
  <c r="X1026" i="2"/>
  <c r="T1027" i="2"/>
  <c r="T1025" i="2"/>
  <c r="T1026" i="2"/>
  <c r="P1027" i="2"/>
  <c r="P1025" i="2"/>
  <c r="P1026" i="2"/>
  <c r="L1027" i="2"/>
  <c r="L1026" i="2"/>
  <c r="L1025" i="2"/>
  <c r="H1027" i="2"/>
  <c r="H1026" i="2"/>
  <c r="H1025" i="2"/>
  <c r="V1021" i="2"/>
  <c r="V1019" i="2"/>
  <c r="V1020" i="2"/>
  <c r="P1021" i="2"/>
  <c r="P1019" i="2"/>
  <c r="P1020" i="2"/>
  <c r="L1021" i="2"/>
  <c r="L1019" i="2"/>
  <c r="L1020" i="2"/>
  <c r="H1021" i="2"/>
  <c r="H1019" i="2"/>
  <c r="H1020" i="2"/>
  <c r="U1015" i="2"/>
  <c r="U1013" i="2"/>
  <c r="U1014" i="2"/>
  <c r="Q1015" i="2"/>
  <c r="Q1013" i="2"/>
  <c r="Q1014" i="2"/>
  <c r="M1015" i="2"/>
  <c r="M1013" i="2"/>
  <c r="M1014" i="2"/>
  <c r="I1015" i="2"/>
  <c r="I1013" i="2"/>
  <c r="I1014" i="2"/>
  <c r="H787" i="2"/>
  <c r="H785" i="2"/>
  <c r="H786" i="2"/>
  <c r="L787" i="2"/>
  <c r="L785" i="2"/>
  <c r="L786" i="2"/>
  <c r="P787" i="2"/>
  <c r="P785" i="2"/>
  <c r="P786" i="2"/>
  <c r="U786" i="2"/>
  <c r="U787" i="2"/>
  <c r="U785" i="2"/>
  <c r="Y786" i="2"/>
  <c r="Y787" i="2"/>
  <c r="Y785" i="2"/>
  <c r="H792" i="2"/>
  <c r="H793" i="2"/>
  <c r="H791" i="2"/>
  <c r="L792" i="2"/>
  <c r="L793" i="2"/>
  <c r="L791" i="2"/>
  <c r="P792" i="2"/>
  <c r="P793" i="2"/>
  <c r="P791" i="2"/>
  <c r="T792" i="2"/>
  <c r="T793" i="2"/>
  <c r="T791" i="2"/>
  <c r="Y793" i="2"/>
  <c r="Y791" i="2"/>
  <c r="Y792" i="2"/>
  <c r="F799" i="2"/>
  <c r="F797" i="2"/>
  <c r="F798" i="2"/>
  <c r="J799" i="2"/>
  <c r="J797" i="2"/>
  <c r="J798" i="2"/>
  <c r="N799" i="2"/>
  <c r="N797" i="2"/>
  <c r="N798" i="2"/>
  <c r="R799" i="2"/>
  <c r="R797" i="2"/>
  <c r="R798" i="2"/>
  <c r="V799" i="2"/>
  <c r="V797" i="2"/>
  <c r="V798" i="2"/>
  <c r="F804" i="2"/>
  <c r="F805" i="2"/>
  <c r="F803" i="2"/>
  <c r="J804" i="2"/>
  <c r="J805" i="2"/>
  <c r="J803" i="2"/>
  <c r="N804" i="2"/>
  <c r="N805" i="2"/>
  <c r="N803" i="2"/>
  <c r="S1020" i="2"/>
  <c r="S1021" i="2"/>
  <c r="S1019" i="2"/>
  <c r="O1020" i="2"/>
  <c r="O1021" i="2"/>
  <c r="O1019" i="2"/>
  <c r="K1020" i="2"/>
  <c r="K1021" i="2"/>
  <c r="K1019" i="2"/>
  <c r="G1020" i="2"/>
  <c r="G1021" i="2"/>
  <c r="G1019" i="2"/>
  <c r="Y1015" i="2"/>
  <c r="Y1013" i="2"/>
  <c r="Y1014" i="2"/>
  <c r="T1014" i="2"/>
  <c r="T1015" i="2"/>
  <c r="T1013" i="2"/>
  <c r="P1014" i="2"/>
  <c r="P1015" i="2"/>
  <c r="P1013" i="2"/>
  <c r="L1014" i="2"/>
  <c r="L1015" i="2"/>
  <c r="L1013" i="2"/>
  <c r="H1014" i="2"/>
  <c r="H1015" i="2"/>
  <c r="H1013" i="2"/>
  <c r="I786" i="2"/>
  <c r="I787" i="2"/>
  <c r="I785" i="2"/>
  <c r="M786" i="2"/>
  <c r="M787" i="2"/>
  <c r="M785" i="2"/>
  <c r="Q786" i="2"/>
  <c r="Q787" i="2"/>
  <c r="Q785" i="2"/>
  <c r="V787" i="2"/>
  <c r="V785" i="2"/>
  <c r="V786" i="2"/>
  <c r="I793" i="2"/>
  <c r="I791" i="2"/>
  <c r="I792" i="2"/>
  <c r="M793" i="2"/>
  <c r="M791" i="2"/>
  <c r="M792" i="2"/>
  <c r="Q793" i="2"/>
  <c r="Q791" i="2"/>
  <c r="Q792" i="2"/>
  <c r="V792" i="2"/>
  <c r="V793" i="2"/>
  <c r="V791" i="2"/>
  <c r="I798" i="2"/>
  <c r="I799" i="2"/>
  <c r="I797" i="2"/>
  <c r="M798" i="2"/>
  <c r="M799" i="2"/>
  <c r="M797" i="2"/>
  <c r="Q798" i="2"/>
  <c r="Q799" i="2"/>
  <c r="Q797" i="2"/>
  <c r="U798" i="2"/>
  <c r="U799" i="2"/>
  <c r="U797" i="2"/>
  <c r="Y798" i="2"/>
  <c r="Y799" i="2"/>
  <c r="Y797" i="2"/>
  <c r="G805" i="2"/>
  <c r="G803" i="2"/>
  <c r="G804" i="2"/>
  <c r="K805" i="2"/>
  <c r="K803" i="2"/>
  <c r="K804" i="2"/>
  <c r="O805" i="2"/>
  <c r="O803" i="2"/>
  <c r="O804" i="2"/>
  <c r="S805" i="2"/>
  <c r="S803" i="2"/>
  <c r="S804" i="2"/>
  <c r="W805" i="2"/>
  <c r="W803" i="2"/>
  <c r="W804" i="2"/>
  <c r="G810" i="2"/>
  <c r="G811" i="2"/>
  <c r="G809" i="2"/>
  <c r="K810" i="2"/>
  <c r="K811" i="2"/>
  <c r="K809" i="2"/>
  <c r="O810" i="2"/>
  <c r="O811" i="2"/>
  <c r="O809" i="2"/>
  <c r="S810" i="2"/>
  <c r="S811" i="2"/>
  <c r="S809" i="2"/>
  <c r="W810" i="2"/>
  <c r="W811" i="2"/>
  <c r="W809" i="2"/>
  <c r="G817" i="2"/>
  <c r="G815" i="2"/>
  <c r="G816" i="2"/>
  <c r="K817" i="2"/>
  <c r="K815" i="2"/>
  <c r="K816" i="2"/>
  <c r="O817" i="2"/>
  <c r="O815" i="2"/>
  <c r="O816" i="2"/>
  <c r="S817" i="2"/>
  <c r="S815" i="2"/>
  <c r="S816" i="2"/>
  <c r="W817" i="2"/>
  <c r="W815" i="2"/>
  <c r="W816" i="2"/>
  <c r="R804" i="2"/>
  <c r="R805" i="2"/>
  <c r="R803" i="2"/>
  <c r="V804" i="2"/>
  <c r="V805" i="2"/>
  <c r="V803" i="2"/>
  <c r="F811" i="2"/>
  <c r="F809" i="2"/>
  <c r="F810" i="2"/>
  <c r="J811" i="2"/>
  <c r="J809" i="2"/>
  <c r="J810" i="2"/>
  <c r="N811" i="2"/>
  <c r="N809" i="2"/>
  <c r="N810" i="2"/>
  <c r="R811" i="2"/>
  <c r="R809" i="2"/>
  <c r="R810" i="2"/>
  <c r="V811" i="2"/>
  <c r="V809" i="2"/>
  <c r="V810" i="2"/>
  <c r="F816" i="2"/>
  <c r="F817" i="2"/>
  <c r="F815" i="2"/>
  <c r="J816" i="2"/>
  <c r="J817" i="2"/>
  <c r="J815" i="2"/>
  <c r="N816" i="2"/>
  <c r="N817" i="2"/>
  <c r="N815" i="2"/>
  <c r="R816" i="2"/>
  <c r="R817" i="2"/>
  <c r="R815" i="2"/>
  <c r="V816" i="2"/>
  <c r="V817" i="2"/>
  <c r="V815" i="2"/>
  <c r="J340" i="2"/>
  <c r="J334" i="2" s="1"/>
  <c r="J31" i="3" s="1"/>
  <c r="J338" i="2"/>
  <c r="J339" i="2"/>
  <c r="J333" i="2" s="1"/>
  <c r="J30" i="3" s="1"/>
  <c r="O339" i="2"/>
  <c r="O330" i="2" s="1"/>
  <c r="O340" i="2"/>
  <c r="O334" i="2" s="1"/>
  <c r="O31" i="3" s="1"/>
  <c r="O338" i="2"/>
  <c r="T340" i="2"/>
  <c r="T334" i="2" s="1"/>
  <c r="T31" i="3" s="1"/>
  <c r="T338" i="2"/>
  <c r="T339" i="2"/>
  <c r="W339" i="2"/>
  <c r="W330" i="2" s="1"/>
  <c r="W340" i="2"/>
  <c r="W334" i="2" s="1"/>
  <c r="W31" i="3" s="1"/>
  <c r="W338" i="2"/>
  <c r="N340" i="2"/>
  <c r="N331" i="2" s="1"/>
  <c r="N338" i="2"/>
  <c r="N329" i="2" s="1"/>
  <c r="N339" i="2"/>
  <c r="P596" i="2"/>
  <c r="P597" i="2"/>
  <c r="P595" i="2"/>
  <c r="S786" i="2"/>
  <c r="S787" i="2"/>
  <c r="S785" i="2"/>
  <c r="S829" i="2"/>
  <c r="S830" i="2"/>
  <c r="S828" i="2"/>
  <c r="S978" i="2"/>
  <c r="S976" i="2"/>
  <c r="S977" i="2"/>
  <c r="I339" i="2"/>
  <c r="I333" i="2" s="1"/>
  <c r="I30" i="3" s="1"/>
  <c r="I340" i="2"/>
  <c r="I331" i="2" s="1"/>
  <c r="I338" i="2"/>
  <c r="I332" i="2" s="1"/>
  <c r="I29" i="3" s="1"/>
  <c r="M339" i="2"/>
  <c r="M330" i="2" s="1"/>
  <c r="M340" i="2"/>
  <c r="M334" i="2" s="1"/>
  <c r="M31" i="3" s="1"/>
  <c r="M338" i="2"/>
  <c r="M329" i="2" s="1"/>
  <c r="S339" i="2"/>
  <c r="S330" i="2" s="1"/>
  <c r="S340" i="2"/>
  <c r="S338" i="2"/>
  <c r="S332" i="2" s="1"/>
  <c r="S29" i="3" s="1"/>
  <c r="Y339" i="2"/>
  <c r="Y340" i="2"/>
  <c r="Y331" i="2" s="1"/>
  <c r="Y338" i="2"/>
  <c r="Y329" i="2" s="1"/>
  <c r="U339" i="2"/>
  <c r="U330" i="2" s="1"/>
  <c r="U340" i="2"/>
  <c r="U331" i="2" s="1"/>
  <c r="U338" i="2"/>
  <c r="M627" i="2"/>
  <c r="M628" i="2"/>
  <c r="M626" i="2"/>
  <c r="U793" i="2"/>
  <c r="U791" i="2"/>
  <c r="U792" i="2"/>
  <c r="X99" i="2"/>
  <c r="X100" i="2"/>
  <c r="X98" i="2"/>
  <c r="T99" i="2"/>
  <c r="T100" i="2"/>
  <c r="T98" i="2"/>
  <c r="P99" i="2"/>
  <c r="P100" i="2"/>
  <c r="P98" i="2"/>
  <c r="L99" i="2"/>
  <c r="L100" i="2"/>
  <c r="L98" i="2"/>
  <c r="H99" i="2"/>
  <c r="H100" i="2"/>
  <c r="H98" i="2"/>
  <c r="X94" i="2"/>
  <c r="X92" i="2"/>
  <c r="X93" i="2"/>
  <c r="T94" i="2"/>
  <c r="T92" i="2"/>
  <c r="T93" i="2"/>
  <c r="P94" i="2"/>
  <c r="P92" i="2"/>
  <c r="P93" i="2"/>
  <c r="L94" i="2"/>
  <c r="L92" i="2"/>
  <c r="L93" i="2"/>
  <c r="H94" i="2"/>
  <c r="H92" i="2"/>
  <c r="H93" i="2"/>
  <c r="W88" i="2"/>
  <c r="W86" i="2"/>
  <c r="W87" i="2"/>
  <c r="S88" i="2"/>
  <c r="S86" i="2"/>
  <c r="S87" i="2"/>
  <c r="O88" i="2"/>
  <c r="O86" i="2"/>
  <c r="O87" i="2"/>
  <c r="K88" i="2"/>
  <c r="K86" i="2"/>
  <c r="K87" i="2"/>
  <c r="G88" i="2"/>
  <c r="G86" i="2"/>
  <c r="G87" i="2"/>
  <c r="W81" i="2"/>
  <c r="W82" i="2"/>
  <c r="W80" i="2"/>
  <c r="S81" i="2"/>
  <c r="S82" i="2"/>
  <c r="S80" i="2"/>
  <c r="O81" i="2"/>
  <c r="O82" i="2"/>
  <c r="O80" i="2"/>
  <c r="K81" i="2"/>
  <c r="K82" i="2"/>
  <c r="K80" i="2"/>
  <c r="G81" i="2"/>
  <c r="G82" i="2"/>
  <c r="G80" i="2"/>
  <c r="Y161" i="2"/>
  <c r="Y159" i="2"/>
  <c r="Y160" i="2"/>
  <c r="W161" i="2"/>
  <c r="W159" i="2"/>
  <c r="W160" i="2"/>
  <c r="U161" i="2"/>
  <c r="U159" i="2"/>
  <c r="U160" i="2"/>
  <c r="S161" i="2"/>
  <c r="S159" i="2"/>
  <c r="S160" i="2"/>
  <c r="Q161" i="2"/>
  <c r="Q159" i="2"/>
  <c r="Q160" i="2"/>
  <c r="O161" i="2"/>
  <c r="O159" i="2"/>
  <c r="O160" i="2"/>
  <c r="M161" i="2"/>
  <c r="M159" i="2"/>
  <c r="M160" i="2"/>
  <c r="K161" i="2"/>
  <c r="K159" i="2"/>
  <c r="K160" i="2"/>
  <c r="I161" i="2"/>
  <c r="I159" i="2"/>
  <c r="I160" i="2"/>
  <c r="G161" i="2"/>
  <c r="G159" i="2"/>
  <c r="G160" i="2"/>
  <c r="Y154" i="2"/>
  <c r="Y155" i="2"/>
  <c r="Y153" i="2"/>
  <c r="W154" i="2"/>
  <c r="W155" i="2"/>
  <c r="W153" i="2"/>
  <c r="U154" i="2"/>
  <c r="U155" i="2"/>
  <c r="U153" i="2"/>
  <c r="S154" i="2"/>
  <c r="S155" i="2"/>
  <c r="S153" i="2"/>
  <c r="Q154" i="2"/>
  <c r="Q155" i="2"/>
  <c r="Q153" i="2"/>
  <c r="O154" i="2"/>
  <c r="O155" i="2"/>
  <c r="O153" i="2"/>
  <c r="M154" i="2"/>
  <c r="M155" i="2"/>
  <c r="M153" i="2"/>
  <c r="K154" i="2"/>
  <c r="K155" i="2"/>
  <c r="K153" i="2"/>
  <c r="I154" i="2"/>
  <c r="I155" i="2"/>
  <c r="I153" i="2"/>
  <c r="G154" i="2"/>
  <c r="G155" i="2"/>
  <c r="G153" i="2"/>
  <c r="Y149" i="2"/>
  <c r="Y147" i="2"/>
  <c r="Y148" i="2"/>
  <c r="W149" i="2"/>
  <c r="W147" i="2"/>
  <c r="W148" i="2"/>
  <c r="U149" i="2"/>
  <c r="U147" i="2"/>
  <c r="U148" i="2"/>
  <c r="S149" i="2"/>
  <c r="S147" i="2"/>
  <c r="S148" i="2"/>
  <c r="Q149" i="2"/>
  <c r="Q147" i="2"/>
  <c r="Q148" i="2"/>
  <c r="O149" i="2"/>
  <c r="O147" i="2"/>
  <c r="O148" i="2"/>
  <c r="M149" i="2"/>
  <c r="M147" i="2"/>
  <c r="M148" i="2"/>
  <c r="K149" i="2"/>
  <c r="K147" i="2"/>
  <c r="K148" i="2"/>
  <c r="I149" i="2"/>
  <c r="I147" i="2"/>
  <c r="I148" i="2"/>
  <c r="G149" i="2"/>
  <c r="G147" i="2"/>
  <c r="G148" i="2"/>
  <c r="Y142" i="2"/>
  <c r="Y143" i="2"/>
  <c r="Y141" i="2"/>
  <c r="W142" i="2"/>
  <c r="W143" i="2"/>
  <c r="W141" i="2"/>
  <c r="U142" i="2"/>
  <c r="U143" i="2"/>
  <c r="U141" i="2"/>
  <c r="S142" i="2"/>
  <c r="S143" i="2"/>
  <c r="S141" i="2"/>
  <c r="Q142" i="2"/>
  <c r="Q143" i="2"/>
  <c r="Q141" i="2"/>
  <c r="O142" i="2"/>
  <c r="O143" i="2"/>
  <c r="O141" i="2"/>
  <c r="M142" i="2"/>
  <c r="M143" i="2"/>
  <c r="M141" i="2"/>
  <c r="K142" i="2"/>
  <c r="K143" i="2"/>
  <c r="K141" i="2"/>
  <c r="I142" i="2"/>
  <c r="I143" i="2"/>
  <c r="I141" i="2"/>
  <c r="G142" i="2"/>
  <c r="G143" i="2"/>
  <c r="G141" i="2"/>
  <c r="Y137" i="2"/>
  <c r="Y135" i="2"/>
  <c r="Y136" i="2"/>
  <c r="W137" i="2"/>
  <c r="W135" i="2"/>
  <c r="W136" i="2"/>
  <c r="U137" i="2"/>
  <c r="U135" i="2"/>
  <c r="U136" i="2"/>
  <c r="S137" i="2"/>
  <c r="S136" i="2"/>
  <c r="S135" i="2"/>
  <c r="Q137" i="2"/>
  <c r="Q136" i="2"/>
  <c r="Q135" i="2"/>
  <c r="O137" i="2"/>
  <c r="O135" i="2"/>
  <c r="O136" i="2"/>
  <c r="M137" i="2"/>
  <c r="M135" i="2"/>
  <c r="M136" i="2"/>
  <c r="K137" i="2"/>
  <c r="K135" i="2"/>
  <c r="K136" i="2"/>
  <c r="I137" i="2"/>
  <c r="I135" i="2"/>
  <c r="I136" i="2"/>
  <c r="G137" i="2"/>
  <c r="G135" i="2"/>
  <c r="G136" i="2"/>
  <c r="Y130" i="2"/>
  <c r="Y131" i="2"/>
  <c r="Y129" i="2"/>
  <c r="W130" i="2"/>
  <c r="W131" i="2"/>
  <c r="W129" i="2"/>
  <c r="U130" i="2"/>
  <c r="U131" i="2"/>
  <c r="U129" i="2"/>
  <c r="S130" i="2"/>
  <c r="S131" i="2"/>
  <c r="S129" i="2"/>
  <c r="Q130" i="2"/>
  <c r="Q131" i="2"/>
  <c r="Q129" i="2"/>
  <c r="O130" i="2"/>
  <c r="O131" i="2"/>
  <c r="O129" i="2"/>
  <c r="M130" i="2"/>
  <c r="M131" i="2"/>
  <c r="M129" i="2"/>
  <c r="K130" i="2"/>
  <c r="K131" i="2"/>
  <c r="K129" i="2"/>
  <c r="I130" i="2"/>
  <c r="I131" i="2"/>
  <c r="I129" i="2"/>
  <c r="G130" i="2"/>
  <c r="G131" i="2"/>
  <c r="G129" i="2"/>
  <c r="X125" i="2"/>
  <c r="X123" i="2"/>
  <c r="X124" i="2"/>
  <c r="V125" i="2"/>
  <c r="V123" i="2"/>
  <c r="V124" i="2"/>
  <c r="T125" i="2"/>
  <c r="T123" i="2"/>
  <c r="T124" i="2"/>
  <c r="R125" i="2"/>
  <c r="R123" i="2"/>
  <c r="R124" i="2"/>
  <c r="P125" i="2"/>
  <c r="P123" i="2"/>
  <c r="P124" i="2"/>
  <c r="N125" i="2"/>
  <c r="N123" i="2"/>
  <c r="N124" i="2"/>
  <c r="L125" i="2"/>
  <c r="L123" i="2"/>
  <c r="L124" i="2"/>
  <c r="J125" i="2"/>
  <c r="J123" i="2"/>
  <c r="J124" i="2"/>
  <c r="H125" i="2"/>
  <c r="H123" i="2"/>
  <c r="H124" i="2"/>
  <c r="F125" i="2"/>
  <c r="F123" i="2"/>
  <c r="F124" i="2"/>
  <c r="X118" i="2"/>
  <c r="X119" i="2"/>
  <c r="X117" i="2"/>
  <c r="V118" i="2"/>
  <c r="V119" i="2"/>
  <c r="V117" i="2"/>
  <c r="T118" i="2"/>
  <c r="T119" i="2"/>
  <c r="T117" i="2"/>
  <c r="R118" i="2"/>
  <c r="R119" i="2"/>
  <c r="R117" i="2"/>
  <c r="P118" i="2"/>
  <c r="P119" i="2"/>
  <c r="P117" i="2"/>
  <c r="N118" i="2"/>
  <c r="N119" i="2"/>
  <c r="N117" i="2"/>
  <c r="L118" i="2"/>
  <c r="L119" i="2"/>
  <c r="L117" i="2"/>
  <c r="J118" i="2"/>
  <c r="J119" i="2"/>
  <c r="J117" i="2"/>
  <c r="H118" i="2"/>
  <c r="H119" i="2"/>
  <c r="H117" i="2"/>
  <c r="F118" i="2"/>
  <c r="F119" i="2"/>
  <c r="F117" i="2"/>
  <c r="X113" i="2"/>
  <c r="X111" i="2"/>
  <c r="X112" i="2"/>
  <c r="V113" i="2"/>
  <c r="V111" i="2"/>
  <c r="V112" i="2"/>
  <c r="T113" i="2"/>
  <c r="T111" i="2"/>
  <c r="T112" i="2"/>
  <c r="R113" i="2"/>
  <c r="R111" i="2"/>
  <c r="R112" i="2"/>
  <c r="P113" i="2"/>
  <c r="P111" i="2"/>
  <c r="P112" i="2"/>
  <c r="N113" i="2"/>
  <c r="N111" i="2"/>
  <c r="N112" i="2"/>
  <c r="L113" i="2"/>
  <c r="L111" i="2"/>
  <c r="L112" i="2"/>
  <c r="J113" i="2"/>
  <c r="J111" i="2"/>
  <c r="J112" i="2"/>
  <c r="H113" i="2"/>
  <c r="H111" i="2"/>
  <c r="H112" i="2"/>
  <c r="F113" i="2"/>
  <c r="F111" i="2"/>
  <c r="F112" i="2"/>
  <c r="X198" i="2"/>
  <c r="X196" i="2"/>
  <c r="X197" i="2"/>
  <c r="V196" i="2"/>
  <c r="V198" i="2"/>
  <c r="V197" i="2"/>
  <c r="T198" i="2"/>
  <c r="T196" i="2"/>
  <c r="T197" i="2"/>
  <c r="R196" i="2"/>
  <c r="R198" i="2"/>
  <c r="R197" i="2"/>
  <c r="P198" i="2"/>
  <c r="P196" i="2"/>
  <c r="P197" i="2"/>
  <c r="N198" i="2"/>
  <c r="N196" i="2"/>
  <c r="N197" i="2"/>
  <c r="L198" i="2"/>
  <c r="L196" i="2"/>
  <c r="L197" i="2"/>
  <c r="J198" i="2"/>
  <c r="J196" i="2"/>
  <c r="J197" i="2"/>
  <c r="H198" i="2"/>
  <c r="H196" i="2"/>
  <c r="H197" i="2"/>
  <c r="F198" i="2"/>
  <c r="F196" i="2"/>
  <c r="F197" i="2"/>
  <c r="X191" i="2"/>
  <c r="X192" i="2"/>
  <c r="X190" i="2"/>
  <c r="V191" i="2"/>
  <c r="V192" i="2"/>
  <c r="V190" i="2"/>
  <c r="T191" i="2"/>
  <c r="T192" i="2"/>
  <c r="T190" i="2"/>
  <c r="R191" i="2"/>
  <c r="R192" i="2"/>
  <c r="R190" i="2"/>
  <c r="P191" i="2"/>
  <c r="P192" i="2"/>
  <c r="P190" i="2"/>
  <c r="N191" i="2"/>
  <c r="N192" i="2"/>
  <c r="N190" i="2"/>
  <c r="L191" i="2"/>
  <c r="L192" i="2"/>
  <c r="L190" i="2"/>
  <c r="J191" i="2"/>
  <c r="J192" i="2"/>
  <c r="J190" i="2"/>
  <c r="H191" i="2"/>
  <c r="H192" i="2"/>
  <c r="H190" i="2"/>
  <c r="F191" i="2"/>
  <c r="F192" i="2"/>
  <c r="F190" i="2"/>
  <c r="X186" i="2"/>
  <c r="X184" i="2"/>
  <c r="X185" i="2"/>
  <c r="V186" i="2"/>
  <c r="V184" i="2"/>
  <c r="V185" i="2"/>
  <c r="T186" i="2"/>
  <c r="T184" i="2"/>
  <c r="T185" i="2"/>
  <c r="R186" i="2"/>
  <c r="R184" i="2"/>
  <c r="R185" i="2"/>
  <c r="P186" i="2"/>
  <c r="P184" i="2"/>
  <c r="P185" i="2"/>
  <c r="N186" i="2"/>
  <c r="N184" i="2"/>
  <c r="N185" i="2"/>
  <c r="L186" i="2"/>
  <c r="L184" i="2"/>
  <c r="L185" i="2"/>
  <c r="J186" i="2"/>
  <c r="J184" i="2"/>
  <c r="J185" i="2"/>
  <c r="H186" i="2"/>
  <c r="H184" i="2"/>
  <c r="H185" i="2"/>
  <c r="F186" i="2"/>
  <c r="F184" i="2"/>
  <c r="F185" i="2"/>
  <c r="X179" i="2"/>
  <c r="X180" i="2"/>
  <c r="X178" i="2"/>
  <c r="V179" i="2"/>
  <c r="V180" i="2"/>
  <c r="V178" i="2"/>
  <c r="T179" i="2"/>
  <c r="T180" i="2"/>
  <c r="T178" i="2"/>
  <c r="R179" i="2"/>
  <c r="R180" i="2"/>
  <c r="R178" i="2"/>
  <c r="P179" i="2"/>
  <c r="P180" i="2"/>
  <c r="P178" i="2"/>
  <c r="N179" i="2"/>
  <c r="N180" i="2"/>
  <c r="N178" i="2"/>
  <c r="L179" i="2"/>
  <c r="L180" i="2"/>
  <c r="L178" i="2"/>
  <c r="J179" i="2"/>
  <c r="J180" i="2"/>
  <c r="J178" i="2"/>
  <c r="H179" i="2"/>
  <c r="H180" i="2"/>
  <c r="H178" i="2"/>
  <c r="F179" i="2"/>
  <c r="F180" i="2"/>
  <c r="F178" i="2"/>
  <c r="X174" i="2"/>
  <c r="X172" i="2"/>
  <c r="X173" i="2"/>
  <c r="V174" i="2"/>
  <c r="V172" i="2"/>
  <c r="V173" i="2"/>
  <c r="V167" i="2" s="1"/>
  <c r="V18" i="3" s="1"/>
  <c r="T174" i="2"/>
  <c r="T172" i="2"/>
  <c r="T173" i="2"/>
  <c r="T167" i="2" s="1"/>
  <c r="T18" i="3" s="1"/>
  <c r="R174" i="2"/>
  <c r="R172" i="2"/>
  <c r="R173" i="2"/>
  <c r="R167" i="2" s="1"/>
  <c r="R18" i="3" s="1"/>
  <c r="P174" i="2"/>
  <c r="P172" i="2"/>
  <c r="P173" i="2"/>
  <c r="P167" i="2" s="1"/>
  <c r="P18" i="3" s="1"/>
  <c r="N174" i="2"/>
  <c r="N172" i="2"/>
  <c r="N173" i="2"/>
  <c r="N167" i="2" s="1"/>
  <c r="N18" i="3" s="1"/>
  <c r="L174" i="2"/>
  <c r="L172" i="2"/>
  <c r="L173" i="2"/>
  <c r="L167" i="2" s="1"/>
  <c r="L18" i="3" s="1"/>
  <c r="J174" i="2"/>
  <c r="J172" i="2"/>
  <c r="J173" i="2"/>
  <c r="J167" i="2" s="1"/>
  <c r="J18" i="3" s="1"/>
  <c r="H174" i="2"/>
  <c r="H172" i="2"/>
  <c r="H173" i="2"/>
  <c r="H167" i="2" s="1"/>
  <c r="H18" i="3" s="1"/>
  <c r="F174" i="2"/>
  <c r="F172" i="2"/>
  <c r="F173" i="2"/>
  <c r="X229" i="2"/>
  <c r="X227" i="2"/>
  <c r="X228" i="2"/>
  <c r="V229" i="2"/>
  <c r="V227" i="2"/>
  <c r="V228" i="2"/>
  <c r="T229" i="2"/>
  <c r="T227" i="2"/>
  <c r="T228" i="2"/>
  <c r="R229" i="2"/>
  <c r="R227" i="2"/>
  <c r="R228" i="2"/>
  <c r="P229" i="2"/>
  <c r="P227" i="2"/>
  <c r="P228" i="2"/>
  <c r="N229" i="2"/>
  <c r="N227" i="2"/>
  <c r="N228" i="2"/>
  <c r="L229" i="2"/>
  <c r="L227" i="2"/>
  <c r="L228" i="2"/>
  <c r="J229" i="2"/>
  <c r="J227" i="2"/>
  <c r="J228" i="2"/>
  <c r="H229" i="2"/>
  <c r="H227" i="2"/>
  <c r="H228" i="2"/>
  <c r="F229" i="2"/>
  <c r="F227" i="2"/>
  <c r="F228" i="2"/>
  <c r="X222" i="2"/>
  <c r="X223" i="2"/>
  <c r="X221" i="2"/>
  <c r="V222" i="2"/>
  <c r="V223" i="2"/>
  <c r="V221" i="2"/>
  <c r="T222" i="2"/>
  <c r="T223" i="2"/>
  <c r="T221" i="2"/>
  <c r="R222" i="2"/>
  <c r="R223" i="2"/>
  <c r="R221" i="2"/>
  <c r="P222" i="2"/>
  <c r="P223" i="2"/>
  <c r="P221" i="2"/>
  <c r="N222" i="2"/>
  <c r="N223" i="2"/>
  <c r="N221" i="2"/>
  <c r="L222" i="2"/>
  <c r="L223" i="2"/>
  <c r="L221" i="2"/>
  <c r="J222" i="2"/>
  <c r="J223" i="2"/>
  <c r="J221" i="2"/>
  <c r="H222" i="2"/>
  <c r="H223" i="2"/>
  <c r="H221" i="2"/>
  <c r="F222" i="2"/>
  <c r="F223" i="2"/>
  <c r="F221" i="2"/>
  <c r="X217" i="2"/>
  <c r="X215" i="2"/>
  <c r="X216" i="2"/>
  <c r="V217" i="2"/>
  <c r="V215" i="2"/>
  <c r="V216" i="2"/>
  <c r="T217" i="2"/>
  <c r="T215" i="2"/>
  <c r="T216" i="2"/>
  <c r="R217" i="2"/>
  <c r="R215" i="2"/>
  <c r="R216" i="2"/>
  <c r="P217" i="2"/>
  <c r="P215" i="2"/>
  <c r="P216" i="2"/>
  <c r="N217" i="2"/>
  <c r="N215" i="2"/>
  <c r="N216" i="2"/>
  <c r="L217" i="2"/>
  <c r="L215" i="2"/>
  <c r="L216" i="2"/>
  <c r="J217" i="2"/>
  <c r="J215" i="2"/>
  <c r="J216" i="2"/>
  <c r="H217" i="2"/>
  <c r="H215" i="2"/>
  <c r="H216" i="2"/>
  <c r="F217" i="2"/>
  <c r="F215" i="2"/>
  <c r="F216" i="2"/>
  <c r="Y211" i="2"/>
  <c r="Y209" i="2"/>
  <c r="Y210" i="2"/>
  <c r="W211" i="2"/>
  <c r="W209" i="2"/>
  <c r="W210" i="2"/>
  <c r="U211" i="2"/>
  <c r="U209" i="2"/>
  <c r="U210" i="2"/>
  <c r="S211" i="2"/>
  <c r="S209" i="2"/>
  <c r="S210" i="2"/>
  <c r="Q211" i="2"/>
  <c r="Q209" i="2"/>
  <c r="Q210" i="2"/>
  <c r="O211" i="2"/>
  <c r="O209" i="2"/>
  <c r="O210" i="2"/>
  <c r="M211" i="2"/>
  <c r="M209" i="2"/>
  <c r="M210" i="2"/>
  <c r="K211" i="2"/>
  <c r="K209" i="2"/>
  <c r="K210" i="2"/>
  <c r="I211" i="2"/>
  <c r="I209" i="2"/>
  <c r="I210" i="2"/>
  <c r="G211" i="2"/>
  <c r="G209" i="2"/>
  <c r="G210" i="2"/>
  <c r="Y308" i="2"/>
  <c r="Y306" i="2"/>
  <c r="Y307" i="2"/>
  <c r="W308" i="2"/>
  <c r="W306" i="2"/>
  <c r="W307" i="2"/>
  <c r="U308" i="2"/>
  <c r="U306" i="2"/>
  <c r="U307" i="2"/>
  <c r="S308" i="2"/>
  <c r="S306" i="2"/>
  <c r="S307" i="2"/>
  <c r="Q308" i="2"/>
  <c r="Q306" i="2"/>
  <c r="Q307" i="2"/>
  <c r="O308" i="2"/>
  <c r="O306" i="2"/>
  <c r="O307" i="2"/>
  <c r="M308" i="2"/>
  <c r="M306" i="2"/>
  <c r="M307" i="2"/>
  <c r="K308" i="2"/>
  <c r="K306" i="2"/>
  <c r="K307" i="2"/>
  <c r="I308" i="2"/>
  <c r="I306" i="2"/>
  <c r="I307" i="2"/>
  <c r="G308" i="2"/>
  <c r="G306" i="2"/>
  <c r="G307" i="2"/>
  <c r="Y301" i="2"/>
  <c r="Y302" i="2"/>
  <c r="Y300" i="2"/>
  <c r="W301" i="2"/>
  <c r="W302" i="2"/>
  <c r="W300" i="2"/>
  <c r="U301" i="2"/>
  <c r="U302" i="2"/>
  <c r="U300" i="2"/>
  <c r="S301" i="2"/>
  <c r="S302" i="2"/>
  <c r="S300" i="2"/>
  <c r="Q301" i="2"/>
  <c r="Q302" i="2"/>
  <c r="Q300" i="2"/>
  <c r="O301" i="2"/>
  <c r="O302" i="2"/>
  <c r="O300" i="2"/>
  <c r="M301" i="2"/>
  <c r="M302" i="2"/>
  <c r="M300" i="2"/>
  <c r="K301" i="2"/>
  <c r="K302" i="2"/>
  <c r="K300" i="2"/>
  <c r="I301" i="2"/>
  <c r="I302" i="2"/>
  <c r="I300" i="2"/>
  <c r="G301" i="2"/>
  <c r="G302" i="2"/>
  <c r="G300" i="2"/>
  <c r="Y296" i="2"/>
  <c r="Y294" i="2"/>
  <c r="Y295" i="2"/>
  <c r="W296" i="2"/>
  <c r="W295" i="2"/>
  <c r="W294" i="2"/>
  <c r="U296" i="2"/>
  <c r="U295" i="2"/>
  <c r="U294" i="2"/>
  <c r="S296" i="2"/>
  <c r="S295" i="2"/>
  <c r="S294" i="2"/>
  <c r="Q296" i="2"/>
  <c r="Q295" i="2"/>
  <c r="Q294" i="2"/>
  <c r="O296" i="2"/>
  <c r="O295" i="2"/>
  <c r="O294" i="2"/>
  <c r="M296" i="2"/>
  <c r="M295" i="2"/>
  <c r="M294" i="2"/>
  <c r="K296" i="2"/>
  <c r="K295" i="2"/>
  <c r="K294" i="2"/>
  <c r="I296" i="2"/>
  <c r="I295" i="2"/>
  <c r="I294" i="2"/>
  <c r="G296" i="2"/>
  <c r="G295" i="2"/>
  <c r="G294" i="2"/>
  <c r="Y290" i="2"/>
  <c r="Y288" i="2"/>
  <c r="Y289" i="2"/>
  <c r="W290" i="2"/>
  <c r="W288" i="2"/>
  <c r="W289" i="2"/>
  <c r="U290" i="2"/>
  <c r="U288" i="2"/>
  <c r="U289" i="2"/>
  <c r="S290" i="2"/>
  <c r="S288" i="2"/>
  <c r="S289" i="2"/>
  <c r="Q290" i="2"/>
  <c r="Q288" i="2"/>
  <c r="Q289" i="2"/>
  <c r="O290" i="2"/>
  <c r="O288" i="2"/>
  <c r="O289" i="2"/>
  <c r="M290" i="2"/>
  <c r="M288" i="2"/>
  <c r="M289" i="2"/>
  <c r="K290" i="2"/>
  <c r="K288" i="2"/>
  <c r="K289" i="2"/>
  <c r="I290" i="2"/>
  <c r="I288" i="2"/>
  <c r="I289" i="2"/>
  <c r="G290" i="2"/>
  <c r="G288" i="2"/>
  <c r="G289" i="2"/>
  <c r="Y283" i="2"/>
  <c r="Y284" i="2"/>
  <c r="Y282" i="2"/>
  <c r="W283" i="2"/>
  <c r="W284" i="2"/>
  <c r="W282" i="2"/>
  <c r="U283" i="2"/>
  <c r="U284" i="2"/>
  <c r="U282" i="2"/>
  <c r="S283" i="2"/>
  <c r="S284" i="2"/>
  <c r="S282" i="2"/>
  <c r="Q283" i="2"/>
  <c r="Q284" i="2"/>
  <c r="Q282" i="2"/>
  <c r="O283" i="2"/>
  <c r="O284" i="2"/>
  <c r="O282" i="2"/>
  <c r="M283" i="2"/>
  <c r="M284" i="2"/>
  <c r="M282" i="2"/>
  <c r="K283" i="2"/>
  <c r="K284" i="2"/>
  <c r="K282" i="2"/>
  <c r="I283" i="2"/>
  <c r="I284" i="2"/>
  <c r="I282" i="2"/>
  <c r="G283" i="2"/>
  <c r="G284" i="2"/>
  <c r="G282" i="2"/>
  <c r="Y278" i="2"/>
  <c r="Y277" i="2"/>
  <c r="Y276" i="2"/>
  <c r="W278" i="2"/>
  <c r="W277" i="2"/>
  <c r="W276" i="2"/>
  <c r="U278" i="2"/>
  <c r="U277" i="2"/>
  <c r="U276" i="2"/>
  <c r="S278" i="2"/>
  <c r="S277" i="2"/>
  <c r="S276" i="2"/>
  <c r="Q277" i="2"/>
  <c r="Q278" i="2"/>
  <c r="Q276" i="2"/>
  <c r="O278" i="2"/>
  <c r="O277" i="2"/>
  <c r="O276" i="2"/>
  <c r="M277" i="2"/>
  <c r="M278" i="2"/>
  <c r="M276" i="2"/>
  <c r="K278" i="2"/>
  <c r="K277" i="2"/>
  <c r="K276" i="2"/>
  <c r="I277" i="2"/>
  <c r="I278" i="2"/>
  <c r="I276" i="2"/>
  <c r="G278" i="2"/>
  <c r="G277" i="2"/>
  <c r="G276" i="2"/>
  <c r="Y272" i="2"/>
  <c r="Y270" i="2"/>
  <c r="Y271" i="2"/>
  <c r="W272" i="2"/>
  <c r="W270" i="2"/>
  <c r="W271" i="2"/>
  <c r="U272" i="2"/>
  <c r="U270" i="2"/>
  <c r="U271" i="2"/>
  <c r="S272" i="2"/>
  <c r="S270" i="2"/>
  <c r="S271" i="2"/>
  <c r="Q272" i="2"/>
  <c r="Q270" i="2"/>
  <c r="Q271" i="2"/>
  <c r="O272" i="2"/>
  <c r="O270" i="2"/>
  <c r="O271" i="2"/>
  <c r="M272" i="2"/>
  <c r="M270" i="2"/>
  <c r="M271" i="2"/>
  <c r="K272" i="2"/>
  <c r="K270" i="2"/>
  <c r="K271" i="2"/>
  <c r="I272" i="2"/>
  <c r="I270" i="2"/>
  <c r="I271" i="2"/>
  <c r="G272" i="2"/>
  <c r="G270" i="2"/>
  <c r="G271" i="2"/>
  <c r="Y265" i="2"/>
  <c r="Y266" i="2"/>
  <c r="Y264" i="2"/>
  <c r="W265" i="2"/>
  <c r="W266" i="2"/>
  <c r="W264" i="2"/>
  <c r="U265" i="2"/>
  <c r="U266" i="2"/>
  <c r="U264" i="2"/>
  <c r="S265" i="2"/>
  <c r="S266" i="2"/>
  <c r="S264" i="2"/>
  <c r="Q265" i="2"/>
  <c r="Q266" i="2"/>
  <c r="Q264" i="2"/>
  <c r="O265" i="2"/>
  <c r="O266" i="2"/>
  <c r="O264" i="2"/>
  <c r="M265" i="2"/>
  <c r="M266" i="2"/>
  <c r="M264" i="2"/>
  <c r="K265" i="2"/>
  <c r="K266" i="2"/>
  <c r="K264" i="2"/>
  <c r="I265" i="2"/>
  <c r="I266" i="2"/>
  <c r="I264" i="2"/>
  <c r="G265" i="2"/>
  <c r="G266" i="2"/>
  <c r="G264" i="2"/>
  <c r="Y260" i="2"/>
  <c r="Y258" i="2"/>
  <c r="Y259" i="2"/>
  <c r="W260" i="2"/>
  <c r="W258" i="2"/>
  <c r="W259" i="2"/>
  <c r="U260" i="2"/>
  <c r="U258" i="2"/>
  <c r="U259" i="2"/>
  <c r="S260" i="2"/>
  <c r="S258" i="2"/>
  <c r="S259" i="2"/>
  <c r="Q260" i="2"/>
  <c r="Q258" i="2"/>
  <c r="Q259" i="2"/>
  <c r="O260" i="2"/>
  <c r="O258" i="2"/>
  <c r="O259" i="2"/>
  <c r="M260" i="2"/>
  <c r="M258" i="2"/>
  <c r="M259" i="2"/>
  <c r="K260" i="2"/>
  <c r="K258" i="2"/>
  <c r="K259" i="2"/>
  <c r="I260" i="2"/>
  <c r="I258" i="2"/>
  <c r="I259" i="2"/>
  <c r="G260" i="2"/>
  <c r="G258" i="2"/>
  <c r="G259" i="2"/>
  <c r="X254" i="2"/>
  <c r="X252" i="2"/>
  <c r="X253" i="2"/>
  <c r="V254" i="2"/>
  <c r="V252" i="2"/>
  <c r="V253" i="2"/>
  <c r="T254" i="2"/>
  <c r="T252" i="2"/>
  <c r="T253" i="2"/>
  <c r="R254" i="2"/>
  <c r="R252" i="2"/>
  <c r="R253" i="2"/>
  <c r="P254" i="2"/>
  <c r="P252" i="2"/>
  <c r="P253" i="2"/>
  <c r="N254" i="2"/>
  <c r="N252" i="2"/>
  <c r="N253" i="2"/>
  <c r="L254" i="2"/>
  <c r="L252" i="2"/>
  <c r="L253" i="2"/>
  <c r="J254" i="2"/>
  <c r="J252" i="2"/>
  <c r="J253" i="2"/>
  <c r="H254" i="2"/>
  <c r="H252" i="2"/>
  <c r="H253" i="2"/>
  <c r="F254" i="2"/>
  <c r="F252" i="2"/>
  <c r="F253" i="2"/>
  <c r="X247" i="2"/>
  <c r="X248" i="2"/>
  <c r="X246" i="2"/>
  <c r="V247" i="2"/>
  <c r="V248" i="2"/>
  <c r="V246" i="2"/>
  <c r="T247" i="2"/>
  <c r="T248" i="2"/>
  <c r="T246" i="2"/>
  <c r="R247" i="2"/>
  <c r="R248" i="2"/>
  <c r="R246" i="2"/>
  <c r="P247" i="2"/>
  <c r="P248" i="2"/>
  <c r="P246" i="2"/>
  <c r="N247" i="2"/>
  <c r="N248" i="2"/>
  <c r="N246" i="2"/>
  <c r="L247" i="2"/>
  <c r="L248" i="2"/>
  <c r="L246" i="2"/>
  <c r="J247" i="2"/>
  <c r="J248" i="2"/>
  <c r="J246" i="2"/>
  <c r="H247" i="2"/>
  <c r="H248" i="2"/>
  <c r="H246" i="2"/>
  <c r="F248" i="2"/>
  <c r="F246" i="2"/>
  <c r="F247" i="2"/>
  <c r="X241" i="2"/>
  <c r="X242" i="2"/>
  <c r="X240" i="2"/>
  <c r="V241" i="2"/>
  <c r="V242" i="2"/>
  <c r="V240" i="2"/>
  <c r="T241" i="2"/>
  <c r="T242" i="2"/>
  <c r="T240" i="2"/>
  <c r="R241" i="2"/>
  <c r="R242" i="2"/>
  <c r="R240" i="2"/>
  <c r="P241" i="2"/>
  <c r="P242" i="2"/>
  <c r="P240" i="2"/>
  <c r="N241" i="2"/>
  <c r="N242" i="2"/>
  <c r="N240" i="2"/>
  <c r="L241" i="2"/>
  <c r="L242" i="2"/>
  <c r="L240" i="2"/>
  <c r="J241" i="2"/>
  <c r="J242" i="2"/>
  <c r="J240" i="2"/>
  <c r="H241" i="2"/>
  <c r="H242" i="2"/>
  <c r="H240" i="2"/>
  <c r="F241" i="2"/>
  <c r="F242" i="2"/>
  <c r="F240" i="2"/>
  <c r="V99" i="2"/>
  <c r="V100" i="2"/>
  <c r="V98" i="2"/>
  <c r="R99" i="2"/>
  <c r="R100" i="2"/>
  <c r="R98" i="2"/>
  <c r="N99" i="2"/>
  <c r="N100" i="2"/>
  <c r="N98" i="2"/>
  <c r="J99" i="2"/>
  <c r="J100" i="2"/>
  <c r="J98" i="2"/>
  <c r="F99" i="2"/>
  <c r="F100" i="2"/>
  <c r="F98" i="2"/>
  <c r="V94" i="2"/>
  <c r="V92" i="2"/>
  <c r="V93" i="2"/>
  <c r="R94" i="2"/>
  <c r="R92" i="2"/>
  <c r="R93" i="2"/>
  <c r="N94" i="2"/>
  <c r="N92" i="2"/>
  <c r="N93" i="2"/>
  <c r="J94" i="2"/>
  <c r="J92" i="2"/>
  <c r="J93" i="2"/>
  <c r="F94" i="2"/>
  <c r="F92" i="2"/>
  <c r="F93" i="2"/>
  <c r="Y88" i="2"/>
  <c r="Y86" i="2"/>
  <c r="Y87" i="2"/>
  <c r="U88" i="2"/>
  <c r="U86" i="2"/>
  <c r="U87" i="2"/>
  <c r="Q88" i="2"/>
  <c r="Q86" i="2"/>
  <c r="Q87" i="2"/>
  <c r="M88" i="2"/>
  <c r="M86" i="2"/>
  <c r="M87" i="2"/>
  <c r="I88" i="2"/>
  <c r="I86" i="2"/>
  <c r="I87" i="2"/>
  <c r="Y81" i="2"/>
  <c r="Y82" i="2"/>
  <c r="Y80" i="2"/>
  <c r="U81" i="2"/>
  <c r="U82" i="2"/>
  <c r="U80" i="2"/>
  <c r="Q81" i="2"/>
  <c r="Q82" i="2"/>
  <c r="Q80" i="2"/>
  <c r="M81" i="2"/>
  <c r="M82" i="2"/>
  <c r="M80" i="2"/>
  <c r="I81" i="2"/>
  <c r="I82" i="2"/>
  <c r="I80" i="2"/>
  <c r="Y100" i="2"/>
  <c r="Y98" i="2"/>
  <c r="Y99" i="2"/>
  <c r="W100" i="2"/>
  <c r="W98" i="2"/>
  <c r="W99" i="2"/>
  <c r="U100" i="2"/>
  <c r="U98" i="2"/>
  <c r="U99" i="2"/>
  <c r="S100" i="2"/>
  <c r="S98" i="2"/>
  <c r="S99" i="2"/>
  <c r="Q100" i="2"/>
  <c r="Q98" i="2"/>
  <c r="Q99" i="2"/>
  <c r="O100" i="2"/>
  <c r="O98" i="2"/>
  <c r="O99" i="2"/>
  <c r="M100" i="2"/>
  <c r="M98" i="2"/>
  <c r="M99" i="2"/>
  <c r="K100" i="2"/>
  <c r="K98" i="2"/>
  <c r="K99" i="2"/>
  <c r="I100" i="2"/>
  <c r="I98" i="2"/>
  <c r="I99" i="2"/>
  <c r="G100" i="2"/>
  <c r="G98" i="2"/>
  <c r="G99" i="2"/>
  <c r="Y93" i="2"/>
  <c r="Y94" i="2"/>
  <c r="Y92" i="2"/>
  <c r="W93" i="2"/>
  <c r="W94" i="2"/>
  <c r="W92" i="2"/>
  <c r="U93" i="2"/>
  <c r="U94" i="2"/>
  <c r="U92" i="2"/>
  <c r="S93" i="2"/>
  <c r="S94" i="2"/>
  <c r="S92" i="2"/>
  <c r="Q93" i="2"/>
  <c r="Q94" i="2"/>
  <c r="Q92" i="2"/>
  <c r="O93" i="2"/>
  <c r="O94" i="2"/>
  <c r="O92" i="2"/>
  <c r="M93" i="2"/>
  <c r="M94" i="2"/>
  <c r="M92" i="2"/>
  <c r="K93" i="2"/>
  <c r="K94" i="2"/>
  <c r="K92" i="2"/>
  <c r="I93" i="2"/>
  <c r="I94" i="2"/>
  <c r="I92" i="2"/>
  <c r="G93" i="2"/>
  <c r="G94" i="2"/>
  <c r="G92" i="2"/>
  <c r="X87" i="2"/>
  <c r="X88" i="2"/>
  <c r="X86" i="2"/>
  <c r="V87" i="2"/>
  <c r="V88" i="2"/>
  <c r="V86" i="2"/>
  <c r="T87" i="2"/>
  <c r="T88" i="2"/>
  <c r="T86" i="2"/>
  <c r="R87" i="2"/>
  <c r="R88" i="2"/>
  <c r="R86" i="2"/>
  <c r="P87" i="2"/>
  <c r="P88" i="2"/>
  <c r="P86" i="2"/>
  <c r="N87" i="2"/>
  <c r="N88" i="2"/>
  <c r="N86" i="2"/>
  <c r="L87" i="2"/>
  <c r="L88" i="2"/>
  <c r="L86" i="2"/>
  <c r="J87" i="2"/>
  <c r="J88" i="2"/>
  <c r="J86" i="2"/>
  <c r="H87" i="2"/>
  <c r="H88" i="2"/>
  <c r="H86" i="2"/>
  <c r="F87" i="2"/>
  <c r="F88" i="2"/>
  <c r="F86" i="2"/>
  <c r="X82" i="2"/>
  <c r="X80" i="2"/>
  <c r="X81" i="2"/>
  <c r="V82" i="2"/>
  <c r="V80" i="2"/>
  <c r="V81" i="2"/>
  <c r="T82" i="2"/>
  <c r="T80" i="2"/>
  <c r="T81" i="2"/>
  <c r="R82" i="2"/>
  <c r="R80" i="2"/>
  <c r="R81" i="2"/>
  <c r="P82" i="2"/>
  <c r="P80" i="2"/>
  <c r="P81" i="2"/>
  <c r="N82" i="2"/>
  <c r="N80" i="2"/>
  <c r="N81" i="2"/>
  <c r="L82" i="2"/>
  <c r="L80" i="2"/>
  <c r="L81" i="2"/>
  <c r="J82" i="2"/>
  <c r="J80" i="2"/>
  <c r="J81" i="2"/>
  <c r="H82" i="2"/>
  <c r="H80" i="2"/>
  <c r="H81" i="2"/>
  <c r="F82" i="2"/>
  <c r="F80" i="2"/>
  <c r="F81" i="2"/>
  <c r="X160" i="2"/>
  <c r="X161" i="2"/>
  <c r="X159" i="2"/>
  <c r="V160" i="2"/>
  <c r="V161" i="2"/>
  <c r="V159" i="2"/>
  <c r="T160" i="2"/>
  <c r="T161" i="2"/>
  <c r="T159" i="2"/>
  <c r="R160" i="2"/>
  <c r="R161" i="2"/>
  <c r="R159" i="2"/>
  <c r="P160" i="2"/>
  <c r="P161" i="2"/>
  <c r="P159" i="2"/>
  <c r="N160" i="2"/>
  <c r="N161" i="2"/>
  <c r="N159" i="2"/>
  <c r="L160" i="2"/>
  <c r="L161" i="2"/>
  <c r="L159" i="2"/>
  <c r="J160" i="2"/>
  <c r="J161" i="2"/>
  <c r="J159" i="2"/>
  <c r="H160" i="2"/>
  <c r="H161" i="2"/>
  <c r="H159" i="2"/>
  <c r="F160" i="2"/>
  <c r="F161" i="2"/>
  <c r="F159" i="2"/>
  <c r="X155" i="2"/>
  <c r="X153" i="2"/>
  <c r="X154" i="2"/>
  <c r="V155" i="2"/>
  <c r="V153" i="2"/>
  <c r="V154" i="2"/>
  <c r="T155" i="2"/>
  <c r="T153" i="2"/>
  <c r="T154" i="2"/>
  <c r="R155" i="2"/>
  <c r="R153" i="2"/>
  <c r="R154" i="2"/>
  <c r="P155" i="2"/>
  <c r="P153" i="2"/>
  <c r="P154" i="2"/>
  <c r="N155" i="2"/>
  <c r="N153" i="2"/>
  <c r="N154" i="2"/>
  <c r="L155" i="2"/>
  <c r="L153" i="2"/>
  <c r="L154" i="2"/>
  <c r="J155" i="2"/>
  <c r="J153" i="2"/>
  <c r="J154" i="2"/>
  <c r="H155" i="2"/>
  <c r="H153" i="2"/>
  <c r="H154" i="2"/>
  <c r="F155" i="2"/>
  <c r="F153" i="2"/>
  <c r="F154" i="2"/>
  <c r="X148" i="2"/>
  <c r="X149" i="2"/>
  <c r="X147" i="2"/>
  <c r="V148" i="2"/>
  <c r="V149" i="2"/>
  <c r="V147" i="2"/>
  <c r="T148" i="2"/>
  <c r="T149" i="2"/>
  <c r="T147" i="2"/>
  <c r="R148" i="2"/>
  <c r="R149" i="2"/>
  <c r="R147" i="2"/>
  <c r="P148" i="2"/>
  <c r="P149" i="2"/>
  <c r="P147" i="2"/>
  <c r="N148" i="2"/>
  <c r="N149" i="2"/>
  <c r="N147" i="2"/>
  <c r="L148" i="2"/>
  <c r="L149" i="2"/>
  <c r="L147" i="2"/>
  <c r="J148" i="2"/>
  <c r="J149" i="2"/>
  <c r="J147" i="2"/>
  <c r="H148" i="2"/>
  <c r="H149" i="2"/>
  <c r="H147" i="2"/>
  <c r="F148" i="2"/>
  <c r="F149" i="2"/>
  <c r="F147" i="2"/>
  <c r="X143" i="2"/>
  <c r="X141" i="2"/>
  <c r="X142" i="2"/>
  <c r="V143" i="2"/>
  <c r="V141" i="2"/>
  <c r="V142" i="2"/>
  <c r="T143" i="2"/>
  <c r="T141" i="2"/>
  <c r="T142" i="2"/>
  <c r="R143" i="2"/>
  <c r="R141" i="2"/>
  <c r="R142" i="2"/>
  <c r="P143" i="2"/>
  <c r="P141" i="2"/>
  <c r="P142" i="2"/>
  <c r="N143" i="2"/>
  <c r="N141" i="2"/>
  <c r="N142" i="2"/>
  <c r="L143" i="2"/>
  <c r="L141" i="2"/>
  <c r="L142" i="2"/>
  <c r="J143" i="2"/>
  <c r="J141" i="2"/>
  <c r="J142" i="2"/>
  <c r="H143" i="2"/>
  <c r="H141" i="2"/>
  <c r="H142" i="2"/>
  <c r="F143" i="2"/>
  <c r="F141" i="2"/>
  <c r="F142" i="2"/>
  <c r="X136" i="2"/>
  <c r="X137" i="2"/>
  <c r="X135" i="2"/>
  <c r="V136" i="2"/>
  <c r="V137" i="2"/>
  <c r="V135" i="2"/>
  <c r="T136" i="2"/>
  <c r="T137" i="2"/>
  <c r="T135" i="2"/>
  <c r="R137" i="2"/>
  <c r="R136" i="2"/>
  <c r="R135" i="2"/>
  <c r="P136" i="2"/>
  <c r="P137" i="2"/>
  <c r="P135" i="2"/>
  <c r="N136" i="2"/>
  <c r="N137" i="2"/>
  <c r="N135" i="2"/>
  <c r="L136" i="2"/>
  <c r="L137" i="2"/>
  <c r="L135" i="2"/>
  <c r="J136" i="2"/>
  <c r="J137" i="2"/>
  <c r="J135" i="2"/>
  <c r="H136" i="2"/>
  <c r="H137" i="2"/>
  <c r="H135" i="2"/>
  <c r="F136" i="2"/>
  <c r="F137" i="2"/>
  <c r="F135" i="2"/>
  <c r="X131" i="2"/>
  <c r="X129" i="2"/>
  <c r="X130" i="2"/>
  <c r="V131" i="2"/>
  <c r="V129" i="2"/>
  <c r="V130" i="2"/>
  <c r="T131" i="2"/>
  <c r="T129" i="2"/>
  <c r="T130" i="2"/>
  <c r="R131" i="2"/>
  <c r="R130" i="2"/>
  <c r="R129" i="2"/>
  <c r="P131" i="2"/>
  <c r="P130" i="2"/>
  <c r="P129" i="2"/>
  <c r="N131" i="2"/>
  <c r="N130" i="2"/>
  <c r="N129" i="2"/>
  <c r="L131" i="2"/>
  <c r="L130" i="2"/>
  <c r="L129" i="2"/>
  <c r="J131" i="2"/>
  <c r="J130" i="2"/>
  <c r="J129" i="2"/>
  <c r="H131" i="2"/>
  <c r="H130" i="2"/>
  <c r="H129" i="2"/>
  <c r="F131" i="2"/>
  <c r="F130" i="2"/>
  <c r="F129" i="2"/>
  <c r="Y124" i="2"/>
  <c r="Y125" i="2"/>
  <c r="Y123" i="2"/>
  <c r="W124" i="2"/>
  <c r="W125" i="2"/>
  <c r="W123" i="2"/>
  <c r="U124" i="2"/>
  <c r="U125" i="2"/>
  <c r="U123" i="2"/>
  <c r="S124" i="2"/>
  <c r="S125" i="2"/>
  <c r="S123" i="2"/>
  <c r="Q124" i="2"/>
  <c r="Q125" i="2"/>
  <c r="Q123" i="2"/>
  <c r="O124" i="2"/>
  <c r="O125" i="2"/>
  <c r="O123" i="2"/>
  <c r="M124" i="2"/>
  <c r="M125" i="2"/>
  <c r="M123" i="2"/>
  <c r="K124" i="2"/>
  <c r="K125" i="2"/>
  <c r="K123" i="2"/>
  <c r="I124" i="2"/>
  <c r="I125" i="2"/>
  <c r="I123" i="2"/>
  <c r="G124" i="2"/>
  <c r="G125" i="2"/>
  <c r="G123" i="2"/>
  <c r="Y119" i="2"/>
  <c r="Y117" i="2"/>
  <c r="Y118" i="2"/>
  <c r="W119" i="2"/>
  <c r="W117" i="2"/>
  <c r="W118" i="2"/>
  <c r="U119" i="2"/>
  <c r="U117" i="2"/>
  <c r="U118" i="2"/>
  <c r="S119" i="2"/>
  <c r="S117" i="2"/>
  <c r="S118" i="2"/>
  <c r="Q119" i="2"/>
  <c r="Q117" i="2"/>
  <c r="Q118" i="2"/>
  <c r="O119" i="2"/>
  <c r="O117" i="2"/>
  <c r="O118" i="2"/>
  <c r="M119" i="2"/>
  <c r="M117" i="2"/>
  <c r="M118" i="2"/>
  <c r="K119" i="2"/>
  <c r="K117" i="2"/>
  <c r="K118" i="2"/>
  <c r="I119" i="2"/>
  <c r="I117" i="2"/>
  <c r="I118" i="2"/>
  <c r="G119" i="2"/>
  <c r="G117" i="2"/>
  <c r="G118" i="2"/>
  <c r="Y112" i="2"/>
  <c r="Y106" i="2" s="1"/>
  <c r="Y15" i="3" s="1"/>
  <c r="Y113" i="2"/>
  <c r="Y111" i="2"/>
  <c r="W112" i="2"/>
  <c r="W106" i="2" s="1"/>
  <c r="W15" i="3" s="1"/>
  <c r="W113" i="2"/>
  <c r="W111" i="2"/>
  <c r="U112" i="2"/>
  <c r="U106" i="2" s="1"/>
  <c r="U15" i="3" s="1"/>
  <c r="U113" i="2"/>
  <c r="U111" i="2"/>
  <c r="S112" i="2"/>
  <c r="S113" i="2"/>
  <c r="S111" i="2"/>
  <c r="Q112" i="2"/>
  <c r="Q113" i="2"/>
  <c r="Q111" i="2"/>
  <c r="O112" i="2"/>
  <c r="O106" i="2" s="1"/>
  <c r="O15" i="3" s="1"/>
  <c r="O113" i="2"/>
  <c r="O111" i="2"/>
  <c r="M112" i="2"/>
  <c r="M106" i="2" s="1"/>
  <c r="M15" i="3" s="1"/>
  <c r="M113" i="2"/>
  <c r="M111" i="2"/>
  <c r="K112" i="2"/>
  <c r="K106" i="2" s="1"/>
  <c r="K15" i="3" s="1"/>
  <c r="K113" i="2"/>
  <c r="K111" i="2"/>
  <c r="I112" i="2"/>
  <c r="I106" i="2" s="1"/>
  <c r="I15" i="3" s="1"/>
  <c r="I113" i="2"/>
  <c r="I111" i="2"/>
  <c r="G112" i="2"/>
  <c r="G106" i="2" s="1"/>
  <c r="G15" i="3" s="1"/>
  <c r="G113" i="2"/>
  <c r="G111" i="2"/>
  <c r="Y198" i="2"/>
  <c r="Y197" i="2"/>
  <c r="Y196" i="2"/>
  <c r="W198" i="2"/>
  <c r="W197" i="2"/>
  <c r="W196" i="2"/>
  <c r="U198" i="2"/>
  <c r="U197" i="2"/>
  <c r="U196" i="2"/>
  <c r="S198" i="2"/>
  <c r="S197" i="2"/>
  <c r="S196" i="2"/>
  <c r="Q198" i="2"/>
  <c r="Q197" i="2"/>
  <c r="Q196" i="2"/>
  <c r="O197" i="2"/>
  <c r="O198" i="2"/>
  <c r="O196" i="2"/>
  <c r="M197" i="2"/>
  <c r="M198" i="2"/>
  <c r="M196" i="2"/>
  <c r="K197" i="2"/>
  <c r="K198" i="2"/>
  <c r="K196" i="2"/>
  <c r="I197" i="2"/>
  <c r="I198" i="2"/>
  <c r="I196" i="2"/>
  <c r="G197" i="2"/>
  <c r="G198" i="2"/>
  <c r="G196" i="2"/>
  <c r="Y192" i="2"/>
  <c r="Y190" i="2"/>
  <c r="Y191" i="2"/>
  <c r="W192" i="2"/>
  <c r="W190" i="2"/>
  <c r="W191" i="2"/>
  <c r="U192" i="2"/>
  <c r="U190" i="2"/>
  <c r="U191" i="2"/>
  <c r="S192" i="2"/>
  <c r="S190" i="2"/>
  <c r="S191" i="2"/>
  <c r="Q192" i="2"/>
  <c r="Q190" i="2"/>
  <c r="Q191" i="2"/>
  <c r="O192" i="2"/>
  <c r="O190" i="2"/>
  <c r="O191" i="2"/>
  <c r="M192" i="2"/>
  <c r="M190" i="2"/>
  <c r="M191" i="2"/>
  <c r="K192" i="2"/>
  <c r="K190" i="2"/>
  <c r="K191" i="2"/>
  <c r="I192" i="2"/>
  <c r="I190" i="2"/>
  <c r="I191" i="2"/>
  <c r="G192" i="2"/>
  <c r="G190" i="2"/>
  <c r="G191" i="2"/>
  <c r="Y185" i="2"/>
  <c r="Y186" i="2"/>
  <c r="Y184" i="2"/>
  <c r="W185" i="2"/>
  <c r="W186" i="2"/>
  <c r="W184" i="2"/>
  <c r="U185" i="2"/>
  <c r="U186" i="2"/>
  <c r="U184" i="2"/>
  <c r="S185" i="2"/>
  <c r="S186" i="2"/>
  <c r="S184" i="2"/>
  <c r="Q185" i="2"/>
  <c r="Q186" i="2"/>
  <c r="Q184" i="2"/>
  <c r="O185" i="2"/>
  <c r="O186" i="2"/>
  <c r="O184" i="2"/>
  <c r="M185" i="2"/>
  <c r="M186" i="2"/>
  <c r="M184" i="2"/>
  <c r="K185" i="2"/>
  <c r="K186" i="2"/>
  <c r="K184" i="2"/>
  <c r="I185" i="2"/>
  <c r="I186" i="2"/>
  <c r="I184" i="2"/>
  <c r="G185" i="2"/>
  <c r="G186" i="2"/>
  <c r="G184" i="2"/>
  <c r="Y180" i="2"/>
  <c r="Y178" i="2"/>
  <c r="Y179" i="2"/>
  <c r="W180" i="2"/>
  <c r="W178" i="2"/>
  <c r="W179" i="2"/>
  <c r="U180" i="2"/>
  <c r="U178" i="2"/>
  <c r="U179" i="2"/>
  <c r="S180" i="2"/>
  <c r="S178" i="2"/>
  <c r="S179" i="2"/>
  <c r="Q180" i="2"/>
  <c r="Q178" i="2"/>
  <c r="Q179" i="2"/>
  <c r="O180" i="2"/>
  <c r="O178" i="2"/>
  <c r="O179" i="2"/>
  <c r="M180" i="2"/>
  <c r="M178" i="2"/>
  <c r="M179" i="2"/>
  <c r="K180" i="2"/>
  <c r="K178" i="2"/>
  <c r="K179" i="2"/>
  <c r="I180" i="2"/>
  <c r="I178" i="2"/>
  <c r="I179" i="2"/>
  <c r="G180" i="2"/>
  <c r="G178" i="2"/>
  <c r="G179" i="2"/>
  <c r="Y173" i="2"/>
  <c r="Y174" i="2"/>
  <c r="Y172" i="2"/>
  <c r="W173" i="2"/>
  <c r="W174" i="2"/>
  <c r="W172" i="2"/>
  <c r="U173" i="2"/>
  <c r="U174" i="2"/>
  <c r="U172" i="2"/>
  <c r="S173" i="2"/>
  <c r="S174" i="2"/>
  <c r="S172" i="2"/>
  <c r="Q173" i="2"/>
  <c r="Q174" i="2"/>
  <c r="Q172" i="2"/>
  <c r="O173" i="2"/>
  <c r="O167" i="2" s="1"/>
  <c r="O18" i="3" s="1"/>
  <c r="O174" i="2"/>
  <c r="O172" i="2"/>
  <c r="M173" i="2"/>
  <c r="M167" i="2" s="1"/>
  <c r="M18" i="3" s="1"/>
  <c r="M174" i="2"/>
  <c r="M172" i="2"/>
  <c r="K173" i="2"/>
  <c r="K174" i="2"/>
  <c r="K172" i="2"/>
  <c r="I173" i="2"/>
  <c r="I174" i="2"/>
  <c r="I172" i="2"/>
  <c r="G173" i="2"/>
  <c r="G167" i="2" s="1"/>
  <c r="G18" i="3" s="1"/>
  <c r="G174" i="2"/>
  <c r="G172" i="2"/>
  <c r="Y228" i="2"/>
  <c r="Y229" i="2"/>
  <c r="Y227" i="2"/>
  <c r="W228" i="2"/>
  <c r="W229" i="2"/>
  <c r="W227" i="2"/>
  <c r="U228" i="2"/>
  <c r="U229" i="2"/>
  <c r="U227" i="2"/>
  <c r="S228" i="2"/>
  <c r="S229" i="2"/>
  <c r="S227" i="2"/>
  <c r="Q228" i="2"/>
  <c r="Q229" i="2"/>
  <c r="Q227" i="2"/>
  <c r="O228" i="2"/>
  <c r="O229" i="2"/>
  <c r="O227" i="2"/>
  <c r="M228" i="2"/>
  <c r="M229" i="2"/>
  <c r="M227" i="2"/>
  <c r="K228" i="2"/>
  <c r="K229" i="2"/>
  <c r="K227" i="2"/>
  <c r="I228" i="2"/>
  <c r="I229" i="2"/>
  <c r="I227" i="2"/>
  <c r="G228" i="2"/>
  <c r="G229" i="2"/>
  <c r="G227" i="2"/>
  <c r="Y223" i="2"/>
  <c r="Y221" i="2"/>
  <c r="Y222" i="2"/>
  <c r="W223" i="2"/>
  <c r="W221" i="2"/>
  <c r="W222" i="2"/>
  <c r="U223" i="2"/>
  <c r="U221" i="2"/>
  <c r="U222" i="2"/>
  <c r="S223" i="2"/>
  <c r="S221" i="2"/>
  <c r="S222" i="2"/>
  <c r="Q223" i="2"/>
  <c r="Q221" i="2"/>
  <c r="Q222" i="2"/>
  <c r="O223" i="2"/>
  <c r="O221" i="2"/>
  <c r="O222" i="2"/>
  <c r="M223" i="2"/>
  <c r="M221" i="2"/>
  <c r="M222" i="2"/>
  <c r="K223" i="2"/>
  <c r="K221" i="2"/>
  <c r="K222" i="2"/>
  <c r="I223" i="2"/>
  <c r="I221" i="2"/>
  <c r="I222" i="2"/>
  <c r="G223" i="2"/>
  <c r="G221" i="2"/>
  <c r="G222" i="2"/>
  <c r="Y216" i="2"/>
  <c r="Y204" i="2" s="1"/>
  <c r="Y21" i="3" s="1"/>
  <c r="Y217" i="2"/>
  <c r="Y215" i="2"/>
  <c r="W216" i="2"/>
  <c r="W217" i="2"/>
  <c r="W215" i="2"/>
  <c r="U216" i="2"/>
  <c r="U204" i="2" s="1"/>
  <c r="U21" i="3" s="1"/>
  <c r="U217" i="2"/>
  <c r="U215" i="2"/>
  <c r="S216" i="2"/>
  <c r="S204" i="2" s="1"/>
  <c r="S21" i="3" s="1"/>
  <c r="S217" i="2"/>
  <c r="S215" i="2"/>
  <c r="Q216" i="2"/>
  <c r="Q204" i="2" s="1"/>
  <c r="Q21" i="3" s="1"/>
  <c r="Q217" i="2"/>
  <c r="Q215" i="2"/>
  <c r="O216" i="2"/>
  <c r="O217" i="2"/>
  <c r="O215" i="2"/>
  <c r="M216" i="2"/>
  <c r="M204" i="2" s="1"/>
  <c r="M21" i="3" s="1"/>
  <c r="M217" i="2"/>
  <c r="M215" i="2"/>
  <c r="K216" i="2"/>
  <c r="K217" i="2"/>
  <c r="K215" i="2"/>
  <c r="I216" i="2"/>
  <c r="I204" i="2" s="1"/>
  <c r="I21" i="3" s="1"/>
  <c r="I217" i="2"/>
  <c r="I215" i="2"/>
  <c r="G216" i="2"/>
  <c r="G217" i="2"/>
  <c r="G215" i="2"/>
  <c r="X210" i="2"/>
  <c r="X204" i="2" s="1"/>
  <c r="X21" i="3" s="1"/>
  <c r="X211" i="2"/>
  <c r="X209" i="2"/>
  <c r="V210" i="2"/>
  <c r="V204" i="2" s="1"/>
  <c r="V21" i="3" s="1"/>
  <c r="V211" i="2"/>
  <c r="V209" i="2"/>
  <c r="T210" i="2"/>
  <c r="T204" i="2" s="1"/>
  <c r="T21" i="3" s="1"/>
  <c r="T211" i="2"/>
  <c r="T209" i="2"/>
  <c r="R210" i="2"/>
  <c r="R204" i="2" s="1"/>
  <c r="R21" i="3" s="1"/>
  <c r="R211" i="2"/>
  <c r="R209" i="2"/>
  <c r="P210" i="2"/>
  <c r="P204" i="2" s="1"/>
  <c r="P21" i="3" s="1"/>
  <c r="P211" i="2"/>
  <c r="P209" i="2"/>
  <c r="N210" i="2"/>
  <c r="N204" i="2" s="1"/>
  <c r="N21" i="3" s="1"/>
  <c r="N211" i="2"/>
  <c r="N209" i="2"/>
  <c r="L210" i="2"/>
  <c r="L204" i="2" s="1"/>
  <c r="L21" i="3" s="1"/>
  <c r="L211" i="2"/>
  <c r="L209" i="2"/>
  <c r="J210" i="2"/>
  <c r="J204" i="2" s="1"/>
  <c r="J21" i="3" s="1"/>
  <c r="J211" i="2"/>
  <c r="J209" i="2"/>
  <c r="H210" i="2"/>
  <c r="H204" i="2" s="1"/>
  <c r="H21" i="3" s="1"/>
  <c r="H211" i="2"/>
  <c r="H209" i="2"/>
  <c r="F210" i="2"/>
  <c r="F211" i="2"/>
  <c r="F209" i="2"/>
  <c r="X307" i="2"/>
  <c r="X308" i="2"/>
  <c r="X306" i="2"/>
  <c r="V307" i="2"/>
  <c r="V308" i="2"/>
  <c r="V306" i="2"/>
  <c r="T307" i="2"/>
  <c r="T308" i="2"/>
  <c r="T306" i="2"/>
  <c r="R307" i="2"/>
  <c r="R308" i="2"/>
  <c r="R306" i="2"/>
  <c r="P307" i="2"/>
  <c r="P308" i="2"/>
  <c r="P306" i="2"/>
  <c r="N307" i="2"/>
  <c r="N308" i="2"/>
  <c r="N306" i="2"/>
  <c r="L307" i="2"/>
  <c r="L308" i="2"/>
  <c r="L306" i="2"/>
  <c r="J307" i="2"/>
  <c r="J308" i="2"/>
  <c r="J306" i="2"/>
  <c r="H307" i="2"/>
  <c r="H308" i="2"/>
  <c r="H306" i="2"/>
  <c r="F307" i="2"/>
  <c r="F308" i="2"/>
  <c r="F306" i="2"/>
  <c r="X302" i="2"/>
  <c r="X300" i="2"/>
  <c r="X301" i="2"/>
  <c r="V302" i="2"/>
  <c r="V300" i="2"/>
  <c r="V301" i="2"/>
  <c r="T302" i="2"/>
  <c r="T300" i="2"/>
  <c r="T301" i="2"/>
  <c r="R302" i="2"/>
  <c r="R300" i="2"/>
  <c r="R301" i="2"/>
  <c r="P302" i="2"/>
  <c r="P300" i="2"/>
  <c r="P301" i="2"/>
  <c r="N302" i="2"/>
  <c r="N300" i="2"/>
  <c r="N301" i="2"/>
  <c r="L302" i="2"/>
  <c r="L300" i="2"/>
  <c r="L301" i="2"/>
  <c r="J302" i="2"/>
  <c r="J300" i="2"/>
  <c r="J301" i="2"/>
  <c r="H302" i="2"/>
  <c r="H300" i="2"/>
  <c r="H301" i="2"/>
  <c r="F302" i="2"/>
  <c r="F300" i="2"/>
  <c r="F301" i="2"/>
  <c r="X295" i="2"/>
  <c r="X296" i="2"/>
  <c r="X294" i="2"/>
  <c r="V295" i="2"/>
  <c r="V296" i="2"/>
  <c r="V294" i="2"/>
  <c r="T295" i="2"/>
  <c r="T296" i="2"/>
  <c r="T294" i="2"/>
  <c r="R295" i="2"/>
  <c r="R296" i="2"/>
  <c r="R294" i="2"/>
  <c r="P295" i="2"/>
  <c r="P296" i="2"/>
  <c r="P294" i="2"/>
  <c r="N295" i="2"/>
  <c r="N296" i="2"/>
  <c r="N294" i="2"/>
  <c r="L295" i="2"/>
  <c r="L296" i="2"/>
  <c r="L294" i="2"/>
  <c r="J295" i="2"/>
  <c r="J296" i="2"/>
  <c r="J294" i="2"/>
  <c r="H295" i="2"/>
  <c r="H296" i="2"/>
  <c r="H294" i="2"/>
  <c r="F295" i="2"/>
  <c r="F296" i="2"/>
  <c r="F294" i="2"/>
  <c r="X289" i="2"/>
  <c r="X290" i="2"/>
  <c r="X288" i="2"/>
  <c r="V289" i="2"/>
  <c r="V290" i="2"/>
  <c r="V288" i="2"/>
  <c r="T289" i="2"/>
  <c r="T290" i="2"/>
  <c r="T288" i="2"/>
  <c r="R289" i="2"/>
  <c r="R290" i="2"/>
  <c r="R288" i="2"/>
  <c r="P289" i="2"/>
  <c r="P290" i="2"/>
  <c r="P288" i="2"/>
  <c r="N289" i="2"/>
  <c r="N290" i="2"/>
  <c r="N288" i="2"/>
  <c r="L289" i="2"/>
  <c r="L290" i="2"/>
  <c r="L288" i="2"/>
  <c r="J289" i="2"/>
  <c r="J290" i="2"/>
  <c r="J288" i="2"/>
  <c r="H289" i="2"/>
  <c r="H290" i="2"/>
  <c r="H288" i="2"/>
  <c r="F289" i="2"/>
  <c r="F290" i="2"/>
  <c r="F288" i="2"/>
  <c r="X284" i="2"/>
  <c r="X282" i="2"/>
  <c r="X283" i="2"/>
  <c r="V284" i="2"/>
  <c r="V282" i="2"/>
  <c r="V283" i="2"/>
  <c r="T284" i="2"/>
  <c r="T282" i="2"/>
  <c r="T283" i="2"/>
  <c r="R284" i="2"/>
  <c r="R282" i="2"/>
  <c r="R283" i="2"/>
  <c r="P284" i="2"/>
  <c r="P282" i="2"/>
  <c r="P283" i="2"/>
  <c r="N284" i="2"/>
  <c r="N282" i="2"/>
  <c r="N283" i="2"/>
  <c r="L284" i="2"/>
  <c r="L282" i="2"/>
  <c r="L283" i="2"/>
  <c r="J284" i="2"/>
  <c r="J282" i="2"/>
  <c r="J283" i="2"/>
  <c r="H284" i="2"/>
  <c r="H282" i="2"/>
  <c r="H283" i="2"/>
  <c r="F284" i="2"/>
  <c r="F282" i="2"/>
  <c r="F283" i="2"/>
  <c r="X278" i="2"/>
  <c r="X277" i="2"/>
  <c r="X276" i="2"/>
  <c r="V278" i="2"/>
  <c r="V276" i="2"/>
  <c r="V277" i="2"/>
  <c r="T278" i="2"/>
  <c r="T276" i="2"/>
  <c r="T277" i="2"/>
  <c r="R278" i="2"/>
  <c r="R276" i="2"/>
  <c r="R277" i="2"/>
  <c r="P278" i="2"/>
  <c r="P276" i="2"/>
  <c r="P277" i="2"/>
  <c r="N278" i="2"/>
  <c r="N276" i="2"/>
  <c r="N277" i="2"/>
  <c r="L278" i="2"/>
  <c r="L276" i="2"/>
  <c r="L277" i="2"/>
  <c r="J278" i="2"/>
  <c r="J276" i="2"/>
  <c r="J277" i="2"/>
  <c r="H278" i="2"/>
  <c r="H276" i="2"/>
  <c r="H277" i="2"/>
  <c r="F278" i="2"/>
  <c r="F276" i="2"/>
  <c r="F277" i="2"/>
  <c r="X271" i="2"/>
  <c r="X272" i="2"/>
  <c r="X270" i="2"/>
  <c r="V271" i="2"/>
  <c r="V272" i="2"/>
  <c r="V270" i="2"/>
  <c r="T271" i="2"/>
  <c r="T272" i="2"/>
  <c r="T270" i="2"/>
  <c r="R271" i="2"/>
  <c r="R272" i="2"/>
  <c r="R270" i="2"/>
  <c r="P271" i="2"/>
  <c r="P272" i="2"/>
  <c r="P270" i="2"/>
  <c r="N271" i="2"/>
  <c r="N272" i="2"/>
  <c r="N270" i="2"/>
  <c r="L271" i="2"/>
  <c r="L272" i="2"/>
  <c r="L270" i="2"/>
  <c r="J271" i="2"/>
  <c r="J272" i="2"/>
  <c r="J270" i="2"/>
  <c r="H271" i="2"/>
  <c r="H272" i="2"/>
  <c r="H270" i="2"/>
  <c r="F271" i="2"/>
  <c r="F272" i="2"/>
  <c r="F270" i="2"/>
  <c r="X266" i="2"/>
  <c r="X264" i="2"/>
  <c r="X265" i="2"/>
  <c r="V266" i="2"/>
  <c r="V264" i="2"/>
  <c r="V265" i="2"/>
  <c r="T266" i="2"/>
  <c r="T264" i="2"/>
  <c r="T265" i="2"/>
  <c r="R266" i="2"/>
  <c r="R264" i="2"/>
  <c r="R265" i="2"/>
  <c r="P266" i="2"/>
  <c r="P264" i="2"/>
  <c r="P265" i="2"/>
  <c r="N266" i="2"/>
  <c r="N264" i="2"/>
  <c r="N265" i="2"/>
  <c r="L266" i="2"/>
  <c r="L264" i="2"/>
  <c r="L265" i="2"/>
  <c r="J266" i="2"/>
  <c r="J264" i="2"/>
  <c r="J265" i="2"/>
  <c r="H266" i="2"/>
  <c r="H264" i="2"/>
  <c r="H265" i="2"/>
  <c r="F266" i="2"/>
  <c r="F264" i="2"/>
  <c r="F265" i="2"/>
  <c r="X259" i="2"/>
  <c r="X260" i="2"/>
  <c r="X258" i="2"/>
  <c r="V259" i="2"/>
  <c r="V260" i="2"/>
  <c r="V258" i="2"/>
  <c r="T259" i="2"/>
  <c r="T235" i="2" s="1"/>
  <c r="T24" i="3" s="1"/>
  <c r="T260" i="2"/>
  <c r="T258" i="2"/>
  <c r="R259" i="2"/>
  <c r="R260" i="2"/>
  <c r="R258" i="2"/>
  <c r="P259" i="2"/>
  <c r="P235" i="2" s="1"/>
  <c r="P24" i="3" s="1"/>
  <c r="P260" i="2"/>
  <c r="P258" i="2"/>
  <c r="N259" i="2"/>
  <c r="N260" i="2"/>
  <c r="N258" i="2"/>
  <c r="L259" i="2"/>
  <c r="L235" i="2" s="1"/>
  <c r="L24" i="3" s="1"/>
  <c r="L260" i="2"/>
  <c r="L258" i="2"/>
  <c r="J259" i="2"/>
  <c r="J260" i="2"/>
  <c r="J258" i="2"/>
  <c r="H259" i="2"/>
  <c r="H235" i="2" s="1"/>
  <c r="H24" i="3" s="1"/>
  <c r="H260" i="2"/>
  <c r="H258" i="2"/>
  <c r="F259" i="2"/>
  <c r="F260" i="2"/>
  <c r="F258" i="2"/>
  <c r="Y253" i="2"/>
  <c r="Y254" i="2"/>
  <c r="Y252" i="2"/>
  <c r="W253" i="2"/>
  <c r="W254" i="2"/>
  <c r="W252" i="2"/>
  <c r="U253" i="2"/>
  <c r="U254" i="2"/>
  <c r="U252" i="2"/>
  <c r="S253" i="2"/>
  <c r="S254" i="2"/>
  <c r="S252" i="2"/>
  <c r="Q253" i="2"/>
  <c r="Q254" i="2"/>
  <c r="Q252" i="2"/>
  <c r="O253" i="2"/>
  <c r="O254" i="2"/>
  <c r="O252" i="2"/>
  <c r="M253" i="2"/>
  <c r="M254" i="2"/>
  <c r="M252" i="2"/>
  <c r="K253" i="2"/>
  <c r="K254" i="2"/>
  <c r="K252" i="2"/>
  <c r="I253" i="2"/>
  <c r="I254" i="2"/>
  <c r="I252" i="2"/>
  <c r="G253" i="2"/>
  <c r="G254" i="2"/>
  <c r="G252" i="2"/>
  <c r="Y248" i="2"/>
  <c r="Y247" i="2"/>
  <c r="Y246" i="2"/>
  <c r="W248" i="2"/>
  <c r="W247" i="2"/>
  <c r="W246" i="2"/>
  <c r="U248" i="2"/>
  <c r="U247" i="2"/>
  <c r="U246" i="2"/>
  <c r="S248" i="2"/>
  <c r="S247" i="2"/>
  <c r="S246" i="2"/>
  <c r="Q248" i="2"/>
  <c r="Q247" i="2"/>
  <c r="Q246" i="2"/>
  <c r="O248" i="2"/>
  <c r="O247" i="2"/>
  <c r="O246" i="2"/>
  <c r="M248" i="2"/>
  <c r="M247" i="2"/>
  <c r="M246" i="2"/>
  <c r="K248" i="2"/>
  <c r="K247" i="2"/>
  <c r="K246" i="2"/>
  <c r="I248" i="2"/>
  <c r="I247" i="2"/>
  <c r="I246" i="2"/>
  <c r="G248" i="2"/>
  <c r="G247" i="2"/>
  <c r="G246" i="2"/>
  <c r="Y242" i="2"/>
  <c r="Y240" i="2"/>
  <c r="Y241" i="2"/>
  <c r="W242" i="2"/>
  <c r="W240" i="2"/>
  <c r="W241" i="2"/>
  <c r="U242" i="2"/>
  <c r="U240" i="2"/>
  <c r="U241" i="2"/>
  <c r="S242" i="2"/>
  <c r="S240" i="2"/>
  <c r="S241" i="2"/>
  <c r="Q242" i="2"/>
  <c r="Q240" i="2"/>
  <c r="Q241" i="2"/>
  <c r="O242" i="2"/>
  <c r="O240" i="2"/>
  <c r="O241" i="2"/>
  <c r="M242" i="2"/>
  <c r="M240" i="2"/>
  <c r="M241" i="2"/>
  <c r="K242" i="2"/>
  <c r="K240" i="2"/>
  <c r="K241" i="2"/>
  <c r="I242" i="2"/>
  <c r="I240" i="2"/>
  <c r="I241" i="2"/>
  <c r="G242" i="2"/>
  <c r="G240" i="2"/>
  <c r="G241" i="2"/>
  <c r="N12" i="2"/>
  <c r="N6" i="2" s="1"/>
  <c r="N5" i="3" s="1"/>
  <c r="N14" i="2"/>
  <c r="N8" i="2" s="1"/>
  <c r="N7" i="3" s="1"/>
  <c r="N13" i="2"/>
  <c r="N7" i="2" s="1"/>
  <c r="N6" i="3" s="1"/>
  <c r="V13" i="2"/>
  <c r="V7" i="2" s="1"/>
  <c r="V6" i="3" s="1"/>
  <c r="V12" i="2"/>
  <c r="V6" i="2" s="1"/>
  <c r="V5" i="3" s="1"/>
  <c r="V14" i="2"/>
  <c r="V8" i="2" s="1"/>
  <c r="V7" i="3" s="1"/>
  <c r="I14" i="2"/>
  <c r="I8" i="2" s="1"/>
  <c r="I7" i="3" s="1"/>
  <c r="I13" i="2"/>
  <c r="I7" i="2" s="1"/>
  <c r="I6" i="3" s="1"/>
  <c r="I12" i="2"/>
  <c r="I6" i="2" s="1"/>
  <c r="I5" i="3" s="1"/>
  <c r="Q14" i="2"/>
  <c r="Q8" i="2" s="1"/>
  <c r="Q7" i="3" s="1"/>
  <c r="Q13" i="2"/>
  <c r="Q7" i="2" s="1"/>
  <c r="Q6" i="3" s="1"/>
  <c r="Q12" i="2"/>
  <c r="Q6" i="2" s="1"/>
  <c r="Q5" i="3" s="1"/>
  <c r="P68" i="2"/>
  <c r="P69" i="2"/>
  <c r="P67" i="2"/>
  <c r="H68" i="2"/>
  <c r="H69" i="2"/>
  <c r="H67" i="2"/>
  <c r="T63" i="2"/>
  <c r="T61" i="2"/>
  <c r="T62" i="2"/>
  <c r="L63" i="2"/>
  <c r="L61" i="2"/>
  <c r="L62" i="2"/>
  <c r="X56" i="2"/>
  <c r="X57" i="2"/>
  <c r="X55" i="2"/>
  <c r="P56" i="2"/>
  <c r="P57" i="2"/>
  <c r="P55" i="2"/>
  <c r="H56" i="2"/>
  <c r="H57" i="2"/>
  <c r="H55" i="2"/>
  <c r="T51" i="2"/>
  <c r="T49" i="2"/>
  <c r="T50" i="2"/>
  <c r="L51" i="2"/>
  <c r="L49" i="2"/>
  <c r="L50" i="2"/>
  <c r="X44" i="2"/>
  <c r="X45" i="2"/>
  <c r="X43" i="2"/>
  <c r="P44" i="2"/>
  <c r="P45" i="2"/>
  <c r="P43" i="2"/>
  <c r="H44" i="2"/>
  <c r="H45" i="2"/>
  <c r="H43" i="2"/>
  <c r="U38" i="2"/>
  <c r="U39" i="2"/>
  <c r="U37" i="2"/>
  <c r="M39" i="2"/>
  <c r="M37" i="2"/>
  <c r="M38" i="2"/>
  <c r="H12" i="2"/>
  <c r="H6" i="2" s="1"/>
  <c r="H5" i="3" s="1"/>
  <c r="H14" i="2"/>
  <c r="H8" i="2" s="1"/>
  <c r="H7" i="3" s="1"/>
  <c r="H13" i="2"/>
  <c r="L12" i="2"/>
  <c r="L6" i="2" s="1"/>
  <c r="L5" i="3" s="1"/>
  <c r="L14" i="2"/>
  <c r="L8" i="2" s="1"/>
  <c r="L7" i="3" s="1"/>
  <c r="L13" i="2"/>
  <c r="L7" i="2" s="1"/>
  <c r="L6" i="3" s="1"/>
  <c r="T13" i="2"/>
  <c r="T7" i="2" s="1"/>
  <c r="T6" i="3" s="1"/>
  <c r="T12" i="2"/>
  <c r="T6" i="2" s="1"/>
  <c r="T5" i="3" s="1"/>
  <c r="T14" i="2"/>
  <c r="T8" i="2" s="1"/>
  <c r="T7" i="3" s="1"/>
  <c r="X13" i="2"/>
  <c r="X4" i="2" s="1"/>
  <c r="X12" i="2"/>
  <c r="X6" i="2" s="1"/>
  <c r="X5" i="3" s="1"/>
  <c r="X14" i="2"/>
  <c r="X5" i="2" s="1"/>
  <c r="H7" i="2"/>
  <c r="H6" i="3" s="1"/>
  <c r="G14" i="2"/>
  <c r="G8" i="2" s="1"/>
  <c r="G7" i="3" s="1"/>
  <c r="G13" i="2"/>
  <c r="G7" i="2" s="1"/>
  <c r="G6" i="3" s="1"/>
  <c r="G12" i="2"/>
  <c r="G6" i="2" s="1"/>
  <c r="G5" i="3" s="1"/>
  <c r="K14" i="2"/>
  <c r="K8" i="2" s="1"/>
  <c r="K7" i="3" s="1"/>
  <c r="K13" i="2"/>
  <c r="K7" i="2" s="1"/>
  <c r="K6" i="3" s="1"/>
  <c r="K12" i="2"/>
  <c r="K6" i="2" s="1"/>
  <c r="K5" i="3" s="1"/>
  <c r="O14" i="2"/>
  <c r="O8" i="2" s="1"/>
  <c r="O7" i="3" s="1"/>
  <c r="O13" i="2"/>
  <c r="O7" i="2" s="1"/>
  <c r="O6" i="3" s="1"/>
  <c r="O12" i="2"/>
  <c r="O6" i="2" s="1"/>
  <c r="O5" i="3" s="1"/>
  <c r="W14" i="2"/>
  <c r="W8" i="2" s="1"/>
  <c r="W7" i="3" s="1"/>
  <c r="W13" i="2"/>
  <c r="W7" i="2" s="1"/>
  <c r="W6" i="3" s="1"/>
  <c r="W12" i="2"/>
  <c r="W6" i="2" s="1"/>
  <c r="W5" i="3" s="1"/>
  <c r="X68" i="2"/>
  <c r="X69" i="2"/>
  <c r="X67" i="2"/>
  <c r="R68" i="2"/>
  <c r="R69" i="2"/>
  <c r="R67" i="2"/>
  <c r="N68" i="2"/>
  <c r="N69" i="2"/>
  <c r="N67" i="2"/>
  <c r="J68" i="2"/>
  <c r="J69" i="2"/>
  <c r="J67" i="2"/>
  <c r="F68" i="2"/>
  <c r="F69" i="2"/>
  <c r="F67" i="2"/>
  <c r="V63" i="2"/>
  <c r="V61" i="2"/>
  <c r="V62" i="2"/>
  <c r="R63" i="2"/>
  <c r="R61" i="2"/>
  <c r="R62" i="2"/>
  <c r="N63" i="2"/>
  <c r="N61" i="2"/>
  <c r="N62" i="2"/>
  <c r="J63" i="2"/>
  <c r="J61" i="2"/>
  <c r="J62" i="2"/>
  <c r="F63" i="2"/>
  <c r="F61" i="2"/>
  <c r="F62" i="2"/>
  <c r="V56" i="2"/>
  <c r="V57" i="2"/>
  <c r="V55" i="2"/>
  <c r="R56" i="2"/>
  <c r="R57" i="2"/>
  <c r="R55" i="2"/>
  <c r="N56" i="2"/>
  <c r="N57" i="2"/>
  <c r="N55" i="2"/>
  <c r="J56" i="2"/>
  <c r="J57" i="2"/>
  <c r="J55" i="2"/>
  <c r="F56" i="2"/>
  <c r="F57" i="2"/>
  <c r="F55" i="2"/>
  <c r="V51" i="2"/>
  <c r="V49" i="2"/>
  <c r="V50" i="2"/>
  <c r="R51" i="2"/>
  <c r="R49" i="2"/>
  <c r="R50" i="2"/>
  <c r="N51" i="2"/>
  <c r="N49" i="2"/>
  <c r="N50" i="2"/>
  <c r="J51" i="2"/>
  <c r="J49" i="2"/>
  <c r="J50" i="2"/>
  <c r="F51" i="2"/>
  <c r="F49" i="2"/>
  <c r="F50" i="2"/>
  <c r="V44" i="2"/>
  <c r="V45" i="2"/>
  <c r="V43" i="2"/>
  <c r="R44" i="2"/>
  <c r="R45" i="2"/>
  <c r="R43" i="2"/>
  <c r="N44" i="2"/>
  <c r="N45" i="2"/>
  <c r="N43" i="2"/>
  <c r="J44" i="2"/>
  <c r="J45" i="2"/>
  <c r="J43" i="2"/>
  <c r="F44" i="2"/>
  <c r="F45" i="2"/>
  <c r="F43" i="2"/>
  <c r="W38" i="2"/>
  <c r="W39" i="2"/>
  <c r="W37" i="2"/>
  <c r="S39" i="2"/>
  <c r="S37" i="2"/>
  <c r="S38" i="2"/>
  <c r="O39" i="2"/>
  <c r="O37" i="2"/>
  <c r="O38" i="2"/>
  <c r="K39" i="2"/>
  <c r="K37" i="2"/>
  <c r="K38" i="2"/>
  <c r="G39" i="2"/>
  <c r="G37" i="2"/>
  <c r="G38" i="2"/>
  <c r="W32" i="2"/>
  <c r="W33" i="2"/>
  <c r="W31" i="2"/>
  <c r="S32" i="2"/>
  <c r="S33" i="2"/>
  <c r="S31" i="2"/>
  <c r="O32" i="2"/>
  <c r="O33" i="2"/>
  <c r="O31" i="2"/>
  <c r="K32" i="2"/>
  <c r="K33" i="2"/>
  <c r="K31" i="2"/>
  <c r="G32" i="2"/>
  <c r="G33" i="2"/>
  <c r="G31" i="2"/>
  <c r="W27" i="2"/>
  <c r="W25" i="2"/>
  <c r="W26" i="2"/>
  <c r="S27" i="2"/>
  <c r="S25" i="2"/>
  <c r="S26" i="2"/>
  <c r="O27" i="2"/>
  <c r="O25" i="2"/>
  <c r="O26" i="2"/>
  <c r="K27" i="2"/>
  <c r="K25" i="2"/>
  <c r="K26" i="2"/>
  <c r="G27" i="2"/>
  <c r="G25" i="2"/>
  <c r="G26" i="2"/>
  <c r="Y69" i="2"/>
  <c r="Y67" i="2"/>
  <c r="Y68" i="2"/>
  <c r="U69" i="2"/>
  <c r="U67" i="2"/>
  <c r="U68" i="2"/>
  <c r="Q69" i="2"/>
  <c r="Q67" i="2"/>
  <c r="Q68" i="2"/>
  <c r="M69" i="2"/>
  <c r="M67" i="2"/>
  <c r="M68" i="2"/>
  <c r="I69" i="2"/>
  <c r="I67" i="2"/>
  <c r="I68" i="2"/>
  <c r="Y62" i="2"/>
  <c r="Y63" i="2"/>
  <c r="Y61" i="2"/>
  <c r="U62" i="2"/>
  <c r="U63" i="2"/>
  <c r="U61" i="2"/>
  <c r="Q62" i="2"/>
  <c r="Q63" i="2"/>
  <c r="Q61" i="2"/>
  <c r="M62" i="2"/>
  <c r="M63" i="2"/>
  <c r="M61" i="2"/>
  <c r="I62" i="2"/>
  <c r="I63" i="2"/>
  <c r="I61" i="2"/>
  <c r="Y57" i="2"/>
  <c r="Y55" i="2"/>
  <c r="Y56" i="2"/>
  <c r="U57" i="2"/>
  <c r="U56" i="2"/>
  <c r="U55" i="2"/>
  <c r="Q57" i="2"/>
  <c r="Q56" i="2"/>
  <c r="Q55" i="2"/>
  <c r="M57" i="2"/>
  <c r="M56" i="2"/>
  <c r="M55" i="2"/>
  <c r="I57" i="2"/>
  <c r="I56" i="2"/>
  <c r="I55" i="2"/>
  <c r="Y50" i="2"/>
  <c r="Y51" i="2"/>
  <c r="Y49" i="2"/>
  <c r="U50" i="2"/>
  <c r="U51" i="2"/>
  <c r="U49" i="2"/>
  <c r="Q50" i="2"/>
  <c r="Q51" i="2"/>
  <c r="Q49" i="2"/>
  <c r="M50" i="2"/>
  <c r="M51" i="2"/>
  <c r="M49" i="2"/>
  <c r="I50" i="2"/>
  <c r="I51" i="2"/>
  <c r="I49" i="2"/>
  <c r="Y45" i="2"/>
  <c r="Y43" i="2"/>
  <c r="Y44" i="2"/>
  <c r="U45" i="2"/>
  <c r="U43" i="2"/>
  <c r="U44" i="2"/>
  <c r="Q45" i="2"/>
  <c r="Q43" i="2"/>
  <c r="Q44" i="2"/>
  <c r="M45" i="2"/>
  <c r="M43" i="2"/>
  <c r="M44" i="2"/>
  <c r="I45" i="2"/>
  <c r="I43" i="2"/>
  <c r="I44" i="2"/>
  <c r="X39" i="2"/>
  <c r="X38" i="2"/>
  <c r="X37" i="2"/>
  <c r="T39" i="2"/>
  <c r="T38" i="2"/>
  <c r="T37" i="2"/>
  <c r="P39" i="2"/>
  <c r="P38" i="2"/>
  <c r="P37" i="2"/>
  <c r="L39" i="2"/>
  <c r="L38" i="2"/>
  <c r="L37" i="2"/>
  <c r="H39" i="2"/>
  <c r="H38" i="2"/>
  <c r="H37" i="2"/>
  <c r="X33" i="2"/>
  <c r="X31" i="2"/>
  <c r="X32" i="2"/>
  <c r="T33" i="2"/>
  <c r="T31" i="2"/>
  <c r="T32" i="2"/>
  <c r="P33" i="2"/>
  <c r="P31" i="2"/>
  <c r="P32" i="2"/>
  <c r="L33" i="2"/>
  <c r="L31" i="2"/>
  <c r="L32" i="2"/>
  <c r="H33" i="2"/>
  <c r="H31" i="2"/>
  <c r="H32" i="2"/>
  <c r="V26" i="2"/>
  <c r="V27" i="2"/>
  <c r="V25" i="2"/>
  <c r="R26" i="2"/>
  <c r="R27" i="2"/>
  <c r="R25" i="2"/>
  <c r="N26" i="2"/>
  <c r="N27" i="2"/>
  <c r="N25" i="2"/>
  <c r="J26" i="2"/>
  <c r="J27" i="2"/>
  <c r="J25" i="2"/>
  <c r="F26" i="2"/>
  <c r="F27" i="2"/>
  <c r="F25" i="2"/>
  <c r="S958" i="2"/>
  <c r="P12" i="2"/>
  <c r="P6" i="2" s="1"/>
  <c r="P5" i="3" s="1"/>
  <c r="P13" i="2"/>
  <c r="P7" i="2" s="1"/>
  <c r="P6" i="3" s="1"/>
  <c r="P14" i="2"/>
  <c r="P8" i="2" s="1"/>
  <c r="P7" i="3" s="1"/>
  <c r="F12" i="2"/>
  <c r="F14" i="2"/>
  <c r="F13" i="2"/>
  <c r="J12" i="2"/>
  <c r="J6" i="2" s="1"/>
  <c r="J5" i="3" s="1"/>
  <c r="J14" i="2"/>
  <c r="J8" i="2" s="1"/>
  <c r="J7" i="3" s="1"/>
  <c r="J13" i="2"/>
  <c r="J7" i="2" s="1"/>
  <c r="J6" i="3" s="1"/>
  <c r="R13" i="2"/>
  <c r="R7" i="2" s="1"/>
  <c r="R6" i="3" s="1"/>
  <c r="R12" i="2"/>
  <c r="R6" i="2" s="1"/>
  <c r="R5" i="3" s="1"/>
  <c r="R14" i="2"/>
  <c r="R8" i="2" s="1"/>
  <c r="R7" i="3" s="1"/>
  <c r="M14" i="2"/>
  <c r="M8" i="2" s="1"/>
  <c r="M7" i="3" s="1"/>
  <c r="M13" i="2"/>
  <c r="M7" i="2" s="1"/>
  <c r="M6" i="3" s="1"/>
  <c r="M12" i="2"/>
  <c r="M6" i="2" s="1"/>
  <c r="M5" i="3" s="1"/>
  <c r="U14" i="2"/>
  <c r="U8" i="2" s="1"/>
  <c r="U7" i="3" s="1"/>
  <c r="U13" i="2"/>
  <c r="U7" i="2" s="1"/>
  <c r="U6" i="3" s="1"/>
  <c r="U12" i="2"/>
  <c r="U6" i="2" s="1"/>
  <c r="U5" i="3" s="1"/>
  <c r="V68" i="2"/>
  <c r="V69" i="2"/>
  <c r="V67" i="2"/>
  <c r="L68" i="2"/>
  <c r="L69" i="2"/>
  <c r="L67" i="2"/>
  <c r="X63" i="2"/>
  <c r="X61" i="2"/>
  <c r="X62" i="2"/>
  <c r="P63" i="2"/>
  <c r="P61" i="2"/>
  <c r="P62" i="2"/>
  <c r="H63" i="2"/>
  <c r="H61" i="2"/>
  <c r="H62" i="2"/>
  <c r="T56" i="2"/>
  <c r="T57" i="2"/>
  <c r="T55" i="2"/>
  <c r="L56" i="2"/>
  <c r="L57" i="2"/>
  <c r="L55" i="2"/>
  <c r="X51" i="2"/>
  <c r="X49" i="2"/>
  <c r="X50" i="2"/>
  <c r="P51" i="2"/>
  <c r="P49" i="2"/>
  <c r="P50" i="2"/>
  <c r="H51" i="2"/>
  <c r="H49" i="2"/>
  <c r="H50" i="2"/>
  <c r="T44" i="2"/>
  <c r="T45" i="2"/>
  <c r="T43" i="2"/>
  <c r="L44" i="2"/>
  <c r="L45" i="2"/>
  <c r="L43" i="2"/>
  <c r="Y38" i="2"/>
  <c r="Y39" i="2"/>
  <c r="Y37" i="2"/>
  <c r="Q39" i="2"/>
  <c r="Q37" i="2"/>
  <c r="Q38" i="2"/>
  <c r="I39" i="2"/>
  <c r="I37" i="2"/>
  <c r="I38" i="2"/>
  <c r="Y32" i="2"/>
  <c r="Y33" i="2"/>
  <c r="Y31" i="2"/>
  <c r="U32" i="2"/>
  <c r="U33" i="2"/>
  <c r="U31" i="2"/>
  <c r="Q32" i="2"/>
  <c r="Q33" i="2"/>
  <c r="Q31" i="2"/>
  <c r="M32" i="2"/>
  <c r="M33" i="2"/>
  <c r="M31" i="2"/>
  <c r="I32" i="2"/>
  <c r="I33" i="2"/>
  <c r="I31" i="2"/>
  <c r="Y27" i="2"/>
  <c r="Y25" i="2"/>
  <c r="Y26" i="2"/>
  <c r="U27" i="2"/>
  <c r="U25" i="2"/>
  <c r="U26" i="2"/>
  <c r="Q27" i="2"/>
  <c r="Q25" i="2"/>
  <c r="Q26" i="2"/>
  <c r="M27" i="2"/>
  <c r="M25" i="2"/>
  <c r="M26" i="2"/>
  <c r="I27" i="2"/>
  <c r="I25" i="2"/>
  <c r="I26" i="2"/>
  <c r="T68" i="2"/>
  <c r="T69" i="2"/>
  <c r="T67" i="2"/>
  <c r="W69" i="2"/>
  <c r="W67" i="2"/>
  <c r="W68" i="2"/>
  <c r="S69" i="2"/>
  <c r="S67" i="2"/>
  <c r="S68" i="2"/>
  <c r="O69" i="2"/>
  <c r="O67" i="2"/>
  <c r="O68" i="2"/>
  <c r="K69" i="2"/>
  <c r="K67" i="2"/>
  <c r="K68" i="2"/>
  <c r="G69" i="2"/>
  <c r="G67" i="2"/>
  <c r="G68" i="2"/>
  <c r="W62" i="2"/>
  <c r="W63" i="2"/>
  <c r="W61" i="2"/>
  <c r="S62" i="2"/>
  <c r="S63" i="2"/>
  <c r="S61" i="2"/>
  <c r="O62" i="2"/>
  <c r="O63" i="2"/>
  <c r="O61" i="2"/>
  <c r="K62" i="2"/>
  <c r="K63" i="2"/>
  <c r="K61" i="2"/>
  <c r="G62" i="2"/>
  <c r="G63" i="2"/>
  <c r="G61" i="2"/>
  <c r="W57" i="2"/>
  <c r="W56" i="2"/>
  <c r="W55" i="2"/>
  <c r="S57" i="2"/>
  <c r="S56" i="2"/>
  <c r="S55" i="2"/>
  <c r="O57" i="2"/>
  <c r="O56" i="2"/>
  <c r="O55" i="2"/>
  <c r="K57" i="2"/>
  <c r="K56" i="2"/>
  <c r="K55" i="2"/>
  <c r="G57" i="2"/>
  <c r="G56" i="2"/>
  <c r="G55" i="2"/>
  <c r="W50" i="2"/>
  <c r="W51" i="2"/>
  <c r="W49" i="2"/>
  <c r="S50" i="2"/>
  <c r="S51" i="2"/>
  <c r="S49" i="2"/>
  <c r="O50" i="2"/>
  <c r="O51" i="2"/>
  <c r="O49" i="2"/>
  <c r="K50" i="2"/>
  <c r="K51" i="2"/>
  <c r="K49" i="2"/>
  <c r="G50" i="2"/>
  <c r="G51" i="2"/>
  <c r="G49" i="2"/>
  <c r="W45" i="2"/>
  <c r="W43" i="2"/>
  <c r="W44" i="2"/>
  <c r="S45" i="2"/>
  <c r="S43" i="2"/>
  <c r="S44" i="2"/>
  <c r="O45" i="2"/>
  <c r="O43" i="2"/>
  <c r="O44" i="2"/>
  <c r="K45" i="2"/>
  <c r="K43" i="2"/>
  <c r="K44" i="2"/>
  <c r="G45" i="2"/>
  <c r="G43" i="2"/>
  <c r="G44" i="2"/>
  <c r="V39" i="2"/>
  <c r="V38" i="2"/>
  <c r="V37" i="2"/>
  <c r="R39" i="2"/>
  <c r="R38" i="2"/>
  <c r="R37" i="2"/>
  <c r="N39" i="2"/>
  <c r="N38" i="2"/>
  <c r="N37" i="2"/>
  <c r="J39" i="2"/>
  <c r="J38" i="2"/>
  <c r="J37" i="2"/>
  <c r="F39" i="2"/>
  <c r="F38" i="2"/>
  <c r="F37" i="2"/>
  <c r="V33" i="2"/>
  <c r="V31" i="2"/>
  <c r="V32" i="2"/>
  <c r="R33" i="2"/>
  <c r="R31" i="2"/>
  <c r="R32" i="2"/>
  <c r="N33" i="2"/>
  <c r="N31" i="2"/>
  <c r="N32" i="2"/>
  <c r="J33" i="2"/>
  <c r="J31" i="2"/>
  <c r="J32" i="2"/>
  <c r="F33" i="2"/>
  <c r="F31" i="2"/>
  <c r="F32" i="2"/>
  <c r="X26" i="2"/>
  <c r="X27" i="2"/>
  <c r="X25" i="2"/>
  <c r="T26" i="2"/>
  <c r="T27" i="2"/>
  <c r="T25" i="2"/>
  <c r="P26" i="2"/>
  <c r="P27" i="2"/>
  <c r="P25" i="2"/>
  <c r="L26" i="2"/>
  <c r="L27" i="2"/>
  <c r="L25" i="2"/>
  <c r="H26" i="2"/>
  <c r="H27" i="2"/>
  <c r="H25" i="2"/>
  <c r="U958" i="2"/>
  <c r="Y14" i="2"/>
  <c r="Y13" i="2"/>
  <c r="Y4" i="2" s="1"/>
  <c r="Y12" i="2"/>
  <c r="S14" i="2"/>
  <c r="S8" i="2" s="1"/>
  <c r="S7" i="3" s="1"/>
  <c r="S13" i="2"/>
  <c r="S7" i="2" s="1"/>
  <c r="S6" i="3" s="1"/>
  <c r="S12" i="2"/>
  <c r="S6" i="2" s="1"/>
  <c r="S5" i="3" s="1"/>
  <c r="E11" i="2"/>
  <c r="T943" i="2"/>
  <c r="P943" i="2"/>
  <c r="L943" i="2"/>
  <c r="H943" i="2"/>
  <c r="U943" i="2"/>
  <c r="Q943" i="2"/>
  <c r="M943" i="2"/>
  <c r="I943" i="2"/>
  <c r="E97" i="2"/>
  <c r="U73" i="2"/>
  <c r="Y72" i="2"/>
  <c r="G72" i="2"/>
  <c r="K71" i="2"/>
  <c r="E64" i="2"/>
  <c r="E58" i="2"/>
  <c r="E53" i="2"/>
  <c r="E48" i="2"/>
  <c r="E46" i="2"/>
  <c r="E41" i="2"/>
  <c r="Q18" i="2"/>
  <c r="I18" i="2"/>
  <c r="U17" i="2"/>
  <c r="K17" i="2"/>
  <c r="W16" i="2"/>
  <c r="O16" i="2"/>
  <c r="G16" i="2"/>
  <c r="E122" i="2"/>
  <c r="E121" i="2"/>
  <c r="E120" i="2"/>
  <c r="E116" i="2"/>
  <c r="E115" i="2"/>
  <c r="E114" i="2"/>
  <c r="V104" i="2"/>
  <c r="R104" i="2"/>
  <c r="N104" i="2"/>
  <c r="J104" i="2"/>
  <c r="E110" i="2"/>
  <c r="F104" i="2"/>
  <c r="V103" i="2"/>
  <c r="R103" i="2"/>
  <c r="N103" i="2"/>
  <c r="J103" i="2"/>
  <c r="E109" i="2"/>
  <c r="F103" i="2"/>
  <c r="V102" i="2"/>
  <c r="R102" i="2"/>
  <c r="N102" i="2"/>
  <c r="J102" i="2"/>
  <c r="E108" i="2"/>
  <c r="F102" i="2"/>
  <c r="E195" i="2"/>
  <c r="E194" i="2"/>
  <c r="E193" i="2"/>
  <c r="E189" i="2"/>
  <c r="E188" i="2"/>
  <c r="E187" i="2"/>
  <c r="E183" i="2"/>
  <c r="E182" i="2"/>
  <c r="E181" i="2"/>
  <c r="E177" i="2"/>
  <c r="E176" i="2"/>
  <c r="E175" i="2"/>
  <c r="V165" i="2"/>
  <c r="R165" i="2"/>
  <c r="N165" i="2"/>
  <c r="J165" i="2"/>
  <c r="E171" i="2"/>
  <c r="F165" i="2"/>
  <c r="V164" i="2"/>
  <c r="R164" i="2"/>
  <c r="N164" i="2"/>
  <c r="J164" i="2"/>
  <c r="E170" i="2"/>
  <c r="F164" i="2"/>
  <c r="V163" i="2"/>
  <c r="R163" i="2"/>
  <c r="N163" i="2"/>
  <c r="J163" i="2"/>
  <c r="E169" i="2"/>
  <c r="F163" i="2"/>
  <c r="E226" i="2"/>
  <c r="E225" i="2"/>
  <c r="E224" i="2"/>
  <c r="E220" i="2"/>
  <c r="E219" i="2"/>
  <c r="E218" i="2"/>
  <c r="E214" i="2"/>
  <c r="E213" i="2"/>
  <c r="E212" i="2"/>
  <c r="V202" i="2"/>
  <c r="R202" i="2"/>
  <c r="N202" i="2"/>
  <c r="J202" i="2"/>
  <c r="E208" i="2"/>
  <c r="F202" i="2"/>
  <c r="V201" i="2"/>
  <c r="O201" i="2"/>
  <c r="K201" i="2"/>
  <c r="G201" i="2"/>
  <c r="W200" i="2"/>
  <c r="S200" i="2"/>
  <c r="O200" i="2"/>
  <c r="K200" i="2"/>
  <c r="G200" i="2"/>
  <c r="E251" i="2"/>
  <c r="E250" i="2"/>
  <c r="E249" i="2"/>
  <c r="E245" i="2"/>
  <c r="E244" i="2"/>
  <c r="E243" i="2"/>
  <c r="W233" i="2"/>
  <c r="S233" i="2"/>
  <c r="N233" i="2"/>
  <c r="J233" i="2"/>
  <c r="F233" i="2"/>
  <c r="E239" i="2"/>
  <c r="V232" i="2"/>
  <c r="R232" i="2"/>
  <c r="N232" i="2"/>
  <c r="J232" i="2"/>
  <c r="F232" i="2"/>
  <c r="E238" i="2"/>
  <c r="V231" i="2"/>
  <c r="R231" i="2"/>
  <c r="N231" i="2"/>
  <c r="J231" i="2"/>
  <c r="E237" i="2"/>
  <c r="F231" i="2"/>
  <c r="E324" i="2"/>
  <c r="E323" i="2"/>
  <c r="Y312" i="2"/>
  <c r="U312" i="2"/>
  <c r="P312" i="2"/>
  <c r="L312" i="2"/>
  <c r="H312" i="2"/>
  <c r="X311" i="2"/>
  <c r="T311" i="2"/>
  <c r="O311" i="2"/>
  <c r="K311" i="2"/>
  <c r="G311" i="2"/>
  <c r="W310" i="2"/>
  <c r="R310" i="2"/>
  <c r="N310" i="2"/>
  <c r="J310" i="2"/>
  <c r="E316" i="2"/>
  <c r="F310" i="2"/>
  <c r="E95" i="2"/>
  <c r="E89" i="2"/>
  <c r="W73" i="2"/>
  <c r="O73" i="2"/>
  <c r="G73" i="2"/>
  <c r="S72" i="2"/>
  <c r="K72" i="2"/>
  <c r="Y71" i="2"/>
  <c r="Q71" i="2"/>
  <c r="I71" i="2"/>
  <c r="X73" i="2"/>
  <c r="T73" i="2"/>
  <c r="P73" i="2"/>
  <c r="L73" i="2"/>
  <c r="H73" i="2"/>
  <c r="X72" i="2"/>
  <c r="T72" i="2"/>
  <c r="P72" i="2"/>
  <c r="L72" i="2"/>
  <c r="H72" i="2"/>
  <c r="X71" i="2"/>
  <c r="T71" i="2"/>
  <c r="P71" i="2"/>
  <c r="L71" i="2"/>
  <c r="H71" i="2"/>
  <c r="Y18" i="2"/>
  <c r="U18" i="2"/>
  <c r="P18" i="2"/>
  <c r="L18" i="2"/>
  <c r="H18" i="2"/>
  <c r="X17" i="2"/>
  <c r="T17" i="2"/>
  <c r="N17" i="2"/>
  <c r="J17" i="2"/>
  <c r="E23" i="2"/>
  <c r="F17" i="2"/>
  <c r="V16" i="2"/>
  <c r="R16" i="2"/>
  <c r="N16" i="2"/>
  <c r="J16" i="2"/>
  <c r="E22" i="2"/>
  <c r="F16" i="2"/>
  <c r="E158" i="2"/>
  <c r="E157" i="2"/>
  <c r="E156" i="2"/>
  <c r="E152" i="2"/>
  <c r="E151" i="2"/>
  <c r="E150" i="2"/>
  <c r="E146" i="2"/>
  <c r="E145" i="2"/>
  <c r="E144" i="2"/>
  <c r="E140" i="2"/>
  <c r="E139" i="2"/>
  <c r="E138" i="2"/>
  <c r="E134" i="2"/>
  <c r="E133" i="2"/>
  <c r="E132" i="2"/>
  <c r="E128" i="2"/>
  <c r="E127" i="2"/>
  <c r="E126" i="2"/>
  <c r="W104" i="2"/>
  <c r="S104" i="2"/>
  <c r="O104" i="2"/>
  <c r="K104" i="2"/>
  <c r="G104" i="2"/>
  <c r="W103" i="2"/>
  <c r="S103" i="2"/>
  <c r="O103" i="2"/>
  <c r="K103" i="2"/>
  <c r="G103" i="2"/>
  <c r="W102" i="2"/>
  <c r="S102" i="2"/>
  <c r="O102" i="2"/>
  <c r="K102" i="2"/>
  <c r="G102" i="2"/>
  <c r="W165" i="2"/>
  <c r="S165" i="2"/>
  <c r="O165" i="2"/>
  <c r="K165" i="2"/>
  <c r="G165" i="2"/>
  <c r="W164" i="2"/>
  <c r="S164" i="2"/>
  <c r="O164" i="2"/>
  <c r="K164" i="2"/>
  <c r="G164" i="2"/>
  <c r="W163" i="2"/>
  <c r="S163" i="2"/>
  <c r="O163" i="2"/>
  <c r="K163" i="2"/>
  <c r="G163" i="2"/>
  <c r="W202" i="2"/>
  <c r="S202" i="2"/>
  <c r="O202" i="2"/>
  <c r="K202" i="2"/>
  <c r="G202" i="2"/>
  <c r="W201" i="2"/>
  <c r="P201" i="2"/>
  <c r="L201" i="2"/>
  <c r="H201" i="2"/>
  <c r="X200" i="2"/>
  <c r="T200" i="2"/>
  <c r="P200" i="2"/>
  <c r="L200" i="2"/>
  <c r="H200" i="2"/>
  <c r="X233" i="2"/>
  <c r="T233" i="2"/>
  <c r="P233" i="2"/>
  <c r="K233" i="2"/>
  <c r="G233" i="2"/>
  <c r="W232" i="2"/>
  <c r="S232" i="2"/>
  <c r="O232" i="2"/>
  <c r="K232" i="2"/>
  <c r="G232" i="2"/>
  <c r="W231" i="2"/>
  <c r="S231" i="2"/>
  <c r="O231" i="2"/>
  <c r="K231" i="2"/>
  <c r="G231" i="2"/>
  <c r="E322" i="2"/>
  <c r="V312" i="2"/>
  <c r="Q312" i="2"/>
  <c r="M312" i="2"/>
  <c r="I312" i="2"/>
  <c r="Y311" i="2"/>
  <c r="U311" i="2"/>
  <c r="P311" i="2"/>
  <c r="L311" i="2"/>
  <c r="H311" i="2"/>
  <c r="X310" i="2"/>
  <c r="T310" i="2"/>
  <c r="O310" i="2"/>
  <c r="K310" i="2"/>
  <c r="G310" i="2"/>
  <c r="E458" i="2"/>
  <c r="E457" i="2"/>
  <c r="E456" i="2"/>
  <c r="E452" i="2"/>
  <c r="E451" i="2"/>
  <c r="E450" i="2"/>
  <c r="E446" i="2"/>
  <c r="E445" i="2"/>
  <c r="E444" i="2"/>
  <c r="E434" i="2"/>
  <c r="E433" i="2"/>
  <c r="E432" i="2"/>
  <c r="E428" i="2"/>
  <c r="E427" i="2"/>
  <c r="E426" i="2"/>
  <c r="E422" i="2"/>
  <c r="E421" i="2"/>
  <c r="E420" i="2"/>
  <c r="E404" i="2"/>
  <c r="E403" i="2"/>
  <c r="E402" i="2"/>
  <c r="W344" i="2"/>
  <c r="S344" i="2"/>
  <c r="O344" i="2"/>
  <c r="K344" i="2"/>
  <c r="G344" i="2"/>
  <c r="W343" i="2"/>
  <c r="S343" i="2"/>
  <c r="O343" i="2"/>
  <c r="K343" i="2"/>
  <c r="G343" i="2"/>
  <c r="W342" i="2"/>
  <c r="S342" i="2"/>
  <c r="O342" i="2"/>
  <c r="K342" i="2"/>
  <c r="G342" i="2"/>
  <c r="E477" i="2"/>
  <c r="E476" i="2"/>
  <c r="E475" i="2"/>
  <c r="W465" i="2"/>
  <c r="S465" i="2"/>
  <c r="N465" i="2"/>
  <c r="J465" i="2"/>
  <c r="E471" i="2"/>
  <c r="F465" i="2"/>
  <c r="V464" i="2"/>
  <c r="R464" i="2"/>
  <c r="M464" i="2"/>
  <c r="I464" i="2"/>
  <c r="Y463" i="2"/>
  <c r="U463" i="2"/>
  <c r="P463" i="2"/>
  <c r="L463" i="2"/>
  <c r="H463" i="2"/>
  <c r="X496" i="2"/>
  <c r="T496" i="2"/>
  <c r="O496" i="2"/>
  <c r="K496" i="2"/>
  <c r="G496" i="2"/>
  <c r="W495" i="2"/>
  <c r="S495" i="2"/>
  <c r="N495" i="2"/>
  <c r="J495" i="2"/>
  <c r="E501" i="2"/>
  <c r="F495" i="2"/>
  <c r="V494" i="2"/>
  <c r="Q494" i="2"/>
  <c r="M494" i="2"/>
  <c r="I494" i="2"/>
  <c r="Y533" i="2"/>
  <c r="U533" i="2"/>
  <c r="Q533" i="2"/>
  <c r="M533" i="2"/>
  <c r="I533" i="2"/>
  <c r="Y532" i="2"/>
  <c r="U532" i="2"/>
  <c r="Q532" i="2"/>
  <c r="M532" i="2"/>
  <c r="I532" i="2"/>
  <c r="Y531" i="2"/>
  <c r="U531" i="2"/>
  <c r="Q531" i="2"/>
  <c r="M531" i="2"/>
  <c r="I531" i="2"/>
  <c r="X344" i="2"/>
  <c r="T344" i="2"/>
  <c r="P344" i="2"/>
  <c r="L344" i="2"/>
  <c r="H344" i="2"/>
  <c r="X343" i="2"/>
  <c r="T343" i="2"/>
  <c r="P343" i="2"/>
  <c r="L343" i="2"/>
  <c r="H343" i="2"/>
  <c r="X342" i="2"/>
  <c r="T342" i="2"/>
  <c r="P342" i="2"/>
  <c r="L342" i="2"/>
  <c r="H342" i="2"/>
  <c r="X465" i="2"/>
  <c r="T465" i="2"/>
  <c r="O465" i="2"/>
  <c r="K465" i="2"/>
  <c r="G465" i="2"/>
  <c r="W464" i="2"/>
  <c r="S464" i="2"/>
  <c r="N464" i="2"/>
  <c r="J464" i="2"/>
  <c r="E470" i="2"/>
  <c r="F464" i="2"/>
  <c r="V463" i="2"/>
  <c r="R463" i="2"/>
  <c r="M463" i="2"/>
  <c r="I463" i="2"/>
  <c r="Y496" i="2"/>
  <c r="U496" i="2"/>
  <c r="P496" i="2"/>
  <c r="L496" i="2"/>
  <c r="H496" i="2"/>
  <c r="X495" i="2"/>
  <c r="T495" i="2"/>
  <c r="O495" i="2"/>
  <c r="K495" i="2"/>
  <c r="G495" i="2"/>
  <c r="W494" i="2"/>
  <c r="S494" i="2"/>
  <c r="N494" i="2"/>
  <c r="J494" i="2"/>
  <c r="E500" i="2"/>
  <c r="F494" i="2"/>
  <c r="E581" i="2"/>
  <c r="E580" i="2"/>
  <c r="E579" i="2"/>
  <c r="E575" i="2"/>
  <c r="E574" i="2"/>
  <c r="E573" i="2"/>
  <c r="E569" i="2"/>
  <c r="E568" i="2"/>
  <c r="E567" i="2"/>
  <c r="E563" i="2"/>
  <c r="E562" i="2"/>
  <c r="E561" i="2"/>
  <c r="E557" i="2"/>
  <c r="E556" i="2"/>
  <c r="E555" i="2"/>
  <c r="E551" i="2"/>
  <c r="E550" i="2"/>
  <c r="E549" i="2"/>
  <c r="E545" i="2"/>
  <c r="E544" i="2"/>
  <c r="E543" i="2"/>
  <c r="V533" i="2"/>
  <c r="R533" i="2"/>
  <c r="N533" i="2"/>
  <c r="J533" i="2"/>
  <c r="E539" i="2"/>
  <c r="F533" i="2"/>
  <c r="V532" i="2"/>
  <c r="R532" i="2"/>
  <c r="N532" i="2"/>
  <c r="J532" i="2"/>
  <c r="F532" i="2"/>
  <c r="E538" i="2"/>
  <c r="V531" i="2"/>
  <c r="R531" i="2"/>
  <c r="N531" i="2"/>
  <c r="J531" i="2"/>
  <c r="E537" i="2"/>
  <c r="F531" i="2"/>
  <c r="E612" i="2"/>
  <c r="E611" i="2"/>
  <c r="E610" i="2"/>
  <c r="E606" i="2"/>
  <c r="E605" i="2"/>
  <c r="E604" i="2"/>
  <c r="E600" i="2"/>
  <c r="E599" i="2"/>
  <c r="E598" i="2"/>
  <c r="V588" i="2"/>
  <c r="R588" i="2"/>
  <c r="N588" i="2"/>
  <c r="J588" i="2"/>
  <c r="E594" i="2"/>
  <c r="F588" i="2"/>
  <c r="U587" i="2"/>
  <c r="Q587" i="2"/>
  <c r="L587" i="2"/>
  <c r="H587" i="2"/>
  <c r="X586" i="2"/>
  <c r="T586" i="2"/>
  <c r="P586" i="2"/>
  <c r="K586" i="2"/>
  <c r="G586" i="2"/>
  <c r="W619" i="2"/>
  <c r="S619" i="2"/>
  <c r="O619" i="2"/>
  <c r="J619" i="2"/>
  <c r="E625" i="2"/>
  <c r="F619" i="2"/>
  <c r="V618" i="2"/>
  <c r="R618" i="2"/>
  <c r="N618" i="2"/>
  <c r="I618" i="2"/>
  <c r="Y617" i="2"/>
  <c r="U617" i="2"/>
  <c r="Q617" i="2"/>
  <c r="L617" i="2"/>
  <c r="H617" i="2"/>
  <c r="E727" i="2"/>
  <c r="R747" i="2"/>
  <c r="I747" i="2"/>
  <c r="U746" i="2"/>
  <c r="L746" i="2"/>
  <c r="X745" i="2"/>
  <c r="O745" i="2"/>
  <c r="G745" i="2"/>
  <c r="W588" i="2"/>
  <c r="S588" i="2"/>
  <c r="O588" i="2"/>
  <c r="K588" i="2"/>
  <c r="G588" i="2"/>
  <c r="W587" i="2"/>
  <c r="R587" i="2"/>
  <c r="M587" i="2"/>
  <c r="I587" i="2"/>
  <c r="Y586" i="2"/>
  <c r="U586" i="2"/>
  <c r="Q586" i="2"/>
  <c r="L586" i="2"/>
  <c r="H586" i="2"/>
  <c r="X619" i="2"/>
  <c r="T619" i="2"/>
  <c r="P619" i="2"/>
  <c r="K619" i="2"/>
  <c r="G619" i="2"/>
  <c r="W618" i="2"/>
  <c r="S618" i="2"/>
  <c r="O618" i="2"/>
  <c r="J618" i="2"/>
  <c r="E624" i="2"/>
  <c r="F618" i="2"/>
  <c r="V617" i="2"/>
  <c r="R617" i="2"/>
  <c r="N617" i="2"/>
  <c r="I617" i="2"/>
  <c r="E726" i="2"/>
  <c r="E771" i="2"/>
  <c r="E770" i="2"/>
  <c r="E769" i="2"/>
  <c r="X747" i="2"/>
  <c r="O747" i="2"/>
  <c r="G747" i="2"/>
  <c r="S746" i="2"/>
  <c r="J746" i="2"/>
  <c r="V745" i="2"/>
  <c r="M745" i="2"/>
  <c r="E759" i="2"/>
  <c r="E758" i="2"/>
  <c r="E757" i="2"/>
  <c r="W747" i="2"/>
  <c r="S747" i="2"/>
  <c r="N747" i="2"/>
  <c r="J747" i="2"/>
  <c r="E753" i="2"/>
  <c r="F747" i="2"/>
  <c r="V746" i="2"/>
  <c r="R746" i="2"/>
  <c r="M746" i="2"/>
  <c r="I746" i="2"/>
  <c r="Y745" i="2"/>
  <c r="U745" i="2"/>
  <c r="Q745" i="2"/>
  <c r="L745" i="2"/>
  <c r="H745" i="2"/>
  <c r="Y821" i="2"/>
  <c r="U821" i="2"/>
  <c r="P821" i="2"/>
  <c r="L821" i="2"/>
  <c r="H821" i="2"/>
  <c r="X820" i="2"/>
  <c r="T820" i="2"/>
  <c r="O820" i="2"/>
  <c r="K820" i="2"/>
  <c r="G820" i="2"/>
  <c r="W819" i="2"/>
  <c r="R819" i="2"/>
  <c r="N819" i="2"/>
  <c r="J819" i="2"/>
  <c r="F819" i="2"/>
  <c r="E825" i="2"/>
  <c r="E900" i="2"/>
  <c r="E899" i="2"/>
  <c r="E898" i="2"/>
  <c r="E894" i="2"/>
  <c r="E893" i="2"/>
  <c r="E892" i="2"/>
  <c r="E888" i="2"/>
  <c r="E887" i="2"/>
  <c r="E886" i="2"/>
  <c r="E882" i="2"/>
  <c r="E881" i="2"/>
  <c r="E880" i="2"/>
  <c r="E876" i="2"/>
  <c r="E875" i="2"/>
  <c r="E874" i="2"/>
  <c r="X821" i="2"/>
  <c r="T821" i="2"/>
  <c r="O821" i="2"/>
  <c r="K821" i="2"/>
  <c r="G821" i="2"/>
  <c r="W820" i="2"/>
  <c r="R820" i="2"/>
  <c r="N820" i="2"/>
  <c r="J820" i="2"/>
  <c r="E826" i="2"/>
  <c r="F820" i="2"/>
  <c r="V819" i="2"/>
  <c r="Q819" i="2"/>
  <c r="M819" i="2"/>
  <c r="I819" i="2"/>
  <c r="X858" i="2"/>
  <c r="S858" i="2"/>
  <c r="O858" i="2"/>
  <c r="K858" i="2"/>
  <c r="G858" i="2"/>
  <c r="W857" i="2"/>
  <c r="R857" i="2"/>
  <c r="N857" i="2"/>
  <c r="J857" i="2"/>
  <c r="E863" i="2"/>
  <c r="F857" i="2"/>
  <c r="V856" i="2"/>
  <c r="Q856" i="2"/>
  <c r="M856" i="2"/>
  <c r="I856" i="2"/>
  <c r="Y907" i="2"/>
  <c r="U907" i="2"/>
  <c r="P907" i="2"/>
  <c r="L907" i="2"/>
  <c r="H907" i="2"/>
  <c r="X906" i="2"/>
  <c r="T906" i="2"/>
  <c r="O906" i="2"/>
  <c r="K906" i="2"/>
  <c r="G906" i="2"/>
  <c r="W905" i="2"/>
  <c r="S905" i="2"/>
  <c r="N905" i="2"/>
  <c r="J905" i="2"/>
  <c r="E911" i="2"/>
  <c r="F905" i="2"/>
  <c r="E962" i="2"/>
  <c r="E961" i="2"/>
  <c r="V965" i="2"/>
  <c r="V964" i="2"/>
  <c r="V963" i="2"/>
  <c r="R965" i="2"/>
  <c r="R964" i="2"/>
  <c r="R963" i="2"/>
  <c r="N965" i="2"/>
  <c r="N964" i="2"/>
  <c r="N963" i="2"/>
  <c r="J965" i="2"/>
  <c r="J964" i="2"/>
  <c r="J963" i="2"/>
  <c r="F965" i="2"/>
  <c r="F964" i="2"/>
  <c r="F963" i="2"/>
  <c r="E960" i="2"/>
  <c r="E956" i="2"/>
  <c r="E955" i="2"/>
  <c r="V959" i="2"/>
  <c r="V958" i="2"/>
  <c r="V957" i="2"/>
  <c r="R959" i="2"/>
  <c r="R958" i="2"/>
  <c r="R957" i="2"/>
  <c r="N959" i="2"/>
  <c r="N958" i="2"/>
  <c r="N957" i="2"/>
  <c r="J959" i="2"/>
  <c r="J958" i="2"/>
  <c r="J957" i="2"/>
  <c r="F959" i="2"/>
  <c r="F958" i="2"/>
  <c r="F957" i="2"/>
  <c r="E954" i="2"/>
  <c r="X953" i="2"/>
  <c r="X951" i="2"/>
  <c r="X952" i="2"/>
  <c r="X942" i="2"/>
  <c r="S952" i="2"/>
  <c r="S953" i="2"/>
  <c r="S951" i="2"/>
  <c r="S942" i="2"/>
  <c r="O952" i="2"/>
  <c r="O953" i="2"/>
  <c r="O951" i="2"/>
  <c r="O942" i="2"/>
  <c r="K952" i="2"/>
  <c r="K953" i="2"/>
  <c r="K951" i="2"/>
  <c r="K942" i="2"/>
  <c r="G952" i="2"/>
  <c r="G953" i="2"/>
  <c r="G951" i="2"/>
  <c r="G942" i="2"/>
  <c r="E987" i="2"/>
  <c r="E986" i="2"/>
  <c r="E985" i="2"/>
  <c r="E981" i="2"/>
  <c r="E980" i="2"/>
  <c r="E979" i="2"/>
  <c r="V969" i="2"/>
  <c r="Q969" i="2"/>
  <c r="M969" i="2"/>
  <c r="I969" i="2"/>
  <c r="Y858" i="2"/>
  <c r="U858" i="2"/>
  <c r="P858" i="2"/>
  <c r="L858" i="2"/>
  <c r="H858" i="2"/>
  <c r="X857" i="2"/>
  <c r="S857" i="2"/>
  <c r="O857" i="2"/>
  <c r="K857" i="2"/>
  <c r="G857" i="2"/>
  <c r="W856" i="2"/>
  <c r="R856" i="2"/>
  <c r="N856" i="2"/>
  <c r="J856" i="2"/>
  <c r="E862" i="2"/>
  <c r="F856" i="2"/>
  <c r="E937" i="2"/>
  <c r="E936" i="2"/>
  <c r="E935" i="2"/>
  <c r="E931" i="2"/>
  <c r="E930" i="2"/>
  <c r="E929" i="2"/>
  <c r="E925" i="2"/>
  <c r="E924" i="2"/>
  <c r="E923" i="2"/>
  <c r="R907" i="2"/>
  <c r="E919" i="2"/>
  <c r="E918" i="2"/>
  <c r="E917" i="2"/>
  <c r="V907" i="2"/>
  <c r="Q907" i="2"/>
  <c r="M907" i="2"/>
  <c r="I907" i="2"/>
  <c r="Y906" i="2"/>
  <c r="U906" i="2"/>
  <c r="P906" i="2"/>
  <c r="L906" i="2"/>
  <c r="H906" i="2"/>
  <c r="X905" i="2"/>
  <c r="T905" i="2"/>
  <c r="O905" i="2"/>
  <c r="K905" i="2"/>
  <c r="G905" i="2"/>
  <c r="W965" i="2"/>
  <c r="W964" i="2"/>
  <c r="W963" i="2"/>
  <c r="S965" i="2"/>
  <c r="S964" i="2"/>
  <c r="S963" i="2"/>
  <c r="O965" i="2"/>
  <c r="O964" i="2"/>
  <c r="O963" i="2"/>
  <c r="K965" i="2"/>
  <c r="K964" i="2"/>
  <c r="K963" i="2"/>
  <c r="G965" i="2"/>
  <c r="G964" i="2"/>
  <c r="G963" i="2"/>
  <c r="W944" i="2"/>
  <c r="W959" i="2"/>
  <c r="W958" i="2"/>
  <c r="W957" i="2"/>
  <c r="S959" i="2"/>
  <c r="S957" i="2"/>
  <c r="O959" i="2"/>
  <c r="O958" i="2"/>
  <c r="O957" i="2"/>
  <c r="K959" i="2"/>
  <c r="K958" i="2"/>
  <c r="K957" i="2"/>
  <c r="G959" i="2"/>
  <c r="G958" i="2"/>
  <c r="G957" i="2"/>
  <c r="V944" i="2"/>
  <c r="R944" i="2"/>
  <c r="N944" i="2"/>
  <c r="J944" i="2"/>
  <c r="E950" i="2"/>
  <c r="F944" i="2"/>
  <c r="Y952" i="2"/>
  <c r="Y953" i="2"/>
  <c r="Y951" i="2"/>
  <c r="Y942" i="2"/>
  <c r="T953" i="2"/>
  <c r="T951" i="2"/>
  <c r="T952" i="2"/>
  <c r="T942" i="2"/>
  <c r="P953" i="2"/>
  <c r="P951" i="2"/>
  <c r="P952" i="2"/>
  <c r="P942" i="2"/>
  <c r="L953" i="2"/>
  <c r="L951" i="2"/>
  <c r="L952" i="2"/>
  <c r="L942" i="2"/>
  <c r="H953" i="2"/>
  <c r="H951" i="2"/>
  <c r="H952" i="2"/>
  <c r="H942" i="2"/>
  <c r="Y969" i="2"/>
  <c r="U969" i="2"/>
  <c r="P969" i="2"/>
  <c r="L969" i="2"/>
  <c r="H969" i="2"/>
  <c r="W968" i="2"/>
  <c r="R968" i="2"/>
  <c r="N968" i="2"/>
  <c r="J968" i="2"/>
  <c r="F968" i="2"/>
  <c r="E974" i="2"/>
  <c r="V967" i="2"/>
  <c r="Q967" i="2"/>
  <c r="M967" i="2"/>
  <c r="I967" i="2"/>
  <c r="E1102" i="2"/>
  <c r="E1101" i="2"/>
  <c r="E1088" i="2"/>
  <c r="E1084" i="2"/>
  <c r="E1083" i="2"/>
  <c r="E1082" i="2"/>
  <c r="E1078" i="2"/>
  <c r="E1077" i="2"/>
  <c r="E1076" i="2"/>
  <c r="E975" i="2"/>
  <c r="F969" i="2"/>
  <c r="V968" i="2"/>
  <c r="Q968" i="2"/>
  <c r="M968" i="2"/>
  <c r="I968" i="2"/>
  <c r="Y967" i="2"/>
  <c r="U967" i="2"/>
  <c r="P967" i="2"/>
  <c r="L967" i="2"/>
  <c r="H967" i="2"/>
  <c r="E1030" i="2"/>
  <c r="E1029" i="2"/>
  <c r="E1028" i="2"/>
  <c r="E1022" i="2"/>
  <c r="E1040" i="2"/>
  <c r="E1036" i="2"/>
  <c r="E1035" i="2"/>
  <c r="E1034" i="2"/>
  <c r="E1024" i="2"/>
  <c r="E1023" i="2"/>
  <c r="E1017" i="2"/>
  <c r="Y1006" i="2"/>
  <c r="T1006" i="2"/>
  <c r="P1006" i="2"/>
  <c r="L1006" i="2"/>
  <c r="H1006" i="2"/>
  <c r="X1005" i="2"/>
  <c r="S1005" i="2"/>
  <c r="O1005" i="2"/>
  <c r="K1005" i="2"/>
  <c r="G1005" i="2"/>
  <c r="W1004" i="2"/>
  <c r="R1004" i="2"/>
  <c r="N1004" i="2"/>
  <c r="J1004" i="2"/>
  <c r="E1010" i="2"/>
  <c r="F1004" i="2"/>
  <c r="I776" i="2"/>
  <c r="M776" i="2"/>
  <c r="Q776" i="2"/>
  <c r="V776" i="2"/>
  <c r="E783" i="2"/>
  <c r="F777" i="2"/>
  <c r="J777" i="2"/>
  <c r="N777" i="2"/>
  <c r="R777" i="2"/>
  <c r="W777" i="2"/>
  <c r="G778" i="2"/>
  <c r="K778" i="2"/>
  <c r="O778" i="2"/>
  <c r="T778" i="2"/>
  <c r="Y778" i="2"/>
  <c r="E789" i="2"/>
  <c r="X1006" i="2"/>
  <c r="S1006" i="2"/>
  <c r="O1006" i="2"/>
  <c r="K1006" i="2"/>
  <c r="G1006" i="2"/>
  <c r="W1005" i="2"/>
  <c r="R1005" i="2"/>
  <c r="N1005" i="2"/>
  <c r="J1005" i="2"/>
  <c r="E1011" i="2"/>
  <c r="F1005" i="2"/>
  <c r="U1004" i="2"/>
  <c r="Q1004" i="2"/>
  <c r="M1004" i="2"/>
  <c r="I1004" i="2"/>
  <c r="E782" i="2"/>
  <c r="F776" i="2"/>
  <c r="J776" i="2"/>
  <c r="N776" i="2"/>
  <c r="R776" i="2"/>
  <c r="W776" i="2"/>
  <c r="G777" i="2"/>
  <c r="K777" i="2"/>
  <c r="O777" i="2"/>
  <c r="T777" i="2"/>
  <c r="X777" i="2"/>
  <c r="H778" i="2"/>
  <c r="L778" i="2"/>
  <c r="P778" i="2"/>
  <c r="V778" i="2"/>
  <c r="E788" i="2"/>
  <c r="R201" i="2"/>
  <c r="S310" i="2"/>
  <c r="E336" i="2"/>
  <c r="Q465" i="2"/>
  <c r="R496" i="2"/>
  <c r="M617" i="2"/>
  <c r="U778" i="2"/>
  <c r="T856" i="2"/>
  <c r="R906" i="2"/>
  <c r="V1004" i="2"/>
  <c r="Q201" i="2"/>
  <c r="S311" i="2"/>
  <c r="E335" i="2"/>
  <c r="Q464" i="2"/>
  <c r="R495" i="2"/>
  <c r="V587" i="2"/>
  <c r="P746" i="2"/>
  <c r="S778" i="2"/>
  <c r="S819" i="2"/>
  <c r="T857" i="2"/>
  <c r="S967" i="2"/>
  <c r="V1005" i="2"/>
  <c r="R17" i="2"/>
  <c r="E91" i="2"/>
  <c r="M73" i="2"/>
  <c r="Q72" i="2"/>
  <c r="S71" i="2"/>
  <c r="E60" i="2"/>
  <c r="E59" i="2"/>
  <c r="E54" i="2"/>
  <c r="E52" i="2"/>
  <c r="E47" i="2"/>
  <c r="E42" i="2"/>
  <c r="E40" i="2"/>
  <c r="V18" i="2"/>
  <c r="M18" i="2"/>
  <c r="Y17" i="2"/>
  <c r="O17" i="2"/>
  <c r="G17" i="2"/>
  <c r="S16" i="2"/>
  <c r="K16" i="2"/>
  <c r="Y73" i="2"/>
  <c r="Q73" i="2"/>
  <c r="I73" i="2"/>
  <c r="U72" i="2"/>
  <c r="M72" i="2"/>
  <c r="W71" i="2"/>
  <c r="O71" i="2"/>
  <c r="G71" i="2"/>
  <c r="E65" i="2"/>
  <c r="X18" i="2"/>
  <c r="S18" i="2"/>
  <c r="O18" i="2"/>
  <c r="K18" i="2"/>
  <c r="G18" i="2"/>
  <c r="W17" i="2"/>
  <c r="Q17" i="2"/>
  <c r="M17" i="2"/>
  <c r="I17" i="2"/>
  <c r="Y16" i="2"/>
  <c r="U16" i="2"/>
  <c r="Q16" i="2"/>
  <c r="M16" i="2"/>
  <c r="I16" i="2"/>
  <c r="X104" i="2"/>
  <c r="T104" i="2"/>
  <c r="P104" i="2"/>
  <c r="L104" i="2"/>
  <c r="H104" i="2"/>
  <c r="X103" i="2"/>
  <c r="T103" i="2"/>
  <c r="P103" i="2"/>
  <c r="L103" i="2"/>
  <c r="H103" i="2"/>
  <c r="X102" i="2"/>
  <c r="T102" i="2"/>
  <c r="P102" i="2"/>
  <c r="L102" i="2"/>
  <c r="H102" i="2"/>
  <c r="X165" i="2"/>
  <c r="T165" i="2"/>
  <c r="P165" i="2"/>
  <c r="L165" i="2"/>
  <c r="H165" i="2"/>
  <c r="X164" i="2"/>
  <c r="T164" i="2"/>
  <c r="P164" i="2"/>
  <c r="L164" i="2"/>
  <c r="H164" i="2"/>
  <c r="X163" i="2"/>
  <c r="T163" i="2"/>
  <c r="P163" i="2"/>
  <c r="L163" i="2"/>
  <c r="H163" i="2"/>
  <c r="X202" i="2"/>
  <c r="T202" i="2"/>
  <c r="P202" i="2"/>
  <c r="L202" i="2"/>
  <c r="H202" i="2"/>
  <c r="X201" i="2"/>
  <c r="T201" i="2"/>
  <c r="M201" i="2"/>
  <c r="I201" i="2"/>
  <c r="Y200" i="2"/>
  <c r="U200" i="2"/>
  <c r="Q200" i="2"/>
  <c r="M200" i="2"/>
  <c r="I200" i="2"/>
  <c r="Y233" i="2"/>
  <c r="U233" i="2"/>
  <c r="Q233" i="2"/>
  <c r="L233" i="2"/>
  <c r="H233" i="2"/>
  <c r="X232" i="2"/>
  <c r="T232" i="2"/>
  <c r="P232" i="2"/>
  <c r="L232" i="2"/>
  <c r="H232" i="2"/>
  <c r="X231" i="2"/>
  <c r="T231" i="2"/>
  <c r="P231" i="2"/>
  <c r="L231" i="2"/>
  <c r="H231" i="2"/>
  <c r="W312" i="2"/>
  <c r="R312" i="2"/>
  <c r="N312" i="2"/>
  <c r="J312" i="2"/>
  <c r="E318" i="2"/>
  <c r="F312" i="2"/>
  <c r="V311" i="2"/>
  <c r="Q311" i="2"/>
  <c r="M311" i="2"/>
  <c r="I311" i="2"/>
  <c r="Y310" i="2"/>
  <c r="U310" i="2"/>
  <c r="P310" i="2"/>
  <c r="L310" i="2"/>
  <c r="H310" i="2"/>
  <c r="E96" i="2"/>
  <c r="E90" i="2"/>
  <c r="S73" i="2"/>
  <c r="K73" i="2"/>
  <c r="W72" i="2"/>
  <c r="O72" i="2"/>
  <c r="I72" i="2"/>
  <c r="U71" i="2"/>
  <c r="M71" i="2"/>
  <c r="E66" i="2"/>
  <c r="E85" i="2"/>
  <c r="E84" i="2"/>
  <c r="E83" i="2"/>
  <c r="V73" i="2"/>
  <c r="R73" i="2"/>
  <c r="N73" i="2"/>
  <c r="J73" i="2"/>
  <c r="E79" i="2"/>
  <c r="F73" i="2"/>
  <c r="V72" i="2"/>
  <c r="R72" i="2"/>
  <c r="N72" i="2"/>
  <c r="J72" i="2"/>
  <c r="E78" i="2"/>
  <c r="F72" i="2"/>
  <c r="V71" i="2"/>
  <c r="R71" i="2"/>
  <c r="N71" i="2"/>
  <c r="J71" i="2"/>
  <c r="E77" i="2"/>
  <c r="F71" i="2"/>
  <c r="E36" i="2"/>
  <c r="E35" i="2"/>
  <c r="E34" i="2"/>
  <c r="E30" i="2"/>
  <c r="E29" i="2"/>
  <c r="E28" i="2"/>
  <c r="W18" i="2"/>
  <c r="R18" i="2"/>
  <c r="N18" i="2"/>
  <c r="J18" i="2"/>
  <c r="E24" i="2"/>
  <c r="F18" i="2"/>
  <c r="V17" i="2"/>
  <c r="P17" i="2"/>
  <c r="L17" i="2"/>
  <c r="H17" i="2"/>
  <c r="X16" i="2"/>
  <c r="T16" i="2"/>
  <c r="P16" i="2"/>
  <c r="L16" i="2"/>
  <c r="H16" i="2"/>
  <c r="Y104" i="2"/>
  <c r="U104" i="2"/>
  <c r="Q104" i="2"/>
  <c r="M104" i="2"/>
  <c r="I104" i="2"/>
  <c r="Y103" i="2"/>
  <c r="U103" i="2"/>
  <c r="Q103" i="2"/>
  <c r="M103" i="2"/>
  <c r="I103" i="2"/>
  <c r="Y102" i="2"/>
  <c r="U102" i="2"/>
  <c r="Q102" i="2"/>
  <c r="M102" i="2"/>
  <c r="I102" i="2"/>
  <c r="Y165" i="2"/>
  <c r="U165" i="2"/>
  <c r="Q165" i="2"/>
  <c r="M165" i="2"/>
  <c r="I165" i="2"/>
  <c r="Y164" i="2"/>
  <c r="U164" i="2"/>
  <c r="Q164" i="2"/>
  <c r="M164" i="2"/>
  <c r="I164" i="2"/>
  <c r="Y163" i="2"/>
  <c r="U163" i="2"/>
  <c r="Q163" i="2"/>
  <c r="M163" i="2"/>
  <c r="I163" i="2"/>
  <c r="Y202" i="2"/>
  <c r="U202" i="2"/>
  <c r="Q202" i="2"/>
  <c r="M202" i="2"/>
  <c r="I202" i="2"/>
  <c r="Y201" i="2"/>
  <c r="U201" i="2"/>
  <c r="N201" i="2"/>
  <c r="J201" i="2"/>
  <c r="E207" i="2"/>
  <c r="F201" i="2"/>
  <c r="V200" i="2"/>
  <c r="R200" i="2"/>
  <c r="N200" i="2"/>
  <c r="J200" i="2"/>
  <c r="E206" i="2"/>
  <c r="F200" i="2"/>
  <c r="E305" i="2"/>
  <c r="E304" i="2"/>
  <c r="E303" i="2"/>
  <c r="E299" i="2"/>
  <c r="E298" i="2"/>
  <c r="E297" i="2"/>
  <c r="E293" i="2"/>
  <c r="E292" i="2"/>
  <c r="E291" i="2"/>
  <c r="E287" i="2"/>
  <c r="E286" i="2"/>
  <c r="E285" i="2"/>
  <c r="E281" i="2"/>
  <c r="E280" i="2"/>
  <c r="E279" i="2"/>
  <c r="E275" i="2"/>
  <c r="E274" i="2"/>
  <c r="E273" i="2"/>
  <c r="E269" i="2"/>
  <c r="E268" i="2"/>
  <c r="E267" i="2"/>
  <c r="E263" i="2"/>
  <c r="E262" i="2"/>
  <c r="E261" i="2"/>
  <c r="E257" i="2"/>
  <c r="E256" i="2"/>
  <c r="E255" i="2"/>
  <c r="V233" i="2"/>
  <c r="R233" i="2"/>
  <c r="M233" i="2"/>
  <c r="I233" i="2"/>
  <c r="Y232" i="2"/>
  <c r="U232" i="2"/>
  <c r="Q232" i="2"/>
  <c r="M232" i="2"/>
  <c r="I232" i="2"/>
  <c r="Y231" i="2"/>
  <c r="U231" i="2"/>
  <c r="Q231" i="2"/>
  <c r="M231" i="2"/>
  <c r="I231" i="2"/>
  <c r="X312" i="2"/>
  <c r="S312" i="2"/>
  <c r="O312" i="2"/>
  <c r="K312" i="2"/>
  <c r="G312" i="2"/>
  <c r="W311" i="2"/>
  <c r="R311" i="2"/>
  <c r="N311" i="2"/>
  <c r="J311" i="2"/>
  <c r="E317" i="2"/>
  <c r="F311" i="2"/>
  <c r="V310" i="2"/>
  <c r="Q310" i="2"/>
  <c r="M310" i="2"/>
  <c r="I310" i="2"/>
  <c r="E440" i="2"/>
  <c r="E439" i="2"/>
  <c r="E438" i="2"/>
  <c r="E416" i="2"/>
  <c r="E415" i="2"/>
  <c r="E414" i="2"/>
  <c r="E410" i="2"/>
  <c r="E409" i="2"/>
  <c r="E408" i="2"/>
  <c r="E398" i="2"/>
  <c r="E397" i="2"/>
  <c r="E396" i="2"/>
  <c r="E392" i="2"/>
  <c r="E391" i="2"/>
  <c r="E390" i="2"/>
  <c r="E386" i="2"/>
  <c r="E385" i="2"/>
  <c r="E384" i="2"/>
  <c r="E380" i="2"/>
  <c r="E379" i="2"/>
  <c r="Y344" i="2"/>
  <c r="U344" i="2"/>
  <c r="Q344" i="2"/>
  <c r="M344" i="2"/>
  <c r="I344" i="2"/>
  <c r="Y343" i="2"/>
  <c r="U343" i="2"/>
  <c r="Q343" i="2"/>
  <c r="M343" i="2"/>
  <c r="I343" i="2"/>
  <c r="Y342" i="2"/>
  <c r="U342" i="2"/>
  <c r="Q342" i="2"/>
  <c r="M342" i="2"/>
  <c r="I342" i="2"/>
  <c r="Y465" i="2"/>
  <c r="U465" i="2"/>
  <c r="P465" i="2"/>
  <c r="L465" i="2"/>
  <c r="H465" i="2"/>
  <c r="X464" i="2"/>
  <c r="T464" i="2"/>
  <c r="O464" i="2"/>
  <c r="K464" i="2"/>
  <c r="G464" i="2"/>
  <c r="W463" i="2"/>
  <c r="S463" i="2"/>
  <c r="N463" i="2"/>
  <c r="J463" i="2"/>
  <c r="F463" i="2"/>
  <c r="E469" i="2"/>
  <c r="E526" i="2"/>
  <c r="E525" i="2"/>
  <c r="E524" i="2"/>
  <c r="E520" i="2"/>
  <c r="E519" i="2"/>
  <c r="E518" i="2"/>
  <c r="E514" i="2"/>
  <c r="E513" i="2"/>
  <c r="E512" i="2"/>
  <c r="E508" i="2"/>
  <c r="E507" i="2"/>
  <c r="E506" i="2"/>
  <c r="V496" i="2"/>
  <c r="Q496" i="2"/>
  <c r="M496" i="2"/>
  <c r="I496" i="2"/>
  <c r="Y495" i="2"/>
  <c r="U495" i="2"/>
  <c r="P495" i="2"/>
  <c r="L495" i="2"/>
  <c r="H495" i="2"/>
  <c r="X494" i="2"/>
  <c r="T494" i="2"/>
  <c r="O494" i="2"/>
  <c r="K494" i="2"/>
  <c r="G494" i="2"/>
  <c r="W533" i="2"/>
  <c r="S533" i="2"/>
  <c r="O533" i="2"/>
  <c r="K533" i="2"/>
  <c r="G533" i="2"/>
  <c r="W532" i="2"/>
  <c r="S532" i="2"/>
  <c r="O532" i="2"/>
  <c r="K532" i="2"/>
  <c r="G532" i="2"/>
  <c r="W531" i="2"/>
  <c r="S531" i="2"/>
  <c r="O531" i="2"/>
  <c r="K531" i="2"/>
  <c r="G531" i="2"/>
  <c r="E378" i="2"/>
  <c r="E374" i="2"/>
  <c r="E373" i="2"/>
  <c r="E372" i="2"/>
  <c r="E368" i="2"/>
  <c r="E367" i="2"/>
  <c r="E366" i="2"/>
  <c r="E362" i="2"/>
  <c r="E361" i="2"/>
  <c r="E360" i="2"/>
  <c r="E356" i="2"/>
  <c r="E355" i="2"/>
  <c r="E354" i="2"/>
  <c r="V344" i="2"/>
  <c r="R344" i="2"/>
  <c r="N344" i="2"/>
  <c r="J344" i="2"/>
  <c r="E350" i="2"/>
  <c r="F344" i="2"/>
  <c r="V343" i="2"/>
  <c r="R343" i="2"/>
  <c r="N343" i="2"/>
  <c r="J343" i="2"/>
  <c r="E349" i="2"/>
  <c r="F343" i="2"/>
  <c r="V342" i="2"/>
  <c r="R342" i="2"/>
  <c r="N342" i="2"/>
  <c r="J342" i="2"/>
  <c r="E348" i="2"/>
  <c r="F342" i="2"/>
  <c r="E489" i="2"/>
  <c r="E488" i="2"/>
  <c r="E487" i="2"/>
  <c r="E483" i="2"/>
  <c r="E482" i="2"/>
  <c r="E481" i="2"/>
  <c r="V465" i="2"/>
  <c r="R465" i="2"/>
  <c r="M465" i="2"/>
  <c r="I465" i="2"/>
  <c r="Y464" i="2"/>
  <c r="U464" i="2"/>
  <c r="P464" i="2"/>
  <c r="L464" i="2"/>
  <c r="H464" i="2"/>
  <c r="X463" i="2"/>
  <c r="T463" i="2"/>
  <c r="O463" i="2"/>
  <c r="K463" i="2"/>
  <c r="G463" i="2"/>
  <c r="W496" i="2"/>
  <c r="S496" i="2"/>
  <c r="N496" i="2"/>
  <c r="J496" i="2"/>
  <c r="E502" i="2"/>
  <c r="F496" i="2"/>
  <c r="V495" i="2"/>
  <c r="Q495" i="2"/>
  <c r="M495" i="2"/>
  <c r="I495" i="2"/>
  <c r="Y494" i="2"/>
  <c r="U494" i="2"/>
  <c r="P494" i="2"/>
  <c r="L494" i="2"/>
  <c r="H494" i="2"/>
  <c r="X533" i="2"/>
  <c r="T533" i="2"/>
  <c r="P533" i="2"/>
  <c r="L533" i="2"/>
  <c r="H533" i="2"/>
  <c r="X532" i="2"/>
  <c r="T532" i="2"/>
  <c r="P532" i="2"/>
  <c r="L532" i="2"/>
  <c r="H532" i="2"/>
  <c r="X531" i="2"/>
  <c r="T531" i="2"/>
  <c r="P531" i="2"/>
  <c r="L531" i="2"/>
  <c r="H531" i="2"/>
  <c r="X588" i="2"/>
  <c r="T588" i="2"/>
  <c r="P588" i="2"/>
  <c r="L588" i="2"/>
  <c r="H588" i="2"/>
  <c r="X587" i="2"/>
  <c r="S587" i="2"/>
  <c r="N587" i="2"/>
  <c r="J587" i="2"/>
  <c r="E593" i="2"/>
  <c r="F587" i="2"/>
  <c r="V586" i="2"/>
  <c r="R586" i="2"/>
  <c r="N586" i="2"/>
  <c r="I586" i="2"/>
  <c r="M619" i="2"/>
  <c r="Y619" i="2"/>
  <c r="U619" i="2"/>
  <c r="Q619" i="2"/>
  <c r="L619" i="2"/>
  <c r="H619" i="2"/>
  <c r="X618" i="2"/>
  <c r="T618" i="2"/>
  <c r="P618" i="2"/>
  <c r="K618" i="2"/>
  <c r="G618" i="2"/>
  <c r="W617" i="2"/>
  <c r="S617" i="2"/>
  <c r="O617" i="2"/>
  <c r="J617" i="2"/>
  <c r="E623" i="2"/>
  <c r="F617" i="2"/>
  <c r="E740" i="2"/>
  <c r="E739" i="2"/>
  <c r="E738" i="2"/>
  <c r="E734" i="2"/>
  <c r="E733" i="2"/>
  <c r="E732" i="2"/>
  <c r="E765" i="2"/>
  <c r="E764" i="2"/>
  <c r="E763" i="2"/>
  <c r="V747" i="2"/>
  <c r="M747" i="2"/>
  <c r="Y746" i="2"/>
  <c r="Q746" i="2"/>
  <c r="H746" i="2"/>
  <c r="T745" i="2"/>
  <c r="K745" i="2"/>
  <c r="Y588" i="2"/>
  <c r="U588" i="2"/>
  <c r="Q588" i="2"/>
  <c r="M588" i="2"/>
  <c r="I588" i="2"/>
  <c r="Y587" i="2"/>
  <c r="T587" i="2"/>
  <c r="O587" i="2"/>
  <c r="K587" i="2"/>
  <c r="G587" i="2"/>
  <c r="W586" i="2"/>
  <c r="S586" i="2"/>
  <c r="O586" i="2"/>
  <c r="J586" i="2"/>
  <c r="E592" i="2"/>
  <c r="F586" i="2"/>
  <c r="E715" i="2"/>
  <c r="E714" i="2"/>
  <c r="E713" i="2"/>
  <c r="E709" i="2"/>
  <c r="E708" i="2"/>
  <c r="E707" i="2"/>
  <c r="E703" i="2"/>
  <c r="E702" i="2"/>
  <c r="E701" i="2"/>
  <c r="E697" i="2"/>
  <c r="E696" i="2"/>
  <c r="E695" i="2"/>
  <c r="E691" i="2"/>
  <c r="E690" i="2"/>
  <c r="E689" i="2"/>
  <c r="E685" i="2"/>
  <c r="E684" i="2"/>
  <c r="E683" i="2"/>
  <c r="E679" i="2"/>
  <c r="E678" i="2"/>
  <c r="E677" i="2"/>
  <c r="E673" i="2"/>
  <c r="E672" i="2"/>
  <c r="E671" i="2"/>
  <c r="E667" i="2"/>
  <c r="E666" i="2"/>
  <c r="E665" i="2"/>
  <c r="E661" i="2"/>
  <c r="E660" i="2"/>
  <c r="E659" i="2"/>
  <c r="E655" i="2"/>
  <c r="E654" i="2"/>
  <c r="E653" i="2"/>
  <c r="E649" i="2"/>
  <c r="E648" i="2"/>
  <c r="E647" i="2"/>
  <c r="E643" i="2"/>
  <c r="E642" i="2"/>
  <c r="E641" i="2"/>
  <c r="E637" i="2"/>
  <c r="E636" i="2"/>
  <c r="E635" i="2"/>
  <c r="E631" i="2"/>
  <c r="E630" i="2"/>
  <c r="E629" i="2"/>
  <c r="V619" i="2"/>
  <c r="R619" i="2"/>
  <c r="N619" i="2"/>
  <c r="I619" i="2"/>
  <c r="Y618" i="2"/>
  <c r="U618" i="2"/>
  <c r="Q618" i="2"/>
  <c r="L618" i="2"/>
  <c r="H618" i="2"/>
  <c r="X617" i="2"/>
  <c r="T617" i="2"/>
  <c r="P617" i="2"/>
  <c r="K617" i="2"/>
  <c r="G617" i="2"/>
  <c r="E728" i="2"/>
  <c r="T747" i="2"/>
  <c r="K747" i="2"/>
  <c r="W746" i="2"/>
  <c r="N746" i="2"/>
  <c r="E752" i="2"/>
  <c r="F746" i="2"/>
  <c r="R745" i="2"/>
  <c r="I745" i="2"/>
  <c r="P747" i="2"/>
  <c r="Y747" i="2"/>
  <c r="U747" i="2"/>
  <c r="Q747" i="2"/>
  <c r="L747" i="2"/>
  <c r="H747" i="2"/>
  <c r="X746" i="2"/>
  <c r="T746" i="2"/>
  <c r="O746" i="2"/>
  <c r="K746" i="2"/>
  <c r="G746" i="2"/>
  <c r="W745" i="2"/>
  <c r="S745" i="2"/>
  <c r="N745" i="2"/>
  <c r="J745" i="2"/>
  <c r="E751" i="2"/>
  <c r="F745" i="2"/>
  <c r="E851" i="2"/>
  <c r="E850" i="2"/>
  <c r="E849" i="2"/>
  <c r="E845" i="2"/>
  <c r="E844" i="2"/>
  <c r="E843" i="2"/>
  <c r="E839" i="2"/>
  <c r="E838" i="2"/>
  <c r="E837" i="2"/>
  <c r="E833" i="2"/>
  <c r="E832" i="2"/>
  <c r="E831" i="2"/>
  <c r="W821" i="2"/>
  <c r="R821" i="2"/>
  <c r="N821" i="2"/>
  <c r="J821" i="2"/>
  <c r="E827" i="2"/>
  <c r="F821" i="2"/>
  <c r="V820" i="2"/>
  <c r="Q820" i="2"/>
  <c r="M820" i="2"/>
  <c r="I820" i="2"/>
  <c r="Y819" i="2"/>
  <c r="U819" i="2"/>
  <c r="P819" i="2"/>
  <c r="L819" i="2"/>
  <c r="H819" i="2"/>
  <c r="S821" i="2"/>
  <c r="V821" i="2"/>
  <c r="Q821" i="2"/>
  <c r="M821" i="2"/>
  <c r="I821" i="2"/>
  <c r="Y820" i="2"/>
  <c r="U820" i="2"/>
  <c r="P820" i="2"/>
  <c r="L820" i="2"/>
  <c r="H820" i="2"/>
  <c r="X819" i="2"/>
  <c r="T819" i="2"/>
  <c r="O819" i="2"/>
  <c r="K819" i="2"/>
  <c r="G819" i="2"/>
  <c r="T858" i="2"/>
  <c r="E870" i="2"/>
  <c r="E869" i="2"/>
  <c r="E868" i="2"/>
  <c r="V858" i="2"/>
  <c r="Q858" i="2"/>
  <c r="M858" i="2"/>
  <c r="I858" i="2"/>
  <c r="Y857" i="2"/>
  <c r="U857" i="2"/>
  <c r="P857" i="2"/>
  <c r="L857" i="2"/>
  <c r="H857" i="2"/>
  <c r="X856" i="2"/>
  <c r="S856" i="2"/>
  <c r="O856" i="2"/>
  <c r="K856" i="2"/>
  <c r="G856" i="2"/>
  <c r="W907" i="2"/>
  <c r="S907" i="2"/>
  <c r="N907" i="2"/>
  <c r="J907" i="2"/>
  <c r="E913" i="2"/>
  <c r="F907" i="2"/>
  <c r="V906" i="2"/>
  <c r="Q906" i="2"/>
  <c r="M906" i="2"/>
  <c r="I906" i="2"/>
  <c r="Y905" i="2"/>
  <c r="U905" i="2"/>
  <c r="P905" i="2"/>
  <c r="L905" i="2"/>
  <c r="H905" i="2"/>
  <c r="X965" i="2"/>
  <c r="X964" i="2"/>
  <c r="X963" i="2"/>
  <c r="T965" i="2"/>
  <c r="T964" i="2"/>
  <c r="T963" i="2"/>
  <c r="P965" i="2"/>
  <c r="P964" i="2"/>
  <c r="P963" i="2"/>
  <c r="L965" i="2"/>
  <c r="L964" i="2"/>
  <c r="L963" i="2"/>
  <c r="H965" i="2"/>
  <c r="H964" i="2"/>
  <c r="H963" i="2"/>
  <c r="X959" i="2"/>
  <c r="X958" i="2"/>
  <c r="X957" i="2"/>
  <c r="T959" i="2"/>
  <c r="T958" i="2"/>
  <c r="T957" i="2"/>
  <c r="P959" i="2"/>
  <c r="P958" i="2"/>
  <c r="P957" i="2"/>
  <c r="L959" i="2"/>
  <c r="L958" i="2"/>
  <c r="L957" i="2"/>
  <c r="H959" i="2"/>
  <c r="H958" i="2"/>
  <c r="H957" i="2"/>
  <c r="X944" i="2"/>
  <c r="V943" i="2"/>
  <c r="R943" i="2"/>
  <c r="N943" i="2"/>
  <c r="J943" i="2"/>
  <c r="E949" i="2"/>
  <c r="F943" i="2"/>
  <c r="U952" i="2"/>
  <c r="U953" i="2"/>
  <c r="U951" i="2"/>
  <c r="U942" i="2"/>
  <c r="Q952" i="2"/>
  <c r="Q953" i="2"/>
  <c r="Q951" i="2"/>
  <c r="Q942" i="2"/>
  <c r="M952" i="2"/>
  <c r="M953" i="2"/>
  <c r="M951" i="2"/>
  <c r="M942" i="2"/>
  <c r="I952" i="2"/>
  <c r="I953" i="2"/>
  <c r="I951" i="2"/>
  <c r="I942" i="2"/>
  <c r="X969" i="2"/>
  <c r="T969" i="2"/>
  <c r="O969" i="2"/>
  <c r="K969" i="2"/>
  <c r="G969" i="2"/>
  <c r="W858" i="2"/>
  <c r="R858" i="2"/>
  <c r="N858" i="2"/>
  <c r="J858" i="2"/>
  <c r="E864" i="2"/>
  <c r="F858" i="2"/>
  <c r="V857" i="2"/>
  <c r="Q857" i="2"/>
  <c r="M857" i="2"/>
  <c r="I857" i="2"/>
  <c r="Y856" i="2"/>
  <c r="U856" i="2"/>
  <c r="P856" i="2"/>
  <c r="L856" i="2"/>
  <c r="H856" i="2"/>
  <c r="X907" i="2"/>
  <c r="T907" i="2"/>
  <c r="O907" i="2"/>
  <c r="K907" i="2"/>
  <c r="G907" i="2"/>
  <c r="W906" i="2"/>
  <c r="S906" i="2"/>
  <c r="N906" i="2"/>
  <c r="J906" i="2"/>
  <c r="F906" i="2"/>
  <c r="E912" i="2"/>
  <c r="V905" i="2"/>
  <c r="Q905" i="2"/>
  <c r="M905" i="2"/>
  <c r="I905" i="2"/>
  <c r="Y965" i="2"/>
  <c r="Y964" i="2"/>
  <c r="Y963" i="2"/>
  <c r="U965" i="2"/>
  <c r="U964" i="2"/>
  <c r="U963" i="2"/>
  <c r="Q965" i="2"/>
  <c r="Q964" i="2"/>
  <c r="Q963" i="2"/>
  <c r="M965" i="2"/>
  <c r="M964" i="2"/>
  <c r="M963" i="2"/>
  <c r="I965" i="2"/>
  <c r="I964" i="2"/>
  <c r="I963" i="2"/>
  <c r="Y959" i="2"/>
  <c r="Y958" i="2"/>
  <c r="Y957" i="2"/>
  <c r="U959" i="2"/>
  <c r="U957" i="2"/>
  <c r="Q959" i="2"/>
  <c r="Q958" i="2"/>
  <c r="Q957" i="2"/>
  <c r="M959" i="2"/>
  <c r="M958" i="2"/>
  <c r="M957" i="2"/>
  <c r="I959" i="2"/>
  <c r="I958" i="2"/>
  <c r="I957" i="2"/>
  <c r="Y944" i="2"/>
  <c r="T944" i="2"/>
  <c r="P944" i="2"/>
  <c r="L944" i="2"/>
  <c r="H944" i="2"/>
  <c r="X943" i="2"/>
  <c r="S943" i="2"/>
  <c r="O943" i="2"/>
  <c r="K943" i="2"/>
  <c r="G943" i="2"/>
  <c r="V953" i="2"/>
  <c r="V951" i="2"/>
  <c r="V952" i="2"/>
  <c r="V942" i="2"/>
  <c r="R953" i="2"/>
  <c r="R951" i="2"/>
  <c r="R952" i="2"/>
  <c r="R942" i="2"/>
  <c r="N953" i="2"/>
  <c r="N951" i="2"/>
  <c r="N952" i="2"/>
  <c r="N942" i="2"/>
  <c r="J953" i="2"/>
  <c r="J951" i="2"/>
  <c r="J952" i="2"/>
  <c r="J942" i="2"/>
  <c r="F953" i="2"/>
  <c r="F951" i="2"/>
  <c r="F952" i="2"/>
  <c r="E948" i="2"/>
  <c r="F942" i="2"/>
  <c r="E999" i="2"/>
  <c r="E998" i="2"/>
  <c r="E997" i="2"/>
  <c r="E993" i="2"/>
  <c r="E992" i="2"/>
  <c r="E991" i="2"/>
  <c r="S969" i="2"/>
  <c r="W969" i="2"/>
  <c r="R969" i="2"/>
  <c r="N969" i="2"/>
  <c r="J969" i="2"/>
  <c r="Y968" i="2"/>
  <c r="U968" i="2"/>
  <c r="P968" i="2"/>
  <c r="L968" i="2"/>
  <c r="H968" i="2"/>
  <c r="X967" i="2"/>
  <c r="T967" i="2"/>
  <c r="O967" i="2"/>
  <c r="K967" i="2"/>
  <c r="G967" i="2"/>
  <c r="E1108" i="2"/>
  <c r="E1107" i="2"/>
  <c r="E1096" i="2"/>
  <c r="E1095" i="2"/>
  <c r="X968" i="2"/>
  <c r="T968" i="2"/>
  <c r="O968" i="2"/>
  <c r="K968" i="2"/>
  <c r="G968" i="2"/>
  <c r="W967" i="2"/>
  <c r="R967" i="2"/>
  <c r="N967" i="2"/>
  <c r="J967" i="2"/>
  <c r="E973" i="2"/>
  <c r="F967" i="2"/>
  <c r="E1106" i="2"/>
  <c r="E1100" i="2"/>
  <c r="E1094" i="2"/>
  <c r="E1090" i="2"/>
  <c r="E1089" i="2"/>
  <c r="E1072" i="2"/>
  <c r="E1071" i="2"/>
  <c r="E1070" i="2"/>
  <c r="E1066" i="2"/>
  <c r="E1065" i="2"/>
  <c r="E1064" i="2"/>
  <c r="E1060" i="2"/>
  <c r="E1059" i="2"/>
  <c r="E1058" i="2"/>
  <c r="E1054" i="2"/>
  <c r="E1053" i="2"/>
  <c r="E1052" i="2"/>
  <c r="E1048" i="2"/>
  <c r="E1047" i="2"/>
  <c r="E1046" i="2"/>
  <c r="E1042" i="2"/>
  <c r="E1041" i="2"/>
  <c r="V1006" i="2"/>
  <c r="E1018" i="2"/>
  <c r="W1006" i="2"/>
  <c r="R1006" i="2"/>
  <c r="N1006" i="2"/>
  <c r="J1006" i="2"/>
  <c r="E1012" i="2"/>
  <c r="F1006" i="2"/>
  <c r="U1005" i="2"/>
  <c r="Q1005" i="2"/>
  <c r="M1005" i="2"/>
  <c r="I1005" i="2"/>
  <c r="Y1004" i="2"/>
  <c r="T1004" i="2"/>
  <c r="P1004" i="2"/>
  <c r="L1004" i="2"/>
  <c r="H1004" i="2"/>
  <c r="G776" i="2"/>
  <c r="K776" i="2"/>
  <c r="O776" i="2"/>
  <c r="T776" i="2"/>
  <c r="X776" i="2"/>
  <c r="H777" i="2"/>
  <c r="L777" i="2"/>
  <c r="P777" i="2"/>
  <c r="U777" i="2"/>
  <c r="Y777" i="2"/>
  <c r="I778" i="2"/>
  <c r="M778" i="2"/>
  <c r="Q778" i="2"/>
  <c r="W778" i="2"/>
  <c r="E794" i="2"/>
  <c r="E795" i="2"/>
  <c r="E796" i="2"/>
  <c r="E800" i="2"/>
  <c r="E801" i="2"/>
  <c r="E1016" i="2"/>
  <c r="U1006" i="2"/>
  <c r="Q1006" i="2"/>
  <c r="M1006" i="2"/>
  <c r="I1006" i="2"/>
  <c r="Y1005" i="2"/>
  <c r="T1005" i="2"/>
  <c r="P1005" i="2"/>
  <c r="L1005" i="2"/>
  <c r="H1005" i="2"/>
  <c r="X1004" i="2"/>
  <c r="S1004" i="2"/>
  <c r="O1004" i="2"/>
  <c r="K1004" i="2"/>
  <c r="G1004" i="2"/>
  <c r="H776" i="2"/>
  <c r="L776" i="2"/>
  <c r="P776" i="2"/>
  <c r="U776" i="2"/>
  <c r="Y776" i="2"/>
  <c r="I777" i="2"/>
  <c r="M777" i="2"/>
  <c r="Q777" i="2"/>
  <c r="V777" i="2"/>
  <c r="E784" i="2"/>
  <c r="F778" i="2"/>
  <c r="J778" i="2"/>
  <c r="N778" i="2"/>
  <c r="R778" i="2"/>
  <c r="X778" i="2"/>
  <c r="E790" i="2"/>
  <c r="E802" i="2"/>
  <c r="E806" i="2"/>
  <c r="E807" i="2"/>
  <c r="E808" i="2"/>
  <c r="E812" i="2"/>
  <c r="E813" i="2"/>
  <c r="E814" i="2"/>
  <c r="O233" i="2"/>
  <c r="R494" i="2"/>
  <c r="P587" i="2"/>
  <c r="P745" i="2"/>
  <c r="S777" i="2"/>
  <c r="S820" i="2"/>
  <c r="W952" i="2"/>
  <c r="W953" i="2"/>
  <c r="W951" i="2"/>
  <c r="W942" i="2"/>
  <c r="S968" i="2"/>
  <c r="S17" i="2"/>
  <c r="S201" i="2"/>
  <c r="T312" i="2"/>
  <c r="E337" i="2"/>
  <c r="Q463" i="2"/>
  <c r="M586" i="2"/>
  <c r="M618" i="2"/>
  <c r="S776" i="2"/>
  <c r="R905" i="2"/>
  <c r="W943" i="2"/>
  <c r="T18" i="2"/>
  <c r="E9" i="2"/>
  <c r="E10" i="2"/>
  <c r="N2" i="4"/>
  <c r="C981" i="2" l="1"/>
  <c r="I167" i="2"/>
  <c r="I18" i="3" s="1"/>
  <c r="W591" i="2"/>
  <c r="W46" i="3" s="1"/>
  <c r="O536" i="2"/>
  <c r="O43" i="3" s="1"/>
  <c r="X167" i="2"/>
  <c r="X18" i="3" s="1"/>
  <c r="K345" i="2"/>
  <c r="K32" i="3" s="1"/>
  <c r="O347" i="2"/>
  <c r="O34" i="3" s="1"/>
  <c r="U315" i="2"/>
  <c r="U28" i="3" s="1"/>
  <c r="G331" i="2"/>
  <c r="X910" i="2"/>
  <c r="X67" i="3" s="1"/>
  <c r="P330" i="2"/>
  <c r="X334" i="2"/>
  <c r="X31" i="3" s="1"/>
  <c r="H332" i="2"/>
  <c r="H29" i="3" s="1"/>
  <c r="X781" i="2"/>
  <c r="X58" i="3" s="1"/>
  <c r="M332" i="2"/>
  <c r="M29" i="3" s="1"/>
  <c r="U536" i="2"/>
  <c r="U43" i="3" s="1"/>
  <c r="V334" i="2"/>
  <c r="V31" i="3" s="1"/>
  <c r="V333" i="2"/>
  <c r="V30" i="3" s="1"/>
  <c r="K333" i="2"/>
  <c r="K30" i="3" s="1"/>
  <c r="X333" i="2"/>
  <c r="X30" i="3" s="1"/>
  <c r="X779" i="2"/>
  <c r="X56" i="3" s="1"/>
  <c r="R329" i="2"/>
  <c r="K332" i="2"/>
  <c r="K29" i="3" s="1"/>
  <c r="L334" i="2"/>
  <c r="L31" i="3" s="1"/>
  <c r="P332" i="2"/>
  <c r="P29" i="3" s="1"/>
  <c r="Q331" i="2"/>
  <c r="L330" i="2"/>
  <c r="W781" i="2"/>
  <c r="W58" i="3" s="1"/>
  <c r="T779" i="2"/>
  <c r="T56" i="3" s="1"/>
  <c r="S497" i="2"/>
  <c r="S38" i="3" s="1"/>
  <c r="Y313" i="2"/>
  <c r="Y26" i="3" s="1"/>
  <c r="I313" i="2"/>
  <c r="I26" i="3" s="1"/>
  <c r="W331" i="2"/>
  <c r="J331" i="2"/>
  <c r="J330" i="2"/>
  <c r="K779" i="2"/>
  <c r="K56" i="3" s="1"/>
  <c r="M780" i="2"/>
  <c r="M57" i="3" s="1"/>
  <c r="L779" i="2"/>
  <c r="L56" i="3" s="1"/>
  <c r="V780" i="2"/>
  <c r="V57" i="3" s="1"/>
  <c r="Y779" i="2"/>
  <c r="Y56" i="3" s="1"/>
  <c r="Q781" i="2"/>
  <c r="Q58" i="3" s="1"/>
  <c r="I781" i="2"/>
  <c r="I58" i="3" s="1"/>
  <c r="L1007" i="2"/>
  <c r="L74" i="3" s="1"/>
  <c r="L1008" i="2"/>
  <c r="L75" i="3" s="1"/>
  <c r="T1007" i="2"/>
  <c r="T74" i="3" s="1"/>
  <c r="T1008" i="2"/>
  <c r="T75" i="3" s="1"/>
  <c r="Y1007" i="2"/>
  <c r="Y74" i="3" s="1"/>
  <c r="G1007" i="2"/>
  <c r="G74" i="3" s="1"/>
  <c r="O1007" i="2"/>
  <c r="O74" i="3" s="1"/>
  <c r="R781" i="2"/>
  <c r="R58" i="3" s="1"/>
  <c r="P780" i="2"/>
  <c r="P57" i="3" s="1"/>
  <c r="H780" i="2"/>
  <c r="H57" i="3" s="1"/>
  <c r="U780" i="2"/>
  <c r="U57" i="3" s="1"/>
  <c r="L780" i="2"/>
  <c r="L57" i="3" s="1"/>
  <c r="I1008" i="2"/>
  <c r="I75" i="3" s="1"/>
  <c r="I1009" i="2"/>
  <c r="I76" i="3" s="1"/>
  <c r="Q1008" i="2"/>
  <c r="Q75" i="3" s="1"/>
  <c r="Q1009" i="2"/>
  <c r="Q76" i="3" s="1"/>
  <c r="H1008" i="2"/>
  <c r="H75" i="3" s="1"/>
  <c r="P1008" i="2"/>
  <c r="P75" i="3" s="1"/>
  <c r="H1007" i="2"/>
  <c r="H74" i="3" s="1"/>
  <c r="M1009" i="2"/>
  <c r="M76" i="3" s="1"/>
  <c r="U1009" i="2"/>
  <c r="U76" i="3" s="1"/>
  <c r="Y1008" i="2"/>
  <c r="Y75" i="3" s="1"/>
  <c r="P1007" i="2"/>
  <c r="P74" i="3" s="1"/>
  <c r="X1007" i="2"/>
  <c r="X74" i="3" s="1"/>
  <c r="J1009" i="2"/>
  <c r="J76" i="3" s="1"/>
  <c r="R1009" i="2"/>
  <c r="R76" i="3" s="1"/>
  <c r="N1009" i="2"/>
  <c r="N76" i="3" s="1"/>
  <c r="K1007" i="2"/>
  <c r="K74" i="3" s="1"/>
  <c r="S1007" i="2"/>
  <c r="S74" i="3" s="1"/>
  <c r="W1009" i="2"/>
  <c r="W76" i="3" s="1"/>
  <c r="V1009" i="2"/>
  <c r="V76" i="3" s="1"/>
  <c r="G779" i="2"/>
  <c r="G56" i="3" s="1"/>
  <c r="Q780" i="2"/>
  <c r="Q57" i="3" s="1"/>
  <c r="U779" i="2"/>
  <c r="U56" i="3" s="1"/>
  <c r="Y333" i="2"/>
  <c r="Y30" i="3" s="1"/>
  <c r="Y330" i="2"/>
  <c r="S334" i="2"/>
  <c r="S31" i="3" s="1"/>
  <c r="S331" i="2"/>
  <c r="N333" i="2"/>
  <c r="N30" i="3" s="1"/>
  <c r="N330" i="2"/>
  <c r="T330" i="2"/>
  <c r="T333" i="2"/>
  <c r="T30" i="3" s="1"/>
  <c r="N781" i="2"/>
  <c r="N58" i="3" s="1"/>
  <c r="O779" i="2"/>
  <c r="O56" i="3" s="1"/>
  <c r="M781" i="2"/>
  <c r="M58" i="3" s="1"/>
  <c r="I780" i="2"/>
  <c r="I57" i="3" s="1"/>
  <c r="J781" i="2"/>
  <c r="J58" i="3" s="1"/>
  <c r="Y780" i="2"/>
  <c r="Y57" i="3" s="1"/>
  <c r="P779" i="2"/>
  <c r="P56" i="3" s="1"/>
  <c r="H779" i="2"/>
  <c r="H56" i="3" s="1"/>
  <c r="M1008" i="2"/>
  <c r="M75" i="3" s="1"/>
  <c r="U1008" i="2"/>
  <c r="U75" i="3" s="1"/>
  <c r="Y750" i="2"/>
  <c r="Y55" i="3" s="1"/>
  <c r="N334" i="2"/>
  <c r="N31" i="3" s="1"/>
  <c r="M333" i="2"/>
  <c r="M30" i="3" s="1"/>
  <c r="O331" i="2"/>
  <c r="T331" i="2"/>
  <c r="X3" i="2"/>
  <c r="U334" i="2"/>
  <c r="U31" i="3" s="1"/>
  <c r="N332" i="2"/>
  <c r="N29" i="3" s="1"/>
  <c r="C355" i="2"/>
  <c r="C356" i="2"/>
  <c r="C354" i="2"/>
  <c r="C348" i="2"/>
  <c r="C349" i="2"/>
  <c r="C350" i="2"/>
  <c r="R331" i="2"/>
  <c r="G329" i="2"/>
  <c r="T106" i="2"/>
  <c r="T15" i="3" s="1"/>
  <c r="X106" i="2"/>
  <c r="X15" i="3" s="1"/>
  <c r="Y332" i="2"/>
  <c r="Y29" i="3" s="1"/>
  <c r="I334" i="2"/>
  <c r="I31" i="3" s="1"/>
  <c r="V970" i="2"/>
  <c r="V71" i="3" s="1"/>
  <c r="J909" i="2"/>
  <c r="J66" i="3" s="1"/>
  <c r="N910" i="2"/>
  <c r="N67" i="3" s="1"/>
  <c r="H908" i="2"/>
  <c r="H65" i="3" s="1"/>
  <c r="P908" i="2"/>
  <c r="P65" i="3" s="1"/>
  <c r="I860" i="2"/>
  <c r="I63" i="3" s="1"/>
  <c r="M861" i="2"/>
  <c r="M64" i="3" s="1"/>
  <c r="Q860" i="2"/>
  <c r="Q63" i="3" s="1"/>
  <c r="K859" i="2"/>
  <c r="K62" i="3" s="1"/>
  <c r="S859" i="2"/>
  <c r="S62" i="3" s="1"/>
  <c r="I908" i="2"/>
  <c r="I65" i="3" s="1"/>
  <c r="M909" i="2"/>
  <c r="M66" i="3" s="1"/>
  <c r="Q908" i="2"/>
  <c r="Q65" i="3" s="1"/>
  <c r="K910" i="2"/>
  <c r="K67" i="3" s="1"/>
  <c r="U860" i="2"/>
  <c r="U63" i="3" s="1"/>
  <c r="H823" i="2"/>
  <c r="H60" i="3" s="1"/>
  <c r="L822" i="2"/>
  <c r="L59" i="3" s="1"/>
  <c r="P823" i="2"/>
  <c r="P60" i="3" s="1"/>
  <c r="Y823" i="2"/>
  <c r="Y60" i="3" s="1"/>
  <c r="O822" i="2"/>
  <c r="O59" i="3" s="1"/>
  <c r="N750" i="2"/>
  <c r="N55" i="3" s="1"/>
  <c r="H621" i="2"/>
  <c r="H48" i="3" s="1"/>
  <c r="Y590" i="2"/>
  <c r="Y45" i="3" s="1"/>
  <c r="G622" i="2"/>
  <c r="G49" i="3" s="1"/>
  <c r="K620" i="2"/>
  <c r="K47" i="3" s="1"/>
  <c r="K621" i="2"/>
  <c r="K48" i="3" s="1"/>
  <c r="L315" i="2"/>
  <c r="L28" i="3" s="1"/>
  <c r="K167" i="2"/>
  <c r="K18" i="3" s="1"/>
  <c r="O236" i="2"/>
  <c r="O25" i="3" s="1"/>
  <c r="C24" i="2"/>
  <c r="C96" i="2"/>
  <c r="M622" i="2"/>
  <c r="M49" i="3" s="1"/>
  <c r="K781" i="2"/>
  <c r="K58" i="3" s="1"/>
  <c r="H315" i="2"/>
  <c r="H28" i="3" s="1"/>
  <c r="P315" i="2"/>
  <c r="P28" i="3" s="1"/>
  <c r="Y7" i="2"/>
  <c r="Y6" i="3" s="1"/>
  <c r="Y334" i="2"/>
  <c r="Y31" i="3" s="1"/>
  <c r="I330" i="2"/>
  <c r="O333" i="2"/>
  <c r="O30" i="3" s="1"/>
  <c r="I329" i="2"/>
  <c r="K21" i="2"/>
  <c r="K10" i="3" s="1"/>
  <c r="S21" i="2"/>
  <c r="S10" i="3" s="1"/>
  <c r="H19" i="2"/>
  <c r="H8" i="3" s="1"/>
  <c r="H20" i="2"/>
  <c r="H9" i="3" s="1"/>
  <c r="P19" i="2"/>
  <c r="P8" i="3" s="1"/>
  <c r="P20" i="2"/>
  <c r="P9" i="3" s="1"/>
  <c r="X19" i="2"/>
  <c r="X8" i="3" s="1"/>
  <c r="M21" i="2"/>
  <c r="M10" i="3" s="1"/>
  <c r="J203" i="2"/>
  <c r="J20" i="3" s="1"/>
  <c r="N203" i="2"/>
  <c r="N20" i="3" s="1"/>
  <c r="R203" i="2"/>
  <c r="R20" i="3" s="1"/>
  <c r="V203" i="2"/>
  <c r="V20" i="3" s="1"/>
  <c r="I205" i="2"/>
  <c r="I22" i="3" s="1"/>
  <c r="M205" i="2"/>
  <c r="M22" i="3" s="1"/>
  <c r="Q205" i="2"/>
  <c r="Q22" i="3" s="1"/>
  <c r="U205" i="2"/>
  <c r="U22" i="3" s="1"/>
  <c r="Y205" i="2"/>
  <c r="Y22" i="3" s="1"/>
  <c r="I168" i="2"/>
  <c r="I19" i="3" s="1"/>
  <c r="M168" i="2"/>
  <c r="M19" i="3" s="1"/>
  <c r="Q168" i="2"/>
  <c r="Q19" i="3" s="1"/>
  <c r="U168" i="2"/>
  <c r="U19" i="3" s="1"/>
  <c r="Y168" i="2"/>
  <c r="Y19" i="3" s="1"/>
  <c r="I166" i="2"/>
  <c r="I17" i="3" s="1"/>
  <c r="M166" i="2"/>
  <c r="M17" i="3" s="1"/>
  <c r="Q166" i="2"/>
  <c r="Q17" i="3" s="1"/>
  <c r="U166" i="2"/>
  <c r="U17" i="3" s="1"/>
  <c r="Y166" i="2"/>
  <c r="Y17" i="3" s="1"/>
  <c r="Q167" i="2"/>
  <c r="Q18" i="3" s="1"/>
  <c r="U167" i="2"/>
  <c r="U18" i="3" s="1"/>
  <c r="Y167" i="2"/>
  <c r="Y18" i="3" s="1"/>
  <c r="I107" i="2"/>
  <c r="I16" i="3" s="1"/>
  <c r="M107" i="2"/>
  <c r="M16" i="3" s="1"/>
  <c r="Q107" i="2"/>
  <c r="Q16" i="3" s="1"/>
  <c r="U107" i="2"/>
  <c r="U16" i="3" s="1"/>
  <c r="Y107" i="2"/>
  <c r="Y16" i="3" s="1"/>
  <c r="I105" i="2"/>
  <c r="I14" i="3" s="1"/>
  <c r="M105" i="2"/>
  <c r="M14" i="3" s="1"/>
  <c r="Q105" i="2"/>
  <c r="Q14" i="3" s="1"/>
  <c r="U105" i="2"/>
  <c r="U14" i="3" s="1"/>
  <c r="Y105" i="2"/>
  <c r="Y14" i="3" s="1"/>
  <c r="J75" i="2"/>
  <c r="J12" i="3" s="1"/>
  <c r="J76" i="2"/>
  <c r="J13" i="3" s="1"/>
  <c r="N75" i="2"/>
  <c r="N12" i="3" s="1"/>
  <c r="N76" i="2"/>
  <c r="N13" i="3" s="1"/>
  <c r="R75" i="2"/>
  <c r="R12" i="3" s="1"/>
  <c r="R76" i="2"/>
  <c r="R13" i="3" s="1"/>
  <c r="V75" i="2"/>
  <c r="V12" i="3" s="1"/>
  <c r="V76" i="2"/>
  <c r="V13" i="3" s="1"/>
  <c r="J74" i="2"/>
  <c r="J11" i="3" s="1"/>
  <c r="N74" i="2"/>
  <c r="N11" i="3" s="1"/>
  <c r="R74" i="2"/>
  <c r="R11" i="3" s="1"/>
  <c r="V74" i="2"/>
  <c r="V11" i="3" s="1"/>
  <c r="I76" i="2"/>
  <c r="I13" i="3" s="1"/>
  <c r="Q76" i="2"/>
  <c r="Q13" i="3" s="1"/>
  <c r="Y76" i="2"/>
  <c r="Y13" i="3" s="1"/>
  <c r="M74" i="2"/>
  <c r="M11" i="3" s="1"/>
  <c r="U74" i="2"/>
  <c r="U11" i="3" s="1"/>
  <c r="I75" i="2"/>
  <c r="I12" i="3" s="1"/>
  <c r="M75" i="2"/>
  <c r="M12" i="3" s="1"/>
  <c r="U75" i="2"/>
  <c r="U12" i="3" s="1"/>
  <c r="X168" i="2"/>
  <c r="X19" i="3" s="1"/>
  <c r="S822" i="2"/>
  <c r="S59" i="3" s="1"/>
  <c r="S823" i="2"/>
  <c r="S60" i="3" s="1"/>
  <c r="S781" i="2"/>
  <c r="S58" i="3" s="1"/>
  <c r="P589" i="2"/>
  <c r="P44" i="3" s="1"/>
  <c r="P590" i="2"/>
  <c r="P45" i="3" s="1"/>
  <c r="V781" i="2"/>
  <c r="V58" i="3" s="1"/>
  <c r="L1009" i="2"/>
  <c r="L76" i="3" s="1"/>
  <c r="T1009" i="2"/>
  <c r="T76" i="3" s="1"/>
  <c r="Y1009" i="2"/>
  <c r="Y76" i="3" s="1"/>
  <c r="G1009" i="2"/>
  <c r="G76" i="3" s="1"/>
  <c r="O1009" i="2"/>
  <c r="O76" i="3" s="1"/>
  <c r="T780" i="2"/>
  <c r="T57" i="3" s="1"/>
  <c r="I1007" i="2"/>
  <c r="I74" i="3" s="1"/>
  <c r="Q1007" i="2"/>
  <c r="Q74" i="3" s="1"/>
  <c r="M1007" i="2"/>
  <c r="M74" i="3" s="1"/>
  <c r="U1007" i="2"/>
  <c r="U74" i="3" s="1"/>
  <c r="H1009" i="2"/>
  <c r="H76" i="3" s="1"/>
  <c r="P1009" i="2"/>
  <c r="P76" i="3" s="1"/>
  <c r="G970" i="2"/>
  <c r="G71" i="3" s="1"/>
  <c r="K971" i="2"/>
  <c r="K72" i="3" s="1"/>
  <c r="K972" i="2"/>
  <c r="K73" i="3" s="1"/>
  <c r="O970" i="2"/>
  <c r="O71" i="3" s="1"/>
  <c r="T970" i="2"/>
  <c r="T71" i="3" s="1"/>
  <c r="T971" i="2"/>
  <c r="T72" i="3" s="1"/>
  <c r="X972" i="2"/>
  <c r="X73" i="3" s="1"/>
  <c r="H971" i="2"/>
  <c r="H72" i="3" s="1"/>
  <c r="P971" i="2"/>
  <c r="P72" i="3" s="1"/>
  <c r="Y971" i="2"/>
  <c r="Y72" i="3" s="1"/>
  <c r="G972" i="2"/>
  <c r="G73" i="3" s="1"/>
  <c r="K970" i="2"/>
  <c r="K71" i="3" s="1"/>
  <c r="O972" i="2"/>
  <c r="O73" i="3" s="1"/>
  <c r="S971" i="2"/>
  <c r="S72" i="3" s="1"/>
  <c r="G971" i="2"/>
  <c r="G72" i="3" s="1"/>
  <c r="O971" i="2"/>
  <c r="O72" i="3" s="1"/>
  <c r="S909" i="2"/>
  <c r="S66" i="3" s="1"/>
  <c r="H909" i="2"/>
  <c r="H66" i="3" s="1"/>
  <c r="P909" i="2"/>
  <c r="P66" i="3" s="1"/>
  <c r="L971" i="2"/>
  <c r="L72" i="3" s="1"/>
  <c r="T972" i="2"/>
  <c r="T73" i="3" s="1"/>
  <c r="X970" i="2"/>
  <c r="X71" i="3" s="1"/>
  <c r="X971" i="2"/>
  <c r="X72" i="3" s="1"/>
  <c r="V909" i="2"/>
  <c r="V66" i="3" s="1"/>
  <c r="W909" i="2"/>
  <c r="W66" i="3" s="1"/>
  <c r="G908" i="2"/>
  <c r="G65" i="3" s="1"/>
  <c r="O908" i="2"/>
  <c r="O65" i="3" s="1"/>
  <c r="H859" i="2"/>
  <c r="H62" i="3" s="1"/>
  <c r="L860" i="2"/>
  <c r="L63" i="3" s="1"/>
  <c r="P859" i="2"/>
  <c r="P62" i="3" s="1"/>
  <c r="U859" i="2"/>
  <c r="U62" i="3" s="1"/>
  <c r="V860" i="2"/>
  <c r="V63" i="3" s="1"/>
  <c r="Y822" i="2"/>
  <c r="Y59" i="3" s="1"/>
  <c r="G822" i="2"/>
  <c r="G59" i="3" s="1"/>
  <c r="L859" i="2"/>
  <c r="L62" i="3" s="1"/>
  <c r="T859" i="2"/>
  <c r="T62" i="3" s="1"/>
  <c r="I824" i="2"/>
  <c r="I61" i="3" s="1"/>
  <c r="Q824" i="2"/>
  <c r="Q61" i="3" s="1"/>
  <c r="V823" i="2"/>
  <c r="V60" i="3" s="1"/>
  <c r="V824" i="2"/>
  <c r="V61" i="3" s="1"/>
  <c r="J824" i="2"/>
  <c r="J61" i="3" s="1"/>
  <c r="N822" i="2"/>
  <c r="N59" i="3" s="1"/>
  <c r="R824" i="2"/>
  <c r="R61" i="3" s="1"/>
  <c r="K748" i="2"/>
  <c r="K53" i="3" s="1"/>
  <c r="T749" i="2"/>
  <c r="T54" i="3" s="1"/>
  <c r="T750" i="2"/>
  <c r="T55" i="3" s="1"/>
  <c r="H748" i="2"/>
  <c r="H53" i="3" s="1"/>
  <c r="P749" i="2"/>
  <c r="P54" i="3" s="1"/>
  <c r="X749" i="2"/>
  <c r="X54" i="3" s="1"/>
  <c r="I823" i="2"/>
  <c r="I60" i="3" s="1"/>
  <c r="W750" i="2"/>
  <c r="W55" i="3" s="1"/>
  <c r="K750" i="2"/>
  <c r="K55" i="3" s="1"/>
  <c r="S748" i="2"/>
  <c r="S53" i="3" s="1"/>
  <c r="Q748" i="2"/>
  <c r="Q53" i="3" s="1"/>
  <c r="Q620" i="2"/>
  <c r="Q47" i="3" s="1"/>
  <c r="Q621" i="2"/>
  <c r="Q48" i="3" s="1"/>
  <c r="U622" i="2"/>
  <c r="U49" i="3" s="1"/>
  <c r="Y620" i="2"/>
  <c r="Y47" i="3" s="1"/>
  <c r="Y621" i="2"/>
  <c r="Y48" i="3" s="1"/>
  <c r="J621" i="2"/>
  <c r="J48" i="3" s="1"/>
  <c r="R621" i="2"/>
  <c r="R48" i="3" s="1"/>
  <c r="G590" i="2"/>
  <c r="G45" i="3" s="1"/>
  <c r="G591" i="2"/>
  <c r="G46" i="3" s="1"/>
  <c r="K589" i="2"/>
  <c r="K44" i="3" s="1"/>
  <c r="O590" i="2"/>
  <c r="O45" i="3" s="1"/>
  <c r="O591" i="2"/>
  <c r="O46" i="3" s="1"/>
  <c r="T591" i="2"/>
  <c r="T46" i="3" s="1"/>
  <c r="Q750" i="2"/>
  <c r="Q55" i="3" s="1"/>
  <c r="J748" i="2"/>
  <c r="J53" i="3" s="1"/>
  <c r="R748" i="2"/>
  <c r="R53" i="3" s="1"/>
  <c r="V750" i="2"/>
  <c r="V55" i="3" s="1"/>
  <c r="G748" i="2"/>
  <c r="G53" i="3" s="1"/>
  <c r="W748" i="2"/>
  <c r="W53" i="3" s="1"/>
  <c r="P620" i="2"/>
  <c r="P47" i="3" s="1"/>
  <c r="T621" i="2"/>
  <c r="T48" i="3" s="1"/>
  <c r="T622" i="2"/>
  <c r="T49" i="3" s="1"/>
  <c r="X620" i="2"/>
  <c r="X47" i="3" s="1"/>
  <c r="I621" i="2"/>
  <c r="I48" i="3" s="1"/>
  <c r="Q622" i="2"/>
  <c r="Q49" i="3" s="1"/>
  <c r="U620" i="2"/>
  <c r="U47" i="3" s="1"/>
  <c r="Y622" i="2"/>
  <c r="Y49" i="3" s="1"/>
  <c r="U621" i="2"/>
  <c r="U48" i="3" s="1"/>
  <c r="J590" i="2"/>
  <c r="J45" i="3" s="1"/>
  <c r="S590" i="2"/>
  <c r="S45" i="3" s="1"/>
  <c r="H591" i="2"/>
  <c r="H46" i="3" s="1"/>
  <c r="L589" i="2"/>
  <c r="L44" i="3" s="1"/>
  <c r="T589" i="2"/>
  <c r="T44" i="3" s="1"/>
  <c r="X590" i="2"/>
  <c r="X45" i="3" s="1"/>
  <c r="L590" i="2"/>
  <c r="L45" i="3" s="1"/>
  <c r="T590" i="2"/>
  <c r="T45" i="3" s="1"/>
  <c r="L535" i="2"/>
  <c r="L42" i="3" s="1"/>
  <c r="T534" i="2"/>
  <c r="T41" i="3" s="1"/>
  <c r="T535" i="2"/>
  <c r="T42" i="3" s="1"/>
  <c r="H535" i="2"/>
  <c r="H42" i="3" s="1"/>
  <c r="P534" i="2"/>
  <c r="P41" i="3" s="1"/>
  <c r="X534" i="2"/>
  <c r="X41" i="3" s="1"/>
  <c r="P535" i="2"/>
  <c r="P42" i="3" s="1"/>
  <c r="X535" i="2"/>
  <c r="X42" i="3" s="1"/>
  <c r="M498" i="2"/>
  <c r="M39" i="3" s="1"/>
  <c r="V498" i="2"/>
  <c r="V39" i="3" s="1"/>
  <c r="V499" i="2"/>
  <c r="V40" i="3" s="1"/>
  <c r="G497" i="2"/>
  <c r="G38" i="3" s="1"/>
  <c r="K499" i="2"/>
  <c r="K40" i="3" s="1"/>
  <c r="O497" i="2"/>
  <c r="O38" i="3" s="1"/>
  <c r="S498" i="2"/>
  <c r="S39" i="3" s="1"/>
  <c r="G498" i="2"/>
  <c r="G39" i="3" s="1"/>
  <c r="O498" i="2"/>
  <c r="O39" i="3" s="1"/>
  <c r="H466" i="2"/>
  <c r="H35" i="3" s="1"/>
  <c r="L467" i="2"/>
  <c r="L36" i="3" s="1"/>
  <c r="L468" i="2"/>
  <c r="L37" i="3" s="1"/>
  <c r="P466" i="2"/>
  <c r="P35" i="3" s="1"/>
  <c r="U466" i="2"/>
  <c r="U35" i="3" s="1"/>
  <c r="U467" i="2"/>
  <c r="U36" i="3" s="1"/>
  <c r="Y468" i="2"/>
  <c r="Y37" i="3" s="1"/>
  <c r="G468" i="2"/>
  <c r="G37" i="3" s="1"/>
  <c r="K466" i="2"/>
  <c r="K35" i="3" s="1"/>
  <c r="O468" i="2"/>
  <c r="O37" i="3" s="1"/>
  <c r="S466" i="2"/>
  <c r="S35" i="3" s="1"/>
  <c r="W468" i="2"/>
  <c r="W37" i="3" s="1"/>
  <c r="J468" i="2"/>
  <c r="J37" i="3" s="1"/>
  <c r="N466" i="2"/>
  <c r="N35" i="3" s="1"/>
  <c r="R468" i="2"/>
  <c r="R37" i="3" s="1"/>
  <c r="V466" i="2"/>
  <c r="V35" i="3" s="1"/>
  <c r="J346" i="2"/>
  <c r="J33" i="3" s="1"/>
  <c r="J347" i="2"/>
  <c r="J34" i="3" s="1"/>
  <c r="N345" i="2"/>
  <c r="N32" i="3" s="1"/>
  <c r="R346" i="2"/>
  <c r="R33" i="3" s="1"/>
  <c r="R347" i="2"/>
  <c r="R34" i="3" s="1"/>
  <c r="V345" i="2"/>
  <c r="V32" i="3" s="1"/>
  <c r="N346" i="2"/>
  <c r="N33" i="3" s="1"/>
  <c r="V346" i="2"/>
  <c r="V33" i="3" s="1"/>
  <c r="W590" i="2"/>
  <c r="W45" i="3" s="1"/>
  <c r="K535" i="2"/>
  <c r="K42" i="3" s="1"/>
  <c r="K536" i="2"/>
  <c r="K43" i="3" s="1"/>
  <c r="S535" i="2"/>
  <c r="S42" i="3" s="1"/>
  <c r="G536" i="2"/>
  <c r="G43" i="3" s="1"/>
  <c r="O535" i="2"/>
  <c r="O42" i="3" s="1"/>
  <c r="W535" i="2"/>
  <c r="W42" i="3" s="1"/>
  <c r="G535" i="2"/>
  <c r="G42" i="3" s="1"/>
  <c r="H497" i="2"/>
  <c r="H38" i="3" s="1"/>
  <c r="L498" i="2"/>
  <c r="L39" i="3" s="1"/>
  <c r="L499" i="2"/>
  <c r="L40" i="3" s="1"/>
  <c r="P497" i="2"/>
  <c r="P38" i="3" s="1"/>
  <c r="U498" i="2"/>
  <c r="U39" i="3" s="1"/>
  <c r="J499" i="2"/>
  <c r="J40" i="3" s="1"/>
  <c r="N497" i="2"/>
  <c r="N38" i="3" s="1"/>
  <c r="R499" i="2"/>
  <c r="R40" i="3" s="1"/>
  <c r="J498" i="2"/>
  <c r="J39" i="3" s="1"/>
  <c r="R498" i="2"/>
  <c r="R39" i="3" s="1"/>
  <c r="X467" i="2"/>
  <c r="X36" i="3" s="1"/>
  <c r="T467" i="2"/>
  <c r="T36" i="3" s="1"/>
  <c r="I467" i="2"/>
  <c r="I36" i="3" s="1"/>
  <c r="I345" i="2"/>
  <c r="I32" i="3" s="1"/>
  <c r="I346" i="2"/>
  <c r="I33" i="3" s="1"/>
  <c r="M347" i="2"/>
  <c r="M34" i="3" s="1"/>
  <c r="Q345" i="2"/>
  <c r="Q32" i="3" s="1"/>
  <c r="Q346" i="2"/>
  <c r="Q33" i="3" s="1"/>
  <c r="U347" i="2"/>
  <c r="U34" i="3" s="1"/>
  <c r="Y345" i="2"/>
  <c r="Y32" i="3" s="1"/>
  <c r="Y346" i="2"/>
  <c r="Y33" i="3" s="1"/>
  <c r="M346" i="2"/>
  <c r="M33" i="3" s="1"/>
  <c r="U346" i="2"/>
  <c r="U33" i="3" s="1"/>
  <c r="J314" i="2"/>
  <c r="J27" i="3" s="1"/>
  <c r="R314" i="2"/>
  <c r="R27" i="3" s="1"/>
  <c r="I314" i="2"/>
  <c r="I27" i="3" s="1"/>
  <c r="Q314" i="2"/>
  <c r="Q27" i="3" s="1"/>
  <c r="Y314" i="2"/>
  <c r="Y27" i="3" s="1"/>
  <c r="G313" i="2"/>
  <c r="G26" i="3" s="1"/>
  <c r="T315" i="2"/>
  <c r="T28" i="3" s="1"/>
  <c r="X313" i="2"/>
  <c r="X26" i="3" s="1"/>
  <c r="V313" i="2"/>
  <c r="V26" i="3" s="1"/>
  <c r="V589" i="2"/>
  <c r="V44" i="3" s="1"/>
  <c r="V590" i="2"/>
  <c r="V45" i="3" s="1"/>
  <c r="S315" i="2"/>
  <c r="S28" i="3" s="1"/>
  <c r="R908" i="2"/>
  <c r="R65" i="3" s="1"/>
  <c r="R909" i="2"/>
  <c r="R66" i="3" s="1"/>
  <c r="U909" i="2"/>
  <c r="U66" i="3" s="1"/>
  <c r="Y908" i="2"/>
  <c r="Y65" i="3" s="1"/>
  <c r="T823" i="2"/>
  <c r="T60" i="3" s="1"/>
  <c r="T824" i="2"/>
  <c r="T61" i="3" s="1"/>
  <c r="X822" i="2"/>
  <c r="X59" i="3" s="1"/>
  <c r="X823" i="2"/>
  <c r="X60" i="3" s="1"/>
  <c r="X824" i="2"/>
  <c r="X61" i="3" s="1"/>
  <c r="T822" i="2"/>
  <c r="T59" i="3" s="1"/>
  <c r="O621" i="2"/>
  <c r="O48" i="3" s="1"/>
  <c r="W621" i="2"/>
  <c r="W48" i="3" s="1"/>
  <c r="I590" i="2"/>
  <c r="I45" i="3" s="1"/>
  <c r="R590" i="2"/>
  <c r="R45" i="3" s="1"/>
  <c r="Q590" i="2"/>
  <c r="Q45" i="3" s="1"/>
  <c r="J535" i="2"/>
  <c r="J42" i="3" s="1"/>
  <c r="R534" i="2"/>
  <c r="R41" i="3" s="1"/>
  <c r="R535" i="2"/>
  <c r="R42" i="3" s="1"/>
  <c r="T498" i="2"/>
  <c r="T39" i="3" s="1"/>
  <c r="T499" i="2"/>
  <c r="T40" i="3" s="1"/>
  <c r="X497" i="2"/>
  <c r="X38" i="3" s="1"/>
  <c r="N314" i="2"/>
  <c r="N27" i="3" s="1"/>
  <c r="N534" i="2"/>
  <c r="N41" i="3" s="1"/>
  <c r="V534" i="2"/>
  <c r="V41" i="3" s="1"/>
  <c r="N535" i="2"/>
  <c r="N42" i="3" s="1"/>
  <c r="V535" i="2"/>
  <c r="V42" i="3" s="1"/>
  <c r="I535" i="2"/>
  <c r="I42" i="3" s="1"/>
  <c r="I536" i="2"/>
  <c r="I43" i="3" s="1"/>
  <c r="Q535" i="2"/>
  <c r="Q42" i="3" s="1"/>
  <c r="Y535" i="2"/>
  <c r="Y42" i="3" s="1"/>
  <c r="Q106" i="2"/>
  <c r="Q15" i="3" s="1"/>
  <c r="S779" i="2"/>
  <c r="S56" i="3" s="1"/>
  <c r="H750" i="2"/>
  <c r="H55" i="3" s="1"/>
  <c r="M621" i="2"/>
  <c r="M48" i="3" s="1"/>
  <c r="T861" i="2"/>
  <c r="T64" i="3" s="1"/>
  <c r="R497" i="2"/>
  <c r="R38" i="3" s="1"/>
  <c r="Q466" i="2"/>
  <c r="Q35" i="3" s="1"/>
  <c r="Q467" i="2"/>
  <c r="Q36" i="3" s="1"/>
  <c r="L908" i="2"/>
  <c r="L65" i="3" s="1"/>
  <c r="J910" i="2"/>
  <c r="J67" i="3" s="1"/>
  <c r="G859" i="2"/>
  <c r="G62" i="3" s="1"/>
  <c r="O859" i="2"/>
  <c r="O62" i="3" s="1"/>
  <c r="S972" i="2"/>
  <c r="S73" i="3" s="1"/>
  <c r="I909" i="2"/>
  <c r="I66" i="3" s="1"/>
  <c r="Q909" i="2"/>
  <c r="Q66" i="3" s="1"/>
  <c r="U908" i="2"/>
  <c r="U65" i="3" s="1"/>
  <c r="X859" i="2"/>
  <c r="X62" i="3" s="1"/>
  <c r="I861" i="2"/>
  <c r="I64" i="3" s="1"/>
  <c r="Q861" i="2"/>
  <c r="Q64" i="3" s="1"/>
  <c r="Y860" i="2"/>
  <c r="Y63" i="3" s="1"/>
  <c r="N824" i="2"/>
  <c r="N61" i="3" s="1"/>
  <c r="M824" i="2"/>
  <c r="M61" i="3" s="1"/>
  <c r="U823" i="2"/>
  <c r="U60" i="3" s="1"/>
  <c r="V861" i="2"/>
  <c r="V64" i="3" s="1"/>
  <c r="K822" i="2"/>
  <c r="K59" i="3" s="1"/>
  <c r="H822" i="2"/>
  <c r="H59" i="3" s="1"/>
  <c r="P822" i="2"/>
  <c r="P59" i="3" s="1"/>
  <c r="L823" i="2"/>
  <c r="L60" i="3" s="1"/>
  <c r="N748" i="2"/>
  <c r="N53" i="3" s="1"/>
  <c r="U822" i="2"/>
  <c r="U59" i="3" s="1"/>
  <c r="Q823" i="2"/>
  <c r="Q60" i="3" s="1"/>
  <c r="G749" i="2"/>
  <c r="G54" i="3" s="1"/>
  <c r="W749" i="2"/>
  <c r="W54" i="3" s="1"/>
  <c r="L621" i="2"/>
  <c r="L48" i="3" s="1"/>
  <c r="T620" i="2"/>
  <c r="T47" i="3" s="1"/>
  <c r="W824" i="2"/>
  <c r="W61" i="3" s="1"/>
  <c r="L750" i="2"/>
  <c r="L55" i="3" s="1"/>
  <c r="U750" i="2"/>
  <c r="U55" i="3" s="1"/>
  <c r="G620" i="2"/>
  <c r="G47" i="3" s="1"/>
  <c r="K497" i="2"/>
  <c r="K38" i="3" s="1"/>
  <c r="T497" i="2"/>
  <c r="T38" i="3" s="1"/>
  <c r="H498" i="2"/>
  <c r="H39" i="3" s="1"/>
  <c r="H313" i="2"/>
  <c r="H26" i="3" s="1"/>
  <c r="P313" i="2"/>
  <c r="P26" i="3" s="1"/>
  <c r="C751" i="2"/>
  <c r="W332" i="2"/>
  <c r="W29" i="3" s="1"/>
  <c r="W329" i="2"/>
  <c r="O332" i="2"/>
  <c r="O29" i="3" s="1"/>
  <c r="O329" i="2"/>
  <c r="K331" i="2"/>
  <c r="K334" i="2"/>
  <c r="K31" i="3" s="1"/>
  <c r="L332" i="2"/>
  <c r="L29" i="3" s="1"/>
  <c r="L329" i="2"/>
  <c r="H330" i="2"/>
  <c r="H333" i="2"/>
  <c r="H30" i="3" s="1"/>
  <c r="P860" i="2"/>
  <c r="P63" i="3" s="1"/>
  <c r="J329" i="2"/>
  <c r="J332" i="2"/>
  <c r="J29" i="3" s="1"/>
  <c r="P748" i="2"/>
  <c r="P53" i="3" s="1"/>
  <c r="P334" i="2"/>
  <c r="P31" i="3" s="1"/>
  <c r="P331" i="2"/>
  <c r="S780" i="2"/>
  <c r="S57" i="3" s="1"/>
  <c r="H860" i="2"/>
  <c r="H63" i="3" s="1"/>
  <c r="I748" i="2"/>
  <c r="I53" i="3" s="1"/>
  <c r="I622" i="2"/>
  <c r="I49" i="3" s="1"/>
  <c r="N622" i="2"/>
  <c r="N49" i="3" s="1"/>
  <c r="V622" i="2"/>
  <c r="V49" i="3" s="1"/>
  <c r="U333" i="2"/>
  <c r="U30" i="3" s="1"/>
  <c r="S333" i="2"/>
  <c r="S30" i="3" s="1"/>
  <c r="V332" i="2"/>
  <c r="V29" i="3" s="1"/>
  <c r="W333" i="2"/>
  <c r="W30" i="3" s="1"/>
  <c r="S329" i="2"/>
  <c r="C728" i="2"/>
  <c r="M331" i="2"/>
  <c r="F946" i="2"/>
  <c r="F69" i="3" s="1"/>
  <c r="J947" i="2"/>
  <c r="J70" i="3" s="1"/>
  <c r="N946" i="2"/>
  <c r="N69" i="3" s="1"/>
  <c r="R947" i="2"/>
  <c r="R70" i="3" s="1"/>
  <c r="V946" i="2"/>
  <c r="V69" i="3" s="1"/>
  <c r="C623" i="2"/>
  <c r="C90" i="2"/>
  <c r="S824" i="2"/>
  <c r="S61" i="3" s="1"/>
  <c r="H749" i="2"/>
  <c r="H54" i="3" s="1"/>
  <c r="Y749" i="2"/>
  <c r="Y54" i="3" s="1"/>
  <c r="Q749" i="2"/>
  <c r="Q54" i="3" s="1"/>
  <c r="M620" i="2"/>
  <c r="M47" i="3" s="1"/>
  <c r="P591" i="2"/>
  <c r="P46" i="3" s="1"/>
  <c r="G589" i="2"/>
  <c r="G44" i="3" s="1"/>
  <c r="K591" i="2"/>
  <c r="K46" i="3" s="1"/>
  <c r="O589" i="2"/>
  <c r="O44" i="3" s="1"/>
  <c r="K590" i="2"/>
  <c r="K45" i="3" s="1"/>
  <c r="V497" i="2"/>
  <c r="V38" i="3" s="1"/>
  <c r="G466" i="2"/>
  <c r="G35" i="3" s="1"/>
  <c r="K468" i="2"/>
  <c r="K37" i="3" s="1"/>
  <c r="O466" i="2"/>
  <c r="O35" i="3" s="1"/>
  <c r="H468" i="2"/>
  <c r="H37" i="3" s="1"/>
  <c r="L466" i="2"/>
  <c r="L35" i="3" s="1"/>
  <c r="P468" i="2"/>
  <c r="P37" i="3" s="1"/>
  <c r="Y467" i="2"/>
  <c r="Y36" i="3" s="1"/>
  <c r="J345" i="2"/>
  <c r="J32" i="3" s="1"/>
  <c r="N347" i="2"/>
  <c r="N34" i="3" s="1"/>
  <c r="R345" i="2"/>
  <c r="R32" i="3" s="1"/>
  <c r="V347" i="2"/>
  <c r="V34" i="3" s="1"/>
  <c r="V1007" i="2"/>
  <c r="V74" i="3" s="1"/>
  <c r="M970" i="2"/>
  <c r="M71" i="3" s="1"/>
  <c r="Q971" i="2"/>
  <c r="Q72" i="3" s="1"/>
  <c r="V972" i="2"/>
  <c r="V73" i="3" s="1"/>
  <c r="J972" i="2"/>
  <c r="J73" i="3" s="1"/>
  <c r="N970" i="2"/>
  <c r="N71" i="3" s="1"/>
  <c r="R972" i="2"/>
  <c r="R73" i="3" s="1"/>
  <c r="W972" i="2"/>
  <c r="W73" i="3" s="1"/>
  <c r="U971" i="2"/>
  <c r="U72" i="3" s="1"/>
  <c r="H910" i="2"/>
  <c r="H67" i="3" s="1"/>
  <c r="P910" i="2"/>
  <c r="P67" i="3" s="1"/>
  <c r="N908" i="2"/>
  <c r="N65" i="3" s="1"/>
  <c r="N909" i="2"/>
  <c r="N66" i="3" s="1"/>
  <c r="R910" i="2"/>
  <c r="R67" i="3" s="1"/>
  <c r="K861" i="2"/>
  <c r="K64" i="3" s="1"/>
  <c r="S861" i="2"/>
  <c r="S64" i="3" s="1"/>
  <c r="M860" i="2"/>
  <c r="M63" i="3" s="1"/>
  <c r="U861" i="2"/>
  <c r="U64" i="3" s="1"/>
  <c r="Y859" i="2"/>
  <c r="Y62" i="3" s="1"/>
  <c r="J970" i="2"/>
  <c r="J71" i="3" s="1"/>
  <c r="N972" i="2"/>
  <c r="N73" i="3" s="1"/>
  <c r="R970" i="2"/>
  <c r="R71" i="3" s="1"/>
  <c r="W970" i="2"/>
  <c r="W71" i="3" s="1"/>
  <c r="G910" i="2"/>
  <c r="G67" i="3" s="1"/>
  <c r="O910" i="2"/>
  <c r="O67" i="3" s="1"/>
  <c r="T910" i="2"/>
  <c r="T67" i="3" s="1"/>
  <c r="M908" i="2"/>
  <c r="M65" i="3" s="1"/>
  <c r="Y909" i="2"/>
  <c r="Y66" i="3" s="1"/>
  <c r="J860" i="2"/>
  <c r="J63" i="3" s="1"/>
  <c r="J861" i="2"/>
  <c r="J64" i="3" s="1"/>
  <c r="R860" i="2"/>
  <c r="R63" i="3" s="1"/>
  <c r="R861" i="2"/>
  <c r="R64" i="3" s="1"/>
  <c r="W861" i="2"/>
  <c r="W64" i="3" s="1"/>
  <c r="M859" i="2"/>
  <c r="M62" i="3" s="1"/>
  <c r="W823" i="2"/>
  <c r="W60" i="3" s="1"/>
  <c r="I822" i="2"/>
  <c r="I59" i="3" s="1"/>
  <c r="J859" i="2"/>
  <c r="J62" i="3" s="1"/>
  <c r="N861" i="2"/>
  <c r="N64" i="3" s="1"/>
  <c r="R859" i="2"/>
  <c r="R62" i="3" s="1"/>
  <c r="O824" i="2"/>
  <c r="O61" i="3" s="1"/>
  <c r="L824" i="2"/>
  <c r="L61" i="3" s="1"/>
  <c r="M750" i="2"/>
  <c r="M55" i="3" s="1"/>
  <c r="R749" i="2"/>
  <c r="R54" i="3" s="1"/>
  <c r="R750" i="2"/>
  <c r="R55" i="3" s="1"/>
  <c r="V748" i="2"/>
  <c r="V53" i="3" s="1"/>
  <c r="J749" i="2"/>
  <c r="J54" i="3" s="1"/>
  <c r="J620" i="2"/>
  <c r="J47" i="3" s="1"/>
  <c r="P622" i="2"/>
  <c r="P49" i="3" s="1"/>
  <c r="X622" i="2"/>
  <c r="X49" i="3" s="1"/>
  <c r="P621" i="2"/>
  <c r="P48" i="3" s="1"/>
  <c r="X621" i="2"/>
  <c r="X48" i="3" s="1"/>
  <c r="W589" i="2"/>
  <c r="W44" i="3" s="1"/>
  <c r="M749" i="2"/>
  <c r="M54" i="3" s="1"/>
  <c r="U748" i="2"/>
  <c r="U53" i="3" s="1"/>
  <c r="P750" i="2"/>
  <c r="P55" i="3" s="1"/>
  <c r="T748" i="2"/>
  <c r="T53" i="3" s="1"/>
  <c r="U749" i="2"/>
  <c r="U54" i="3" s="1"/>
  <c r="N621" i="2"/>
  <c r="N48" i="3" s="1"/>
  <c r="V621" i="2"/>
  <c r="V48" i="3" s="1"/>
  <c r="K622" i="2"/>
  <c r="K49" i="3" s="1"/>
  <c r="S621" i="2"/>
  <c r="S48" i="3" s="1"/>
  <c r="G621" i="2"/>
  <c r="G48" i="3" s="1"/>
  <c r="H589" i="2"/>
  <c r="H44" i="3" s="1"/>
  <c r="H590" i="2"/>
  <c r="H45" i="3" s="1"/>
  <c r="L591" i="2"/>
  <c r="L46" i="3" s="1"/>
  <c r="N590" i="2"/>
  <c r="N45" i="3" s="1"/>
  <c r="V591" i="2"/>
  <c r="V46" i="3" s="1"/>
  <c r="G499" i="2"/>
  <c r="G40" i="3" s="1"/>
  <c r="K498" i="2"/>
  <c r="K39" i="3" s="1"/>
  <c r="O499" i="2"/>
  <c r="O40" i="3" s="1"/>
  <c r="I498" i="2"/>
  <c r="I39" i="3" s="1"/>
  <c r="Q498" i="2"/>
  <c r="Q39" i="3" s="1"/>
  <c r="Y498" i="2"/>
  <c r="Y39" i="3" s="1"/>
  <c r="J466" i="2"/>
  <c r="J35" i="3" s="1"/>
  <c r="N467" i="2"/>
  <c r="N36" i="3" s="1"/>
  <c r="N468" i="2"/>
  <c r="N37" i="3" s="1"/>
  <c r="S468" i="2"/>
  <c r="S37" i="3" s="1"/>
  <c r="W466" i="2"/>
  <c r="W35" i="3" s="1"/>
  <c r="W467" i="2"/>
  <c r="W36" i="3" s="1"/>
  <c r="I466" i="2"/>
  <c r="I35" i="3" s="1"/>
  <c r="M468" i="2"/>
  <c r="M37" i="3" s="1"/>
  <c r="Y466" i="2"/>
  <c r="Y35" i="3" s="1"/>
  <c r="H467" i="2"/>
  <c r="H36" i="3" s="1"/>
  <c r="P467" i="2"/>
  <c r="P36" i="3" s="1"/>
  <c r="H346" i="2"/>
  <c r="H33" i="3" s="1"/>
  <c r="H347" i="2"/>
  <c r="H34" i="3" s="1"/>
  <c r="L345" i="2"/>
  <c r="L32" i="3" s="1"/>
  <c r="P346" i="2"/>
  <c r="P33" i="3" s="1"/>
  <c r="P347" i="2"/>
  <c r="P34" i="3" s="1"/>
  <c r="T345" i="2"/>
  <c r="T32" i="3" s="1"/>
  <c r="X346" i="2"/>
  <c r="X33" i="3" s="1"/>
  <c r="X347" i="2"/>
  <c r="X34" i="3" s="1"/>
  <c r="L346" i="2"/>
  <c r="L33" i="3" s="1"/>
  <c r="T346" i="2"/>
  <c r="T33" i="3" s="1"/>
  <c r="M590" i="2"/>
  <c r="M45" i="3" s="1"/>
  <c r="U590" i="2"/>
  <c r="U45" i="3" s="1"/>
  <c r="M536" i="2"/>
  <c r="M43" i="3" s="1"/>
  <c r="U535" i="2"/>
  <c r="U42" i="3" s="1"/>
  <c r="M535" i="2"/>
  <c r="M42" i="3" s="1"/>
  <c r="J497" i="2"/>
  <c r="J38" i="3" s="1"/>
  <c r="N498" i="2"/>
  <c r="N39" i="3" s="1"/>
  <c r="N499" i="2"/>
  <c r="N40" i="3" s="1"/>
  <c r="S499" i="2"/>
  <c r="S40" i="3" s="1"/>
  <c r="W497" i="2"/>
  <c r="W38" i="3" s="1"/>
  <c r="W498" i="2"/>
  <c r="W39" i="3" s="1"/>
  <c r="H499" i="2"/>
  <c r="H40" i="3" s="1"/>
  <c r="L497" i="2"/>
  <c r="L38" i="3" s="1"/>
  <c r="P499" i="2"/>
  <c r="P40" i="3" s="1"/>
  <c r="X499" i="2"/>
  <c r="X40" i="3" s="1"/>
  <c r="P498" i="2"/>
  <c r="P39" i="3" s="1"/>
  <c r="X498" i="2"/>
  <c r="X39" i="3" s="1"/>
  <c r="I468" i="2"/>
  <c r="I37" i="3" s="1"/>
  <c r="M466" i="2"/>
  <c r="M35" i="3" s="1"/>
  <c r="M467" i="2"/>
  <c r="M36" i="3" s="1"/>
  <c r="R466" i="2"/>
  <c r="R35" i="3" s="1"/>
  <c r="V467" i="2"/>
  <c r="V36" i="3" s="1"/>
  <c r="V468" i="2"/>
  <c r="V37" i="3" s="1"/>
  <c r="J467" i="2"/>
  <c r="J36" i="3" s="1"/>
  <c r="R467" i="2"/>
  <c r="R36" i="3" s="1"/>
  <c r="K467" i="2"/>
  <c r="K36" i="3" s="1"/>
  <c r="S467" i="2"/>
  <c r="S36" i="3" s="1"/>
  <c r="W347" i="2"/>
  <c r="W34" i="3" s="1"/>
  <c r="H345" i="2"/>
  <c r="H32" i="3" s="1"/>
  <c r="L347" i="2"/>
  <c r="L34" i="3" s="1"/>
  <c r="P345" i="2"/>
  <c r="P32" i="3" s="1"/>
  <c r="T347" i="2"/>
  <c r="T34" i="3" s="1"/>
  <c r="X345" i="2"/>
  <c r="X32" i="3" s="1"/>
  <c r="I347" i="2"/>
  <c r="I34" i="3" s="1"/>
  <c r="M345" i="2"/>
  <c r="M32" i="3" s="1"/>
  <c r="Q347" i="2"/>
  <c r="Q34" i="3" s="1"/>
  <c r="U345" i="2"/>
  <c r="U32" i="3" s="1"/>
  <c r="Y347" i="2"/>
  <c r="Y34" i="3" s="1"/>
  <c r="U314" i="2"/>
  <c r="U27" i="3" s="1"/>
  <c r="G314" i="2"/>
  <c r="G27" i="3" s="1"/>
  <c r="G315" i="2"/>
  <c r="G28" i="3" s="1"/>
  <c r="O314" i="2"/>
  <c r="O27" i="3" s="1"/>
  <c r="S313" i="2"/>
  <c r="S26" i="3" s="1"/>
  <c r="W314" i="2"/>
  <c r="W27" i="3" s="1"/>
  <c r="M314" i="2"/>
  <c r="M27" i="3" s="1"/>
  <c r="V315" i="2"/>
  <c r="V28" i="3" s="1"/>
  <c r="L313" i="2"/>
  <c r="L26" i="3" s="1"/>
  <c r="T313" i="2"/>
  <c r="T26" i="3" s="1"/>
  <c r="X315" i="2"/>
  <c r="X28" i="3" s="1"/>
  <c r="Y3" i="2"/>
  <c r="Y6" i="2"/>
  <c r="Y5" i="3" s="1"/>
  <c r="Y8" i="2"/>
  <c r="Y7" i="3" s="1"/>
  <c r="Y5" i="2"/>
  <c r="G74" i="2"/>
  <c r="G11" i="3" s="1"/>
  <c r="K76" i="2"/>
  <c r="K13" i="3" s="1"/>
  <c r="O74" i="2"/>
  <c r="O11" i="3" s="1"/>
  <c r="O75" i="2"/>
  <c r="O12" i="3" s="1"/>
  <c r="S76" i="2"/>
  <c r="S13" i="3" s="1"/>
  <c r="W74" i="2"/>
  <c r="W11" i="3" s="1"/>
  <c r="W75" i="2"/>
  <c r="W12" i="3" s="1"/>
  <c r="U332" i="2"/>
  <c r="U29" i="3" s="1"/>
  <c r="U329" i="2"/>
  <c r="T332" i="2"/>
  <c r="T29" i="3" s="1"/>
  <c r="T329" i="2"/>
  <c r="N779" i="2"/>
  <c r="N56" i="3" s="1"/>
  <c r="U781" i="2"/>
  <c r="U58" i="3" s="1"/>
  <c r="X8" i="2"/>
  <c r="X7" i="3" s="1"/>
  <c r="X7" i="2"/>
  <c r="X6" i="3" s="1"/>
  <c r="P781" i="2"/>
  <c r="P58" i="3" s="1"/>
  <c r="H781" i="2"/>
  <c r="H58" i="3" s="1"/>
  <c r="Y748" i="2"/>
  <c r="Y53" i="3" s="1"/>
  <c r="G467" i="2"/>
  <c r="G36" i="3" s="1"/>
  <c r="O467" i="2"/>
  <c r="O36" i="3" s="1"/>
  <c r="T860" i="2"/>
  <c r="T63" i="3" s="1"/>
  <c r="L781" i="2"/>
  <c r="L58" i="3" s="1"/>
  <c r="T781" i="2"/>
  <c r="T58" i="3" s="1"/>
  <c r="K780" i="2"/>
  <c r="K57" i="3" s="1"/>
  <c r="X780" i="2"/>
  <c r="X57" i="3" s="1"/>
  <c r="O780" i="2"/>
  <c r="O57" i="3" s="1"/>
  <c r="G780" i="2"/>
  <c r="G57" i="3" s="1"/>
  <c r="J1008" i="2"/>
  <c r="J75" i="3" s="1"/>
  <c r="R1007" i="2"/>
  <c r="R74" i="3" s="1"/>
  <c r="R1008" i="2"/>
  <c r="R75" i="3" s="1"/>
  <c r="W1007" i="2"/>
  <c r="W74" i="3" s="1"/>
  <c r="W779" i="2"/>
  <c r="W56" i="3" s="1"/>
  <c r="R779" i="2"/>
  <c r="R56" i="3" s="1"/>
  <c r="J779" i="2"/>
  <c r="J56" i="3" s="1"/>
  <c r="K1008" i="2"/>
  <c r="K75" i="3" s="1"/>
  <c r="K1009" i="2"/>
  <c r="K76" i="3" s="1"/>
  <c r="S1008" i="2"/>
  <c r="S75" i="3" s="1"/>
  <c r="S1009" i="2"/>
  <c r="S76" i="3" s="1"/>
  <c r="X1009" i="2"/>
  <c r="X76" i="3" s="1"/>
  <c r="N1008" i="2"/>
  <c r="N75" i="3" s="1"/>
  <c r="X1008" i="2"/>
  <c r="X75" i="3" s="1"/>
  <c r="G1008" i="2"/>
  <c r="G75" i="3" s="1"/>
  <c r="O1008" i="2"/>
  <c r="O75" i="3" s="1"/>
  <c r="W1008" i="2"/>
  <c r="W75" i="3" s="1"/>
  <c r="I971" i="2"/>
  <c r="I72" i="3" s="1"/>
  <c r="N971" i="2"/>
  <c r="N72" i="3" s="1"/>
  <c r="W971" i="2"/>
  <c r="W72" i="3" s="1"/>
  <c r="L909" i="2"/>
  <c r="L66" i="3" s="1"/>
  <c r="J971" i="2"/>
  <c r="J72" i="3" s="1"/>
  <c r="R971" i="2"/>
  <c r="R72" i="3" s="1"/>
  <c r="K908" i="2"/>
  <c r="K65" i="3" s="1"/>
  <c r="X908" i="2"/>
  <c r="X65" i="3" s="1"/>
  <c r="J822" i="2"/>
  <c r="J59" i="3" s="1"/>
  <c r="R822" i="2"/>
  <c r="R59" i="3" s="1"/>
  <c r="W822" i="2"/>
  <c r="W59" i="3" s="1"/>
  <c r="K823" i="2"/>
  <c r="K60" i="3" s="1"/>
  <c r="I749" i="2"/>
  <c r="I54" i="3" s="1"/>
  <c r="V749" i="2"/>
  <c r="V54" i="3" s="1"/>
  <c r="Y824" i="2"/>
  <c r="Y61" i="3" s="1"/>
  <c r="J750" i="2"/>
  <c r="J55" i="3" s="1"/>
  <c r="S750" i="2"/>
  <c r="S55" i="3" s="1"/>
  <c r="O748" i="2"/>
  <c r="O53" i="3" s="1"/>
  <c r="O823" i="2"/>
  <c r="O60" i="3" s="1"/>
  <c r="L748" i="2"/>
  <c r="L53" i="3" s="1"/>
  <c r="R620" i="2"/>
  <c r="R47" i="3" s="1"/>
  <c r="U468" i="2"/>
  <c r="U37" i="3" s="1"/>
  <c r="U313" i="2"/>
  <c r="U26" i="3" s="1"/>
  <c r="I315" i="2"/>
  <c r="I28" i="3" s="1"/>
  <c r="M313" i="2"/>
  <c r="M26" i="3" s="1"/>
  <c r="Q315" i="2"/>
  <c r="Q28" i="3" s="1"/>
  <c r="V314" i="2"/>
  <c r="V27" i="3" s="1"/>
  <c r="X332" i="2"/>
  <c r="X29" i="3" s="1"/>
  <c r="H331" i="2"/>
  <c r="G333" i="2"/>
  <c r="G30" i="3" s="1"/>
  <c r="R333" i="2"/>
  <c r="R30" i="3" s="1"/>
  <c r="Q333" i="2"/>
  <c r="Q30" i="3" s="1"/>
  <c r="Q329" i="2"/>
  <c r="C47" i="2"/>
  <c r="N21" i="2"/>
  <c r="N10" i="3" s="1"/>
  <c r="V21" i="2"/>
  <c r="V10" i="3" s="1"/>
  <c r="Q20" i="2"/>
  <c r="Q9" i="3" s="1"/>
  <c r="Y20" i="2"/>
  <c r="Y9" i="3" s="1"/>
  <c r="L19" i="2"/>
  <c r="L8" i="3" s="1"/>
  <c r="J21" i="2"/>
  <c r="J10" i="3" s="1"/>
  <c r="R21" i="2"/>
  <c r="R10" i="3" s="1"/>
  <c r="V20" i="2"/>
  <c r="V9" i="3" s="1"/>
  <c r="L20" i="2"/>
  <c r="L9" i="3" s="1"/>
  <c r="G20" i="2"/>
  <c r="G9" i="3" s="1"/>
  <c r="G21" i="2"/>
  <c r="G10" i="3" s="1"/>
  <c r="K19" i="2"/>
  <c r="K8" i="3" s="1"/>
  <c r="O20" i="2"/>
  <c r="O9" i="3" s="1"/>
  <c r="O21" i="2"/>
  <c r="O10" i="3" s="1"/>
  <c r="S19" i="2"/>
  <c r="S8" i="3" s="1"/>
  <c r="W20" i="2"/>
  <c r="W9" i="3" s="1"/>
  <c r="W21" i="2"/>
  <c r="W10" i="3" s="1"/>
  <c r="T19" i="2"/>
  <c r="T8" i="3" s="1"/>
  <c r="F945" i="2"/>
  <c r="F68" i="3" s="1"/>
  <c r="N945" i="2"/>
  <c r="N68" i="3" s="1"/>
  <c r="V945" i="2"/>
  <c r="V68" i="3" s="1"/>
  <c r="C502" i="2"/>
  <c r="C469" i="2"/>
  <c r="I21" i="2"/>
  <c r="I10" i="3" s="1"/>
  <c r="C384" i="2"/>
  <c r="C929" i="2"/>
  <c r="E958" i="2"/>
  <c r="C604" i="2"/>
  <c r="C543" i="2"/>
  <c r="C567" i="2"/>
  <c r="C579" i="2"/>
  <c r="C426" i="2"/>
  <c r="C444" i="2"/>
  <c r="J19" i="2"/>
  <c r="J8" i="3" s="1"/>
  <c r="R19" i="2"/>
  <c r="R8" i="3" s="1"/>
  <c r="I20" i="2"/>
  <c r="I9" i="3" s="1"/>
  <c r="M19" i="2"/>
  <c r="M8" i="3" s="1"/>
  <c r="U19" i="2"/>
  <c r="U8" i="3" s="1"/>
  <c r="Y21" i="2"/>
  <c r="Y10" i="3" s="1"/>
  <c r="Q19" i="2"/>
  <c r="Q8" i="3" s="1"/>
  <c r="Y19" i="2"/>
  <c r="Y8" i="3" s="1"/>
  <c r="N19" i="2"/>
  <c r="N8" i="3" s="1"/>
  <c r="I19" i="2"/>
  <c r="I8" i="3" s="1"/>
  <c r="J20" i="2"/>
  <c r="J9" i="3" s="1"/>
  <c r="R20" i="2"/>
  <c r="R9" i="3" s="1"/>
  <c r="G235" i="2"/>
  <c r="G24" i="3" s="1"/>
  <c r="G236" i="2"/>
  <c r="G25" i="3" s="1"/>
  <c r="I234" i="2"/>
  <c r="I23" i="3" s="1"/>
  <c r="K235" i="2"/>
  <c r="K24" i="3" s="1"/>
  <c r="K236" i="2"/>
  <c r="K25" i="3" s="1"/>
  <c r="M234" i="2"/>
  <c r="M23" i="3" s="1"/>
  <c r="O235" i="2"/>
  <c r="O24" i="3" s="1"/>
  <c r="Q234" i="2"/>
  <c r="Q23" i="3" s="1"/>
  <c r="S235" i="2"/>
  <c r="S24" i="3" s="1"/>
  <c r="S236" i="2"/>
  <c r="S25" i="3" s="1"/>
  <c r="U234" i="2"/>
  <c r="U23" i="3" s="1"/>
  <c r="W235" i="2"/>
  <c r="W24" i="3" s="1"/>
  <c r="W236" i="2"/>
  <c r="W25" i="3" s="1"/>
  <c r="Y234" i="2"/>
  <c r="Y23" i="3" s="1"/>
  <c r="G234" i="2"/>
  <c r="G23" i="3" s="1"/>
  <c r="I235" i="2"/>
  <c r="I24" i="3" s="1"/>
  <c r="K234" i="2"/>
  <c r="K23" i="3" s="1"/>
  <c r="M235" i="2"/>
  <c r="M24" i="3" s="1"/>
  <c r="O234" i="2"/>
  <c r="O23" i="3" s="1"/>
  <c r="Q235" i="2"/>
  <c r="Q24" i="3" s="1"/>
  <c r="S234" i="2"/>
  <c r="S23" i="3" s="1"/>
  <c r="U235" i="2"/>
  <c r="U24" i="3" s="1"/>
  <c r="W234" i="2"/>
  <c r="W23" i="3" s="1"/>
  <c r="Y235" i="2"/>
  <c r="Y24" i="3" s="1"/>
  <c r="I236" i="2"/>
  <c r="I25" i="3" s="1"/>
  <c r="M236" i="2"/>
  <c r="M25" i="3" s="1"/>
  <c r="Q236" i="2"/>
  <c r="Q25" i="3" s="1"/>
  <c r="U236" i="2"/>
  <c r="U25" i="3" s="1"/>
  <c r="Y236" i="2"/>
  <c r="Y25" i="3" s="1"/>
  <c r="X235" i="2"/>
  <c r="X24" i="3" s="1"/>
  <c r="H205" i="2"/>
  <c r="H22" i="3" s="1"/>
  <c r="L205" i="2"/>
  <c r="L22" i="3" s="1"/>
  <c r="P205" i="2"/>
  <c r="P22" i="3" s="1"/>
  <c r="T205" i="2"/>
  <c r="T22" i="3" s="1"/>
  <c r="X205" i="2"/>
  <c r="X22" i="3" s="1"/>
  <c r="G203" i="2"/>
  <c r="G20" i="3" s="1"/>
  <c r="K203" i="2"/>
  <c r="K20" i="3" s="1"/>
  <c r="O203" i="2"/>
  <c r="O20" i="3" s="1"/>
  <c r="S203" i="2"/>
  <c r="S20" i="3" s="1"/>
  <c r="W203" i="2"/>
  <c r="W20" i="3" s="1"/>
  <c r="G166" i="2"/>
  <c r="G17" i="3" s="1"/>
  <c r="K166" i="2"/>
  <c r="K17" i="3" s="1"/>
  <c r="O166" i="2"/>
  <c r="O17" i="3" s="1"/>
  <c r="S166" i="2"/>
  <c r="S17" i="3" s="1"/>
  <c r="S167" i="2"/>
  <c r="S18" i="3" s="1"/>
  <c r="W166" i="2"/>
  <c r="W17" i="3" s="1"/>
  <c r="W167" i="2"/>
  <c r="W18" i="3" s="1"/>
  <c r="G168" i="2"/>
  <c r="G19" i="3" s="1"/>
  <c r="K168" i="2"/>
  <c r="K19" i="3" s="1"/>
  <c r="O168" i="2"/>
  <c r="O19" i="3" s="1"/>
  <c r="S168" i="2"/>
  <c r="S19" i="3" s="1"/>
  <c r="W168" i="2"/>
  <c r="W19" i="3" s="1"/>
  <c r="G105" i="2"/>
  <c r="G14" i="3" s="1"/>
  <c r="K105" i="2"/>
  <c r="K14" i="3" s="1"/>
  <c r="O105" i="2"/>
  <c r="O14" i="3" s="1"/>
  <c r="S105" i="2"/>
  <c r="S14" i="3" s="1"/>
  <c r="S106" i="2"/>
  <c r="S15" i="3" s="1"/>
  <c r="G107" i="2"/>
  <c r="G16" i="3" s="1"/>
  <c r="K107" i="2"/>
  <c r="K16" i="3" s="1"/>
  <c r="O107" i="2"/>
  <c r="O16" i="3" s="1"/>
  <c r="S107" i="2"/>
  <c r="S16" i="3" s="1"/>
  <c r="W107" i="2"/>
  <c r="W16" i="3" s="1"/>
  <c r="H106" i="2"/>
  <c r="H15" i="3" s="1"/>
  <c r="L106" i="2"/>
  <c r="L15" i="3" s="1"/>
  <c r="P106" i="2"/>
  <c r="P15" i="3" s="1"/>
  <c r="T105" i="2"/>
  <c r="T14" i="3" s="1"/>
  <c r="X105" i="2"/>
  <c r="X14" i="3" s="1"/>
  <c r="H107" i="2"/>
  <c r="H16" i="3" s="1"/>
  <c r="L107" i="2"/>
  <c r="L16" i="3" s="1"/>
  <c r="P107" i="2"/>
  <c r="P16" i="3" s="1"/>
  <c r="T107" i="2"/>
  <c r="T16" i="3" s="1"/>
  <c r="X107" i="2"/>
  <c r="X16" i="3" s="1"/>
  <c r="H105" i="2"/>
  <c r="H14" i="3" s="1"/>
  <c r="L105" i="2"/>
  <c r="L14" i="3" s="1"/>
  <c r="P105" i="2"/>
  <c r="P14" i="3" s="1"/>
  <c r="H74" i="2"/>
  <c r="H11" i="3" s="1"/>
  <c r="L74" i="2"/>
  <c r="L11" i="3" s="1"/>
  <c r="P74" i="2"/>
  <c r="P11" i="3" s="1"/>
  <c r="T74" i="2"/>
  <c r="T11" i="3" s="1"/>
  <c r="X74" i="2"/>
  <c r="X11" i="3" s="1"/>
  <c r="H76" i="2"/>
  <c r="H13" i="3" s="1"/>
  <c r="L76" i="2"/>
  <c r="L13" i="3" s="1"/>
  <c r="K74" i="2"/>
  <c r="K11" i="3" s="1"/>
  <c r="S74" i="2"/>
  <c r="S11" i="3" s="1"/>
  <c r="H166" i="2"/>
  <c r="H17" i="3" s="1"/>
  <c r="J168" i="2"/>
  <c r="J19" i="3" s="1"/>
  <c r="L166" i="2"/>
  <c r="L17" i="3" s="1"/>
  <c r="N168" i="2"/>
  <c r="N19" i="3" s="1"/>
  <c r="P166" i="2"/>
  <c r="P17" i="3" s="1"/>
  <c r="R168" i="2"/>
  <c r="R19" i="3" s="1"/>
  <c r="T166" i="2"/>
  <c r="T17" i="3" s="1"/>
  <c r="V168" i="2"/>
  <c r="V19" i="3" s="1"/>
  <c r="X166" i="2"/>
  <c r="X17" i="3" s="1"/>
  <c r="S970" i="2"/>
  <c r="S71" i="3" s="1"/>
  <c r="R780" i="2"/>
  <c r="R57" i="3" s="1"/>
  <c r="Y781" i="2"/>
  <c r="Y58" i="3" s="1"/>
  <c r="Q779" i="2"/>
  <c r="Q56" i="3" s="1"/>
  <c r="I779" i="2"/>
  <c r="I56" i="3" s="1"/>
  <c r="V1008" i="2"/>
  <c r="V75" i="3" s="1"/>
  <c r="J1007" i="2"/>
  <c r="J74" i="3" s="1"/>
  <c r="V971" i="2"/>
  <c r="V72" i="3" s="1"/>
  <c r="J908" i="2"/>
  <c r="J65" i="3" s="1"/>
  <c r="W908" i="2"/>
  <c r="W65" i="3" s="1"/>
  <c r="L910" i="2"/>
  <c r="L67" i="3" s="1"/>
  <c r="X909" i="2"/>
  <c r="X66" i="3" s="1"/>
  <c r="T909" i="2"/>
  <c r="T66" i="3" s="1"/>
  <c r="I859" i="2"/>
  <c r="I62" i="3" s="1"/>
  <c r="Q859" i="2"/>
  <c r="Q62" i="3" s="1"/>
  <c r="V859" i="2"/>
  <c r="V62" i="3" s="1"/>
  <c r="G860" i="2"/>
  <c r="G63" i="3" s="1"/>
  <c r="G861" i="2"/>
  <c r="G64" i="3" s="1"/>
  <c r="O860" i="2"/>
  <c r="O63" i="3" s="1"/>
  <c r="O861" i="2"/>
  <c r="O64" i="3" s="1"/>
  <c r="W860" i="2"/>
  <c r="W63" i="3" s="1"/>
  <c r="M971" i="2"/>
  <c r="M72" i="3" s="1"/>
  <c r="G909" i="2"/>
  <c r="G66" i="3" s="1"/>
  <c r="O909" i="2"/>
  <c r="O66" i="3" s="1"/>
  <c r="S908" i="2"/>
  <c r="S65" i="3" s="1"/>
  <c r="K909" i="2"/>
  <c r="K66" i="3" s="1"/>
  <c r="L861" i="2"/>
  <c r="L64" i="3" s="1"/>
  <c r="Y861" i="2"/>
  <c r="Y64" i="3" s="1"/>
  <c r="N859" i="2"/>
  <c r="N62" i="3" s="1"/>
  <c r="N860" i="2"/>
  <c r="N63" i="3" s="1"/>
  <c r="K860" i="2"/>
  <c r="K63" i="3" s="1"/>
  <c r="S860" i="2"/>
  <c r="S63" i="3" s="1"/>
  <c r="H824" i="2"/>
  <c r="H61" i="3" s="1"/>
  <c r="P824" i="2"/>
  <c r="P61" i="3" s="1"/>
  <c r="U824" i="2"/>
  <c r="U61" i="3" s="1"/>
  <c r="K824" i="2"/>
  <c r="K61" i="3" s="1"/>
  <c r="H861" i="2"/>
  <c r="H64" i="3" s="1"/>
  <c r="P861" i="2"/>
  <c r="P64" i="3" s="1"/>
  <c r="X860" i="2"/>
  <c r="X63" i="3" s="1"/>
  <c r="X861" i="2"/>
  <c r="X64" i="3" s="1"/>
  <c r="M822" i="2"/>
  <c r="M59" i="3" s="1"/>
  <c r="J823" i="2"/>
  <c r="J60" i="3" s="1"/>
  <c r="R823" i="2"/>
  <c r="R60" i="3" s="1"/>
  <c r="N823" i="2"/>
  <c r="N60" i="3" s="1"/>
  <c r="V822" i="2"/>
  <c r="V59" i="3" s="1"/>
  <c r="G750" i="2"/>
  <c r="G55" i="3" s="1"/>
  <c r="O750" i="2"/>
  <c r="O55" i="3" s="1"/>
  <c r="X748" i="2"/>
  <c r="X53" i="3" s="1"/>
  <c r="Q822" i="2"/>
  <c r="Q59" i="3" s="1"/>
  <c r="L749" i="2"/>
  <c r="L54" i="3" s="1"/>
  <c r="X750" i="2"/>
  <c r="X55" i="3" s="1"/>
  <c r="I723" i="2"/>
  <c r="I50" i="3" s="1"/>
  <c r="I724" i="2"/>
  <c r="I51" i="3" s="1"/>
  <c r="N723" i="2"/>
  <c r="N50" i="3" s="1"/>
  <c r="R724" i="2"/>
  <c r="R51" i="3" s="1"/>
  <c r="R725" i="2"/>
  <c r="R52" i="3" s="1"/>
  <c r="V723" i="2"/>
  <c r="V50" i="3" s="1"/>
  <c r="H724" i="2"/>
  <c r="H51" i="3" s="1"/>
  <c r="M725" i="2"/>
  <c r="M52" i="3" s="1"/>
  <c r="Q723" i="2"/>
  <c r="Q50" i="3" s="1"/>
  <c r="Q724" i="2"/>
  <c r="Q51" i="3" s="1"/>
  <c r="U725" i="2"/>
  <c r="U52" i="3" s="1"/>
  <c r="Y723" i="2"/>
  <c r="Y50" i="3" s="1"/>
  <c r="Y724" i="2"/>
  <c r="Y51" i="3" s="1"/>
  <c r="K346" i="2"/>
  <c r="K33" i="3" s="1"/>
  <c r="S346" i="2"/>
  <c r="S33" i="3" s="1"/>
  <c r="W345" i="2"/>
  <c r="W32" i="3" s="1"/>
  <c r="G346" i="2"/>
  <c r="G33" i="3" s="1"/>
  <c r="O346" i="2"/>
  <c r="O33" i="3" s="1"/>
  <c r="W346" i="2"/>
  <c r="W33" i="3" s="1"/>
  <c r="K314" i="2"/>
  <c r="K27" i="3" s="1"/>
  <c r="L724" i="2"/>
  <c r="L51" i="3" s="1"/>
  <c r="L725" i="2"/>
  <c r="L52" i="3" s="1"/>
  <c r="P723" i="2"/>
  <c r="P50" i="3" s="1"/>
  <c r="T724" i="2"/>
  <c r="T51" i="3" s="1"/>
  <c r="T725" i="2"/>
  <c r="T52" i="3" s="1"/>
  <c r="X723" i="2"/>
  <c r="X50" i="3" s="1"/>
  <c r="C1058" i="2"/>
  <c r="C1070" i="2"/>
  <c r="C763" i="2"/>
  <c r="C738" i="2"/>
  <c r="T21" i="2"/>
  <c r="T10" i="3" s="1"/>
  <c r="S20" i="2"/>
  <c r="S9" i="3" s="1"/>
  <c r="W780" i="2"/>
  <c r="W57" i="3" s="1"/>
  <c r="O781" i="2"/>
  <c r="O58" i="3" s="1"/>
  <c r="G781" i="2"/>
  <c r="G58" i="3" s="1"/>
  <c r="V779" i="2"/>
  <c r="V56" i="3" s="1"/>
  <c r="M779" i="2"/>
  <c r="M56" i="3" s="1"/>
  <c r="J780" i="2"/>
  <c r="J57" i="3" s="1"/>
  <c r="N780" i="2"/>
  <c r="N57" i="3" s="1"/>
  <c r="G824" i="2"/>
  <c r="G61" i="3" s="1"/>
  <c r="S749" i="2"/>
  <c r="S54" i="3" s="1"/>
  <c r="C874" i="2"/>
  <c r="W105" i="2"/>
  <c r="W14" i="3" s="1"/>
  <c r="W945" i="2"/>
  <c r="C1094" i="2"/>
  <c r="C1106" i="2"/>
  <c r="C997" i="2"/>
  <c r="C629" i="2"/>
  <c r="C665" i="2"/>
  <c r="C689" i="2"/>
  <c r="C1082" i="2"/>
  <c r="C935" i="2"/>
  <c r="C985" i="2"/>
  <c r="C880" i="2"/>
  <c r="C610" i="2"/>
  <c r="C537" i="2"/>
  <c r="C549" i="2"/>
  <c r="C573" i="2"/>
  <c r="C475" i="2"/>
  <c r="C420" i="2"/>
  <c r="I725" i="2"/>
  <c r="I52" i="3" s="1"/>
  <c r="N724" i="2"/>
  <c r="N51" i="3" s="1"/>
  <c r="N725" i="2"/>
  <c r="N52" i="3" s="1"/>
  <c r="R723" i="2"/>
  <c r="R50" i="3" s="1"/>
  <c r="V724" i="2"/>
  <c r="V51" i="3" s="1"/>
  <c r="V725" i="2"/>
  <c r="V52" i="3" s="1"/>
  <c r="M723" i="2"/>
  <c r="M50" i="3" s="1"/>
  <c r="M724" i="2"/>
  <c r="M51" i="3" s="1"/>
  <c r="Q725" i="2"/>
  <c r="Q52" i="3" s="1"/>
  <c r="U723" i="2"/>
  <c r="U50" i="3" s="1"/>
  <c r="U724" i="2"/>
  <c r="U51" i="3" s="1"/>
  <c r="Y725" i="2"/>
  <c r="Y52" i="3" s="1"/>
  <c r="L723" i="2"/>
  <c r="L50" i="3" s="1"/>
  <c r="P724" i="2"/>
  <c r="P51" i="3" s="1"/>
  <c r="P725" i="2"/>
  <c r="P52" i="3" s="1"/>
  <c r="T723" i="2"/>
  <c r="T50" i="3" s="1"/>
  <c r="X724" i="2"/>
  <c r="X51" i="3" s="1"/>
  <c r="X725" i="2"/>
  <c r="X52" i="3" s="1"/>
  <c r="E810" i="2"/>
  <c r="E811" i="2"/>
  <c r="E809" i="2"/>
  <c r="E842" i="2"/>
  <c r="E841" i="2"/>
  <c r="E840" i="2"/>
  <c r="E854" i="2"/>
  <c r="E852" i="2"/>
  <c r="E853" i="2"/>
  <c r="E639" i="2"/>
  <c r="E640" i="2"/>
  <c r="E638" i="2"/>
  <c r="E651" i="2"/>
  <c r="E652" i="2"/>
  <c r="E650" i="2"/>
  <c r="E663" i="2"/>
  <c r="E664" i="2"/>
  <c r="E662" i="2"/>
  <c r="E675" i="2"/>
  <c r="E676" i="2"/>
  <c r="E674" i="2"/>
  <c r="E687" i="2"/>
  <c r="E688" i="2"/>
  <c r="E686" i="2"/>
  <c r="E706" i="2"/>
  <c r="E704" i="2"/>
  <c r="E705" i="2"/>
  <c r="E718" i="2"/>
  <c r="E716" i="2"/>
  <c r="E717" i="2"/>
  <c r="E737" i="2"/>
  <c r="E735" i="2"/>
  <c r="E736" i="2"/>
  <c r="E597" i="2"/>
  <c r="E595" i="2"/>
  <c r="E596" i="2"/>
  <c r="E485" i="2"/>
  <c r="E486" i="2"/>
  <c r="E484" i="2"/>
  <c r="E492" i="2"/>
  <c r="E490" i="2"/>
  <c r="E491" i="2"/>
  <c r="E364" i="2"/>
  <c r="E365" i="2"/>
  <c r="E363" i="2"/>
  <c r="E376" i="2"/>
  <c r="E377" i="2"/>
  <c r="E375" i="2"/>
  <c r="E511" i="2"/>
  <c r="E509" i="2"/>
  <c r="E510" i="2"/>
  <c r="E528" i="2"/>
  <c r="E529" i="2"/>
  <c r="E527" i="2"/>
  <c r="E383" i="2"/>
  <c r="E381" i="2"/>
  <c r="E382" i="2"/>
  <c r="E395" i="2"/>
  <c r="E393" i="2"/>
  <c r="E394" i="2"/>
  <c r="E412" i="2"/>
  <c r="E413" i="2"/>
  <c r="E411" i="2"/>
  <c r="E443" i="2"/>
  <c r="E441" i="2"/>
  <c r="E442" i="2"/>
  <c r="E339" i="2"/>
  <c r="E333" i="2" s="1"/>
  <c r="E340" i="2"/>
  <c r="E334" i="2" s="1"/>
  <c r="E338" i="2"/>
  <c r="E1015" i="2"/>
  <c r="E1013" i="2"/>
  <c r="E1014" i="2"/>
  <c r="E1020" i="2"/>
  <c r="E1021" i="2"/>
  <c r="E1019" i="2"/>
  <c r="E1081" i="2"/>
  <c r="E1079" i="2"/>
  <c r="E1080" i="2"/>
  <c r="E1086" i="2"/>
  <c r="E1087" i="2"/>
  <c r="E1085" i="2"/>
  <c r="E922" i="2"/>
  <c r="E921" i="2"/>
  <c r="E920" i="2"/>
  <c r="E927" i="2"/>
  <c r="E928" i="2"/>
  <c r="E926" i="2"/>
  <c r="E983" i="2"/>
  <c r="E984" i="2"/>
  <c r="E982" i="2"/>
  <c r="E866" i="2"/>
  <c r="E867" i="2"/>
  <c r="E865" i="2"/>
  <c r="E829" i="2"/>
  <c r="E830" i="2"/>
  <c r="E828" i="2"/>
  <c r="E762" i="2"/>
  <c r="E760" i="2"/>
  <c r="E761" i="2"/>
  <c r="E774" i="2"/>
  <c r="E772" i="2"/>
  <c r="E773" i="2"/>
  <c r="E627" i="2"/>
  <c r="E628" i="2"/>
  <c r="E626" i="2"/>
  <c r="C598" i="2"/>
  <c r="E609" i="2"/>
  <c r="E607" i="2"/>
  <c r="E608" i="2"/>
  <c r="E614" i="2"/>
  <c r="E615" i="2"/>
  <c r="E613" i="2"/>
  <c r="E542" i="2"/>
  <c r="E540" i="2"/>
  <c r="E541" i="2"/>
  <c r="E548" i="2"/>
  <c r="E547" i="2"/>
  <c r="E546" i="2"/>
  <c r="E554" i="2"/>
  <c r="E552" i="2"/>
  <c r="E553" i="2"/>
  <c r="E559" i="2"/>
  <c r="E560" i="2"/>
  <c r="E558" i="2"/>
  <c r="E566" i="2"/>
  <c r="E564" i="2"/>
  <c r="E565" i="2"/>
  <c r="E571" i="2"/>
  <c r="E572" i="2"/>
  <c r="E570" i="2"/>
  <c r="E578" i="2"/>
  <c r="E576" i="2"/>
  <c r="E577" i="2"/>
  <c r="E583" i="2"/>
  <c r="E584" i="2"/>
  <c r="E582" i="2"/>
  <c r="E480" i="2"/>
  <c r="E478" i="2"/>
  <c r="E479" i="2"/>
  <c r="E407" i="2"/>
  <c r="E405" i="2"/>
  <c r="E406" i="2"/>
  <c r="E424" i="2"/>
  <c r="E425" i="2"/>
  <c r="E423" i="2"/>
  <c r="E431" i="2"/>
  <c r="E429" i="2"/>
  <c r="E430" i="2"/>
  <c r="E455" i="2"/>
  <c r="E453" i="2"/>
  <c r="E454" i="2"/>
  <c r="E327" i="2"/>
  <c r="E325" i="2"/>
  <c r="E326" i="2"/>
  <c r="P76" i="2"/>
  <c r="P13" i="3" s="1"/>
  <c r="T76" i="2"/>
  <c r="T13" i="3" s="1"/>
  <c r="K725" i="2"/>
  <c r="K52" i="3" s="1"/>
  <c r="G725" i="2"/>
  <c r="G52" i="3" s="1"/>
  <c r="F724" i="2"/>
  <c r="F725" i="2"/>
  <c r="J723" i="2"/>
  <c r="J50" i="3" s="1"/>
  <c r="O723" i="2"/>
  <c r="O50" i="3" s="1"/>
  <c r="O724" i="2"/>
  <c r="O51" i="3" s="1"/>
  <c r="S725" i="2"/>
  <c r="S52" i="3" s="1"/>
  <c r="W723" i="2"/>
  <c r="W50" i="3" s="1"/>
  <c r="W724" i="2"/>
  <c r="W51" i="3" s="1"/>
  <c r="E798" i="2"/>
  <c r="E799" i="2"/>
  <c r="E797" i="2"/>
  <c r="E1057" i="2"/>
  <c r="E1055" i="2"/>
  <c r="E1056" i="2"/>
  <c r="E1069" i="2"/>
  <c r="E1067" i="2"/>
  <c r="E1068" i="2"/>
  <c r="E995" i="2"/>
  <c r="E996" i="2"/>
  <c r="E994" i="2"/>
  <c r="E817" i="2"/>
  <c r="E815" i="2"/>
  <c r="E816" i="2"/>
  <c r="E805" i="2"/>
  <c r="E803" i="2"/>
  <c r="E804" i="2"/>
  <c r="C796" i="2"/>
  <c r="E1045" i="2"/>
  <c r="E1043" i="2"/>
  <c r="E1044" i="2"/>
  <c r="E1050" i="2"/>
  <c r="E1051" i="2"/>
  <c r="E1049" i="2"/>
  <c r="E1062" i="2"/>
  <c r="E1063" i="2"/>
  <c r="E1061" i="2"/>
  <c r="C1064" i="2"/>
  <c r="E1074" i="2"/>
  <c r="E1075" i="2"/>
  <c r="E1073" i="2"/>
  <c r="C1089" i="2"/>
  <c r="E1093" i="2"/>
  <c r="E1091" i="2"/>
  <c r="E1092" i="2"/>
  <c r="E1099" i="2"/>
  <c r="E1098" i="2"/>
  <c r="E1097" i="2"/>
  <c r="E1111" i="2"/>
  <c r="E1109" i="2"/>
  <c r="E1110" i="2"/>
  <c r="E1002" i="2"/>
  <c r="E1000" i="2"/>
  <c r="E1001" i="2"/>
  <c r="E916" i="2"/>
  <c r="E914" i="2"/>
  <c r="E915" i="2"/>
  <c r="E873" i="2"/>
  <c r="E871" i="2"/>
  <c r="E872" i="2"/>
  <c r="E836" i="2"/>
  <c r="E834" i="2"/>
  <c r="E835" i="2"/>
  <c r="E847" i="2"/>
  <c r="E848" i="2"/>
  <c r="E846" i="2"/>
  <c r="E755" i="2"/>
  <c r="E756" i="2"/>
  <c r="E754" i="2"/>
  <c r="E634" i="2"/>
  <c r="E632" i="2"/>
  <c r="E633" i="2"/>
  <c r="E646" i="2"/>
  <c r="E644" i="2"/>
  <c r="E645" i="2"/>
  <c r="E658" i="2"/>
  <c r="E656" i="2"/>
  <c r="E657" i="2"/>
  <c r="E670" i="2"/>
  <c r="E668" i="2"/>
  <c r="E669" i="2"/>
  <c r="E682" i="2"/>
  <c r="E680" i="2"/>
  <c r="E681" i="2"/>
  <c r="E694" i="2"/>
  <c r="E693" i="2"/>
  <c r="E692" i="2"/>
  <c r="E699" i="2"/>
  <c r="E700" i="2"/>
  <c r="E698" i="2"/>
  <c r="C701" i="2"/>
  <c r="E711" i="2"/>
  <c r="E712" i="2"/>
  <c r="E710" i="2"/>
  <c r="C713" i="2"/>
  <c r="C592" i="2"/>
  <c r="E767" i="2"/>
  <c r="E768" i="2"/>
  <c r="E766" i="2"/>
  <c r="E742" i="2"/>
  <c r="E743" i="2"/>
  <c r="E741" i="2"/>
  <c r="E352" i="2"/>
  <c r="E353" i="2"/>
  <c r="E351" i="2"/>
  <c r="E359" i="2"/>
  <c r="E357" i="2"/>
  <c r="E358" i="2"/>
  <c r="E371" i="2"/>
  <c r="E369" i="2"/>
  <c r="E370" i="2"/>
  <c r="E516" i="2"/>
  <c r="E517" i="2"/>
  <c r="E515" i="2"/>
  <c r="E523" i="2"/>
  <c r="E521" i="2"/>
  <c r="E522" i="2"/>
  <c r="E388" i="2"/>
  <c r="E389" i="2"/>
  <c r="E387" i="2"/>
  <c r="E400" i="2"/>
  <c r="E401" i="2"/>
  <c r="E399" i="2"/>
  <c r="E419" i="2"/>
  <c r="E417" i="2"/>
  <c r="E418" i="2"/>
  <c r="E320" i="2"/>
  <c r="E314" i="2" s="1"/>
  <c r="E319" i="2"/>
  <c r="E313" i="2" s="1"/>
  <c r="E321" i="2"/>
  <c r="E315" i="2" s="1"/>
  <c r="E793" i="2"/>
  <c r="E791" i="2"/>
  <c r="E792" i="2"/>
  <c r="E786" i="2"/>
  <c r="E787" i="2"/>
  <c r="E785" i="2"/>
  <c r="E1026" i="2"/>
  <c r="E1027" i="2"/>
  <c r="E1025" i="2"/>
  <c r="E1038" i="2"/>
  <c r="E1039" i="2"/>
  <c r="E1037" i="2"/>
  <c r="E1033" i="2"/>
  <c r="E1031" i="2"/>
  <c r="E1032" i="2"/>
  <c r="C1076" i="2"/>
  <c r="E1104" i="2"/>
  <c r="E1103" i="2"/>
  <c r="E1105" i="2"/>
  <c r="E978" i="2"/>
  <c r="E976" i="2"/>
  <c r="E977" i="2"/>
  <c r="C917" i="2"/>
  <c r="C923" i="2"/>
  <c r="E934" i="2"/>
  <c r="E932" i="2"/>
  <c r="E933" i="2"/>
  <c r="E939" i="2"/>
  <c r="E940" i="2"/>
  <c r="E938" i="2"/>
  <c r="C979" i="2"/>
  <c r="E990" i="2"/>
  <c r="E988" i="2"/>
  <c r="E989" i="2"/>
  <c r="E878" i="2"/>
  <c r="E879" i="2"/>
  <c r="E877" i="2"/>
  <c r="E885" i="2"/>
  <c r="E883" i="2"/>
  <c r="E884" i="2"/>
  <c r="E890" i="2"/>
  <c r="E891" i="2"/>
  <c r="E889" i="2"/>
  <c r="E897" i="2"/>
  <c r="E895" i="2"/>
  <c r="E896" i="2"/>
  <c r="E902" i="2"/>
  <c r="E903" i="2"/>
  <c r="E901" i="2"/>
  <c r="E730" i="2"/>
  <c r="E731" i="2"/>
  <c r="E729" i="2"/>
  <c r="E602" i="2"/>
  <c r="E603" i="2"/>
  <c r="E601" i="2"/>
  <c r="E473" i="2"/>
  <c r="E474" i="2"/>
  <c r="E472" i="2"/>
  <c r="E504" i="2"/>
  <c r="E505" i="2"/>
  <c r="E503" i="2"/>
  <c r="E436" i="2"/>
  <c r="E437" i="2"/>
  <c r="E435" i="2"/>
  <c r="E448" i="2"/>
  <c r="E449" i="2"/>
  <c r="E447" i="2"/>
  <c r="E460" i="2"/>
  <c r="E461" i="2"/>
  <c r="E459" i="2"/>
  <c r="K723" i="2"/>
  <c r="K50" i="3" s="1"/>
  <c r="K724" i="2"/>
  <c r="K51" i="3" s="1"/>
  <c r="N1007" i="2"/>
  <c r="N74" i="3" s="1"/>
  <c r="G723" i="2"/>
  <c r="G50" i="3" s="1"/>
  <c r="G724" i="2"/>
  <c r="G51" i="3" s="1"/>
  <c r="F723" i="2"/>
  <c r="J724" i="2"/>
  <c r="J51" i="3" s="1"/>
  <c r="J725" i="2"/>
  <c r="J52" i="3" s="1"/>
  <c r="O725" i="2"/>
  <c r="O52" i="3" s="1"/>
  <c r="S723" i="2"/>
  <c r="S50" i="3" s="1"/>
  <c r="S724" i="2"/>
  <c r="S51" i="3" s="1"/>
  <c r="W725" i="2"/>
  <c r="W52" i="3" s="1"/>
  <c r="X76" i="2"/>
  <c r="X13" i="3" s="1"/>
  <c r="G76" i="2"/>
  <c r="G13" i="3" s="1"/>
  <c r="E342" i="2"/>
  <c r="E344" i="2"/>
  <c r="C59" i="2"/>
  <c r="O76" i="2"/>
  <c r="O13" i="3" s="1"/>
  <c r="W76" i="2"/>
  <c r="W13" i="3" s="1"/>
  <c r="Q75" i="2"/>
  <c r="Q12" i="3" s="1"/>
  <c r="Y75" i="2"/>
  <c r="Y12" i="3" s="1"/>
  <c r="M20" i="2"/>
  <c r="M9" i="3" s="1"/>
  <c r="U21" i="2"/>
  <c r="U10" i="3" s="1"/>
  <c r="X20" i="2"/>
  <c r="X9" i="3" s="1"/>
  <c r="X21" i="2"/>
  <c r="X10" i="3" s="1"/>
  <c r="M76" i="2"/>
  <c r="M13" i="3" s="1"/>
  <c r="H236" i="2"/>
  <c r="H25" i="3" s="1"/>
  <c r="J234" i="2"/>
  <c r="J23" i="3" s="1"/>
  <c r="J235" i="2"/>
  <c r="J24" i="3" s="1"/>
  <c r="L236" i="2"/>
  <c r="L25" i="3" s="1"/>
  <c r="N234" i="2"/>
  <c r="N23" i="3" s="1"/>
  <c r="N235" i="2"/>
  <c r="N24" i="3" s="1"/>
  <c r="P236" i="2"/>
  <c r="P25" i="3" s="1"/>
  <c r="R234" i="2"/>
  <c r="R23" i="3" s="1"/>
  <c r="R235" i="2"/>
  <c r="R24" i="3" s="1"/>
  <c r="T236" i="2"/>
  <c r="T25" i="3" s="1"/>
  <c r="V234" i="2"/>
  <c r="V23" i="3" s="1"/>
  <c r="V235" i="2"/>
  <c r="V24" i="3" s="1"/>
  <c r="X236" i="2"/>
  <c r="X25" i="3" s="1"/>
  <c r="H234" i="2"/>
  <c r="H23" i="3" s="1"/>
  <c r="J236" i="2"/>
  <c r="J25" i="3" s="1"/>
  <c r="L234" i="2"/>
  <c r="L23" i="3" s="1"/>
  <c r="N236" i="2"/>
  <c r="N25" i="3" s="1"/>
  <c r="P234" i="2"/>
  <c r="P23" i="3" s="1"/>
  <c r="R236" i="2"/>
  <c r="R25" i="3" s="1"/>
  <c r="T234" i="2"/>
  <c r="T23" i="3" s="1"/>
  <c r="V236" i="2"/>
  <c r="V25" i="3" s="1"/>
  <c r="X234" i="2"/>
  <c r="X23" i="3" s="1"/>
  <c r="G204" i="2"/>
  <c r="G21" i="3" s="1"/>
  <c r="G205" i="2"/>
  <c r="G22" i="3" s="1"/>
  <c r="I203" i="2"/>
  <c r="I20" i="3" s="1"/>
  <c r="K204" i="2"/>
  <c r="K21" i="3" s="1"/>
  <c r="K205" i="2"/>
  <c r="K22" i="3" s="1"/>
  <c r="M203" i="2"/>
  <c r="M20" i="3" s="1"/>
  <c r="O204" i="2"/>
  <c r="O21" i="3" s="1"/>
  <c r="O205" i="2"/>
  <c r="O22" i="3" s="1"/>
  <c r="Q203" i="2"/>
  <c r="Q20" i="3" s="1"/>
  <c r="S205" i="2"/>
  <c r="S22" i="3" s="1"/>
  <c r="U203" i="2"/>
  <c r="U20" i="3" s="1"/>
  <c r="W204" i="2"/>
  <c r="W21" i="3" s="1"/>
  <c r="W205" i="2"/>
  <c r="W22" i="3" s="1"/>
  <c r="Y203" i="2"/>
  <c r="Y20" i="3" s="1"/>
  <c r="H203" i="2"/>
  <c r="H20" i="3" s="1"/>
  <c r="J205" i="2"/>
  <c r="J22" i="3" s="1"/>
  <c r="L203" i="2"/>
  <c r="L20" i="3" s="1"/>
  <c r="N205" i="2"/>
  <c r="N22" i="3" s="1"/>
  <c r="P203" i="2"/>
  <c r="P20" i="3" s="1"/>
  <c r="R205" i="2"/>
  <c r="R22" i="3" s="1"/>
  <c r="T203" i="2"/>
  <c r="T20" i="3" s="1"/>
  <c r="V205" i="2"/>
  <c r="V22" i="3" s="1"/>
  <c r="X203" i="2"/>
  <c r="X20" i="3" s="1"/>
  <c r="H168" i="2"/>
  <c r="H19" i="3" s="1"/>
  <c r="J166" i="2"/>
  <c r="J17" i="3" s="1"/>
  <c r="L168" i="2"/>
  <c r="L19" i="3" s="1"/>
  <c r="N166" i="2"/>
  <c r="N17" i="3" s="1"/>
  <c r="P168" i="2"/>
  <c r="P19" i="3" s="1"/>
  <c r="R166" i="2"/>
  <c r="R17" i="3" s="1"/>
  <c r="T168" i="2"/>
  <c r="T19" i="3" s="1"/>
  <c r="V166" i="2"/>
  <c r="V17" i="3" s="1"/>
  <c r="H75" i="2"/>
  <c r="H12" i="3" s="1"/>
  <c r="P75" i="2"/>
  <c r="P12" i="3" s="1"/>
  <c r="X75" i="2"/>
  <c r="X12" i="3" s="1"/>
  <c r="L75" i="2"/>
  <c r="L12" i="3" s="1"/>
  <c r="T75" i="2"/>
  <c r="T12" i="3" s="1"/>
  <c r="C1046" i="2"/>
  <c r="C886" i="2"/>
  <c r="C892" i="2"/>
  <c r="C898" i="2"/>
  <c r="C757" i="2"/>
  <c r="C769" i="2"/>
  <c r="C555" i="2"/>
  <c r="I74" i="2"/>
  <c r="I11" i="3" s="1"/>
  <c r="Q74" i="2"/>
  <c r="Q11" i="3" s="1"/>
  <c r="U76" i="2"/>
  <c r="U13" i="3" s="1"/>
  <c r="Y74" i="2"/>
  <c r="Y11" i="3" s="1"/>
  <c r="J106" i="2"/>
  <c r="J15" i="3" s="1"/>
  <c r="J107" i="2"/>
  <c r="J16" i="3" s="1"/>
  <c r="N106" i="2"/>
  <c r="N15" i="3" s="1"/>
  <c r="N107" i="2"/>
  <c r="N16" i="3" s="1"/>
  <c r="R106" i="2"/>
  <c r="R15" i="3" s="1"/>
  <c r="R107" i="2"/>
  <c r="R16" i="3" s="1"/>
  <c r="V106" i="2"/>
  <c r="V15" i="3" s="1"/>
  <c r="V107" i="2"/>
  <c r="V16" i="3" s="1"/>
  <c r="J105" i="2"/>
  <c r="J14" i="3" s="1"/>
  <c r="N105" i="2"/>
  <c r="N14" i="3" s="1"/>
  <c r="R105" i="2"/>
  <c r="R14" i="3" s="1"/>
  <c r="V105" i="2"/>
  <c r="V14" i="3" s="1"/>
  <c r="G75" i="2"/>
  <c r="G12" i="3" s="1"/>
  <c r="K75" i="2"/>
  <c r="K12" i="3" s="1"/>
  <c r="S75" i="2"/>
  <c r="S12" i="3" s="1"/>
  <c r="C561" i="2"/>
  <c r="C402" i="2"/>
  <c r="C827" i="2"/>
  <c r="H21" i="2"/>
  <c r="H10" i="3" s="1"/>
  <c r="P21" i="2"/>
  <c r="P10" i="3" s="1"/>
  <c r="T20" i="2"/>
  <c r="T9" i="3" s="1"/>
  <c r="N20" i="2"/>
  <c r="N9" i="3" s="1"/>
  <c r="V19" i="2"/>
  <c r="V8" i="3" s="1"/>
  <c r="L21" i="2"/>
  <c r="L10" i="3" s="1"/>
  <c r="G19" i="2"/>
  <c r="G8" i="3" s="1"/>
  <c r="O19" i="2"/>
  <c r="O8" i="3" s="1"/>
  <c r="U20" i="2"/>
  <c r="U9" i="3" s="1"/>
  <c r="E260" i="2"/>
  <c r="E258" i="2"/>
  <c r="E259" i="2"/>
  <c r="E265" i="2"/>
  <c r="E266" i="2"/>
  <c r="E264" i="2"/>
  <c r="E272" i="2"/>
  <c r="E270" i="2"/>
  <c r="E271" i="2"/>
  <c r="E277" i="2"/>
  <c r="E278" i="2"/>
  <c r="E276" i="2"/>
  <c r="E283" i="2"/>
  <c r="E284" i="2"/>
  <c r="E282" i="2"/>
  <c r="E290" i="2"/>
  <c r="E288" i="2"/>
  <c r="E289" i="2"/>
  <c r="E296" i="2"/>
  <c r="E295" i="2"/>
  <c r="E294" i="2"/>
  <c r="E301" i="2"/>
  <c r="E302" i="2"/>
  <c r="E300" i="2"/>
  <c r="C303" i="2"/>
  <c r="E308" i="2"/>
  <c r="E306" i="2"/>
  <c r="E307" i="2"/>
  <c r="E211" i="2"/>
  <c r="E209" i="2"/>
  <c r="E210" i="2"/>
  <c r="E81" i="2"/>
  <c r="E82" i="2"/>
  <c r="E80" i="2"/>
  <c r="E88" i="2"/>
  <c r="E86" i="2"/>
  <c r="E87" i="2"/>
  <c r="C126" i="2"/>
  <c r="E130" i="2"/>
  <c r="E131" i="2"/>
  <c r="E129" i="2"/>
  <c r="C132" i="2"/>
  <c r="E137" i="2"/>
  <c r="E135" i="2"/>
  <c r="E136" i="2"/>
  <c r="C138" i="2"/>
  <c r="E142" i="2"/>
  <c r="E143" i="2"/>
  <c r="E141" i="2"/>
  <c r="C144" i="2"/>
  <c r="E149" i="2"/>
  <c r="E147" i="2"/>
  <c r="E148" i="2"/>
  <c r="C150" i="2"/>
  <c r="E154" i="2"/>
  <c r="E155" i="2"/>
  <c r="E153" i="2"/>
  <c r="C156" i="2"/>
  <c r="E161" i="2"/>
  <c r="E159" i="2"/>
  <c r="E160" i="2"/>
  <c r="E93" i="2"/>
  <c r="E94" i="2"/>
  <c r="E92" i="2"/>
  <c r="E100" i="2"/>
  <c r="E98" i="2"/>
  <c r="E99" i="2"/>
  <c r="E242" i="2"/>
  <c r="E240" i="2"/>
  <c r="E241" i="2"/>
  <c r="C243" i="2"/>
  <c r="E248" i="2"/>
  <c r="E247" i="2"/>
  <c r="E246" i="2"/>
  <c r="C249" i="2"/>
  <c r="E253" i="2"/>
  <c r="E254" i="2"/>
  <c r="E252" i="2"/>
  <c r="C212" i="2"/>
  <c r="E216" i="2"/>
  <c r="E217" i="2"/>
  <c r="E215" i="2"/>
  <c r="C218" i="2"/>
  <c r="E223" i="2"/>
  <c r="E221" i="2"/>
  <c r="E222" i="2"/>
  <c r="C224" i="2"/>
  <c r="E228" i="2"/>
  <c r="E229" i="2"/>
  <c r="E227" i="2"/>
  <c r="E173" i="2"/>
  <c r="E174" i="2"/>
  <c r="E172" i="2"/>
  <c r="C175" i="2"/>
  <c r="E180" i="2"/>
  <c r="E178" i="2"/>
  <c r="E179" i="2"/>
  <c r="C181" i="2"/>
  <c r="E185" i="2"/>
  <c r="E186" i="2"/>
  <c r="E184" i="2"/>
  <c r="C187" i="2"/>
  <c r="E192" i="2"/>
  <c r="E190" i="2"/>
  <c r="E191" i="2"/>
  <c r="C193" i="2"/>
  <c r="E197" i="2"/>
  <c r="E198" i="2"/>
  <c r="E196" i="2"/>
  <c r="E112" i="2"/>
  <c r="E113" i="2"/>
  <c r="E111" i="2"/>
  <c r="C114" i="2"/>
  <c r="E119" i="2"/>
  <c r="E117" i="2"/>
  <c r="E118" i="2"/>
  <c r="C120" i="2"/>
  <c r="E124" i="2"/>
  <c r="E125" i="2"/>
  <c r="E123" i="2"/>
  <c r="K20" i="2"/>
  <c r="K9" i="3" s="1"/>
  <c r="W19" i="2"/>
  <c r="W8" i="3" s="1"/>
  <c r="Q21" i="2"/>
  <c r="Q10" i="3" s="1"/>
  <c r="C34" i="2"/>
  <c r="E39" i="2"/>
  <c r="E37" i="2"/>
  <c r="E38" i="2"/>
  <c r="C52" i="2"/>
  <c r="E57" i="2"/>
  <c r="E56" i="2"/>
  <c r="E55" i="2"/>
  <c r="E27" i="2"/>
  <c r="E25" i="2"/>
  <c r="E26" i="2"/>
  <c r="E50" i="2"/>
  <c r="E51" i="2"/>
  <c r="E49" i="2"/>
  <c r="E69" i="2"/>
  <c r="E67" i="2"/>
  <c r="E68" i="2"/>
  <c r="E14" i="2"/>
  <c r="E8" i="2" s="1"/>
  <c r="E13" i="2"/>
  <c r="E7" i="2" s="1"/>
  <c r="E12" i="2"/>
  <c r="E6" i="2" s="1"/>
  <c r="E32" i="2"/>
  <c r="E33" i="2"/>
  <c r="E31" i="2"/>
  <c r="C40" i="2"/>
  <c r="E45" i="2"/>
  <c r="E43" i="2"/>
  <c r="E44" i="2"/>
  <c r="E62" i="2"/>
  <c r="E63" i="2"/>
  <c r="E61" i="2"/>
  <c r="C991" i="2"/>
  <c r="C732" i="2"/>
  <c r="C912" i="2"/>
  <c r="E722" i="2"/>
  <c r="C807" i="2"/>
  <c r="C1016" i="2"/>
  <c r="C1012" i="2"/>
  <c r="C513" i="2"/>
  <c r="C317" i="2"/>
  <c r="E200" i="2"/>
  <c r="C83" i="2"/>
  <c r="C1023" i="2"/>
  <c r="C433" i="2"/>
  <c r="C237" i="2"/>
  <c r="C813" i="2"/>
  <c r="C207" i="2"/>
  <c r="C109" i="2"/>
  <c r="C641" i="2"/>
  <c r="C635" i="2"/>
  <c r="C647" i="2"/>
  <c r="C1052" i="2"/>
  <c r="C653" i="2"/>
  <c r="C677" i="2"/>
  <c r="C390" i="2"/>
  <c r="C408" i="2"/>
  <c r="C414" i="2"/>
  <c r="C868" i="2"/>
  <c r="C487" i="2"/>
  <c r="C396" i="2"/>
  <c r="C438" i="2"/>
  <c r="C28" i="2"/>
  <c r="C837" i="2"/>
  <c r="C322" i="2"/>
  <c r="W946" i="2"/>
  <c r="C802" i="2"/>
  <c r="C784" i="2"/>
  <c r="C973" i="2"/>
  <c r="F947" i="2"/>
  <c r="F70" i="3" s="1"/>
  <c r="J946" i="2"/>
  <c r="J69" i="3" s="1"/>
  <c r="N947" i="2"/>
  <c r="N70" i="3" s="1"/>
  <c r="R946" i="2"/>
  <c r="R69" i="3" s="1"/>
  <c r="V947" i="2"/>
  <c r="V70" i="3" s="1"/>
  <c r="E906" i="2"/>
  <c r="C864" i="2"/>
  <c r="C378" i="2"/>
  <c r="C77" i="2"/>
  <c r="E72" i="2"/>
  <c r="C66" i="2"/>
  <c r="C452" i="2"/>
  <c r="C458" i="2"/>
  <c r="C169" i="2"/>
  <c r="C843" i="2"/>
  <c r="C360" i="2"/>
  <c r="C372" i="2"/>
  <c r="C506" i="2"/>
  <c r="C524" i="2"/>
  <c r="C255" i="2"/>
  <c r="C267" i="2"/>
  <c r="C279" i="2"/>
  <c r="C285" i="2"/>
  <c r="C297" i="2"/>
  <c r="C1034" i="2"/>
  <c r="C337" i="2"/>
  <c r="W947" i="2"/>
  <c r="C790" i="2"/>
  <c r="J945" i="2"/>
  <c r="J68" i="3" s="1"/>
  <c r="R945" i="2"/>
  <c r="R68" i="3" s="1"/>
  <c r="E311" i="2"/>
  <c r="C831" i="2"/>
  <c r="C849" i="2"/>
  <c r="C366" i="2"/>
  <c r="C518" i="2"/>
  <c r="C261" i="2"/>
  <c r="C273" i="2"/>
  <c r="C291" i="2"/>
  <c r="C1028" i="2"/>
  <c r="C481" i="2"/>
  <c r="F334" i="2"/>
  <c r="F31" i="3" s="1"/>
  <c r="F331" i="2"/>
  <c r="C806" i="2"/>
  <c r="C795" i="2"/>
  <c r="C794" i="2"/>
  <c r="E1006" i="2"/>
  <c r="C1096" i="2"/>
  <c r="C1095" i="2"/>
  <c r="C1107" i="2"/>
  <c r="C1108" i="2"/>
  <c r="C992" i="2"/>
  <c r="C993" i="2"/>
  <c r="C998" i="2"/>
  <c r="C999" i="2"/>
  <c r="E942" i="2"/>
  <c r="I945" i="2"/>
  <c r="I946" i="2"/>
  <c r="M945" i="2"/>
  <c r="M946" i="2"/>
  <c r="Q945" i="2"/>
  <c r="Q946" i="2"/>
  <c r="U945" i="2"/>
  <c r="U946" i="2"/>
  <c r="C948" i="2"/>
  <c r="C949" i="2"/>
  <c r="E907" i="2"/>
  <c r="C913" i="2"/>
  <c r="F824" i="2"/>
  <c r="C832" i="2"/>
  <c r="C833" i="2"/>
  <c r="C838" i="2"/>
  <c r="C839" i="2"/>
  <c r="C844" i="2"/>
  <c r="C845" i="2"/>
  <c r="C850" i="2"/>
  <c r="C851" i="2"/>
  <c r="E745" i="2"/>
  <c r="C752" i="2"/>
  <c r="F589" i="2"/>
  <c r="C764" i="2"/>
  <c r="C765" i="2"/>
  <c r="C733" i="2"/>
  <c r="C734" i="2"/>
  <c r="C739" i="2"/>
  <c r="C740" i="2"/>
  <c r="E617" i="2"/>
  <c r="F590" i="2"/>
  <c r="E496" i="2"/>
  <c r="F499" i="2"/>
  <c r="C482" i="2"/>
  <c r="C483" i="2"/>
  <c r="E343" i="2"/>
  <c r="F346" i="2"/>
  <c r="C361" i="2"/>
  <c r="C362" i="2"/>
  <c r="C367" i="2"/>
  <c r="C368" i="2"/>
  <c r="C373" i="2"/>
  <c r="C374" i="2"/>
  <c r="C507" i="2"/>
  <c r="C514" i="2"/>
  <c r="C519" i="2"/>
  <c r="C520" i="2"/>
  <c r="C525" i="2"/>
  <c r="C526" i="2"/>
  <c r="E463" i="2"/>
  <c r="C256" i="2"/>
  <c r="C257" i="2"/>
  <c r="C262" i="2"/>
  <c r="C263" i="2"/>
  <c r="C268" i="2"/>
  <c r="C269" i="2"/>
  <c r="C274" i="2"/>
  <c r="C275" i="2"/>
  <c r="C280" i="2"/>
  <c r="C281" i="2"/>
  <c r="C286" i="2"/>
  <c r="C287" i="2"/>
  <c r="C292" i="2"/>
  <c r="C293" i="2"/>
  <c r="C298" i="2"/>
  <c r="C299" i="2"/>
  <c r="C304" i="2"/>
  <c r="C305" i="2"/>
  <c r="F203" i="2"/>
  <c r="E18" i="2"/>
  <c r="F21" i="2"/>
  <c r="F75" i="2"/>
  <c r="C79" i="2"/>
  <c r="C84" i="2"/>
  <c r="E312" i="2"/>
  <c r="F315" i="2"/>
  <c r="C91" i="2"/>
  <c r="C335" i="2"/>
  <c r="F330" i="2"/>
  <c r="F333" i="2"/>
  <c r="F30" i="3" s="1"/>
  <c r="C782" i="2"/>
  <c r="E1005" i="2"/>
  <c r="F1008" i="2"/>
  <c r="C783" i="2"/>
  <c r="E1004" i="2"/>
  <c r="C1010" i="2"/>
  <c r="C1022" i="2"/>
  <c r="F972" i="2"/>
  <c r="C1078" i="2"/>
  <c r="C1077" i="2"/>
  <c r="C1084" i="2"/>
  <c r="C1083" i="2"/>
  <c r="C1088" i="2"/>
  <c r="C1100" i="2"/>
  <c r="C1101" i="2"/>
  <c r="C1102" i="2"/>
  <c r="C974" i="2"/>
  <c r="F971" i="2"/>
  <c r="H946" i="2"/>
  <c r="H69" i="3" s="1"/>
  <c r="H947" i="2"/>
  <c r="H70" i="3" s="1"/>
  <c r="L946" i="2"/>
  <c r="L69" i="3" s="1"/>
  <c r="L947" i="2"/>
  <c r="L70" i="3" s="1"/>
  <c r="P946" i="2"/>
  <c r="P69" i="3" s="1"/>
  <c r="P947" i="2"/>
  <c r="P70" i="3" s="1"/>
  <c r="T946" i="2"/>
  <c r="T69" i="3" s="1"/>
  <c r="T947" i="2"/>
  <c r="T70" i="3" s="1"/>
  <c r="Y945" i="2"/>
  <c r="Y946" i="2"/>
  <c r="C950" i="2"/>
  <c r="C918" i="2"/>
  <c r="C919" i="2"/>
  <c r="C924" i="2"/>
  <c r="C925" i="2"/>
  <c r="C930" i="2"/>
  <c r="C931" i="2"/>
  <c r="C936" i="2"/>
  <c r="C937" i="2"/>
  <c r="E856" i="2"/>
  <c r="C862" i="2"/>
  <c r="G945" i="2"/>
  <c r="G946" i="2"/>
  <c r="K945" i="2"/>
  <c r="K946" i="2"/>
  <c r="O945" i="2"/>
  <c r="O946" i="2"/>
  <c r="S945" i="2"/>
  <c r="S946" i="2"/>
  <c r="X946" i="2"/>
  <c r="X69" i="3" s="1"/>
  <c r="X947" i="2"/>
  <c r="X70" i="3" s="1"/>
  <c r="C956" i="2"/>
  <c r="C962" i="2"/>
  <c r="C911" i="2"/>
  <c r="E857" i="2"/>
  <c r="C863" i="2"/>
  <c r="C826" i="2"/>
  <c r="C875" i="2"/>
  <c r="C876" i="2"/>
  <c r="C881" i="2"/>
  <c r="C882" i="2"/>
  <c r="C887" i="2"/>
  <c r="C888" i="2"/>
  <c r="C893" i="2"/>
  <c r="C894" i="2"/>
  <c r="C899" i="2"/>
  <c r="C900" i="2"/>
  <c r="C825" i="2"/>
  <c r="F822" i="2"/>
  <c r="F750" i="2"/>
  <c r="C758" i="2"/>
  <c r="C759" i="2"/>
  <c r="C770" i="2"/>
  <c r="C771" i="2"/>
  <c r="F720" i="2"/>
  <c r="E720" i="2" s="1"/>
  <c r="C624" i="2"/>
  <c r="F721" i="2"/>
  <c r="E721" i="2" s="1"/>
  <c r="F622" i="2"/>
  <c r="E588" i="2"/>
  <c r="F591" i="2"/>
  <c r="C538" i="2"/>
  <c r="F535" i="2"/>
  <c r="C539" i="2"/>
  <c r="C544" i="2"/>
  <c r="C545" i="2"/>
  <c r="C550" i="2"/>
  <c r="C551" i="2"/>
  <c r="C556" i="2"/>
  <c r="C557" i="2"/>
  <c r="C562" i="2"/>
  <c r="C563" i="2"/>
  <c r="C568" i="2"/>
  <c r="C569" i="2"/>
  <c r="C574" i="2"/>
  <c r="C575" i="2"/>
  <c r="C580" i="2"/>
  <c r="C581" i="2"/>
  <c r="E494" i="2"/>
  <c r="C500" i="2"/>
  <c r="E464" i="2"/>
  <c r="E495" i="2"/>
  <c r="F498" i="2"/>
  <c r="C471" i="2"/>
  <c r="C476" i="2"/>
  <c r="C477" i="2"/>
  <c r="C403" i="2"/>
  <c r="C404" i="2"/>
  <c r="C421" i="2"/>
  <c r="C422" i="2"/>
  <c r="C427" i="2"/>
  <c r="C428" i="2"/>
  <c r="C432" i="2"/>
  <c r="C434" i="2"/>
  <c r="C445" i="2"/>
  <c r="C446" i="2"/>
  <c r="C450" i="2"/>
  <c r="C451" i="2"/>
  <c r="C456" i="2"/>
  <c r="C457" i="2"/>
  <c r="C127" i="2"/>
  <c r="C128" i="2"/>
  <c r="C133" i="2"/>
  <c r="C134" i="2"/>
  <c r="C139" i="2"/>
  <c r="C140" i="2"/>
  <c r="C145" i="2"/>
  <c r="C146" i="2"/>
  <c r="C151" i="2"/>
  <c r="C152" i="2"/>
  <c r="C157" i="2"/>
  <c r="C158" i="2"/>
  <c r="E16" i="2"/>
  <c r="F19" i="2"/>
  <c r="C23" i="2"/>
  <c r="C89" i="2"/>
  <c r="C95" i="2"/>
  <c r="E310" i="2"/>
  <c r="F313" i="2"/>
  <c r="C238" i="2"/>
  <c r="F235" i="2"/>
  <c r="E233" i="2"/>
  <c r="C244" i="2"/>
  <c r="C245" i="2"/>
  <c r="C250" i="2"/>
  <c r="C251" i="2"/>
  <c r="E202" i="2"/>
  <c r="F205" i="2"/>
  <c r="C225" i="2"/>
  <c r="C226" i="2"/>
  <c r="E163" i="2"/>
  <c r="F166" i="2"/>
  <c r="C170" i="2"/>
  <c r="E165" i="2"/>
  <c r="F168" i="2"/>
  <c r="C108" i="2"/>
  <c r="E103" i="2"/>
  <c r="F106" i="2"/>
  <c r="C110" i="2"/>
  <c r="C115" i="2"/>
  <c r="C116" i="2"/>
  <c r="C121" i="2"/>
  <c r="C122" i="2"/>
  <c r="C41" i="2"/>
  <c r="C46" i="2"/>
  <c r="C48" i="2"/>
  <c r="C53" i="2"/>
  <c r="C58" i="2"/>
  <c r="C64" i="2"/>
  <c r="C814" i="2"/>
  <c r="C812" i="2"/>
  <c r="C808" i="2"/>
  <c r="E778" i="2"/>
  <c r="F781" i="2"/>
  <c r="C801" i="2"/>
  <c r="C800" i="2"/>
  <c r="F1009" i="2"/>
  <c r="C1018" i="2"/>
  <c r="C1042" i="2"/>
  <c r="C1041" i="2"/>
  <c r="C1048" i="2"/>
  <c r="C1047" i="2"/>
  <c r="C1054" i="2"/>
  <c r="C1053" i="2"/>
  <c r="C1060" i="2"/>
  <c r="C1059" i="2"/>
  <c r="C1066" i="2"/>
  <c r="C1065" i="2"/>
  <c r="C1072" i="2"/>
  <c r="C1071" i="2"/>
  <c r="C1090" i="2"/>
  <c r="E967" i="2"/>
  <c r="F970" i="2"/>
  <c r="E952" i="2"/>
  <c r="E953" i="2"/>
  <c r="E951" i="2"/>
  <c r="F909" i="2"/>
  <c r="F861" i="2"/>
  <c r="I947" i="2"/>
  <c r="M947" i="2"/>
  <c r="Q947" i="2"/>
  <c r="U947" i="2"/>
  <c r="E943" i="2"/>
  <c r="F910" i="2"/>
  <c r="C869" i="2"/>
  <c r="C870" i="2"/>
  <c r="E821" i="2"/>
  <c r="F748" i="2"/>
  <c r="E746" i="2"/>
  <c r="F749" i="2"/>
  <c r="C630" i="2"/>
  <c r="C631" i="2"/>
  <c r="C636" i="2"/>
  <c r="C637" i="2"/>
  <c r="C642" i="2"/>
  <c r="C643" i="2"/>
  <c r="C648" i="2"/>
  <c r="C649" i="2"/>
  <c r="C654" i="2"/>
  <c r="C655" i="2"/>
  <c r="C659" i="2"/>
  <c r="C660" i="2"/>
  <c r="C661" i="2"/>
  <c r="C666" i="2"/>
  <c r="C667" i="2"/>
  <c r="C671" i="2"/>
  <c r="C672" i="2"/>
  <c r="C673" i="2"/>
  <c r="C678" i="2"/>
  <c r="C679" i="2"/>
  <c r="C683" i="2"/>
  <c r="C684" i="2"/>
  <c r="C685" i="2"/>
  <c r="C690" i="2"/>
  <c r="C691" i="2"/>
  <c r="C695" i="2"/>
  <c r="C696" i="2"/>
  <c r="C697" i="2"/>
  <c r="C702" i="2"/>
  <c r="C703" i="2"/>
  <c r="C707" i="2"/>
  <c r="C708" i="2"/>
  <c r="C709" i="2"/>
  <c r="C714" i="2"/>
  <c r="C715" i="2"/>
  <c r="E586" i="2"/>
  <c r="F620" i="2"/>
  <c r="E587" i="2"/>
  <c r="C593" i="2"/>
  <c r="C488" i="2"/>
  <c r="C489" i="2"/>
  <c r="F345" i="2"/>
  <c r="F347" i="2"/>
  <c r="C508" i="2"/>
  <c r="C512" i="2"/>
  <c r="F466" i="2"/>
  <c r="C379" i="2"/>
  <c r="C380" i="2"/>
  <c r="C385" i="2"/>
  <c r="C386" i="2"/>
  <c r="C391" i="2"/>
  <c r="C392" i="2"/>
  <c r="C397" i="2"/>
  <c r="C398" i="2"/>
  <c r="C409" i="2"/>
  <c r="C410" i="2"/>
  <c r="C415" i="2"/>
  <c r="C416" i="2"/>
  <c r="C439" i="2"/>
  <c r="C440" i="2"/>
  <c r="F314" i="2"/>
  <c r="C206" i="2"/>
  <c r="E201" i="2"/>
  <c r="F204" i="2"/>
  <c r="C29" i="2"/>
  <c r="C30" i="2"/>
  <c r="C35" i="2"/>
  <c r="C36" i="2"/>
  <c r="E71" i="2"/>
  <c r="F74" i="2"/>
  <c r="C78" i="2"/>
  <c r="E73" i="2"/>
  <c r="F76" i="2"/>
  <c r="C85" i="2"/>
  <c r="C318" i="2"/>
  <c r="C65" i="2"/>
  <c r="C42" i="2"/>
  <c r="C54" i="2"/>
  <c r="C60" i="2"/>
  <c r="F329" i="2"/>
  <c r="F332" i="2"/>
  <c r="F29" i="3" s="1"/>
  <c r="C336" i="2"/>
  <c r="C788" i="2"/>
  <c r="E776" i="2"/>
  <c r="F779" i="2"/>
  <c r="C1011" i="2"/>
  <c r="C789" i="2"/>
  <c r="E777" i="2"/>
  <c r="F780" i="2"/>
  <c r="F1007" i="2"/>
  <c r="C1017" i="2"/>
  <c r="C1024" i="2"/>
  <c r="C1036" i="2"/>
  <c r="C1035" i="2"/>
  <c r="C1040" i="2"/>
  <c r="C1029" i="2"/>
  <c r="C1030" i="2"/>
  <c r="E969" i="2"/>
  <c r="C975" i="2"/>
  <c r="E968" i="2"/>
  <c r="H945" i="2"/>
  <c r="H68" i="3" s="1"/>
  <c r="L945" i="2"/>
  <c r="L68" i="3" s="1"/>
  <c r="P945" i="2"/>
  <c r="P68" i="3" s="1"/>
  <c r="T945" i="2"/>
  <c r="T68" i="3" s="1"/>
  <c r="Y947" i="2"/>
  <c r="E944" i="2"/>
  <c r="F859" i="2"/>
  <c r="E858" i="2"/>
  <c r="C980" i="2"/>
  <c r="C986" i="2"/>
  <c r="C987" i="2"/>
  <c r="G947" i="2"/>
  <c r="K947" i="2"/>
  <c r="O947" i="2"/>
  <c r="S947" i="2"/>
  <c r="X945" i="2"/>
  <c r="X68" i="3" s="1"/>
  <c r="E959" i="2"/>
  <c r="E957" i="2"/>
  <c r="C954" i="2"/>
  <c r="C955" i="2"/>
  <c r="E964" i="2"/>
  <c r="E965" i="2"/>
  <c r="E963" i="2"/>
  <c r="C960" i="2"/>
  <c r="C961" i="2"/>
  <c r="E905" i="2"/>
  <c r="F908" i="2"/>
  <c r="F860" i="2"/>
  <c r="E820" i="2"/>
  <c r="F823" i="2"/>
  <c r="E819" i="2"/>
  <c r="E747" i="2"/>
  <c r="C753" i="2"/>
  <c r="C726" i="2"/>
  <c r="E618" i="2"/>
  <c r="F621" i="2"/>
  <c r="C727" i="2"/>
  <c r="E619" i="2"/>
  <c r="C625" i="2"/>
  <c r="C594" i="2"/>
  <c r="C599" i="2"/>
  <c r="C600" i="2"/>
  <c r="C605" i="2"/>
  <c r="C606" i="2"/>
  <c r="C611" i="2"/>
  <c r="C612" i="2"/>
  <c r="E531" i="2"/>
  <c r="F534" i="2"/>
  <c r="E532" i="2"/>
  <c r="E533" i="2"/>
  <c r="F536" i="2"/>
  <c r="F497" i="2"/>
  <c r="F467" i="2"/>
  <c r="C470" i="2"/>
  <c r="C501" i="2"/>
  <c r="E465" i="2"/>
  <c r="F468" i="2"/>
  <c r="C22" i="2"/>
  <c r="E17" i="2"/>
  <c r="F20" i="2"/>
  <c r="C316" i="2"/>
  <c r="C323" i="2"/>
  <c r="C324" i="2"/>
  <c r="E231" i="2"/>
  <c r="F234" i="2"/>
  <c r="E232" i="2"/>
  <c r="C239" i="2"/>
  <c r="F236" i="2"/>
  <c r="C208" i="2"/>
  <c r="C213" i="2"/>
  <c r="C214" i="2"/>
  <c r="C219" i="2"/>
  <c r="C220" i="2"/>
  <c r="E164" i="2"/>
  <c r="F167" i="2"/>
  <c r="C171" i="2"/>
  <c r="C176" i="2"/>
  <c r="C177" i="2"/>
  <c r="C182" i="2"/>
  <c r="C183" i="2"/>
  <c r="C188" i="2"/>
  <c r="C189" i="2"/>
  <c r="C194" i="2"/>
  <c r="C195" i="2"/>
  <c r="E102" i="2"/>
  <c r="F105" i="2"/>
  <c r="E104" i="2"/>
  <c r="F107" i="2"/>
  <c r="C97" i="2"/>
  <c r="F5" i="2"/>
  <c r="F8" i="2"/>
  <c r="F7" i="2"/>
  <c r="F4" i="2"/>
  <c r="F6" i="2"/>
  <c r="F3" i="2"/>
  <c r="C9" i="2"/>
  <c r="C11" i="2"/>
  <c r="C10" i="2"/>
  <c r="C905" i="2" l="1"/>
  <c r="C56" i="2"/>
  <c r="F11" i="7" s="1"/>
  <c r="C130" i="2"/>
  <c r="F23" i="7" s="1"/>
  <c r="C364" i="2"/>
  <c r="F61" i="7" s="1"/>
  <c r="C836" i="2"/>
  <c r="C351" i="2"/>
  <c r="G59" i="7" s="1"/>
  <c r="C358" i="2"/>
  <c r="F60" i="7" s="1"/>
  <c r="C353" i="2"/>
  <c r="C357" i="2"/>
  <c r="G60" i="7" s="1"/>
  <c r="E346" i="2"/>
  <c r="C352" i="2"/>
  <c r="F59" i="7" s="1"/>
  <c r="C359" i="2"/>
  <c r="C343" i="2"/>
  <c r="C344" i="2"/>
  <c r="C342" i="2"/>
  <c r="C1091" i="2"/>
  <c r="G180" i="7" s="1"/>
  <c r="C927" i="2"/>
  <c r="F153" i="7" s="1"/>
  <c r="C897" i="2"/>
  <c r="C774" i="2"/>
  <c r="C747" i="2"/>
  <c r="C503" i="2"/>
  <c r="G84" i="7" s="1"/>
  <c r="C265" i="2"/>
  <c r="F45" i="7" s="1"/>
  <c r="C229" i="2"/>
  <c r="C154" i="2"/>
  <c r="F27" i="7" s="1"/>
  <c r="C142" i="2"/>
  <c r="F25" i="7" s="1"/>
  <c r="C86" i="2"/>
  <c r="G16" i="7" s="1"/>
  <c r="C289" i="2"/>
  <c r="F49" i="7" s="1"/>
  <c r="C448" i="2"/>
  <c r="F75" i="7" s="1"/>
  <c r="C601" i="2"/>
  <c r="G100" i="7" s="1"/>
  <c r="C903" i="2"/>
  <c r="C891" i="2"/>
  <c r="C879" i="2"/>
  <c r="C933" i="2"/>
  <c r="F154" i="7" s="1"/>
  <c r="C1105" i="2"/>
  <c r="C1032" i="2"/>
  <c r="F170" i="7" s="1"/>
  <c r="C1025" i="2"/>
  <c r="G169" i="7" s="1"/>
  <c r="C173" i="2"/>
  <c r="F30" i="7" s="1"/>
  <c r="C419" i="2"/>
  <c r="C389" i="2"/>
  <c r="C522" i="2"/>
  <c r="F87" i="7" s="1"/>
  <c r="C516" i="2"/>
  <c r="F86" i="7" s="1"/>
  <c r="C370" i="2"/>
  <c r="F62" i="7" s="1"/>
  <c r="C700" i="2"/>
  <c r="C848" i="2"/>
  <c r="C914" i="2"/>
  <c r="G151" i="7" s="1"/>
  <c r="C1001" i="2"/>
  <c r="F165" i="7" s="1"/>
  <c r="C1110" i="2"/>
  <c r="F183" i="7" s="1"/>
  <c r="C1098" i="2"/>
  <c r="F181" i="7" s="1"/>
  <c r="C1043" i="2"/>
  <c r="G172" i="7" s="1"/>
  <c r="C803" i="2"/>
  <c r="G133" i="7" s="1"/>
  <c r="C797" i="2"/>
  <c r="G132" i="7" s="1"/>
  <c r="C565" i="2"/>
  <c r="F94" i="7" s="1"/>
  <c r="C547" i="2"/>
  <c r="F91" i="7" s="1"/>
  <c r="C921" i="2"/>
  <c r="F152" i="7" s="1"/>
  <c r="C1080" i="2"/>
  <c r="F178" i="7" s="1"/>
  <c r="C664" i="2"/>
  <c r="C253" i="2"/>
  <c r="F43" i="7" s="1"/>
  <c r="C431" i="2"/>
  <c r="C743" i="2"/>
  <c r="C454" i="2"/>
  <c r="F76" i="7" s="1"/>
  <c r="C425" i="2"/>
  <c r="C486" i="2"/>
  <c r="C737" i="2"/>
  <c r="C686" i="2"/>
  <c r="G114" i="7" s="1"/>
  <c r="C125" i="2"/>
  <c r="C656" i="2"/>
  <c r="G109" i="7" s="1"/>
  <c r="C577" i="2"/>
  <c r="F96" i="7" s="1"/>
  <c r="C762" i="2"/>
  <c r="C676" i="2"/>
  <c r="C553" i="2"/>
  <c r="F92" i="7" s="1"/>
  <c r="C816" i="2"/>
  <c r="F135" i="7" s="1"/>
  <c r="C885" i="2"/>
  <c r="C939" i="2"/>
  <c r="F155" i="7" s="1"/>
  <c r="C1045" i="2"/>
  <c r="C995" i="2"/>
  <c r="F164" i="7" s="1"/>
  <c r="C407" i="2"/>
  <c r="C614" i="2"/>
  <c r="F102" i="7" s="1"/>
  <c r="C528" i="2"/>
  <c r="F88" i="7" s="1"/>
  <c r="C376" i="2"/>
  <c r="F63" i="7" s="1"/>
  <c r="C920" i="2"/>
  <c r="G152" i="7" s="1"/>
  <c r="C480" i="2"/>
  <c r="C640" i="2"/>
  <c r="E6" i="3"/>
  <c r="C7" i="2"/>
  <c r="F3" i="7" s="1"/>
  <c r="C509" i="2"/>
  <c r="G85" i="7" s="1"/>
  <c r="C652" i="2"/>
  <c r="E5" i="3"/>
  <c r="C6" i="2"/>
  <c r="G3" i="7" s="1"/>
  <c r="E7" i="3"/>
  <c r="C8" i="2"/>
  <c r="E19" i="2"/>
  <c r="C852" i="2"/>
  <c r="G141" i="7" s="1"/>
  <c r="C809" i="2"/>
  <c r="G134" i="7" s="1"/>
  <c r="C1069" i="2"/>
  <c r="C1086" i="2"/>
  <c r="F179" i="7" s="1"/>
  <c r="C767" i="2"/>
  <c r="F127" i="7" s="1"/>
  <c r="C583" i="2"/>
  <c r="F97" i="7" s="1"/>
  <c r="C571" i="2"/>
  <c r="F95" i="7" s="1"/>
  <c r="C559" i="2"/>
  <c r="F93" i="7" s="1"/>
  <c r="C492" i="2"/>
  <c r="C842" i="2"/>
  <c r="C854" i="2"/>
  <c r="C688" i="2"/>
  <c r="C67" i="2"/>
  <c r="G13" i="7" s="1"/>
  <c r="C49" i="2"/>
  <c r="G10" i="7" s="1"/>
  <c r="C191" i="2"/>
  <c r="F33" i="7" s="1"/>
  <c r="C179" i="2"/>
  <c r="F31" i="7" s="1"/>
  <c r="C222" i="2"/>
  <c r="F38" i="7" s="1"/>
  <c r="C247" i="2"/>
  <c r="F42" i="7" s="1"/>
  <c r="C100" i="2"/>
  <c r="C160" i="2"/>
  <c r="F28" i="7" s="1"/>
  <c r="C148" i="2"/>
  <c r="F26" i="7" s="1"/>
  <c r="C136" i="2"/>
  <c r="F24" i="7" s="1"/>
  <c r="C307" i="2"/>
  <c r="F52" i="7" s="1"/>
  <c r="C295" i="2"/>
  <c r="F50" i="7" s="1"/>
  <c r="C283" i="2"/>
  <c r="F48" i="7" s="1"/>
  <c r="C271" i="2"/>
  <c r="F46" i="7" s="1"/>
  <c r="C259" i="2"/>
  <c r="F44" i="7" s="1"/>
  <c r="C461" i="2"/>
  <c r="C449" i="2"/>
  <c r="C435" i="2"/>
  <c r="G73" i="7" s="1"/>
  <c r="C603" i="2"/>
  <c r="C896" i="2"/>
  <c r="F148" i="7" s="1"/>
  <c r="C884" i="2"/>
  <c r="F146" i="7" s="1"/>
  <c r="C990" i="2"/>
  <c r="C940" i="2"/>
  <c r="C932" i="2"/>
  <c r="G154" i="7" s="1"/>
  <c r="C1039" i="2"/>
  <c r="C1027" i="2"/>
  <c r="C401" i="2"/>
  <c r="C387" i="2"/>
  <c r="G65" i="7" s="1"/>
  <c r="C523" i="2"/>
  <c r="C517" i="2"/>
  <c r="C369" i="2"/>
  <c r="G62" i="7" s="1"/>
  <c r="C766" i="2"/>
  <c r="G127" i="7" s="1"/>
  <c r="C710" i="2"/>
  <c r="G118" i="7" s="1"/>
  <c r="C681" i="2"/>
  <c r="F113" i="7" s="1"/>
  <c r="C657" i="2"/>
  <c r="F109" i="7" s="1"/>
  <c r="C632" i="2"/>
  <c r="G105" i="7" s="1"/>
  <c r="C846" i="2"/>
  <c r="G140" i="7" s="1"/>
  <c r="C1000" i="2"/>
  <c r="G165" i="7" s="1"/>
  <c r="C1111" i="2"/>
  <c r="C1093" i="2"/>
  <c r="C1049" i="2"/>
  <c r="G173" i="7" s="1"/>
  <c r="C804" i="2"/>
  <c r="F133" i="7" s="1"/>
  <c r="C815" i="2"/>
  <c r="G135" i="7" s="1"/>
  <c r="C994" i="2"/>
  <c r="G164" i="7" s="1"/>
  <c r="C1068" i="2"/>
  <c r="F176" i="7" s="1"/>
  <c r="C1056" i="2"/>
  <c r="F174" i="7" s="1"/>
  <c r="C326" i="2"/>
  <c r="F55" i="7" s="1"/>
  <c r="C453" i="2"/>
  <c r="G76" i="7" s="1"/>
  <c r="C430" i="2"/>
  <c r="F72" i="7" s="1"/>
  <c r="C406" i="2"/>
  <c r="F68" i="7" s="1"/>
  <c r="C479" i="2"/>
  <c r="F80" i="7" s="1"/>
  <c r="C584" i="2"/>
  <c r="C572" i="2"/>
  <c r="C560" i="2"/>
  <c r="C548" i="2"/>
  <c r="C615" i="2"/>
  <c r="C607" i="2"/>
  <c r="G101" i="7" s="1"/>
  <c r="C773" i="2"/>
  <c r="F128" i="7" s="1"/>
  <c r="C829" i="2"/>
  <c r="F137" i="7" s="1"/>
  <c r="C984" i="2"/>
  <c r="C926" i="2"/>
  <c r="G153" i="7" s="1"/>
  <c r="C922" i="2"/>
  <c r="C1087" i="2"/>
  <c r="C1079" i="2"/>
  <c r="G178" i="7" s="1"/>
  <c r="C1019" i="2"/>
  <c r="G168" i="7" s="1"/>
  <c r="C442" i="2"/>
  <c r="F74" i="7" s="1"/>
  <c r="C413" i="2"/>
  <c r="C394" i="2"/>
  <c r="F66" i="7" s="1"/>
  <c r="C382" i="2"/>
  <c r="F64" i="7" s="1"/>
  <c r="C527" i="2"/>
  <c r="G88" i="7" s="1"/>
  <c r="C510" i="2"/>
  <c r="F85" i="7" s="1"/>
  <c r="C375" i="2"/>
  <c r="G63" i="7" s="1"/>
  <c r="C363" i="2"/>
  <c r="G61" i="7" s="1"/>
  <c r="C491" i="2"/>
  <c r="F82" i="7" s="1"/>
  <c r="C484" i="2"/>
  <c r="G81" i="7" s="1"/>
  <c r="C717" i="2"/>
  <c r="F119" i="7" s="1"/>
  <c r="C687" i="2"/>
  <c r="F114" i="7" s="1"/>
  <c r="C674" i="2"/>
  <c r="G112" i="7" s="1"/>
  <c r="C650" i="2"/>
  <c r="G108" i="7" s="1"/>
  <c r="C663" i="2"/>
  <c r="F110" i="7" s="1"/>
  <c r="C853" i="2"/>
  <c r="F141" i="7" s="1"/>
  <c r="H141" i="7" s="1"/>
  <c r="I141" i="7" s="1"/>
  <c r="C811" i="2"/>
  <c r="C301" i="2"/>
  <c r="F51" i="7" s="1"/>
  <c r="C277" i="2"/>
  <c r="F47" i="7" s="1"/>
  <c r="C515" i="2"/>
  <c r="G86" i="7" s="1"/>
  <c r="C840" i="2"/>
  <c r="G139" i="7" s="1"/>
  <c r="C119" i="2"/>
  <c r="C602" i="2"/>
  <c r="F100" i="7" s="1"/>
  <c r="H100" i="7" s="1"/>
  <c r="I100" i="7" s="1"/>
  <c r="C1026" i="2"/>
  <c r="F169" i="7" s="1"/>
  <c r="H169" i="7" s="1"/>
  <c r="I169" i="7" s="1"/>
  <c r="C17" i="2"/>
  <c r="C712" i="2"/>
  <c r="C1057" i="2"/>
  <c r="C393" i="2"/>
  <c r="G66" i="7" s="1"/>
  <c r="C411" i="2"/>
  <c r="G69" i="7" s="1"/>
  <c r="C902" i="2"/>
  <c r="F149" i="7" s="1"/>
  <c r="C890" i="2"/>
  <c r="F147" i="7" s="1"/>
  <c r="C878" i="2"/>
  <c r="F145" i="7" s="1"/>
  <c r="C934" i="2"/>
  <c r="C1103" i="2"/>
  <c r="G182" i="7" s="1"/>
  <c r="C742" i="2"/>
  <c r="F123" i="7" s="1"/>
  <c r="C682" i="2"/>
  <c r="C658" i="2"/>
  <c r="C634" i="2"/>
  <c r="C847" i="2"/>
  <c r="F140" i="7" s="1"/>
  <c r="C873" i="2"/>
  <c r="C1002" i="2"/>
  <c r="C1099" i="2"/>
  <c r="C1050" i="2"/>
  <c r="F173" i="7" s="1"/>
  <c r="C817" i="2"/>
  <c r="C798" i="2"/>
  <c r="F132" i="7" s="1"/>
  <c r="H132" i="7" s="1"/>
  <c r="I132" i="7" s="1"/>
  <c r="C455" i="2"/>
  <c r="C424" i="2"/>
  <c r="F71" i="7" s="1"/>
  <c r="C578" i="2"/>
  <c r="C566" i="2"/>
  <c r="C554" i="2"/>
  <c r="C542" i="2"/>
  <c r="C383" i="2"/>
  <c r="C706" i="2"/>
  <c r="C810" i="2"/>
  <c r="F134" i="7" s="1"/>
  <c r="C61" i="2"/>
  <c r="G12" i="7" s="1"/>
  <c r="C44" i="2"/>
  <c r="F9" i="7" s="1"/>
  <c r="C68" i="2"/>
  <c r="F13" i="7" s="1"/>
  <c r="C51" i="2"/>
  <c r="C38" i="2"/>
  <c r="F8" i="7" s="1"/>
  <c r="C124" i="2"/>
  <c r="F22" i="7" s="1"/>
  <c r="C118" i="2"/>
  <c r="F21" i="7" s="1"/>
  <c r="C197" i="2"/>
  <c r="F34" i="7" s="1"/>
  <c r="C185" i="2"/>
  <c r="F32" i="7" s="1"/>
  <c r="C228" i="2"/>
  <c r="F39" i="7" s="1"/>
  <c r="C216" i="2"/>
  <c r="F37" i="7" s="1"/>
  <c r="C254" i="2"/>
  <c r="C248" i="2"/>
  <c r="C98" i="2"/>
  <c r="G18" i="7" s="1"/>
  <c r="C94" i="2"/>
  <c r="C161" i="2"/>
  <c r="C155" i="2"/>
  <c r="C149" i="2"/>
  <c r="C143" i="2"/>
  <c r="C137" i="2"/>
  <c r="C131" i="2"/>
  <c r="C308" i="2"/>
  <c r="C302" i="2"/>
  <c r="C296" i="2"/>
  <c r="C290" i="2"/>
  <c r="C282" i="2"/>
  <c r="G48" i="7" s="1"/>
  <c r="C278" i="2"/>
  <c r="C272" i="2"/>
  <c r="C266" i="2"/>
  <c r="C258" i="2"/>
  <c r="G44" i="7" s="1"/>
  <c r="C260" i="2"/>
  <c r="C699" i="2"/>
  <c r="F116" i="7" s="1"/>
  <c r="C871" i="2"/>
  <c r="G144" i="7" s="1"/>
  <c r="C872" i="2"/>
  <c r="F144" i="7" s="1"/>
  <c r="C1073" i="2"/>
  <c r="G177" i="7" s="1"/>
  <c r="C1074" i="2"/>
  <c r="F177" i="7" s="1"/>
  <c r="C988" i="2"/>
  <c r="G163" i="7" s="1"/>
  <c r="C989" i="2"/>
  <c r="F163" i="7" s="1"/>
  <c r="C1033" i="2"/>
  <c r="C791" i="2"/>
  <c r="G131" i="7" s="1"/>
  <c r="C792" i="2"/>
  <c r="F131" i="7" s="1"/>
  <c r="C793" i="2"/>
  <c r="C417" i="2"/>
  <c r="G70" i="7" s="1"/>
  <c r="C418" i="2"/>
  <c r="F70" i="7" s="1"/>
  <c r="C399" i="2"/>
  <c r="G67" i="7" s="1"/>
  <c r="C400" i="2"/>
  <c r="F67" i="7" s="1"/>
  <c r="C388" i="2"/>
  <c r="F65" i="7" s="1"/>
  <c r="H65" i="7" s="1"/>
  <c r="I65" i="7" s="1"/>
  <c r="C711" i="2"/>
  <c r="F118" i="7" s="1"/>
  <c r="H118" i="7" s="1"/>
  <c r="I118" i="7" s="1"/>
  <c r="C692" i="2"/>
  <c r="G115" i="7" s="1"/>
  <c r="C693" i="2"/>
  <c r="F115" i="7" s="1"/>
  <c r="C668" i="2"/>
  <c r="G111" i="7" s="1"/>
  <c r="C669" i="2"/>
  <c r="F111" i="7" s="1"/>
  <c r="C644" i="2"/>
  <c r="G107" i="7" s="1"/>
  <c r="C645" i="2"/>
  <c r="F107" i="7" s="1"/>
  <c r="C1061" i="2"/>
  <c r="G175" i="7" s="1"/>
  <c r="C1062" i="2"/>
  <c r="F175" i="7" s="1"/>
  <c r="C609" i="2"/>
  <c r="C1020" i="2"/>
  <c r="F168" i="7" s="1"/>
  <c r="H168" i="7" s="1"/>
  <c r="I168" i="7" s="1"/>
  <c r="C412" i="2"/>
  <c r="F69" i="7" s="1"/>
  <c r="H69" i="7" s="1"/>
  <c r="I69" i="7" s="1"/>
  <c r="C511" i="2"/>
  <c r="C704" i="2"/>
  <c r="G117" i="7" s="1"/>
  <c r="C705" i="2"/>
  <c r="F117" i="7" s="1"/>
  <c r="C675" i="2"/>
  <c r="F112" i="7" s="1"/>
  <c r="H112" i="7" s="1"/>
  <c r="I112" i="7" s="1"/>
  <c r="C651" i="2"/>
  <c r="F108" i="7" s="1"/>
  <c r="H108" i="7" s="1"/>
  <c r="I108" i="7" s="1"/>
  <c r="C638" i="2"/>
  <c r="G106" i="7" s="1"/>
  <c r="C639" i="2"/>
  <c r="F106" i="7" s="1"/>
  <c r="C460" i="2"/>
  <c r="F77" i="7" s="1"/>
  <c r="C437" i="2"/>
  <c r="C928" i="2"/>
  <c r="C1104" i="2"/>
  <c r="F182" i="7" s="1"/>
  <c r="H182" i="7" s="1"/>
  <c r="I182" i="7" s="1"/>
  <c r="C1081" i="2"/>
  <c r="C284" i="2"/>
  <c r="C529" i="2"/>
  <c r="C377" i="2"/>
  <c r="C371" i="2"/>
  <c r="C365" i="2"/>
  <c r="C768" i="2"/>
  <c r="C841" i="2"/>
  <c r="F139" i="7" s="1"/>
  <c r="C996" i="2"/>
  <c r="C327" i="2"/>
  <c r="C436" i="2"/>
  <c r="F73" i="7" s="1"/>
  <c r="H73" i="7" s="1"/>
  <c r="I73" i="7" s="1"/>
  <c r="C608" i="2"/>
  <c r="F101" i="7" s="1"/>
  <c r="H101" i="7" s="1"/>
  <c r="I101" i="7" s="1"/>
  <c r="C1038" i="2"/>
  <c r="F171" i="7" s="1"/>
  <c r="C443" i="2"/>
  <c r="C395" i="2"/>
  <c r="C718" i="2"/>
  <c r="C694" i="2"/>
  <c r="C670" i="2"/>
  <c r="C646" i="2"/>
  <c r="C1075" i="2"/>
  <c r="C1063" i="2"/>
  <c r="C1051" i="2"/>
  <c r="C441" i="2"/>
  <c r="G74" i="7" s="1"/>
  <c r="C680" i="2"/>
  <c r="G113" i="7" s="1"/>
  <c r="C1067" i="2"/>
  <c r="G176" i="7" s="1"/>
  <c r="C381" i="2"/>
  <c r="G64" i="7" s="1"/>
  <c r="C805" i="2"/>
  <c r="C716" i="2"/>
  <c r="G119" i="7" s="1"/>
  <c r="C1055" i="2"/>
  <c r="G174" i="7" s="1"/>
  <c r="C325" i="2"/>
  <c r="G55" i="7" s="1"/>
  <c r="C662" i="2"/>
  <c r="G110" i="7" s="1"/>
  <c r="C459" i="2"/>
  <c r="G77" i="7" s="1"/>
  <c r="E499" i="2"/>
  <c r="E466" i="2"/>
  <c r="E467" i="2"/>
  <c r="E723" i="2"/>
  <c r="E724" i="2"/>
  <c r="C938" i="2"/>
  <c r="G155" i="7" s="1"/>
  <c r="C1031" i="2"/>
  <c r="G170" i="7" s="1"/>
  <c r="C1037" i="2"/>
  <c r="G171" i="7" s="1"/>
  <c r="E779" i="2"/>
  <c r="E780" i="2"/>
  <c r="C1092" i="2"/>
  <c r="F180" i="7" s="1"/>
  <c r="H180" i="7" s="1"/>
  <c r="I180" i="7" s="1"/>
  <c r="C1044" i="2"/>
  <c r="F172" i="7" s="1"/>
  <c r="C478" i="2"/>
  <c r="G80" i="7" s="1"/>
  <c r="C582" i="2"/>
  <c r="G97" i="7" s="1"/>
  <c r="C32" i="2"/>
  <c r="F7" i="7" s="1"/>
  <c r="C57" i="2"/>
  <c r="C92" i="2"/>
  <c r="G17" i="7" s="1"/>
  <c r="C87" i="2"/>
  <c r="F16" i="7" s="1"/>
  <c r="H16" i="7" s="1"/>
  <c r="I16" i="7" s="1"/>
  <c r="C300" i="2"/>
  <c r="G51" i="7" s="1"/>
  <c r="C276" i="2"/>
  <c r="G47" i="7" s="1"/>
  <c r="C799" i="2"/>
  <c r="C485" i="2"/>
  <c r="F81" i="7" s="1"/>
  <c r="H81" i="7" s="1"/>
  <c r="I81" i="7" s="1"/>
  <c r="C619" i="2"/>
  <c r="C63" i="2"/>
  <c r="C45" i="2"/>
  <c r="C31" i="2"/>
  <c r="G7" i="7" s="1"/>
  <c r="C69" i="2"/>
  <c r="C37" i="2"/>
  <c r="G8" i="7" s="1"/>
  <c r="C198" i="2"/>
  <c r="C186" i="2"/>
  <c r="C99" i="2"/>
  <c r="F18" i="7" s="1"/>
  <c r="C153" i="2"/>
  <c r="G27" i="7" s="1"/>
  <c r="H27" i="7" s="1"/>
  <c r="I27" i="7" s="1"/>
  <c r="E497" i="2"/>
  <c r="E498" i="2"/>
  <c r="E468" i="2"/>
  <c r="E725" i="2"/>
  <c r="E781" i="2"/>
  <c r="C576" i="2"/>
  <c r="G96" i="7" s="1"/>
  <c r="C570" i="2"/>
  <c r="G95" i="7" s="1"/>
  <c r="C93" i="2"/>
  <c r="F17" i="7" s="1"/>
  <c r="C564" i="2"/>
  <c r="G94" i="7" s="1"/>
  <c r="C558" i="2"/>
  <c r="G93" i="7" s="1"/>
  <c r="C546" i="2"/>
  <c r="G91" i="7" s="1"/>
  <c r="C613" i="2"/>
  <c r="G102" i="7" s="1"/>
  <c r="C741" i="2"/>
  <c r="G123" i="7" s="1"/>
  <c r="C217" i="2"/>
  <c r="C294" i="2"/>
  <c r="G50" i="7" s="1"/>
  <c r="C270" i="2"/>
  <c r="G46" i="7" s="1"/>
  <c r="C447" i="2"/>
  <c r="G75" i="7" s="1"/>
  <c r="C423" i="2"/>
  <c r="G71" i="7" s="1"/>
  <c r="E971" i="2"/>
  <c r="E972" i="2"/>
  <c r="E345" i="2"/>
  <c r="E748" i="2"/>
  <c r="E749" i="2"/>
  <c r="E909" i="2"/>
  <c r="E910" i="2"/>
  <c r="C552" i="2"/>
  <c r="G92" i="7" s="1"/>
  <c r="E534" i="2"/>
  <c r="E622" i="2"/>
  <c r="E822" i="2"/>
  <c r="E823" i="2"/>
  <c r="E861" i="2"/>
  <c r="E1008" i="2"/>
  <c r="E1009" i="2"/>
  <c r="E590" i="2"/>
  <c r="E591" i="2"/>
  <c r="C39" i="2"/>
  <c r="C192" i="2"/>
  <c r="C180" i="2"/>
  <c r="C88" i="2"/>
  <c r="C306" i="2"/>
  <c r="G52" i="7" s="1"/>
  <c r="C264" i="2"/>
  <c r="G45" i="7" s="1"/>
  <c r="C901" i="2"/>
  <c r="G149" i="7" s="1"/>
  <c r="C895" i="2"/>
  <c r="G148" i="7" s="1"/>
  <c r="C889" i="2"/>
  <c r="G147" i="7" s="1"/>
  <c r="C883" i="2"/>
  <c r="G146" i="7" s="1"/>
  <c r="C877" i="2"/>
  <c r="G145" i="7" s="1"/>
  <c r="E970" i="2"/>
  <c r="C521" i="2"/>
  <c r="G87" i="7" s="1"/>
  <c r="E347" i="2"/>
  <c r="C347" i="2" s="1"/>
  <c r="C698" i="2"/>
  <c r="G116" i="7" s="1"/>
  <c r="E750" i="2"/>
  <c r="E908" i="2"/>
  <c r="C1109" i="2"/>
  <c r="G183" i="7" s="1"/>
  <c r="C1097" i="2"/>
  <c r="G181" i="7" s="1"/>
  <c r="C429" i="2"/>
  <c r="G72" i="7" s="1"/>
  <c r="C405" i="2"/>
  <c r="G68" i="7" s="1"/>
  <c r="E535" i="2"/>
  <c r="E536" i="2"/>
  <c r="E620" i="2"/>
  <c r="E621" i="2"/>
  <c r="C772" i="2"/>
  <c r="G128" i="7" s="1"/>
  <c r="E824" i="2"/>
  <c r="E859" i="2"/>
  <c r="E860" i="2"/>
  <c r="C1085" i="2"/>
  <c r="G179" i="7" s="1"/>
  <c r="E1007" i="2"/>
  <c r="C490" i="2"/>
  <c r="G82" i="7" s="1"/>
  <c r="E589" i="2"/>
  <c r="C465" i="2"/>
  <c r="C1013" i="2"/>
  <c r="G167" i="7" s="1"/>
  <c r="C597" i="2"/>
  <c r="C721" i="2"/>
  <c r="C33" i="2"/>
  <c r="C633" i="2"/>
  <c r="F105" i="7" s="1"/>
  <c r="C1021" i="2"/>
  <c r="C123" i="2"/>
  <c r="G22" i="7" s="1"/>
  <c r="C627" i="2"/>
  <c r="F104" i="7" s="1"/>
  <c r="C227" i="2"/>
  <c r="G39" i="7" s="1"/>
  <c r="C141" i="2"/>
  <c r="G25" i="7" s="1"/>
  <c r="H25" i="7" s="1"/>
  <c r="I25" i="7" s="1"/>
  <c r="C129" i="2"/>
  <c r="G23" i="7" s="1"/>
  <c r="H23" i="7" s="1"/>
  <c r="I23" i="7" s="1"/>
  <c r="C215" i="2"/>
  <c r="G37" i="7" s="1"/>
  <c r="C178" i="2"/>
  <c r="G31" i="7" s="1"/>
  <c r="C196" i="2"/>
  <c r="G34" i="7" s="1"/>
  <c r="C73" i="2"/>
  <c r="C252" i="2"/>
  <c r="G43" i="7" s="1"/>
  <c r="C184" i="2"/>
  <c r="G32" i="7" s="1"/>
  <c r="E105" i="2"/>
  <c r="E106" i="2"/>
  <c r="C190" i="2"/>
  <c r="G33" i="7" s="1"/>
  <c r="E168" i="2"/>
  <c r="C223" i="2"/>
  <c r="C246" i="2"/>
  <c r="G42" i="7" s="1"/>
  <c r="E235" i="2"/>
  <c r="E236" i="2"/>
  <c r="C159" i="2"/>
  <c r="G28" i="7" s="1"/>
  <c r="C147" i="2"/>
  <c r="G26" i="7" s="1"/>
  <c r="C135" i="2"/>
  <c r="G24" i="7" s="1"/>
  <c r="E74" i="2"/>
  <c r="E75" i="2"/>
  <c r="E203" i="2"/>
  <c r="C117" i="2"/>
  <c r="G21" i="7" s="1"/>
  <c r="E107" i="2"/>
  <c r="E166" i="2"/>
  <c r="E167" i="2"/>
  <c r="C221" i="2"/>
  <c r="G38" i="7" s="1"/>
  <c r="E234" i="2"/>
  <c r="E76" i="2"/>
  <c r="E204" i="2"/>
  <c r="E205" i="2"/>
  <c r="C288" i="2"/>
  <c r="G49" i="7" s="1"/>
  <c r="C55" i="2"/>
  <c r="G11" i="7" s="1"/>
  <c r="H11" i="7" s="1"/>
  <c r="I11" i="7" s="1"/>
  <c r="C62" i="2"/>
  <c r="F12" i="7" s="1"/>
  <c r="H12" i="7" s="1"/>
  <c r="I12" i="7" s="1"/>
  <c r="C43" i="2"/>
  <c r="G9" i="7" s="1"/>
  <c r="C50" i="2"/>
  <c r="F10" i="7" s="1"/>
  <c r="H10" i="7" s="1"/>
  <c r="I10" i="7" s="1"/>
  <c r="E20" i="2"/>
  <c r="E21" i="2"/>
  <c r="C164" i="2"/>
  <c r="C26" i="2"/>
  <c r="F6" i="7" s="1"/>
  <c r="C944" i="2"/>
  <c r="C210" i="2"/>
  <c r="F36" i="7" s="1"/>
  <c r="C320" i="2"/>
  <c r="F54" i="7" s="1"/>
  <c r="C731" i="2"/>
  <c r="C835" i="2"/>
  <c r="F138" i="7" s="1"/>
  <c r="C113" i="2"/>
  <c r="C102" i="2"/>
  <c r="C242" i="2"/>
  <c r="C474" i="2"/>
  <c r="C532" i="2"/>
  <c r="C866" i="2"/>
  <c r="F143" i="7" s="1"/>
  <c r="C963" i="2"/>
  <c r="G159" i="7" s="1"/>
  <c r="C968" i="2"/>
  <c r="C786" i="2"/>
  <c r="F130" i="7" s="1"/>
  <c r="C736" i="2"/>
  <c r="F122" i="7" s="1"/>
  <c r="C494" i="2"/>
  <c r="C587" i="2"/>
  <c r="C1005" i="2"/>
  <c r="C777" i="2"/>
  <c r="C231" i="2"/>
  <c r="C858" i="2"/>
  <c r="C82" i="2"/>
  <c r="C976" i="2"/>
  <c r="G161" i="7" s="1"/>
  <c r="C819" i="2"/>
  <c r="C957" i="2"/>
  <c r="G158" i="7" s="1"/>
  <c r="C754" i="2"/>
  <c r="G125" i="7" s="1"/>
  <c r="F14" i="3"/>
  <c r="F18" i="3"/>
  <c r="F23" i="3"/>
  <c r="F36" i="3"/>
  <c r="F43" i="3"/>
  <c r="F41" i="3"/>
  <c r="F48" i="3"/>
  <c r="C618" i="2"/>
  <c r="C760" i="2"/>
  <c r="G126" i="7" s="1"/>
  <c r="F60" i="3"/>
  <c r="C820" i="2"/>
  <c r="F65" i="3"/>
  <c r="C964" i="2"/>
  <c r="F159" i="7" s="1"/>
  <c r="F62" i="3"/>
  <c r="F74" i="3"/>
  <c r="F56" i="3"/>
  <c r="C776" i="2"/>
  <c r="F13" i="3"/>
  <c r="F11" i="3"/>
  <c r="C72" i="2"/>
  <c r="C71" i="2"/>
  <c r="F35" i="3"/>
  <c r="C626" i="2"/>
  <c r="G104" i="7" s="1"/>
  <c r="C586" i="2"/>
  <c r="F54" i="3"/>
  <c r="C746" i="2"/>
  <c r="C821" i="2"/>
  <c r="F67" i="3"/>
  <c r="F64" i="3"/>
  <c r="F66" i="3"/>
  <c r="E945" i="2"/>
  <c r="E946" i="2"/>
  <c r="F71" i="3"/>
  <c r="C1015" i="2"/>
  <c r="F58" i="3"/>
  <c r="C778" i="2"/>
  <c r="C112" i="2"/>
  <c r="F20" i="7" s="1"/>
  <c r="C174" i="2"/>
  <c r="C172" i="2"/>
  <c r="G30" i="7" s="1"/>
  <c r="C211" i="2"/>
  <c r="C233" i="2"/>
  <c r="C241" i="2"/>
  <c r="F41" i="7" s="1"/>
  <c r="F26" i="3"/>
  <c r="C311" i="2"/>
  <c r="C310" i="2"/>
  <c r="F8" i="3"/>
  <c r="C16" i="2"/>
  <c r="C504" i="2"/>
  <c r="F84" i="7" s="1"/>
  <c r="H84" i="7" s="1"/>
  <c r="I84" i="7" s="1"/>
  <c r="C464" i="2"/>
  <c r="F42" i="3"/>
  <c r="F49" i="3"/>
  <c r="F51" i="3"/>
  <c r="C729" i="2"/>
  <c r="G121" i="7" s="1"/>
  <c r="C720" i="2"/>
  <c r="C756" i="2"/>
  <c r="C828" i="2"/>
  <c r="G137" i="7" s="1"/>
  <c r="C857" i="2"/>
  <c r="C982" i="2"/>
  <c r="G162" i="7" s="1"/>
  <c r="C856" i="2"/>
  <c r="C977" i="2"/>
  <c r="F161" i="7" s="1"/>
  <c r="F73" i="3"/>
  <c r="F75" i="3"/>
  <c r="F28" i="3"/>
  <c r="C312" i="2"/>
  <c r="C81" i="2"/>
  <c r="F15" i="7" s="1"/>
  <c r="C27" i="2"/>
  <c r="F20" i="3"/>
  <c r="C463" i="2"/>
  <c r="F33" i="3"/>
  <c r="F40" i="3"/>
  <c r="C496" i="2"/>
  <c r="C596" i="2"/>
  <c r="F99" i="7" s="1"/>
  <c r="F44" i="3"/>
  <c r="C722" i="2"/>
  <c r="C745" i="2"/>
  <c r="C830" i="2"/>
  <c r="C907" i="2"/>
  <c r="C942" i="2"/>
  <c r="C1006" i="2"/>
  <c r="C340" i="2"/>
  <c r="E331" i="2"/>
  <c r="E31" i="3"/>
  <c r="F16" i="3"/>
  <c r="C104" i="2"/>
  <c r="C111" i="2"/>
  <c r="G20" i="7" s="1"/>
  <c r="F25" i="3"/>
  <c r="C232" i="2"/>
  <c r="C240" i="2"/>
  <c r="G41" i="7" s="1"/>
  <c r="F9" i="3"/>
  <c r="F37" i="3"/>
  <c r="C473" i="2"/>
  <c r="F79" i="7" s="1"/>
  <c r="F38" i="3"/>
  <c r="C533" i="2"/>
  <c r="C540" i="2"/>
  <c r="G90" i="7" s="1"/>
  <c r="C531" i="2"/>
  <c r="C761" i="2"/>
  <c r="F126" i="7" s="1"/>
  <c r="F63" i="3"/>
  <c r="C965" i="2"/>
  <c r="C958" i="2"/>
  <c r="F158" i="7" s="1"/>
  <c r="H158" i="7" s="1"/>
  <c r="I158" i="7" s="1"/>
  <c r="C959" i="2"/>
  <c r="C865" i="2"/>
  <c r="G143" i="7" s="1"/>
  <c r="C969" i="2"/>
  <c r="F57" i="3"/>
  <c r="C785" i="2"/>
  <c r="G130" i="7" s="1"/>
  <c r="E329" i="2"/>
  <c r="E332" i="2"/>
  <c r="C334" i="2" s="1"/>
  <c r="C338" i="2"/>
  <c r="G57" i="7" s="1"/>
  <c r="C80" i="2"/>
  <c r="G15" i="7" s="1"/>
  <c r="F21" i="3"/>
  <c r="C201" i="2"/>
  <c r="C200" i="2"/>
  <c r="F27" i="3"/>
  <c r="C472" i="2"/>
  <c r="G79" i="7" s="1"/>
  <c r="F34" i="3"/>
  <c r="F32" i="3"/>
  <c r="F47" i="3"/>
  <c r="C735" i="2"/>
  <c r="G122" i="7" s="1"/>
  <c r="F52" i="3"/>
  <c r="C755" i="2"/>
  <c r="F125" i="7" s="1"/>
  <c r="F53" i="3"/>
  <c r="C834" i="2"/>
  <c r="G138" i="7" s="1"/>
  <c r="C916" i="2"/>
  <c r="C943" i="2"/>
  <c r="C867" i="2"/>
  <c r="C915" i="2"/>
  <c r="F151" i="7" s="1"/>
  <c r="E947" i="2"/>
  <c r="C967" i="2"/>
  <c r="F76" i="3"/>
  <c r="C787" i="2"/>
  <c r="F15" i="3"/>
  <c r="C103" i="2"/>
  <c r="F19" i="3"/>
  <c r="C165" i="2"/>
  <c r="F17" i="3"/>
  <c r="C163" i="2"/>
  <c r="F22" i="3"/>
  <c r="C202" i="2"/>
  <c r="F24" i="3"/>
  <c r="C319" i="2"/>
  <c r="G54" i="7" s="1"/>
  <c r="C25" i="2"/>
  <c r="G6" i="7" s="1"/>
  <c r="F39" i="3"/>
  <c r="C495" i="2"/>
  <c r="C541" i="2"/>
  <c r="F90" i="7" s="1"/>
  <c r="F46" i="3"/>
  <c r="C588" i="2"/>
  <c r="C628" i="2"/>
  <c r="C730" i="2"/>
  <c r="F121" i="7" s="1"/>
  <c r="H121" i="7" s="1"/>
  <c r="I121" i="7" s="1"/>
  <c r="F50" i="3"/>
  <c r="F55" i="3"/>
  <c r="F59" i="3"/>
  <c r="C983" i="2"/>
  <c r="F162" i="7" s="1"/>
  <c r="F72" i="3"/>
  <c r="C978" i="2"/>
  <c r="C1004" i="2"/>
  <c r="C1014" i="2"/>
  <c r="F167" i="7" s="1"/>
  <c r="E30" i="3"/>
  <c r="E330" i="2"/>
  <c r="C330" i="2" s="1"/>
  <c r="C339" i="2"/>
  <c r="F57" i="7" s="1"/>
  <c r="C321" i="2"/>
  <c r="F12" i="3"/>
  <c r="F10" i="3"/>
  <c r="C18" i="2"/>
  <c r="C209" i="2"/>
  <c r="G36" i="7" s="1"/>
  <c r="C505" i="2"/>
  <c r="F45" i="3"/>
  <c r="C617" i="2"/>
  <c r="C595" i="2"/>
  <c r="G99" i="7" s="1"/>
  <c r="F61" i="3"/>
  <c r="C906" i="2"/>
  <c r="F7" i="3"/>
  <c r="CJ4" i="3" s="1"/>
  <c r="CK4" i="3" s="1"/>
  <c r="F6" i="3"/>
  <c r="CG4" i="3" s="1"/>
  <c r="CH4" i="3" s="1"/>
  <c r="F5" i="3"/>
  <c r="CD4" i="3" s="1"/>
  <c r="CE4" i="3" l="1"/>
  <c r="CF4" i="3" s="1"/>
  <c r="AV5" i="3"/>
  <c r="H172" i="7"/>
  <c r="I172" i="7" s="1"/>
  <c r="H18" i="7"/>
  <c r="I18" i="7" s="1"/>
  <c r="H13" i="7"/>
  <c r="I13" i="7" s="1"/>
  <c r="H133" i="7"/>
  <c r="I133" i="7" s="1"/>
  <c r="H85" i="7"/>
  <c r="I85" i="7" s="1"/>
  <c r="H17" i="7"/>
  <c r="I17" i="7" s="1"/>
  <c r="H15" i="7"/>
  <c r="I15" i="7" s="1"/>
  <c r="H20" i="7"/>
  <c r="I20" i="7" s="1"/>
  <c r="H54" i="7"/>
  <c r="I54" i="7" s="1"/>
  <c r="H7" i="7"/>
  <c r="I7" i="7" s="1"/>
  <c r="H37" i="7"/>
  <c r="I37" i="7" s="1"/>
  <c r="H32" i="7"/>
  <c r="I32" i="7" s="1"/>
  <c r="H21" i="7"/>
  <c r="I21" i="7" s="1"/>
  <c r="H8" i="7"/>
  <c r="I8" i="7" s="1"/>
  <c r="H47" i="7"/>
  <c r="I47" i="7" s="1"/>
  <c r="H46" i="7"/>
  <c r="I46" i="7" s="1"/>
  <c r="H50" i="7"/>
  <c r="I50" i="7" s="1"/>
  <c r="H24" i="7"/>
  <c r="I24" i="7" s="1"/>
  <c r="H28" i="7"/>
  <c r="I28" i="7" s="1"/>
  <c r="H42" i="7"/>
  <c r="I42" i="7" s="1"/>
  <c r="H31" i="7"/>
  <c r="I31" i="7" s="1"/>
  <c r="H43" i="7"/>
  <c r="I43" i="7" s="1"/>
  <c r="H49" i="7"/>
  <c r="I49" i="7" s="1"/>
  <c r="H41" i="7"/>
  <c r="I41" i="7" s="1"/>
  <c r="H36" i="7"/>
  <c r="I36" i="7" s="1"/>
  <c r="H6" i="7"/>
  <c r="I6" i="7" s="1"/>
  <c r="H39" i="7"/>
  <c r="I39" i="7" s="1"/>
  <c r="H34" i="7"/>
  <c r="I34" i="7" s="1"/>
  <c r="H22" i="7"/>
  <c r="I22" i="7" s="1"/>
  <c r="H9" i="7"/>
  <c r="I9" i="7" s="1"/>
  <c r="H51" i="7"/>
  <c r="I51" i="7" s="1"/>
  <c r="H55" i="7"/>
  <c r="I55" i="7" s="1"/>
  <c r="H44" i="7"/>
  <c r="I44" i="7" s="1"/>
  <c r="H48" i="7"/>
  <c r="I48" i="7" s="1"/>
  <c r="H52" i="7"/>
  <c r="I52" i="7" s="1"/>
  <c r="H26" i="7"/>
  <c r="I26" i="7" s="1"/>
  <c r="H38" i="7"/>
  <c r="I38" i="7" s="1"/>
  <c r="H33" i="7"/>
  <c r="I33" i="7" s="1"/>
  <c r="H45" i="7"/>
  <c r="I45" i="7" s="1"/>
  <c r="H167" i="7"/>
  <c r="I167" i="7" s="1"/>
  <c r="H171" i="7"/>
  <c r="I171" i="7" s="1"/>
  <c r="H173" i="7"/>
  <c r="I173" i="7" s="1"/>
  <c r="H174" i="7"/>
  <c r="I174" i="7" s="1"/>
  <c r="H179" i="7"/>
  <c r="I179" i="7" s="1"/>
  <c r="H178" i="7"/>
  <c r="I178" i="7" s="1"/>
  <c r="H181" i="7"/>
  <c r="I181" i="7" s="1"/>
  <c r="H170" i="7"/>
  <c r="I170" i="7" s="1"/>
  <c r="H175" i="7"/>
  <c r="I175" i="7" s="1"/>
  <c r="H177" i="7"/>
  <c r="I177" i="7" s="1"/>
  <c r="H176" i="7"/>
  <c r="I176" i="7" s="1"/>
  <c r="H183" i="7"/>
  <c r="I183" i="7" s="1"/>
  <c r="H162" i="7"/>
  <c r="I162" i="7" s="1"/>
  <c r="H165" i="7"/>
  <c r="I165" i="7" s="1"/>
  <c r="H161" i="7"/>
  <c r="I161" i="7" s="1"/>
  <c r="H163" i="7"/>
  <c r="I163" i="7" s="1"/>
  <c r="H164" i="7"/>
  <c r="I164" i="7" s="1"/>
  <c r="H159" i="7"/>
  <c r="I159" i="7" s="1"/>
  <c r="H151" i="7"/>
  <c r="I151" i="7" s="1"/>
  <c r="H152" i="7"/>
  <c r="I152" i="7" s="1"/>
  <c r="H154" i="7"/>
  <c r="I154" i="7" s="1"/>
  <c r="H155" i="7"/>
  <c r="I155" i="7" s="1"/>
  <c r="H153" i="7"/>
  <c r="I153" i="7" s="1"/>
  <c r="H147" i="7"/>
  <c r="I147" i="7" s="1"/>
  <c r="H143" i="7"/>
  <c r="I143" i="7" s="1"/>
  <c r="H148" i="7"/>
  <c r="I148" i="7" s="1"/>
  <c r="H144" i="7"/>
  <c r="I144" i="7" s="1"/>
  <c r="H145" i="7"/>
  <c r="I145" i="7" s="1"/>
  <c r="H149" i="7"/>
  <c r="I149" i="7" s="1"/>
  <c r="H146" i="7"/>
  <c r="I146" i="7" s="1"/>
  <c r="H139" i="7"/>
  <c r="I139" i="7" s="1"/>
  <c r="H138" i="7"/>
  <c r="I138" i="7" s="1"/>
  <c r="H140" i="7"/>
  <c r="I140" i="7" s="1"/>
  <c r="H137" i="7"/>
  <c r="I137" i="7" s="1"/>
  <c r="H131" i="7"/>
  <c r="I131" i="7" s="1"/>
  <c r="H130" i="7"/>
  <c r="I130" i="7" s="1"/>
  <c r="H134" i="7"/>
  <c r="I134" i="7" s="1"/>
  <c r="H135" i="7"/>
  <c r="I135" i="7" s="1"/>
  <c r="H126" i="7"/>
  <c r="I126" i="7" s="1"/>
  <c r="H127" i="7"/>
  <c r="I127" i="7" s="1"/>
  <c r="H125" i="7"/>
  <c r="I125" i="7" s="1"/>
  <c r="H128" i="7"/>
  <c r="I128" i="7" s="1"/>
  <c r="H122" i="7"/>
  <c r="I122" i="7" s="1"/>
  <c r="H123" i="7"/>
  <c r="I123" i="7" s="1"/>
  <c r="H119" i="7"/>
  <c r="I119" i="7" s="1"/>
  <c r="H113" i="7"/>
  <c r="I113" i="7" s="1"/>
  <c r="H110" i="7"/>
  <c r="I110" i="7" s="1"/>
  <c r="H104" i="7"/>
  <c r="I104" i="7" s="1"/>
  <c r="H105" i="7"/>
  <c r="I105" i="7" s="1"/>
  <c r="H106" i="7"/>
  <c r="I106" i="7" s="1"/>
  <c r="H117" i="7"/>
  <c r="I117" i="7" s="1"/>
  <c r="H107" i="7"/>
  <c r="I107" i="7" s="1"/>
  <c r="H111" i="7"/>
  <c r="I111" i="7" s="1"/>
  <c r="H115" i="7"/>
  <c r="I115" i="7" s="1"/>
  <c r="H116" i="7"/>
  <c r="I116" i="7" s="1"/>
  <c r="H114" i="7"/>
  <c r="I114" i="7" s="1"/>
  <c r="H109" i="7"/>
  <c r="I109" i="7" s="1"/>
  <c r="H99" i="7"/>
  <c r="I99" i="7" s="1"/>
  <c r="H102" i="7"/>
  <c r="I102" i="7" s="1"/>
  <c r="H90" i="7"/>
  <c r="I90" i="7" s="1"/>
  <c r="H93" i="7"/>
  <c r="I93" i="7" s="1"/>
  <c r="H97" i="7"/>
  <c r="I97" i="7" s="1"/>
  <c r="H92" i="7"/>
  <c r="I92" i="7" s="1"/>
  <c r="H91" i="7"/>
  <c r="I91" i="7" s="1"/>
  <c r="H95" i="7"/>
  <c r="I95" i="7" s="1"/>
  <c r="H96" i="7"/>
  <c r="I96" i="7" s="1"/>
  <c r="H94" i="7"/>
  <c r="I94" i="7" s="1"/>
  <c r="H88" i="7"/>
  <c r="I88" i="7" s="1"/>
  <c r="H87" i="7"/>
  <c r="I87" i="7" s="1"/>
  <c r="H86" i="7"/>
  <c r="I86" i="7" s="1"/>
  <c r="H79" i="7"/>
  <c r="I79" i="7" s="1"/>
  <c r="H80" i="7"/>
  <c r="I80" i="7" s="1"/>
  <c r="H82" i="7"/>
  <c r="I82" i="7" s="1"/>
  <c r="H59" i="7"/>
  <c r="I59" i="7" s="1"/>
  <c r="H60" i="7"/>
  <c r="I60" i="7" s="1"/>
  <c r="H61" i="7"/>
  <c r="I61" i="7" s="1"/>
  <c r="H77" i="7"/>
  <c r="I77" i="7" s="1"/>
  <c r="H71" i="7"/>
  <c r="I71" i="7" s="1"/>
  <c r="H66" i="7"/>
  <c r="I66" i="7" s="1"/>
  <c r="H74" i="7"/>
  <c r="I74" i="7" s="1"/>
  <c r="H68" i="7"/>
  <c r="I68" i="7" s="1"/>
  <c r="H76" i="7"/>
  <c r="I76" i="7" s="1"/>
  <c r="H62" i="7"/>
  <c r="I62" i="7" s="1"/>
  <c r="H67" i="7"/>
  <c r="I67" i="7" s="1"/>
  <c r="H70" i="7"/>
  <c r="I70" i="7" s="1"/>
  <c r="H64" i="7"/>
  <c r="I64" i="7" s="1"/>
  <c r="H72" i="7"/>
  <c r="I72" i="7" s="1"/>
  <c r="H63" i="7"/>
  <c r="I63" i="7" s="1"/>
  <c r="H75" i="7"/>
  <c r="I75" i="7" s="1"/>
  <c r="C346" i="2"/>
  <c r="F58" i="7" s="1"/>
  <c r="C345" i="2"/>
  <c r="G58" i="7" s="1"/>
  <c r="H57" i="7"/>
  <c r="I57" i="7" s="1"/>
  <c r="C329" i="2"/>
  <c r="C331" i="2"/>
  <c r="E29" i="3"/>
  <c r="C332" i="2"/>
  <c r="G56" i="7" s="1"/>
  <c r="C333" i="2"/>
  <c r="H30" i="7"/>
  <c r="I30" i="7" s="1"/>
  <c r="E12" i="3"/>
  <c r="C75" i="2"/>
  <c r="F14" i="7" s="1"/>
  <c r="E72" i="3"/>
  <c r="C971" i="2"/>
  <c r="F160" i="7" s="1"/>
  <c r="E39" i="3"/>
  <c r="C498" i="2"/>
  <c r="F83" i="7" s="1"/>
  <c r="E24" i="3"/>
  <c r="C235" i="2"/>
  <c r="F40" i="7" s="1"/>
  <c r="E22" i="3"/>
  <c r="C205" i="2"/>
  <c r="E15" i="3"/>
  <c r="C106" i="2"/>
  <c r="F19" i="7" s="1"/>
  <c r="E53" i="3"/>
  <c r="C748" i="2"/>
  <c r="G124" i="7" s="1"/>
  <c r="E47" i="3"/>
  <c r="C620" i="2"/>
  <c r="G103" i="7" s="1"/>
  <c r="E32" i="3"/>
  <c r="E57" i="3"/>
  <c r="C780" i="2"/>
  <c r="F129" i="7" s="1"/>
  <c r="E37" i="3"/>
  <c r="C468" i="2"/>
  <c r="E9" i="3"/>
  <c r="C20" i="2"/>
  <c r="F5" i="7" s="1"/>
  <c r="E25" i="3"/>
  <c r="C236" i="2"/>
  <c r="E16" i="3"/>
  <c r="C107" i="2"/>
  <c r="E42" i="3"/>
  <c r="C535" i="2"/>
  <c r="F89" i="7" s="1"/>
  <c r="E8" i="3"/>
  <c r="C19" i="2"/>
  <c r="G5" i="7" s="1"/>
  <c r="E26" i="3"/>
  <c r="C313" i="2"/>
  <c r="G53" i="7" s="1"/>
  <c r="E71" i="3"/>
  <c r="C970" i="2"/>
  <c r="G160" i="7" s="1"/>
  <c r="E66" i="3"/>
  <c r="C909" i="2"/>
  <c r="F150" i="7" s="1"/>
  <c r="E64" i="3"/>
  <c r="C861" i="2"/>
  <c r="E67" i="3"/>
  <c r="C910" i="2"/>
  <c r="E54" i="3"/>
  <c r="C749" i="2"/>
  <c r="F124" i="7" s="1"/>
  <c r="E11" i="3"/>
  <c r="C74" i="2"/>
  <c r="G14" i="7" s="1"/>
  <c r="E56" i="3"/>
  <c r="C779" i="2"/>
  <c r="G129" i="7" s="1"/>
  <c r="E74" i="3"/>
  <c r="C1007" i="2"/>
  <c r="G166" i="7" s="1"/>
  <c r="E62" i="3"/>
  <c r="C859" i="2"/>
  <c r="G142" i="7" s="1"/>
  <c r="E60" i="3"/>
  <c r="C823" i="2"/>
  <c r="F136" i="7" s="1"/>
  <c r="E48" i="3"/>
  <c r="C621" i="2"/>
  <c r="F103" i="7" s="1"/>
  <c r="E41" i="3"/>
  <c r="C534" i="2"/>
  <c r="G89" i="7" s="1"/>
  <c r="E36" i="3"/>
  <c r="C467" i="2"/>
  <c r="F78" i="7" s="1"/>
  <c r="E23" i="3"/>
  <c r="C234" i="2"/>
  <c r="G40" i="7" s="1"/>
  <c r="E10" i="3"/>
  <c r="C21" i="2"/>
  <c r="E61" i="3"/>
  <c r="C824" i="2"/>
  <c r="E45" i="3"/>
  <c r="C590" i="2"/>
  <c r="F98" i="7" s="1"/>
  <c r="E59" i="3"/>
  <c r="C822" i="2"/>
  <c r="G136" i="7" s="1"/>
  <c r="E55" i="3"/>
  <c r="C750" i="2"/>
  <c r="E50" i="3"/>
  <c r="C723" i="2"/>
  <c r="G120" i="7" s="1"/>
  <c r="E46" i="3"/>
  <c r="C591" i="2"/>
  <c r="E17" i="3"/>
  <c r="C166" i="2"/>
  <c r="G29" i="7" s="1"/>
  <c r="E19" i="3"/>
  <c r="C168" i="2"/>
  <c r="E76" i="3"/>
  <c r="C1009" i="2"/>
  <c r="E52" i="3"/>
  <c r="C725" i="2"/>
  <c r="E34" i="3"/>
  <c r="E27" i="3"/>
  <c r="C314" i="2"/>
  <c r="F53" i="7" s="1"/>
  <c r="E21" i="3"/>
  <c r="C204" i="2"/>
  <c r="F35" i="7" s="1"/>
  <c r="E63" i="3"/>
  <c r="C860" i="2"/>
  <c r="F142" i="7" s="1"/>
  <c r="E38" i="3"/>
  <c r="C497" i="2"/>
  <c r="G83" i="7" s="1"/>
  <c r="E44" i="3"/>
  <c r="C589" i="2"/>
  <c r="G98" i="7" s="1"/>
  <c r="E40" i="3"/>
  <c r="C499" i="2"/>
  <c r="E33" i="3"/>
  <c r="E20" i="3"/>
  <c r="C203" i="2"/>
  <c r="G35" i="7" s="1"/>
  <c r="E28" i="3"/>
  <c r="C315" i="2"/>
  <c r="E75" i="3"/>
  <c r="C1008" i="2"/>
  <c r="F166" i="7" s="1"/>
  <c r="H166" i="7" s="1"/>
  <c r="I166" i="7" s="1"/>
  <c r="E73" i="3"/>
  <c r="C972" i="2"/>
  <c r="E51" i="3"/>
  <c r="C724" i="2"/>
  <c r="F120" i="7" s="1"/>
  <c r="H120" i="7" s="1"/>
  <c r="I120" i="7" s="1"/>
  <c r="E49" i="3"/>
  <c r="C622" i="2"/>
  <c r="E58" i="3"/>
  <c r="C781" i="2"/>
  <c r="E35" i="3"/>
  <c r="C466" i="2"/>
  <c r="G78" i="7" s="1"/>
  <c r="E13" i="3"/>
  <c r="C76" i="2"/>
  <c r="E65" i="3"/>
  <c r="C908" i="2"/>
  <c r="G150" i="7" s="1"/>
  <c r="E43" i="3"/>
  <c r="C536" i="2"/>
  <c r="E18" i="3"/>
  <c r="C167" i="2"/>
  <c r="F29" i="7" s="1"/>
  <c r="H29" i="7" s="1"/>
  <c r="I29" i="7" s="1"/>
  <c r="E14" i="3"/>
  <c r="C105" i="2"/>
  <c r="G19" i="7" s="1"/>
  <c r="LL22" i="3"/>
  <c r="LO21" i="3"/>
  <c r="LR22" i="3"/>
  <c r="LO22" i="3"/>
  <c r="LR12" i="3"/>
  <c r="LR20" i="3"/>
  <c r="LR21" i="3"/>
  <c r="LL21" i="3"/>
  <c r="GM21" i="3"/>
  <c r="GU4" i="3"/>
  <c r="GU8" i="3"/>
  <c r="GU12" i="3"/>
  <c r="GU16" i="3"/>
  <c r="GU20" i="3"/>
  <c r="HI21" i="3"/>
  <c r="HQ22" i="3"/>
  <c r="HT21" i="3"/>
  <c r="HW22" i="3"/>
  <c r="IS22" i="3"/>
  <c r="KP22" i="3"/>
  <c r="KS21" i="3"/>
  <c r="JZ21" i="3"/>
  <c r="CL4" i="3" l="1"/>
  <c r="CI4" i="3"/>
  <c r="H160" i="7"/>
  <c r="I160" i="7" s="1"/>
  <c r="H150" i="7"/>
  <c r="I150" i="7" s="1"/>
  <c r="H142" i="7"/>
  <c r="I142" i="7" s="1"/>
  <c r="H136" i="7"/>
  <c r="I136" i="7" s="1"/>
  <c r="H129" i="7"/>
  <c r="I129" i="7" s="1"/>
  <c r="H124" i="7"/>
  <c r="I124" i="7" s="1"/>
  <c r="H103" i="7"/>
  <c r="I103" i="7" s="1"/>
  <c r="H98" i="7"/>
  <c r="I98" i="7" s="1"/>
  <c r="H89" i="7"/>
  <c r="I89" i="7" s="1"/>
  <c r="H83" i="7"/>
  <c r="I83" i="7" s="1"/>
  <c r="H78" i="7"/>
  <c r="I78" i="7" s="1"/>
  <c r="H53" i="7"/>
  <c r="I53" i="7" s="1"/>
  <c r="H58" i="7"/>
  <c r="I58" i="7" s="1"/>
  <c r="H35" i="7"/>
  <c r="I35" i="7" s="1"/>
  <c r="H19" i="7"/>
  <c r="I19" i="7" s="1"/>
  <c r="H40" i="7"/>
  <c r="I40" i="7" s="1"/>
  <c r="H5" i="7"/>
  <c r="I5" i="7" s="1"/>
  <c r="H14" i="7"/>
  <c r="I14" i="7" s="1"/>
  <c r="MC5" i="3"/>
  <c r="LW17" i="3"/>
  <c r="MC4" i="3"/>
  <c r="MD4" i="3" s="1"/>
  <c r="LZ11" i="3"/>
  <c r="LW16" i="3"/>
  <c r="LZ20" i="3"/>
  <c r="LZ8" i="3"/>
  <c r="LO23" i="3"/>
  <c r="LO17" i="3"/>
  <c r="LO13" i="3"/>
  <c r="LO9" i="3"/>
  <c r="LO5" i="3"/>
  <c r="LR18" i="3"/>
  <c r="LR14" i="3"/>
  <c r="LR10" i="3"/>
  <c r="LR6" i="3"/>
  <c r="LR19" i="3"/>
  <c r="LR15" i="3"/>
  <c r="LR11" i="3"/>
  <c r="LR7" i="3"/>
  <c r="LO18" i="3"/>
  <c r="LO14" i="3"/>
  <c r="LO10" i="3"/>
  <c r="LO6" i="3"/>
  <c r="LL19" i="3"/>
  <c r="LL15" i="3"/>
  <c r="LL11" i="3"/>
  <c r="LL7" i="3"/>
  <c r="LL18" i="3"/>
  <c r="LQ18" i="3" s="1"/>
  <c r="LL14" i="3"/>
  <c r="LL10" i="3"/>
  <c r="LL6" i="3"/>
  <c r="LO19" i="3"/>
  <c r="LO15" i="3"/>
  <c r="LO11" i="3"/>
  <c r="LO7" i="3"/>
  <c r="LR16" i="3"/>
  <c r="LR8" i="3"/>
  <c r="LO20" i="3"/>
  <c r="LO16" i="3"/>
  <c r="LO12" i="3"/>
  <c r="LO8" i="3"/>
  <c r="LL23" i="3"/>
  <c r="LL17" i="3"/>
  <c r="LL13" i="3"/>
  <c r="LL9" i="3"/>
  <c r="LL5" i="3"/>
  <c r="KP20" i="3"/>
  <c r="KP12" i="3"/>
  <c r="KP4" i="3"/>
  <c r="KV16" i="3"/>
  <c r="KV8" i="3"/>
  <c r="KV19" i="3"/>
  <c r="KV11" i="3"/>
  <c r="KP23" i="3"/>
  <c r="KP13" i="3"/>
  <c r="KS17" i="3"/>
  <c r="KS9" i="3"/>
  <c r="KV18" i="3"/>
  <c r="KV10" i="3"/>
  <c r="KV23" i="3"/>
  <c r="KV13" i="3"/>
  <c r="KV5" i="3"/>
  <c r="KP7" i="3"/>
  <c r="KS16" i="3"/>
  <c r="KS8" i="3"/>
  <c r="IS20" i="3"/>
  <c r="IS4" i="3"/>
  <c r="IT4" i="3" s="1"/>
  <c r="IP15" i="3"/>
  <c r="IP7" i="3"/>
  <c r="IM16" i="3"/>
  <c r="IM8" i="3"/>
  <c r="IM19" i="3"/>
  <c r="IP20" i="3"/>
  <c r="IP16" i="3"/>
  <c r="IP12" i="3"/>
  <c r="IP8" i="3"/>
  <c r="IP4" i="3"/>
  <c r="IQ4" i="3" s="1"/>
  <c r="IS19" i="3"/>
  <c r="IS15" i="3"/>
  <c r="IS11" i="3"/>
  <c r="IS7" i="3"/>
  <c r="IS18" i="3"/>
  <c r="IM14" i="3"/>
  <c r="IM6" i="3"/>
  <c r="IM17" i="3"/>
  <c r="IM9" i="3"/>
  <c r="IP10" i="3"/>
  <c r="IS23" i="3"/>
  <c r="IS17" i="3"/>
  <c r="IS13" i="3"/>
  <c r="IS9" i="3"/>
  <c r="IS5" i="3"/>
  <c r="HW23" i="3"/>
  <c r="HW17" i="3"/>
  <c r="HW13" i="3"/>
  <c r="HW9" i="3"/>
  <c r="HW5" i="3"/>
  <c r="HQ19" i="3"/>
  <c r="HQ15" i="3"/>
  <c r="HQ11" i="3"/>
  <c r="HQ7" i="3"/>
  <c r="HT18" i="3"/>
  <c r="HT14" i="3"/>
  <c r="HT10" i="3"/>
  <c r="HT6" i="3"/>
  <c r="HW19" i="3"/>
  <c r="HW15" i="3"/>
  <c r="HW11" i="3"/>
  <c r="HW7" i="3"/>
  <c r="GM18" i="3"/>
  <c r="GM14" i="3"/>
  <c r="GM10" i="3"/>
  <c r="GM6" i="3"/>
  <c r="GJ23" i="3"/>
  <c r="GJ17" i="3"/>
  <c r="GJ13" i="3"/>
  <c r="GJ9" i="3"/>
  <c r="GJ5" i="3"/>
  <c r="JD23" i="3"/>
  <c r="JD17" i="3"/>
  <c r="JD13" i="3"/>
  <c r="JD9" i="3"/>
  <c r="JD5" i="3"/>
  <c r="HI20" i="3"/>
  <c r="HI16" i="3"/>
  <c r="HI12" i="3"/>
  <c r="HI8" i="3"/>
  <c r="HI4" i="3"/>
  <c r="HJ4" i="3" s="1"/>
  <c r="JD19" i="3"/>
  <c r="JD15" i="3"/>
  <c r="JD11" i="3"/>
  <c r="JD7" i="3"/>
  <c r="HT20" i="3"/>
  <c r="HT16" i="3"/>
  <c r="HT12" i="3"/>
  <c r="HT4" i="3"/>
  <c r="HU4" i="3" s="1"/>
  <c r="HQ23" i="3"/>
  <c r="HQ17" i="3"/>
  <c r="HQ13" i="3"/>
  <c r="HQ9" i="3"/>
  <c r="HQ5" i="3"/>
  <c r="HI18" i="3"/>
  <c r="HI14" i="3"/>
  <c r="HI10" i="3"/>
  <c r="HI6" i="3"/>
  <c r="GP23" i="3"/>
  <c r="GP17" i="3"/>
  <c r="GP13" i="3"/>
  <c r="GP9" i="3"/>
  <c r="GP5" i="3"/>
  <c r="KV15" i="3"/>
  <c r="KV7" i="3"/>
  <c r="KS18" i="3"/>
  <c r="KS14" i="3"/>
  <c r="KS10" i="3"/>
  <c r="KS6" i="3"/>
  <c r="KP19" i="3"/>
  <c r="KP15" i="3"/>
  <c r="KP11" i="3"/>
  <c r="GM20" i="3"/>
  <c r="GM16" i="3"/>
  <c r="GM12" i="3"/>
  <c r="GM8" i="3"/>
  <c r="GM4" i="3"/>
  <c r="GN4" i="3" s="1"/>
  <c r="GV4" i="3"/>
  <c r="LT21" i="3"/>
  <c r="LQ21" i="3"/>
  <c r="LN21" i="3"/>
  <c r="LQ14" i="3"/>
  <c r="LQ22" i="3"/>
  <c r="LN22" i="3"/>
  <c r="LT22" i="3"/>
  <c r="KV17" i="3"/>
  <c r="KV9" i="3"/>
  <c r="KS20" i="3"/>
  <c r="KS12" i="3"/>
  <c r="KS4" i="3"/>
  <c r="KT4" i="3" s="1"/>
  <c r="KP17" i="3"/>
  <c r="KP9" i="3"/>
  <c r="JL19" i="3"/>
  <c r="JL11" i="3"/>
  <c r="JO6" i="3"/>
  <c r="JL22" i="3"/>
  <c r="JI12" i="3"/>
  <c r="HL23" i="3"/>
  <c r="IE5" i="3"/>
  <c r="GX17" i="3"/>
  <c r="KH12" i="3"/>
  <c r="IH16" i="3"/>
  <c r="HF9" i="3"/>
  <c r="HL8" i="3"/>
  <c r="GP4" i="3"/>
  <c r="GQ4" i="3" s="1"/>
  <c r="HL5" i="3"/>
  <c r="HL16" i="3"/>
  <c r="HF20" i="3"/>
  <c r="GX12" i="3"/>
  <c r="GP20" i="3"/>
  <c r="KH20" i="3"/>
  <c r="KH4" i="3"/>
  <c r="KI4" i="3" s="1"/>
  <c r="JW5" i="3"/>
  <c r="IE23" i="3"/>
  <c r="HT8" i="3"/>
  <c r="IH8" i="3"/>
  <c r="IE13" i="3"/>
  <c r="HL13" i="3"/>
  <c r="HF17" i="3"/>
  <c r="HL20" i="3"/>
  <c r="HL12" i="3"/>
  <c r="HL4" i="3"/>
  <c r="HM4" i="3" s="1"/>
  <c r="GX9" i="3"/>
  <c r="GX20" i="3"/>
  <c r="GX4" i="3"/>
  <c r="GY4" i="3" s="1"/>
  <c r="GP12" i="3"/>
  <c r="GJ8" i="3"/>
  <c r="IM7" i="3"/>
  <c r="IB10" i="3"/>
  <c r="KH16" i="3"/>
  <c r="KH8" i="3"/>
  <c r="JA23" i="3"/>
  <c r="JO21" i="3"/>
  <c r="JO18" i="3"/>
  <c r="JO14" i="3"/>
  <c r="JO10" i="3"/>
  <c r="GU21" i="3"/>
  <c r="GU18" i="3"/>
  <c r="GU14" i="3"/>
  <c r="GU10" i="3"/>
  <c r="GU6" i="3"/>
  <c r="GP22" i="3"/>
  <c r="GP19" i="3"/>
  <c r="GP15" i="3"/>
  <c r="GP11" i="3"/>
  <c r="GP7" i="3"/>
  <c r="GJ22" i="3"/>
  <c r="GJ19" i="3"/>
  <c r="GJ15" i="3"/>
  <c r="GJ11" i="3"/>
  <c r="GJ7" i="3"/>
  <c r="IM22" i="3"/>
  <c r="HL21" i="3"/>
  <c r="HL18" i="3"/>
  <c r="HL14" i="3"/>
  <c r="HL10" i="3"/>
  <c r="HL6" i="3"/>
  <c r="HF21" i="3"/>
  <c r="HF18" i="3"/>
  <c r="HF14" i="3"/>
  <c r="GJ18" i="3"/>
  <c r="KH21" i="3"/>
  <c r="KH18" i="3"/>
  <c r="KH14" i="3"/>
  <c r="KH10" i="3"/>
  <c r="KH6" i="3"/>
  <c r="JL7" i="3"/>
  <c r="JA22" i="3"/>
  <c r="IP18" i="3"/>
  <c r="IH20" i="3"/>
  <c r="IH12" i="3"/>
  <c r="IH4" i="3"/>
  <c r="II4" i="3" s="1"/>
  <c r="IE17" i="3"/>
  <c r="IE9" i="3"/>
  <c r="HL17" i="3"/>
  <c r="HL9" i="3"/>
  <c r="HF23" i="3"/>
  <c r="HF13" i="3"/>
  <c r="HF5" i="3"/>
  <c r="GX23" i="3"/>
  <c r="GX13" i="3"/>
  <c r="GX5" i="3"/>
  <c r="GX16" i="3"/>
  <c r="GX8" i="3"/>
  <c r="GP16" i="3"/>
  <c r="GP8" i="3"/>
  <c r="GJ12" i="3"/>
  <c r="GJ4" i="3"/>
  <c r="IM15" i="3"/>
  <c r="IB18" i="3"/>
  <c r="IM11" i="3"/>
  <c r="IB21" i="3"/>
  <c r="IB14" i="3"/>
  <c r="IB6" i="3"/>
  <c r="HL22" i="3"/>
  <c r="HL19" i="3"/>
  <c r="HL15" i="3"/>
  <c r="HL11" i="3"/>
  <c r="HL7" i="3"/>
  <c r="HF22" i="3"/>
  <c r="HF19" i="3"/>
  <c r="HF15" i="3"/>
  <c r="HF11" i="3"/>
  <c r="HF7" i="3"/>
  <c r="GX22" i="3"/>
  <c r="GX19" i="3"/>
  <c r="GX15" i="3"/>
  <c r="GX11" i="3"/>
  <c r="GX7" i="3"/>
  <c r="GX21" i="3"/>
  <c r="GX18" i="3"/>
  <c r="GX14" i="3"/>
  <c r="GX10" i="3"/>
  <c r="GX6" i="3"/>
  <c r="GJ21" i="3"/>
  <c r="GJ14" i="3"/>
  <c r="JI20" i="3"/>
  <c r="JI4" i="3"/>
  <c r="JL15" i="3"/>
  <c r="IP21" i="3"/>
  <c r="IP14" i="3"/>
  <c r="IP6" i="3"/>
  <c r="JI16" i="3"/>
  <c r="JI8" i="3"/>
  <c r="IM23" i="3"/>
  <c r="IM13" i="3"/>
  <c r="IM5" i="3"/>
  <c r="BN73" i="3"/>
  <c r="BN72" i="3"/>
  <c r="BN71" i="3"/>
  <c r="BJ73" i="3"/>
  <c r="BJ72" i="3"/>
  <c r="BJ71" i="3"/>
  <c r="BF73" i="3"/>
  <c r="BF72" i="3"/>
  <c r="BF71" i="3"/>
  <c r="BB73" i="3"/>
  <c r="BB72" i="3"/>
  <c r="BB71" i="3"/>
  <c r="AX73" i="3"/>
  <c r="AX72" i="3"/>
  <c r="AX71" i="3"/>
  <c r="BO73" i="3"/>
  <c r="BO72" i="3"/>
  <c r="BO71" i="3"/>
  <c r="BK73" i="3"/>
  <c r="BK72" i="3"/>
  <c r="BK71" i="3"/>
  <c r="BG73" i="3"/>
  <c r="BG72" i="3"/>
  <c r="BG71" i="3"/>
  <c r="BC73" i="3"/>
  <c r="BC72" i="3"/>
  <c r="BC71" i="3"/>
  <c r="AY73" i="3"/>
  <c r="AY72" i="3"/>
  <c r="AY71" i="3"/>
  <c r="IS6" i="3"/>
  <c r="LW14" i="3"/>
  <c r="IH18" i="3"/>
  <c r="IH14" i="3"/>
  <c r="IH10" i="3"/>
  <c r="IH6" i="3"/>
  <c r="IE22" i="3"/>
  <c r="IE19" i="3"/>
  <c r="IE15" i="3"/>
  <c r="IE11" i="3"/>
  <c r="IE7" i="3"/>
  <c r="IB20" i="3"/>
  <c r="IB16" i="3"/>
  <c r="IB12" i="3"/>
  <c r="IB8" i="3"/>
  <c r="IB4" i="3"/>
  <c r="KP5" i="3"/>
  <c r="IS10" i="3"/>
  <c r="IH15" i="3"/>
  <c r="LW4" i="3"/>
  <c r="FN5" i="3"/>
  <c r="FN7" i="3"/>
  <c r="FN9" i="3"/>
  <c r="FN11" i="3"/>
  <c r="FN13" i="3"/>
  <c r="FN15" i="3"/>
  <c r="FN17" i="3"/>
  <c r="FN19" i="3"/>
  <c r="FN23" i="3"/>
  <c r="FN22" i="3"/>
  <c r="FQ4" i="3"/>
  <c r="FR4" i="3" s="1"/>
  <c r="FQ6" i="3"/>
  <c r="FQ8" i="3"/>
  <c r="FQ10" i="3"/>
  <c r="FQ12" i="3"/>
  <c r="FQ14" i="3"/>
  <c r="FQ16" i="3"/>
  <c r="FQ18" i="3"/>
  <c r="FQ20" i="3"/>
  <c r="FQ21" i="3"/>
  <c r="FT5" i="3"/>
  <c r="FT7" i="3"/>
  <c r="FT9" i="3"/>
  <c r="FT11" i="3"/>
  <c r="FT13" i="3"/>
  <c r="FT15" i="3"/>
  <c r="FT17" i="3"/>
  <c r="FT19" i="3"/>
  <c r="FT23" i="3"/>
  <c r="FT22" i="3"/>
  <c r="MC20" i="3"/>
  <c r="MC16" i="3"/>
  <c r="MC12" i="3"/>
  <c r="MC8" i="3"/>
  <c r="LZ23" i="3"/>
  <c r="LZ17" i="3"/>
  <c r="LZ13" i="3"/>
  <c r="LZ9" i="3"/>
  <c r="LZ5" i="3"/>
  <c r="LW21" i="3"/>
  <c r="LW12" i="3"/>
  <c r="LW10" i="3"/>
  <c r="IS12" i="3"/>
  <c r="IS8" i="3"/>
  <c r="IH19" i="3"/>
  <c r="IH11" i="3"/>
  <c r="LW18" i="3"/>
  <c r="LW8" i="3"/>
  <c r="JL20" i="3"/>
  <c r="JL16" i="3"/>
  <c r="JL12" i="3"/>
  <c r="JL8" i="3"/>
  <c r="JL4" i="3"/>
  <c r="JM4" i="3" s="1"/>
  <c r="JZ4" i="3"/>
  <c r="KA4" i="3" s="1"/>
  <c r="FT4" i="3"/>
  <c r="FU4" i="3" s="1"/>
  <c r="FU5" i="3" s="1"/>
  <c r="FT6" i="3"/>
  <c r="FT8" i="3"/>
  <c r="FT10" i="3"/>
  <c r="FT12" i="3"/>
  <c r="FT14" i="3"/>
  <c r="FT16" i="3"/>
  <c r="HA16" i="3"/>
  <c r="HA12" i="3"/>
  <c r="HA8" i="3"/>
  <c r="HA4" i="3"/>
  <c r="HB4" i="3" s="1"/>
  <c r="FT18" i="3"/>
  <c r="FT20" i="3"/>
  <c r="FT21" i="3"/>
  <c r="JI22" i="3"/>
  <c r="FI21" i="3"/>
  <c r="LR4" i="3"/>
  <c r="LS4" i="3" s="1"/>
  <c r="LL4" i="3"/>
  <c r="JO20" i="3"/>
  <c r="JO16" i="3"/>
  <c r="JO12" i="3"/>
  <c r="JO8" i="3"/>
  <c r="JO4" i="3"/>
  <c r="JP4" i="3" s="1"/>
  <c r="JL23" i="3"/>
  <c r="JL17" i="3"/>
  <c r="JL13" i="3"/>
  <c r="JL9" i="3"/>
  <c r="JL5" i="3"/>
  <c r="JI21" i="3"/>
  <c r="JI18" i="3"/>
  <c r="JI14" i="3"/>
  <c r="JI10" i="3"/>
  <c r="JI6" i="3"/>
  <c r="KK23" i="3"/>
  <c r="JZ18" i="3"/>
  <c r="JZ14" i="3"/>
  <c r="JZ10" i="3"/>
  <c r="JZ6" i="3"/>
  <c r="LW6" i="3"/>
  <c r="LW20" i="3"/>
  <c r="KK19" i="3"/>
  <c r="KK15" i="3"/>
  <c r="KK11" i="3"/>
  <c r="KK7" i="3"/>
  <c r="KK17" i="3"/>
  <c r="KK13" i="3"/>
  <c r="KK9" i="3"/>
  <c r="KK5" i="3"/>
  <c r="KK22" i="3"/>
  <c r="JL21" i="3"/>
  <c r="JL18" i="3"/>
  <c r="JL14" i="3"/>
  <c r="JL10" i="3"/>
  <c r="JL6" i="3"/>
  <c r="IH21" i="3"/>
  <c r="HA21" i="3"/>
  <c r="HA18" i="3"/>
  <c r="HA14" i="3"/>
  <c r="HA10" i="3"/>
  <c r="HA6" i="3"/>
  <c r="MC21" i="3"/>
  <c r="MC18" i="3"/>
  <c r="MC14" i="3"/>
  <c r="MC10" i="3"/>
  <c r="MC6" i="3"/>
  <c r="LZ22" i="3"/>
  <c r="LZ19" i="3"/>
  <c r="LZ7" i="3"/>
  <c r="KV21" i="3"/>
  <c r="KV14" i="3"/>
  <c r="KV6" i="3"/>
  <c r="JZ20" i="3"/>
  <c r="JZ16" i="3"/>
  <c r="JZ12" i="3"/>
  <c r="JZ8" i="3"/>
  <c r="JD20" i="3"/>
  <c r="JD16" i="3"/>
  <c r="JD12" i="3"/>
  <c r="JD8" i="3"/>
  <c r="JD4" i="3"/>
  <c r="JE4" i="3" s="1"/>
  <c r="JE5" i="3" s="1"/>
  <c r="KV20" i="3"/>
  <c r="KV12" i="3"/>
  <c r="KV4" i="3"/>
  <c r="KW4" i="3" s="1"/>
  <c r="JD21" i="3"/>
  <c r="JD18" i="3"/>
  <c r="JD14" i="3"/>
  <c r="JD10" i="3"/>
  <c r="JD6" i="3"/>
  <c r="KS5" i="3"/>
  <c r="JW22" i="3"/>
  <c r="JW19" i="3"/>
  <c r="JW15" i="3"/>
  <c r="JW11" i="3"/>
  <c r="JW7" i="3"/>
  <c r="JA19" i="3"/>
  <c r="JA15" i="3"/>
  <c r="JA11" i="3"/>
  <c r="JA7" i="3"/>
  <c r="FQ5" i="3"/>
  <c r="FQ7" i="3"/>
  <c r="FQ9" i="3"/>
  <c r="FQ11" i="3"/>
  <c r="FQ13" i="3"/>
  <c r="FQ15" i="3"/>
  <c r="FQ17" i="3"/>
  <c r="FQ19" i="3"/>
  <c r="FQ23" i="3"/>
  <c r="FQ22" i="3"/>
  <c r="KS22" i="3"/>
  <c r="KS7" i="3"/>
  <c r="JW23" i="3"/>
  <c r="JW17" i="3"/>
  <c r="JW13" i="3"/>
  <c r="JW9" i="3"/>
  <c r="JA17" i="3"/>
  <c r="JA13" i="3"/>
  <c r="JA9" i="3"/>
  <c r="JA5" i="3"/>
  <c r="LO4" i="3"/>
  <c r="LP4" i="3" s="1"/>
  <c r="KV22" i="3"/>
  <c r="JW4" i="3"/>
  <c r="JX4" i="3" s="1"/>
  <c r="JT23" i="3"/>
  <c r="JT17" i="3"/>
  <c r="JT13" i="3"/>
  <c r="JT9" i="3"/>
  <c r="JT5" i="3"/>
  <c r="JZ22" i="3"/>
  <c r="JZ19" i="3"/>
  <c r="JZ15" i="3"/>
  <c r="JZ11" i="3"/>
  <c r="JZ7" i="3"/>
  <c r="JW20" i="3"/>
  <c r="JW16" i="3"/>
  <c r="JW12" i="3"/>
  <c r="JW8" i="3"/>
  <c r="GP18" i="3"/>
  <c r="GP14" i="3"/>
  <c r="GP10" i="3"/>
  <c r="GP6" i="3"/>
  <c r="GM22" i="3"/>
  <c r="GM19" i="3"/>
  <c r="GM15" i="3"/>
  <c r="GM11" i="3"/>
  <c r="GM7" i="3"/>
  <c r="GJ20" i="3"/>
  <c r="GJ16" i="3"/>
  <c r="KP21" i="3"/>
  <c r="KP18" i="3"/>
  <c r="KP14" i="3"/>
  <c r="KP10" i="3"/>
  <c r="KP6" i="3"/>
  <c r="KE22" i="3"/>
  <c r="KE19" i="3"/>
  <c r="KE15" i="3"/>
  <c r="KE11" i="3"/>
  <c r="KE7" i="3"/>
  <c r="JT20" i="3"/>
  <c r="JT16" i="3"/>
  <c r="JT12" i="3"/>
  <c r="JT8" i="3"/>
  <c r="JT4" i="3"/>
  <c r="IX20" i="3"/>
  <c r="IX16" i="3"/>
  <c r="IX12" i="3"/>
  <c r="IX8" i="3"/>
  <c r="IX4" i="3"/>
  <c r="FN4" i="3"/>
  <c r="FN6" i="3"/>
  <c r="FN8" i="3"/>
  <c r="FN10" i="3"/>
  <c r="FN12" i="3"/>
  <c r="FN14" i="3"/>
  <c r="FN16" i="3"/>
  <c r="FN18" i="3"/>
  <c r="FN20" i="3"/>
  <c r="FN21" i="3"/>
  <c r="JW6" i="3"/>
  <c r="JT22" i="3"/>
  <c r="JT19" i="3"/>
  <c r="JT15" i="3"/>
  <c r="JT11" i="3"/>
  <c r="JT7" i="3"/>
  <c r="JZ23" i="3"/>
  <c r="JZ17" i="3"/>
  <c r="JZ13" i="3"/>
  <c r="JZ9" i="3"/>
  <c r="JZ5" i="3"/>
  <c r="JW21" i="3"/>
  <c r="JW18" i="3"/>
  <c r="JW14" i="3"/>
  <c r="JW10" i="3"/>
  <c r="GJ10" i="3"/>
  <c r="GJ6" i="3"/>
  <c r="KP16" i="3"/>
  <c r="KP8" i="3"/>
  <c r="KE23" i="3"/>
  <c r="KE17" i="3"/>
  <c r="KE13" i="3"/>
  <c r="KE9" i="3"/>
  <c r="KE5" i="3"/>
  <c r="JT21" i="3"/>
  <c r="JT18" i="3"/>
  <c r="JT14" i="3"/>
  <c r="JT10" i="3"/>
  <c r="JT6" i="3"/>
  <c r="IX21" i="3"/>
  <c r="IX18" i="3"/>
  <c r="IX14" i="3"/>
  <c r="IX10" i="3"/>
  <c r="IX6" i="3"/>
  <c r="MC17" i="3"/>
  <c r="MC13" i="3"/>
  <c r="LZ21" i="3"/>
  <c r="LZ18" i="3"/>
  <c r="LZ14" i="3"/>
  <c r="LZ10" i="3"/>
  <c r="LZ6" i="3"/>
  <c r="LW22" i="3"/>
  <c r="LW19" i="3"/>
  <c r="LW11" i="3"/>
  <c r="LW7" i="3"/>
  <c r="LZ12" i="3"/>
  <c r="LW15" i="3"/>
  <c r="LW9" i="3"/>
  <c r="MC22" i="3"/>
  <c r="MC19" i="3"/>
  <c r="MC15" i="3"/>
  <c r="MC11" i="3"/>
  <c r="MC7" i="3"/>
  <c r="LZ16" i="3"/>
  <c r="LZ4" i="3"/>
  <c r="MA4" i="3" s="1"/>
  <c r="MA5" i="3" s="1"/>
  <c r="LW13" i="3"/>
  <c r="LW5" i="3"/>
  <c r="LW23" i="3"/>
  <c r="MC23" i="3"/>
  <c r="MC9" i="3"/>
  <c r="LZ15" i="3"/>
  <c r="KK21" i="3"/>
  <c r="KK18" i="3"/>
  <c r="KK14" i="3"/>
  <c r="KK10" i="3"/>
  <c r="KK6" i="3"/>
  <c r="KE20" i="3"/>
  <c r="KE16" i="3"/>
  <c r="KE12" i="3"/>
  <c r="KE8" i="3"/>
  <c r="KE4" i="3"/>
  <c r="KH23" i="3"/>
  <c r="KH17" i="3"/>
  <c r="KH13" i="3"/>
  <c r="KH9" i="3"/>
  <c r="KH5" i="3"/>
  <c r="JO22" i="3"/>
  <c r="JO19" i="3"/>
  <c r="JO15" i="3"/>
  <c r="JO11" i="3"/>
  <c r="JO7" i="3"/>
  <c r="JI23" i="3"/>
  <c r="JI17" i="3"/>
  <c r="JI13" i="3"/>
  <c r="JI9" i="3"/>
  <c r="JI5" i="3"/>
  <c r="JD22" i="3"/>
  <c r="JA20" i="3"/>
  <c r="JA16" i="3"/>
  <c r="JA12" i="3"/>
  <c r="JA8" i="3"/>
  <c r="JA4" i="3"/>
  <c r="JB4" i="3" s="1"/>
  <c r="JB5" i="3" s="1"/>
  <c r="IX23" i="3"/>
  <c r="IX17" i="3"/>
  <c r="IX13" i="3"/>
  <c r="IX9" i="3"/>
  <c r="IX5" i="3"/>
  <c r="IS16" i="3"/>
  <c r="IP23" i="3"/>
  <c r="IP13" i="3"/>
  <c r="IP5" i="3"/>
  <c r="IM21" i="3"/>
  <c r="IM18" i="3"/>
  <c r="IM10" i="3"/>
  <c r="IH23" i="3"/>
  <c r="IH17" i="3"/>
  <c r="IH13" i="3"/>
  <c r="IH9" i="3"/>
  <c r="IH5" i="3"/>
  <c r="IE21" i="3"/>
  <c r="IE18" i="3"/>
  <c r="IE10" i="3"/>
  <c r="IB22" i="3"/>
  <c r="IB19" i="3"/>
  <c r="IB15" i="3"/>
  <c r="IB11" i="3"/>
  <c r="IB7" i="3"/>
  <c r="HW20" i="3"/>
  <c r="HW16" i="3"/>
  <c r="HW12" i="3"/>
  <c r="HW8" i="3"/>
  <c r="HW4" i="3"/>
  <c r="HX4" i="3" s="1"/>
  <c r="HQ21" i="3"/>
  <c r="HQ18" i="3"/>
  <c r="HQ14" i="3"/>
  <c r="HQ10" i="3"/>
  <c r="HQ6" i="3"/>
  <c r="HI23" i="3"/>
  <c r="HI13" i="3"/>
  <c r="HI5" i="3"/>
  <c r="HF10" i="3"/>
  <c r="HF6" i="3"/>
  <c r="HA22" i="3"/>
  <c r="HA19" i="3"/>
  <c r="HA15" i="3"/>
  <c r="HA11" i="3"/>
  <c r="HA7" i="3"/>
  <c r="GU23" i="3"/>
  <c r="GU17" i="3"/>
  <c r="GU13" i="3"/>
  <c r="GU9" i="3"/>
  <c r="GU5" i="3"/>
  <c r="KK20" i="3"/>
  <c r="KK16" i="3"/>
  <c r="KK12" i="3"/>
  <c r="KK8" i="3"/>
  <c r="KK4" i="3"/>
  <c r="KL4" i="3" s="1"/>
  <c r="KE21" i="3"/>
  <c r="KE18" i="3"/>
  <c r="KE14" i="3"/>
  <c r="KE10" i="3"/>
  <c r="KE6" i="3"/>
  <c r="KH22" i="3"/>
  <c r="KH19" i="3"/>
  <c r="KH15" i="3"/>
  <c r="KH11" i="3"/>
  <c r="KH7" i="3"/>
  <c r="JO23" i="3"/>
  <c r="JO17" i="3"/>
  <c r="JO13" i="3"/>
  <c r="JO9" i="3"/>
  <c r="JO5" i="3"/>
  <c r="JI19" i="3"/>
  <c r="JI15" i="3"/>
  <c r="JI11" i="3"/>
  <c r="JI7" i="3"/>
  <c r="JA21" i="3"/>
  <c r="JA18" i="3"/>
  <c r="JA14" i="3"/>
  <c r="JA10" i="3"/>
  <c r="JA6" i="3"/>
  <c r="IX22" i="3"/>
  <c r="IX19" i="3"/>
  <c r="IX15" i="3"/>
  <c r="IX11" i="3"/>
  <c r="IX7" i="3"/>
  <c r="IS21" i="3"/>
  <c r="IS14" i="3"/>
  <c r="IP22" i="3"/>
  <c r="IM20" i="3"/>
  <c r="IM12" i="3"/>
  <c r="IM4" i="3"/>
  <c r="IH22" i="3"/>
  <c r="IH7" i="3"/>
  <c r="IE20" i="3"/>
  <c r="IE16" i="3"/>
  <c r="IE12" i="3"/>
  <c r="IE8" i="3"/>
  <c r="IE4" i="3"/>
  <c r="IF4" i="3" s="1"/>
  <c r="IB23" i="3"/>
  <c r="IB17" i="3"/>
  <c r="IB13" i="3"/>
  <c r="IB9" i="3"/>
  <c r="IB5" i="3"/>
  <c r="HW21" i="3"/>
  <c r="HW18" i="3"/>
  <c r="HW14" i="3"/>
  <c r="HW10" i="3"/>
  <c r="HW6" i="3"/>
  <c r="HQ20" i="3"/>
  <c r="HQ16" i="3"/>
  <c r="HQ12" i="3"/>
  <c r="HQ8" i="3"/>
  <c r="HQ4" i="3"/>
  <c r="HI19" i="3"/>
  <c r="HI11" i="3"/>
  <c r="HF12" i="3"/>
  <c r="HF8" i="3"/>
  <c r="HF4" i="3"/>
  <c r="HA23" i="3"/>
  <c r="HA17" i="3"/>
  <c r="HA13" i="3"/>
  <c r="HA9" i="3"/>
  <c r="HA5" i="3"/>
  <c r="GU22" i="3"/>
  <c r="GU19" i="3"/>
  <c r="GU15" i="3"/>
  <c r="GU11" i="3"/>
  <c r="GU7" i="3"/>
  <c r="MA6" i="3" l="1"/>
  <c r="LP5" i="3"/>
  <c r="LP6" i="3" s="1"/>
  <c r="LP7" i="3" s="1"/>
  <c r="LP8" i="3" s="1"/>
  <c r="LP9" i="3" s="1"/>
  <c r="LP10" i="3" s="1"/>
  <c r="LP11" i="3" s="1"/>
  <c r="LP12" i="3" s="1"/>
  <c r="LP13" i="3" s="1"/>
  <c r="LP14" i="3" s="1"/>
  <c r="LP15" i="3" s="1"/>
  <c r="LP16" i="3" s="1"/>
  <c r="LP17" i="3" s="1"/>
  <c r="LP18" i="3" s="1"/>
  <c r="LP19" i="3" s="1"/>
  <c r="LP20" i="3" s="1"/>
  <c r="LP21" i="3" s="1"/>
  <c r="LP22" i="3" s="1"/>
  <c r="LP23" i="3" s="1"/>
  <c r="LT14" i="3"/>
  <c r="LN14" i="3"/>
  <c r="LQ19" i="3"/>
  <c r="LN18" i="3"/>
  <c r="LT19" i="3"/>
  <c r="KL5" i="3"/>
  <c r="KL6" i="3" s="1"/>
  <c r="KL7" i="3" s="1"/>
  <c r="KL8" i="3" s="1"/>
  <c r="KL9" i="3" s="1"/>
  <c r="KL10" i="3" s="1"/>
  <c r="KL11" i="3" s="1"/>
  <c r="KL12" i="3" s="1"/>
  <c r="KL13" i="3" s="1"/>
  <c r="KL14" i="3" s="1"/>
  <c r="KL15" i="3" s="1"/>
  <c r="KL16" i="3" s="1"/>
  <c r="KL17" i="3" s="1"/>
  <c r="KL18" i="3" s="1"/>
  <c r="KL19" i="3" s="1"/>
  <c r="KL20" i="3" s="1"/>
  <c r="KL21" i="3" s="1"/>
  <c r="KL22" i="3" s="1"/>
  <c r="KL23" i="3" s="1"/>
  <c r="LN19" i="3"/>
  <c r="LT18" i="3"/>
  <c r="LR9" i="3"/>
  <c r="BA72" i="3"/>
  <c r="BA73" i="3"/>
  <c r="BA71" i="3"/>
  <c r="LR17" i="3"/>
  <c r="BI72" i="3"/>
  <c r="BI73" i="3"/>
  <c r="BI71" i="3"/>
  <c r="LL8" i="3"/>
  <c r="AZ73" i="3"/>
  <c r="AZ71" i="3"/>
  <c r="AZ72" i="3"/>
  <c r="LL16" i="3"/>
  <c r="BH73" i="3"/>
  <c r="BH71" i="3"/>
  <c r="BH72" i="3"/>
  <c r="LR5" i="3"/>
  <c r="LS5" i="3" s="1"/>
  <c r="LS6" i="3" s="1"/>
  <c r="LS7" i="3" s="1"/>
  <c r="LS8" i="3" s="1"/>
  <c r="LS9" i="3" s="1"/>
  <c r="LS10" i="3" s="1"/>
  <c r="LS11" i="3" s="1"/>
  <c r="LS12" i="3" s="1"/>
  <c r="AW72" i="3"/>
  <c r="AW73" i="3"/>
  <c r="AW71" i="3"/>
  <c r="LR13" i="3"/>
  <c r="BE72" i="3"/>
  <c r="BE73" i="3"/>
  <c r="BE71" i="3"/>
  <c r="LR23" i="3"/>
  <c r="BM72" i="3"/>
  <c r="BM73" i="3"/>
  <c r="BM71" i="3"/>
  <c r="LL12" i="3"/>
  <c r="BD73" i="3"/>
  <c r="BD71" i="3"/>
  <c r="BD72" i="3"/>
  <c r="LL20" i="3"/>
  <c r="BL73" i="3"/>
  <c r="BL71" i="3"/>
  <c r="BL72" i="3"/>
  <c r="KW5" i="3"/>
  <c r="KW6" i="3" s="1"/>
  <c r="KW7" i="3" s="1"/>
  <c r="KW8" i="3" s="1"/>
  <c r="KW9" i="3" s="1"/>
  <c r="KW10" i="3" s="1"/>
  <c r="KW11" i="3" s="1"/>
  <c r="KW12" i="3" s="1"/>
  <c r="KW13" i="3" s="1"/>
  <c r="KW14" i="3" s="1"/>
  <c r="KW15" i="3" s="1"/>
  <c r="KW16" i="3" s="1"/>
  <c r="KW17" i="3" s="1"/>
  <c r="KW18" i="3" s="1"/>
  <c r="KW19" i="3" s="1"/>
  <c r="KW20" i="3" s="1"/>
  <c r="KW21" i="3" s="1"/>
  <c r="KW22" i="3" s="1"/>
  <c r="KW23" i="3" s="1"/>
  <c r="HJ5" i="3"/>
  <c r="HJ6" i="3" s="1"/>
  <c r="JX5" i="3"/>
  <c r="JX6" i="3" s="1"/>
  <c r="JX7" i="3" s="1"/>
  <c r="JX8" i="3" s="1"/>
  <c r="JX9" i="3" s="1"/>
  <c r="JX10" i="3" s="1"/>
  <c r="JX11" i="3" s="1"/>
  <c r="JX12" i="3" s="1"/>
  <c r="JX13" i="3" s="1"/>
  <c r="JX14" i="3" s="1"/>
  <c r="JX15" i="3" s="1"/>
  <c r="JX16" i="3" s="1"/>
  <c r="JX17" i="3" s="1"/>
  <c r="JX18" i="3" s="1"/>
  <c r="JX19" i="3" s="1"/>
  <c r="JX20" i="3" s="1"/>
  <c r="JX21" i="3" s="1"/>
  <c r="JX22" i="3" s="1"/>
  <c r="JX23" i="3" s="1"/>
  <c r="IQ5" i="3"/>
  <c r="IQ6" i="3" s="1"/>
  <c r="IQ7" i="3" s="1"/>
  <c r="IQ8" i="3" s="1"/>
  <c r="IT5" i="3"/>
  <c r="IT6" i="3" s="1"/>
  <c r="IT7" i="3" s="1"/>
  <c r="IT8" i="3" s="1"/>
  <c r="IT9" i="3" s="1"/>
  <c r="IT10" i="3" s="1"/>
  <c r="IT11" i="3" s="1"/>
  <c r="IT12" i="3" s="1"/>
  <c r="IT13" i="3" s="1"/>
  <c r="IT14" i="3" s="1"/>
  <c r="IT15" i="3" s="1"/>
  <c r="IT16" i="3" s="1"/>
  <c r="IT17" i="3" s="1"/>
  <c r="IT18" i="3" s="1"/>
  <c r="IT19" i="3" s="1"/>
  <c r="IT20" i="3" s="1"/>
  <c r="IT21" i="3" s="1"/>
  <c r="IT22" i="3" s="1"/>
  <c r="IT23" i="3" s="1"/>
  <c r="IG22" i="3"/>
  <c r="IF5" i="3"/>
  <c r="HX5" i="3"/>
  <c r="HX6" i="3" s="1"/>
  <c r="HX7" i="3" s="1"/>
  <c r="HX8" i="3" s="1"/>
  <c r="HX9" i="3" s="1"/>
  <c r="HX10" i="3" s="1"/>
  <c r="HX11" i="3" s="1"/>
  <c r="HX12" i="3" s="1"/>
  <c r="HX13" i="3" s="1"/>
  <c r="HX14" i="3" s="1"/>
  <c r="HX15" i="3" s="1"/>
  <c r="HX16" i="3" s="1"/>
  <c r="HX17" i="3" s="1"/>
  <c r="HX18" i="3" s="1"/>
  <c r="HX19" i="3" s="1"/>
  <c r="HX20" i="3" s="1"/>
  <c r="HX21" i="3" s="1"/>
  <c r="HX22" i="3" s="1"/>
  <c r="HX23" i="3" s="1"/>
  <c r="MA7" i="3"/>
  <c r="MA8" i="3" s="1"/>
  <c r="MA9" i="3" s="1"/>
  <c r="MA10" i="3" s="1"/>
  <c r="MA11" i="3" s="1"/>
  <c r="MA12" i="3" s="1"/>
  <c r="MA13" i="3" s="1"/>
  <c r="MA14" i="3" s="1"/>
  <c r="MA15" i="3" s="1"/>
  <c r="MA16" i="3" s="1"/>
  <c r="MA17" i="3" s="1"/>
  <c r="MA18" i="3" s="1"/>
  <c r="MA19" i="3" s="1"/>
  <c r="MA20" i="3" s="1"/>
  <c r="MA21" i="3" s="1"/>
  <c r="MA22" i="3" s="1"/>
  <c r="MA23" i="3" s="1"/>
  <c r="GQ5" i="3"/>
  <c r="GQ6" i="3" s="1"/>
  <c r="GQ7" i="3" s="1"/>
  <c r="GQ8" i="3" s="1"/>
  <c r="GQ9" i="3" s="1"/>
  <c r="GQ10" i="3" s="1"/>
  <c r="GQ11" i="3" s="1"/>
  <c r="GQ12" i="3" s="1"/>
  <c r="GQ13" i="3" s="1"/>
  <c r="GQ14" i="3" s="1"/>
  <c r="GQ15" i="3" s="1"/>
  <c r="GQ16" i="3" s="1"/>
  <c r="GQ17" i="3" s="1"/>
  <c r="GQ18" i="3" s="1"/>
  <c r="GQ19" i="3" s="1"/>
  <c r="GQ20" i="3" s="1"/>
  <c r="FC4" i="3"/>
  <c r="FD4" i="3" s="1"/>
  <c r="FI20" i="3"/>
  <c r="FI16" i="3"/>
  <c r="FI12" i="3"/>
  <c r="FI8" i="3"/>
  <c r="FI4" i="3"/>
  <c r="FJ4" i="3" s="1"/>
  <c r="FI18" i="3"/>
  <c r="FI14" i="3"/>
  <c r="FI10" i="3"/>
  <c r="FI6" i="3"/>
  <c r="HM5" i="3"/>
  <c r="HM6" i="3" s="1"/>
  <c r="HM7" i="3" s="1"/>
  <c r="HM8" i="3" s="1"/>
  <c r="HM9" i="3" s="1"/>
  <c r="HM10" i="3" s="1"/>
  <c r="HM11" i="3" s="1"/>
  <c r="HM12" i="3" s="1"/>
  <c r="HM13" i="3" s="1"/>
  <c r="HM14" i="3" s="1"/>
  <c r="HM15" i="3" s="1"/>
  <c r="HM16" i="3" s="1"/>
  <c r="HM17" i="3" s="1"/>
  <c r="HM18" i="3" s="1"/>
  <c r="HM19" i="3" s="1"/>
  <c r="HM20" i="3" s="1"/>
  <c r="HM21" i="3" s="1"/>
  <c r="HM22" i="3" s="1"/>
  <c r="HM23" i="3" s="1"/>
  <c r="KU22" i="3"/>
  <c r="GW16" i="3"/>
  <c r="JB6" i="3"/>
  <c r="JB7" i="3" s="1"/>
  <c r="JB8" i="3" s="1"/>
  <c r="JB9" i="3" s="1"/>
  <c r="JB10" i="3" s="1"/>
  <c r="JB11" i="3" s="1"/>
  <c r="JB12" i="3" s="1"/>
  <c r="JB13" i="3" s="1"/>
  <c r="JB14" i="3" s="1"/>
  <c r="JB15" i="3" s="1"/>
  <c r="JB16" i="3" s="1"/>
  <c r="JB17" i="3" s="1"/>
  <c r="JB18" i="3" s="1"/>
  <c r="JB19" i="3" s="1"/>
  <c r="JB20" i="3" s="1"/>
  <c r="JB21" i="3" s="1"/>
  <c r="JB22" i="3" s="1"/>
  <c r="JB23" i="3" s="1"/>
  <c r="HB5" i="3"/>
  <c r="HB6" i="3" s="1"/>
  <c r="HB7" i="3" s="1"/>
  <c r="HB8" i="3" s="1"/>
  <c r="HB9" i="3" s="1"/>
  <c r="HB10" i="3" s="1"/>
  <c r="HB11" i="3" s="1"/>
  <c r="HB12" i="3" s="1"/>
  <c r="HB13" i="3" s="1"/>
  <c r="HB14" i="3" s="1"/>
  <c r="HB15" i="3" s="1"/>
  <c r="HB16" i="3" s="1"/>
  <c r="HB17" i="3" s="1"/>
  <c r="HB18" i="3" s="1"/>
  <c r="HB19" i="3" s="1"/>
  <c r="KA5" i="3"/>
  <c r="KA6" i="3" s="1"/>
  <c r="KA7" i="3" s="1"/>
  <c r="KA8" i="3" s="1"/>
  <c r="KA9" i="3" s="1"/>
  <c r="KA10" i="3" s="1"/>
  <c r="KA11" i="3" s="1"/>
  <c r="KA12" i="3" s="1"/>
  <c r="KA13" i="3" s="1"/>
  <c r="KA14" i="3" s="1"/>
  <c r="KA15" i="3" s="1"/>
  <c r="KA16" i="3" s="1"/>
  <c r="KA17" i="3" s="1"/>
  <c r="KA18" i="3" s="1"/>
  <c r="KA19" i="3" s="1"/>
  <c r="KA20" i="3" s="1"/>
  <c r="KA21" i="3" s="1"/>
  <c r="KA22" i="3" s="1"/>
  <c r="KA23" i="3" s="1"/>
  <c r="MD5" i="3"/>
  <c r="MD6" i="3" s="1"/>
  <c r="MD7" i="3" s="1"/>
  <c r="MD8" i="3" s="1"/>
  <c r="MD9" i="3" s="1"/>
  <c r="MD10" i="3" s="1"/>
  <c r="MD11" i="3" s="1"/>
  <c r="MD12" i="3" s="1"/>
  <c r="MD13" i="3" s="1"/>
  <c r="MD14" i="3" s="1"/>
  <c r="MD15" i="3" s="1"/>
  <c r="MD16" i="3" s="1"/>
  <c r="MD17" i="3" s="1"/>
  <c r="MD18" i="3" s="1"/>
  <c r="MD19" i="3" s="1"/>
  <c r="MD20" i="3" s="1"/>
  <c r="MD21" i="3" s="1"/>
  <c r="MD22" i="3" s="1"/>
  <c r="MD23" i="3" s="1"/>
  <c r="IG18" i="3"/>
  <c r="KT5" i="3"/>
  <c r="KT6" i="3" s="1"/>
  <c r="KT7" i="3" s="1"/>
  <c r="KT8" i="3" s="1"/>
  <c r="KT9" i="3" s="1"/>
  <c r="KT10" i="3" s="1"/>
  <c r="GZ4" i="3"/>
  <c r="GW4" i="3"/>
  <c r="HC16" i="3"/>
  <c r="GZ16" i="3"/>
  <c r="KR22" i="3"/>
  <c r="JE6" i="3"/>
  <c r="JE7" i="3" s="1"/>
  <c r="JE8" i="3" s="1"/>
  <c r="JE9" i="3" s="1"/>
  <c r="JE10" i="3" s="1"/>
  <c r="JE11" i="3" s="1"/>
  <c r="JE12" i="3" s="1"/>
  <c r="JE13" i="3" s="1"/>
  <c r="JE14" i="3" s="1"/>
  <c r="JE15" i="3" s="1"/>
  <c r="JE16" i="3" s="1"/>
  <c r="JE17" i="3" s="1"/>
  <c r="JE18" i="3" s="1"/>
  <c r="JE19" i="3" s="1"/>
  <c r="JE20" i="3" s="1"/>
  <c r="JE21" i="3" s="1"/>
  <c r="JE22" i="3" s="1"/>
  <c r="JE23" i="3" s="1"/>
  <c r="JP5" i="3"/>
  <c r="JP6" i="3" s="1"/>
  <c r="JP7" i="3" s="1"/>
  <c r="JP8" i="3" s="1"/>
  <c r="JP9" i="3" s="1"/>
  <c r="JP10" i="3" s="1"/>
  <c r="JP11" i="3" s="1"/>
  <c r="JP12" i="3" s="1"/>
  <c r="JP13" i="3" s="1"/>
  <c r="JP14" i="3" s="1"/>
  <c r="JP15" i="3" s="1"/>
  <c r="JP16" i="3" s="1"/>
  <c r="JP17" i="3" s="1"/>
  <c r="JP18" i="3" s="1"/>
  <c r="JP19" i="3" s="1"/>
  <c r="JP20" i="3" s="1"/>
  <c r="JP21" i="3" s="1"/>
  <c r="JP22" i="3" s="1"/>
  <c r="JP23" i="3" s="1"/>
  <c r="FU6" i="3"/>
  <c r="FU7" i="3" s="1"/>
  <c r="FU8" i="3" s="1"/>
  <c r="FU9" i="3" s="1"/>
  <c r="FU10" i="3" s="1"/>
  <c r="FU11" i="3" s="1"/>
  <c r="FU12" i="3" s="1"/>
  <c r="FU13" i="3" s="1"/>
  <c r="FU14" i="3" s="1"/>
  <c r="FU15" i="3" s="1"/>
  <c r="FU16" i="3" s="1"/>
  <c r="FU17" i="3" s="1"/>
  <c r="FU18" i="3" s="1"/>
  <c r="FU19" i="3" s="1"/>
  <c r="FU20" i="3" s="1"/>
  <c r="FU21" i="3" s="1"/>
  <c r="FU22" i="3" s="1"/>
  <c r="FU23" i="3" s="1"/>
  <c r="JM5" i="3"/>
  <c r="JM6" i="3" s="1"/>
  <c r="JM7" i="3" s="1"/>
  <c r="JM8" i="3" s="1"/>
  <c r="JM9" i="3" s="1"/>
  <c r="JM10" i="3" s="1"/>
  <c r="JM11" i="3" s="1"/>
  <c r="JM12" i="3" s="1"/>
  <c r="JM13" i="3" s="1"/>
  <c r="JM14" i="3" s="1"/>
  <c r="JM15" i="3" s="1"/>
  <c r="JM16" i="3" s="1"/>
  <c r="JM17" i="3" s="1"/>
  <c r="JM18" i="3" s="1"/>
  <c r="JM19" i="3" s="1"/>
  <c r="JM20" i="3" s="1"/>
  <c r="JM21" i="3" s="1"/>
  <c r="JM22" i="3" s="1"/>
  <c r="JM23" i="3" s="1"/>
  <c r="FR5" i="3"/>
  <c r="FR6" i="3" s="1"/>
  <c r="FR7" i="3" s="1"/>
  <c r="FR8" i="3" s="1"/>
  <c r="FR9" i="3" s="1"/>
  <c r="FR10" i="3" s="1"/>
  <c r="FR11" i="3" s="1"/>
  <c r="FR12" i="3" s="1"/>
  <c r="FR13" i="3" s="1"/>
  <c r="FR14" i="3" s="1"/>
  <c r="FR15" i="3" s="1"/>
  <c r="FR16" i="3" s="1"/>
  <c r="FR17" i="3" s="1"/>
  <c r="FR18" i="3" s="1"/>
  <c r="FR19" i="3" s="1"/>
  <c r="FR20" i="3" s="1"/>
  <c r="FR21" i="3" s="1"/>
  <c r="FR22" i="3" s="1"/>
  <c r="FR23" i="3" s="1"/>
  <c r="II5" i="3"/>
  <c r="II6" i="3" s="1"/>
  <c r="II7" i="3" s="1"/>
  <c r="II8" i="3" s="1"/>
  <c r="II9" i="3" s="1"/>
  <c r="II10" i="3" s="1"/>
  <c r="II11" i="3" s="1"/>
  <c r="II12" i="3" s="1"/>
  <c r="II13" i="3" s="1"/>
  <c r="II14" i="3" s="1"/>
  <c r="II15" i="3" s="1"/>
  <c r="II16" i="3" s="1"/>
  <c r="II17" i="3" s="1"/>
  <c r="II18" i="3" s="1"/>
  <c r="II19" i="3" s="1"/>
  <c r="II20" i="3" s="1"/>
  <c r="II21" i="3" s="1"/>
  <c r="II22" i="3" s="1"/>
  <c r="II23" i="3" s="1"/>
  <c r="GY5" i="3"/>
  <c r="GY6" i="3" s="1"/>
  <c r="GY7" i="3" s="1"/>
  <c r="GY8" i="3" s="1"/>
  <c r="GY9" i="3" s="1"/>
  <c r="GY10" i="3" s="1"/>
  <c r="GY11" i="3" s="1"/>
  <c r="GY12" i="3" s="1"/>
  <c r="GY13" i="3" s="1"/>
  <c r="GY14" i="3" s="1"/>
  <c r="GY15" i="3" s="1"/>
  <c r="GY16" i="3" s="1"/>
  <c r="GY17" i="3" s="1"/>
  <c r="GY18" i="3" s="1"/>
  <c r="GY19" i="3" s="1"/>
  <c r="GY20" i="3" s="1"/>
  <c r="GY21" i="3" s="1"/>
  <c r="GY22" i="3" s="1"/>
  <c r="GY23" i="3" s="1"/>
  <c r="KI5" i="3"/>
  <c r="KI6" i="3" s="1"/>
  <c r="KI7" i="3" s="1"/>
  <c r="KI8" i="3" s="1"/>
  <c r="KI9" i="3" s="1"/>
  <c r="KI10" i="3" s="1"/>
  <c r="KI11" i="3" s="1"/>
  <c r="KI12" i="3" s="1"/>
  <c r="KI13" i="3" s="1"/>
  <c r="KI14" i="3" s="1"/>
  <c r="KI15" i="3" s="1"/>
  <c r="KI16" i="3" s="1"/>
  <c r="KI17" i="3" s="1"/>
  <c r="KI18" i="3" s="1"/>
  <c r="KI19" i="3" s="1"/>
  <c r="KI20" i="3" s="1"/>
  <c r="KI21" i="3" s="1"/>
  <c r="KI22" i="3" s="1"/>
  <c r="KI23" i="3" s="1"/>
  <c r="HC4" i="3"/>
  <c r="GV5" i="3"/>
  <c r="GV6" i="3" s="1"/>
  <c r="GV7" i="3" s="1"/>
  <c r="GV8" i="3" s="1"/>
  <c r="GV9" i="3" s="1"/>
  <c r="GV10" i="3" s="1"/>
  <c r="GV11" i="3" s="1"/>
  <c r="GV12" i="3" s="1"/>
  <c r="GV13" i="3" s="1"/>
  <c r="GV14" i="3" s="1"/>
  <c r="GV15" i="3" s="1"/>
  <c r="GV16" i="3" s="1"/>
  <c r="GV17" i="3" s="1"/>
  <c r="GV18" i="3" s="1"/>
  <c r="GV19" i="3" s="1"/>
  <c r="GV20" i="3" s="1"/>
  <c r="GV21" i="3" s="1"/>
  <c r="GV22" i="3" s="1"/>
  <c r="GV23" i="3" s="1"/>
  <c r="KX22" i="3"/>
  <c r="HC15" i="3"/>
  <c r="GZ15" i="3"/>
  <c r="GW15" i="3"/>
  <c r="HC19" i="3"/>
  <c r="GZ19" i="3"/>
  <c r="GW19" i="3"/>
  <c r="GZ22" i="3"/>
  <c r="HC22" i="3"/>
  <c r="GW22" i="3"/>
  <c r="HG4" i="3"/>
  <c r="HG5" i="3" s="1"/>
  <c r="HG6" i="3" s="1"/>
  <c r="HG7" i="3" s="1"/>
  <c r="HG8" i="3" s="1"/>
  <c r="HG9" i="3" s="1"/>
  <c r="HG10" i="3" s="1"/>
  <c r="HG11" i="3" s="1"/>
  <c r="HG12" i="3" s="1"/>
  <c r="HG13" i="3" s="1"/>
  <c r="HG14" i="3" s="1"/>
  <c r="HG15" i="3" s="1"/>
  <c r="AY42" i="3"/>
  <c r="HI7" i="3"/>
  <c r="BG42" i="3"/>
  <c r="HI15" i="3"/>
  <c r="BO42" i="3"/>
  <c r="HI22" i="3"/>
  <c r="HK22" i="3" s="1"/>
  <c r="HR4" i="3"/>
  <c r="HR5" i="3" s="1"/>
  <c r="HR6" i="3" s="1"/>
  <c r="HR7" i="3" s="1"/>
  <c r="HR8" i="3" s="1"/>
  <c r="HR9" i="3" s="1"/>
  <c r="HR10" i="3" s="1"/>
  <c r="HR11" i="3" s="1"/>
  <c r="HR12" i="3" s="1"/>
  <c r="HR13" i="3" s="1"/>
  <c r="HR14" i="3" s="1"/>
  <c r="HR15" i="3" s="1"/>
  <c r="HR16" i="3" s="1"/>
  <c r="HR17" i="3" s="1"/>
  <c r="HR18" i="3" s="1"/>
  <c r="HR19" i="3" s="1"/>
  <c r="HR20" i="3" s="1"/>
  <c r="HR21" i="3" s="1"/>
  <c r="HR22" i="3" s="1"/>
  <c r="HR23" i="3" s="1"/>
  <c r="HV12" i="3"/>
  <c r="HS12" i="3"/>
  <c r="HY12" i="3"/>
  <c r="HV16" i="3"/>
  <c r="HS16" i="3"/>
  <c r="HY16" i="3"/>
  <c r="HV20" i="3"/>
  <c r="HS20" i="3"/>
  <c r="HY20" i="3"/>
  <c r="AY45" i="3"/>
  <c r="HT7" i="3"/>
  <c r="BC45" i="3"/>
  <c r="HT11" i="3"/>
  <c r="BG45" i="3"/>
  <c r="HT15" i="3"/>
  <c r="BK45" i="3"/>
  <c r="HT19" i="3"/>
  <c r="BO45" i="3"/>
  <c r="HT22" i="3"/>
  <c r="IG17" i="3"/>
  <c r="IJ17" i="3"/>
  <c r="ID17" i="3"/>
  <c r="IJ23" i="3"/>
  <c r="IG23" i="3"/>
  <c r="ID23" i="3"/>
  <c r="IN4" i="3"/>
  <c r="IN5" i="3" s="1"/>
  <c r="IN6" i="3" s="1"/>
  <c r="IN7" i="3" s="1"/>
  <c r="IN8" i="3" s="1"/>
  <c r="IN9" i="3" s="1"/>
  <c r="IN10" i="3" s="1"/>
  <c r="IN11" i="3" s="1"/>
  <c r="IN12" i="3" s="1"/>
  <c r="IN13" i="3" s="1"/>
  <c r="IN14" i="3" s="1"/>
  <c r="IN15" i="3" s="1"/>
  <c r="IN16" i="3" s="1"/>
  <c r="IN17" i="3" s="1"/>
  <c r="IN18" i="3" s="1"/>
  <c r="IN19" i="3" s="1"/>
  <c r="IN20" i="3" s="1"/>
  <c r="IN21" i="3" s="1"/>
  <c r="IN22" i="3" s="1"/>
  <c r="IN23" i="3" s="1"/>
  <c r="IR16" i="3"/>
  <c r="IO16" i="3"/>
  <c r="IU16" i="3"/>
  <c r="IR20" i="3"/>
  <c r="IO20" i="3"/>
  <c r="IU20" i="3"/>
  <c r="BC51" i="3"/>
  <c r="IP11" i="3"/>
  <c r="BK51" i="3"/>
  <c r="IP19" i="3"/>
  <c r="IO19" i="3" s="1"/>
  <c r="JF19" i="3"/>
  <c r="JC19" i="3"/>
  <c r="IZ19" i="3"/>
  <c r="JF22" i="3"/>
  <c r="JC22" i="3"/>
  <c r="IZ22" i="3"/>
  <c r="JQ19" i="3"/>
  <c r="JN19" i="3"/>
  <c r="JK19" i="3"/>
  <c r="KM14" i="3"/>
  <c r="KJ14" i="3"/>
  <c r="KG14" i="3"/>
  <c r="KJ18" i="3"/>
  <c r="KM18" i="3"/>
  <c r="KG18" i="3"/>
  <c r="KM21" i="3"/>
  <c r="KJ21" i="3"/>
  <c r="KG21" i="3"/>
  <c r="HC9" i="3"/>
  <c r="GZ9" i="3"/>
  <c r="GW9" i="3"/>
  <c r="HC13" i="3"/>
  <c r="GZ13" i="3"/>
  <c r="GW13" i="3"/>
  <c r="HC17" i="3"/>
  <c r="GZ17" i="3"/>
  <c r="GW17" i="3"/>
  <c r="HC23" i="3"/>
  <c r="GZ23" i="3"/>
  <c r="GW23" i="3"/>
  <c r="BA42" i="3"/>
  <c r="HI9" i="3"/>
  <c r="BI42" i="3"/>
  <c r="HI17" i="3"/>
  <c r="HN17" i="3" s="1"/>
  <c r="HV18" i="3"/>
  <c r="HY18" i="3"/>
  <c r="HS18" i="3"/>
  <c r="HY21" i="3"/>
  <c r="HV21" i="3"/>
  <c r="HS21" i="3"/>
  <c r="AW45" i="3"/>
  <c r="HT5" i="3"/>
  <c r="BA45" i="3"/>
  <c r="HT9" i="3"/>
  <c r="BE45" i="3"/>
  <c r="HT13" i="3"/>
  <c r="BI45" i="3"/>
  <c r="HT17" i="3"/>
  <c r="BM45" i="3"/>
  <c r="HT23" i="3"/>
  <c r="IJ15" i="3"/>
  <c r="IG15" i="3"/>
  <c r="ID15" i="3"/>
  <c r="IG19" i="3"/>
  <c r="IJ19" i="3"/>
  <c r="ID19" i="3"/>
  <c r="ID22" i="3"/>
  <c r="IJ22" i="3"/>
  <c r="AX47" i="3"/>
  <c r="IE6" i="3"/>
  <c r="BF47" i="3"/>
  <c r="IE14" i="3"/>
  <c r="IR14" i="3"/>
  <c r="IU14" i="3"/>
  <c r="IO14" i="3"/>
  <c r="IR18" i="3"/>
  <c r="IU18" i="3"/>
  <c r="IO18" i="3"/>
  <c r="IU21" i="3"/>
  <c r="IR21" i="3"/>
  <c r="IO21" i="3"/>
  <c r="BA51" i="3"/>
  <c r="IP9" i="3"/>
  <c r="BI51" i="3"/>
  <c r="IP17" i="3"/>
  <c r="IU17" i="3" s="1"/>
  <c r="JF13" i="3"/>
  <c r="IZ13" i="3"/>
  <c r="JC13" i="3"/>
  <c r="JF17" i="3"/>
  <c r="IZ17" i="3"/>
  <c r="JC17" i="3"/>
  <c r="JF23" i="3"/>
  <c r="JC23" i="3"/>
  <c r="IZ23" i="3"/>
  <c r="JQ17" i="3"/>
  <c r="JN17" i="3"/>
  <c r="JK17" i="3"/>
  <c r="JQ23" i="3"/>
  <c r="JN23" i="3"/>
  <c r="JK23" i="3"/>
  <c r="KF4" i="3"/>
  <c r="KM4" i="3" s="1"/>
  <c r="KG12" i="3"/>
  <c r="KM12" i="3"/>
  <c r="KJ12" i="3"/>
  <c r="KJ16" i="3"/>
  <c r="KM16" i="3"/>
  <c r="KG16" i="3"/>
  <c r="KJ20" i="3"/>
  <c r="KM20" i="3"/>
  <c r="KG20" i="3"/>
  <c r="ME23" i="3"/>
  <c r="MB23" i="3"/>
  <c r="LY23" i="3"/>
  <c r="ME13" i="3"/>
  <c r="LY13" i="3"/>
  <c r="MB13" i="3"/>
  <c r="ME17" i="3"/>
  <c r="LY17" i="3"/>
  <c r="MB17" i="3"/>
  <c r="ME19" i="3"/>
  <c r="MB19" i="3"/>
  <c r="LY19" i="3"/>
  <c r="MB22" i="3"/>
  <c r="ME22" i="3"/>
  <c r="LY22" i="3"/>
  <c r="JC18" i="3"/>
  <c r="IZ18" i="3"/>
  <c r="JF18" i="3"/>
  <c r="JF21" i="3"/>
  <c r="IZ21" i="3"/>
  <c r="JC21" i="3"/>
  <c r="KB14" i="3"/>
  <c r="JY14" i="3"/>
  <c r="JV14" i="3"/>
  <c r="KB18" i="3"/>
  <c r="JY18" i="3"/>
  <c r="JV18" i="3"/>
  <c r="JY21" i="3"/>
  <c r="JV21" i="3"/>
  <c r="KB21" i="3"/>
  <c r="KM13" i="3"/>
  <c r="KJ13" i="3"/>
  <c r="KG13" i="3"/>
  <c r="KM17" i="3"/>
  <c r="KJ17" i="3"/>
  <c r="KG17" i="3"/>
  <c r="KJ23" i="3"/>
  <c r="KM23" i="3"/>
  <c r="KG23" i="3"/>
  <c r="KQ4" i="3"/>
  <c r="KQ5" i="3" s="1"/>
  <c r="KQ6" i="3" s="1"/>
  <c r="KQ7" i="3" s="1"/>
  <c r="KQ8" i="3" s="1"/>
  <c r="KQ9" i="3" s="1"/>
  <c r="KQ10" i="3" s="1"/>
  <c r="KQ11" i="3" s="1"/>
  <c r="KQ12" i="3" s="1"/>
  <c r="KQ13" i="3" s="1"/>
  <c r="KQ14" i="3" s="1"/>
  <c r="KQ15" i="3" s="1"/>
  <c r="KQ16" i="3" s="1"/>
  <c r="KQ17" i="3" s="1"/>
  <c r="KQ18" i="3" s="1"/>
  <c r="KQ19" i="3" s="1"/>
  <c r="KQ20" i="3" s="1"/>
  <c r="KQ21" i="3" s="1"/>
  <c r="KQ22" i="3" s="1"/>
  <c r="KQ23" i="3" s="1"/>
  <c r="KX8" i="3"/>
  <c r="KU12" i="3"/>
  <c r="KX12" i="3"/>
  <c r="KR12" i="3"/>
  <c r="KU16" i="3"/>
  <c r="KX16" i="3"/>
  <c r="KR16" i="3"/>
  <c r="KU20" i="3"/>
  <c r="KX20" i="3"/>
  <c r="KR20" i="3"/>
  <c r="JV15" i="3"/>
  <c r="JY15" i="3"/>
  <c r="KB15" i="3"/>
  <c r="JY19" i="3"/>
  <c r="JV19" i="3"/>
  <c r="KB19" i="3"/>
  <c r="KB22" i="3"/>
  <c r="JY22" i="3"/>
  <c r="JV22" i="3"/>
  <c r="FS21" i="3"/>
  <c r="FV21" i="3"/>
  <c r="FP21" i="3"/>
  <c r="FP18" i="3"/>
  <c r="FV16" i="3"/>
  <c r="FO4" i="3"/>
  <c r="FO5" i="3" s="1"/>
  <c r="FO6" i="3" s="1"/>
  <c r="FO7" i="3" s="1"/>
  <c r="FO8" i="3" s="1"/>
  <c r="FO9" i="3" s="1"/>
  <c r="FO10" i="3" s="1"/>
  <c r="FO11" i="3" s="1"/>
  <c r="FO12" i="3" s="1"/>
  <c r="FO13" i="3" s="1"/>
  <c r="FO14" i="3" s="1"/>
  <c r="FO15" i="3" s="1"/>
  <c r="FO16" i="3" s="1"/>
  <c r="FO17" i="3" s="1"/>
  <c r="FO18" i="3" s="1"/>
  <c r="FO19" i="3" s="1"/>
  <c r="FO20" i="3" s="1"/>
  <c r="FO21" i="3" s="1"/>
  <c r="FO22" i="3" s="1"/>
  <c r="FO23" i="3" s="1"/>
  <c r="IY4" i="3"/>
  <c r="IY5" i="3" s="1"/>
  <c r="IY6" i="3" s="1"/>
  <c r="IY7" i="3" s="1"/>
  <c r="IY8" i="3" s="1"/>
  <c r="IY9" i="3" s="1"/>
  <c r="IY10" i="3" s="1"/>
  <c r="IY11" i="3" s="1"/>
  <c r="IY12" i="3" s="1"/>
  <c r="IY13" i="3" s="1"/>
  <c r="IY14" i="3" s="1"/>
  <c r="IY15" i="3" s="1"/>
  <c r="IY16" i="3" s="1"/>
  <c r="IY17" i="3" s="1"/>
  <c r="IY18" i="3" s="1"/>
  <c r="IY19" i="3" s="1"/>
  <c r="IY20" i="3" s="1"/>
  <c r="IY21" i="3" s="1"/>
  <c r="IY22" i="3" s="1"/>
  <c r="IY23" i="3" s="1"/>
  <c r="JF8" i="3"/>
  <c r="JC12" i="3"/>
  <c r="IZ12" i="3"/>
  <c r="JC16" i="3"/>
  <c r="JF16" i="3"/>
  <c r="IZ16" i="3"/>
  <c r="JC20" i="3"/>
  <c r="JF20" i="3"/>
  <c r="IZ20" i="3"/>
  <c r="JU4" i="3"/>
  <c r="JU5" i="3" s="1"/>
  <c r="JU6" i="3" s="1"/>
  <c r="JU7" i="3" s="1"/>
  <c r="JU8" i="3" s="1"/>
  <c r="JU9" i="3" s="1"/>
  <c r="JU10" i="3" s="1"/>
  <c r="JU11" i="3" s="1"/>
  <c r="JU12" i="3" s="1"/>
  <c r="JU13" i="3" s="1"/>
  <c r="JU14" i="3" s="1"/>
  <c r="JU15" i="3" s="1"/>
  <c r="JU16" i="3" s="1"/>
  <c r="JU17" i="3" s="1"/>
  <c r="JU18" i="3" s="1"/>
  <c r="JU19" i="3" s="1"/>
  <c r="JU20" i="3" s="1"/>
  <c r="JU21" i="3" s="1"/>
  <c r="JU22" i="3" s="1"/>
  <c r="JU23" i="3" s="1"/>
  <c r="KB12" i="3"/>
  <c r="JY16" i="3"/>
  <c r="KB16" i="3"/>
  <c r="JV16" i="3"/>
  <c r="JY20" i="3"/>
  <c r="KB20" i="3"/>
  <c r="JV20" i="3"/>
  <c r="KJ15" i="3"/>
  <c r="KM15" i="3"/>
  <c r="KG15" i="3"/>
  <c r="KJ19" i="3"/>
  <c r="KM19" i="3"/>
  <c r="KG19" i="3"/>
  <c r="KJ22" i="3"/>
  <c r="KM22" i="3"/>
  <c r="KG22" i="3"/>
  <c r="KU10" i="3"/>
  <c r="KR10" i="3"/>
  <c r="KX10" i="3"/>
  <c r="KU14" i="3"/>
  <c r="KR14" i="3"/>
  <c r="KX14" i="3"/>
  <c r="KU18" i="3"/>
  <c r="KR18" i="3"/>
  <c r="KX18" i="3"/>
  <c r="KX21" i="3"/>
  <c r="KU21" i="3"/>
  <c r="KR21" i="3"/>
  <c r="GO16" i="3"/>
  <c r="GR16" i="3"/>
  <c r="GL16" i="3"/>
  <c r="GO20" i="3"/>
  <c r="GR20" i="3"/>
  <c r="GL20" i="3"/>
  <c r="BN36" i="3"/>
  <c r="GP21" i="3"/>
  <c r="GO21" i="3" s="1"/>
  <c r="JY9" i="3"/>
  <c r="KB9" i="3"/>
  <c r="JY13" i="3"/>
  <c r="JV13" i="3"/>
  <c r="KB13" i="3"/>
  <c r="JY17" i="3"/>
  <c r="JV17" i="3"/>
  <c r="KB17" i="3"/>
  <c r="JY23" i="3"/>
  <c r="JV23" i="3"/>
  <c r="KB23" i="3"/>
  <c r="BC66" i="3"/>
  <c r="KS11" i="3"/>
  <c r="BG66" i="3"/>
  <c r="KS15" i="3"/>
  <c r="BK66" i="3"/>
  <c r="KS19" i="3"/>
  <c r="BE66" i="3"/>
  <c r="KS13" i="3"/>
  <c r="KX13" i="3" s="1"/>
  <c r="BM66" i="3"/>
  <c r="KS23" i="3"/>
  <c r="KX23" i="3" s="1"/>
  <c r="MB16" i="3"/>
  <c r="ME16" i="3"/>
  <c r="LY16" i="3"/>
  <c r="MB20" i="3"/>
  <c r="ME20" i="3"/>
  <c r="LY20" i="3"/>
  <c r="JN18" i="3"/>
  <c r="JQ18" i="3"/>
  <c r="JK18" i="3"/>
  <c r="JQ21" i="3"/>
  <c r="JN21" i="3"/>
  <c r="JK21" i="3"/>
  <c r="LM4" i="3"/>
  <c r="LM5" i="3" s="1"/>
  <c r="JN22" i="3"/>
  <c r="JQ22" i="3"/>
  <c r="JK22" i="3"/>
  <c r="BL39" i="3"/>
  <c r="HA20" i="3"/>
  <c r="GZ20" i="3" s="1"/>
  <c r="MB18" i="3"/>
  <c r="LY18" i="3"/>
  <c r="ME18" i="3"/>
  <c r="ME21" i="3"/>
  <c r="LY21" i="3"/>
  <c r="MB21" i="3"/>
  <c r="FS22" i="3"/>
  <c r="FP22" i="3"/>
  <c r="FV22" i="3"/>
  <c r="FS23" i="3"/>
  <c r="FV23" i="3"/>
  <c r="FP23" i="3"/>
  <c r="FV19" i="3"/>
  <c r="FS19" i="3"/>
  <c r="FP19" i="3"/>
  <c r="FS17" i="3"/>
  <c r="FV17" i="3"/>
  <c r="FP17" i="3"/>
  <c r="FV15" i="3"/>
  <c r="FS15" i="3"/>
  <c r="FP15" i="3"/>
  <c r="FS13" i="3"/>
  <c r="FV13" i="3"/>
  <c r="FP13" i="3"/>
  <c r="FV11" i="3"/>
  <c r="FS11" i="3"/>
  <c r="FP11" i="3"/>
  <c r="FS9" i="3"/>
  <c r="FV9" i="3"/>
  <c r="FP9" i="3"/>
  <c r="FV7" i="3"/>
  <c r="FS7" i="3"/>
  <c r="FP7" i="3"/>
  <c r="LX4" i="3"/>
  <c r="LX5" i="3" s="1"/>
  <c r="LX6" i="3" s="1"/>
  <c r="LX7" i="3" s="1"/>
  <c r="LX8" i="3" s="1"/>
  <c r="LX9" i="3" s="1"/>
  <c r="LX10" i="3" s="1"/>
  <c r="LX11" i="3" s="1"/>
  <c r="LX12" i="3" s="1"/>
  <c r="LX13" i="3" s="1"/>
  <c r="LX14" i="3" s="1"/>
  <c r="LX15" i="3" s="1"/>
  <c r="LX16" i="3" s="1"/>
  <c r="LX17" i="3" s="1"/>
  <c r="LX18" i="3" s="1"/>
  <c r="LX19" i="3" s="1"/>
  <c r="LX20" i="3" s="1"/>
  <c r="LX21" i="3" s="1"/>
  <c r="LX22" i="3" s="1"/>
  <c r="LX23" i="3" s="1"/>
  <c r="KX7" i="3"/>
  <c r="KU7" i="3"/>
  <c r="KR7" i="3"/>
  <c r="IC4" i="3"/>
  <c r="IJ4" i="3" s="1"/>
  <c r="IG20" i="3"/>
  <c r="ID20" i="3"/>
  <c r="IJ20" i="3"/>
  <c r="MB14" i="3"/>
  <c r="LY14" i="3"/>
  <c r="ME14" i="3"/>
  <c r="IU13" i="3"/>
  <c r="IR13" i="3"/>
  <c r="IO13" i="3"/>
  <c r="IU23" i="3"/>
  <c r="IR23" i="3"/>
  <c r="IO23" i="3"/>
  <c r="JN16" i="3"/>
  <c r="JK16" i="3"/>
  <c r="JQ16" i="3"/>
  <c r="JJ4" i="3"/>
  <c r="JJ5" i="3" s="1"/>
  <c r="JJ6" i="3" s="1"/>
  <c r="JJ7" i="3" s="1"/>
  <c r="JJ8" i="3" s="1"/>
  <c r="JJ9" i="3" s="1"/>
  <c r="JJ10" i="3" s="1"/>
  <c r="JJ11" i="3" s="1"/>
  <c r="JJ12" i="3" s="1"/>
  <c r="JJ13" i="3" s="1"/>
  <c r="JJ14" i="3" s="1"/>
  <c r="JJ15" i="3" s="1"/>
  <c r="JJ16" i="3" s="1"/>
  <c r="JJ17" i="3" s="1"/>
  <c r="JJ18" i="3" s="1"/>
  <c r="JJ19" i="3" s="1"/>
  <c r="JJ20" i="3" s="1"/>
  <c r="JJ21" i="3" s="1"/>
  <c r="JJ22" i="3" s="1"/>
  <c r="JJ23" i="3" s="1"/>
  <c r="JN20" i="3"/>
  <c r="JK20" i="3"/>
  <c r="JQ20" i="3"/>
  <c r="GO14" i="3"/>
  <c r="GL14" i="3"/>
  <c r="GR14" i="3"/>
  <c r="HN19" i="3"/>
  <c r="HK19" i="3"/>
  <c r="HH19" i="3"/>
  <c r="IJ21" i="3"/>
  <c r="IG21" i="3"/>
  <c r="ID21" i="3"/>
  <c r="ID18" i="3"/>
  <c r="IJ18" i="3"/>
  <c r="GK4" i="3"/>
  <c r="GK5" i="3" s="1"/>
  <c r="GK6" i="3" s="1"/>
  <c r="GK7" i="3" s="1"/>
  <c r="GK8" i="3" s="1"/>
  <c r="GK9" i="3" s="1"/>
  <c r="GK10" i="3" s="1"/>
  <c r="GK11" i="3" s="1"/>
  <c r="GK12" i="3" s="1"/>
  <c r="GK13" i="3" s="1"/>
  <c r="GK14" i="3" s="1"/>
  <c r="GK15" i="3" s="1"/>
  <c r="GK16" i="3" s="1"/>
  <c r="GK17" i="3" s="1"/>
  <c r="GK18" i="3" s="1"/>
  <c r="GK19" i="3" s="1"/>
  <c r="GK20" i="3" s="1"/>
  <c r="GK21" i="3" s="1"/>
  <c r="GK22" i="3" s="1"/>
  <c r="GK23" i="3" s="1"/>
  <c r="AW37" i="3"/>
  <c r="GM5" i="3"/>
  <c r="BE36" i="3"/>
  <c r="GM13" i="3"/>
  <c r="BM36" i="3"/>
  <c r="GM23" i="3"/>
  <c r="HN13" i="3"/>
  <c r="HK13" i="3"/>
  <c r="HH13" i="3"/>
  <c r="HN23" i="3"/>
  <c r="HH23" i="3"/>
  <c r="HK23" i="3"/>
  <c r="GO18" i="3"/>
  <c r="GL18" i="3"/>
  <c r="GR18" i="3"/>
  <c r="HK14" i="3"/>
  <c r="HH14" i="3"/>
  <c r="HN14" i="3"/>
  <c r="HK18" i="3"/>
  <c r="HH18" i="3"/>
  <c r="HN18" i="3"/>
  <c r="HN21" i="3"/>
  <c r="HK21" i="3"/>
  <c r="HH21" i="3"/>
  <c r="IU22" i="3"/>
  <c r="IR22" i="3"/>
  <c r="IO22" i="3"/>
  <c r="GR15" i="3"/>
  <c r="GO15" i="3"/>
  <c r="GL15" i="3"/>
  <c r="GR19" i="3"/>
  <c r="GO19" i="3"/>
  <c r="GL19" i="3"/>
  <c r="GO22" i="3"/>
  <c r="GL22" i="3"/>
  <c r="GR22" i="3"/>
  <c r="GZ10" i="3"/>
  <c r="HC10" i="3"/>
  <c r="GW10" i="3"/>
  <c r="GZ14" i="3"/>
  <c r="HC14" i="3"/>
  <c r="GW14" i="3"/>
  <c r="GZ18" i="3"/>
  <c r="HC18" i="3"/>
  <c r="GW18" i="3"/>
  <c r="HC21" i="3"/>
  <c r="GZ21" i="3"/>
  <c r="GW21" i="3"/>
  <c r="IU7" i="3"/>
  <c r="IO7" i="3"/>
  <c r="IR7" i="3"/>
  <c r="BI37" i="3"/>
  <c r="GM17" i="3"/>
  <c r="BH42" i="3"/>
  <c r="HF16" i="3"/>
  <c r="BA36" i="3"/>
  <c r="GM9" i="3"/>
  <c r="HK20" i="3"/>
  <c r="HN20" i="3"/>
  <c r="HH20" i="3"/>
  <c r="JN12" i="3"/>
  <c r="JK12" i="3"/>
  <c r="JQ12" i="3"/>
  <c r="KX9" i="3"/>
  <c r="KU9" i="3"/>
  <c r="KR9" i="3"/>
  <c r="KX17" i="3"/>
  <c r="KU17" i="3"/>
  <c r="KR17" i="3"/>
  <c r="AW42" i="3"/>
  <c r="BM42" i="3"/>
  <c r="AW51" i="3"/>
  <c r="BE51" i="3"/>
  <c r="BM51" i="3"/>
  <c r="BJ36" i="3"/>
  <c r="BA66" i="3"/>
  <c r="BI66" i="3"/>
  <c r="BH39" i="3"/>
  <c r="AW36" i="3"/>
  <c r="BB47" i="3"/>
  <c r="BJ49" i="3"/>
  <c r="AY36" i="3"/>
  <c r="BG36" i="3"/>
  <c r="BO36" i="3"/>
  <c r="BB39" i="3"/>
  <c r="BJ39" i="3"/>
  <c r="AZ40" i="3"/>
  <c r="BA35" i="3"/>
  <c r="BL43" i="3"/>
  <c r="BD37" i="3"/>
  <c r="AZ36" i="3"/>
  <c r="BL42" i="3"/>
  <c r="BH43" i="3"/>
  <c r="BA37" i="3"/>
  <c r="BL41" i="3"/>
  <c r="GB21" i="3"/>
  <c r="AZ37" i="3"/>
  <c r="BC42" i="3"/>
  <c r="BK42" i="3"/>
  <c r="AY51" i="3"/>
  <c r="BG51" i="3"/>
  <c r="BO51" i="3"/>
  <c r="BE42" i="3"/>
  <c r="BC36" i="3"/>
  <c r="BK36" i="3"/>
  <c r="BF36" i="3"/>
  <c r="AX39" i="3"/>
  <c r="BF39" i="3"/>
  <c r="BN39" i="3"/>
  <c r="AV40" i="3"/>
  <c r="BD40" i="3"/>
  <c r="BI36" i="3"/>
  <c r="BH41" i="3"/>
  <c r="AV37" i="3"/>
  <c r="BJ41" i="3"/>
  <c r="BF43" i="3"/>
  <c r="BN43" i="3"/>
  <c r="BM37" i="3"/>
  <c r="FC20" i="3"/>
  <c r="BM35" i="3"/>
  <c r="AV36" i="3"/>
  <c r="BF42" i="3"/>
  <c r="BN42" i="3"/>
  <c r="BJ42" i="3"/>
  <c r="BE37" i="3"/>
  <c r="BF41" i="3"/>
  <c r="BJ43" i="3"/>
  <c r="BN41" i="3"/>
  <c r="BE35" i="3"/>
  <c r="BI35" i="3"/>
  <c r="AZ35" i="3"/>
  <c r="BD36" i="3"/>
  <c r="BN49" i="3"/>
  <c r="FC12" i="3"/>
  <c r="AW35" i="3"/>
  <c r="AV35" i="3"/>
  <c r="BD35" i="3"/>
  <c r="FC16" i="3"/>
  <c r="FC8" i="3"/>
  <c r="AV57" i="3"/>
  <c r="BL57" i="3"/>
  <c r="BO66" i="3"/>
  <c r="AZ58" i="3"/>
  <c r="BH57" i="3"/>
  <c r="BD57" i="3"/>
  <c r="AY35" i="3"/>
  <c r="AY37" i="3"/>
  <c r="BC35" i="3"/>
  <c r="BC37" i="3"/>
  <c r="BG35" i="3"/>
  <c r="BG37" i="3"/>
  <c r="BK35" i="3"/>
  <c r="BK37" i="3"/>
  <c r="BO35" i="3"/>
  <c r="BO37" i="3"/>
  <c r="AV39" i="3"/>
  <c r="AX38" i="3"/>
  <c r="AX40" i="3"/>
  <c r="AZ39" i="3"/>
  <c r="BB38" i="3"/>
  <c r="BB40" i="3"/>
  <c r="BD39" i="3"/>
  <c r="BF38" i="3"/>
  <c r="BJ40" i="3"/>
  <c r="BN38" i="3"/>
  <c r="BA52" i="3"/>
  <c r="BI50" i="3"/>
  <c r="BA65" i="3"/>
  <c r="BE67" i="3"/>
  <c r="BI65" i="3"/>
  <c r="BM67" i="3"/>
  <c r="BJ35" i="3"/>
  <c r="AW43" i="3"/>
  <c r="BA41" i="3"/>
  <c r="BE43" i="3"/>
  <c r="BI41" i="3"/>
  <c r="BM43" i="3"/>
  <c r="AY44" i="3"/>
  <c r="BC46" i="3"/>
  <c r="BG44" i="3"/>
  <c r="BK46" i="3"/>
  <c r="BO44" i="3"/>
  <c r="BB48" i="3"/>
  <c r="BJ48" i="3"/>
  <c r="AY52" i="3"/>
  <c r="BG50" i="3"/>
  <c r="BO52" i="3"/>
  <c r="BD56" i="3"/>
  <c r="AZ57" i="3"/>
  <c r="AV38" i="3"/>
  <c r="AZ38" i="3"/>
  <c r="BD38" i="3"/>
  <c r="BF40" i="3"/>
  <c r="BJ38" i="3"/>
  <c r="BN40" i="3"/>
  <c r="BA50" i="3"/>
  <c r="BI52" i="3"/>
  <c r="AZ56" i="3"/>
  <c r="BA67" i="3"/>
  <c r="BE65" i="3"/>
  <c r="BI67" i="3"/>
  <c r="BM65" i="3"/>
  <c r="BJ37" i="3"/>
  <c r="AW41" i="3"/>
  <c r="BA43" i="3"/>
  <c r="BE41" i="3"/>
  <c r="BI43" i="3"/>
  <c r="BM41" i="3"/>
  <c r="AY46" i="3"/>
  <c r="BC44" i="3"/>
  <c r="BG46" i="3"/>
  <c r="BK44" i="3"/>
  <c r="BO46" i="3"/>
  <c r="BB49" i="3"/>
  <c r="BJ47" i="3"/>
  <c r="AY50" i="3"/>
  <c r="BG52" i="3"/>
  <c r="BO50" i="3"/>
  <c r="BD58" i="3"/>
  <c r="AY43" i="3"/>
  <c r="AY41" i="3"/>
  <c r="BC43" i="3"/>
  <c r="BC41" i="3"/>
  <c r="BG43" i="3"/>
  <c r="BG41" i="3"/>
  <c r="BK43" i="3"/>
  <c r="BK41" i="3"/>
  <c r="BO43" i="3"/>
  <c r="BO41" i="3"/>
  <c r="BC52" i="3"/>
  <c r="BC50" i="3"/>
  <c r="BK52" i="3"/>
  <c r="BK50" i="3"/>
  <c r="AW46" i="3"/>
  <c r="AW44" i="3"/>
  <c r="BA46" i="3"/>
  <c r="BA44" i="3"/>
  <c r="BE46" i="3"/>
  <c r="BE44" i="3"/>
  <c r="BI46" i="3"/>
  <c r="BI44" i="3"/>
  <c r="BM46" i="3"/>
  <c r="BM44" i="3"/>
  <c r="AX48" i="3"/>
  <c r="AX49" i="3"/>
  <c r="BF48" i="3"/>
  <c r="BF49" i="3"/>
  <c r="BN47" i="3"/>
  <c r="BN48" i="3"/>
  <c r="AW52" i="3"/>
  <c r="AW50" i="3"/>
  <c r="BE52" i="3"/>
  <c r="BE50" i="3"/>
  <c r="BM52" i="3"/>
  <c r="BM50" i="3"/>
  <c r="BF37" i="3"/>
  <c r="BF35" i="3"/>
  <c r="BN37" i="3"/>
  <c r="BN35" i="3"/>
  <c r="BC67" i="3"/>
  <c r="BC65" i="3"/>
  <c r="BG67" i="3"/>
  <c r="BG65" i="3"/>
  <c r="BK67" i="3"/>
  <c r="BK65" i="3"/>
  <c r="BO67" i="3"/>
  <c r="BO65" i="3"/>
  <c r="BH40" i="3"/>
  <c r="BH38" i="3"/>
  <c r="BL40" i="3"/>
  <c r="BL38" i="3"/>
  <c r="AV58" i="3"/>
  <c r="AV56" i="3"/>
  <c r="BH58" i="3"/>
  <c r="BH56" i="3"/>
  <c r="BL58" i="3"/>
  <c r="BL56" i="3"/>
  <c r="AY40" i="3"/>
  <c r="AY39" i="3"/>
  <c r="AY38" i="3"/>
  <c r="BC40" i="3"/>
  <c r="BC39" i="3"/>
  <c r="BC38" i="3"/>
  <c r="BG40" i="3"/>
  <c r="BG39" i="3"/>
  <c r="BG38" i="3"/>
  <c r="BK40" i="3"/>
  <c r="BK39" i="3"/>
  <c r="BK38" i="3"/>
  <c r="BO40" i="3"/>
  <c r="BO39" i="3"/>
  <c r="BO38" i="3"/>
  <c r="AV43" i="3"/>
  <c r="AV42" i="3"/>
  <c r="AV41" i="3"/>
  <c r="AZ43" i="3"/>
  <c r="AZ42" i="3"/>
  <c r="AZ41" i="3"/>
  <c r="BD43" i="3"/>
  <c r="BD42" i="3"/>
  <c r="BD41" i="3"/>
  <c r="AV46" i="3"/>
  <c r="AV45" i="3"/>
  <c r="AV44" i="3"/>
  <c r="AZ46" i="3"/>
  <c r="AZ45" i="3"/>
  <c r="AZ44" i="3"/>
  <c r="BD46" i="3"/>
  <c r="BD45" i="3"/>
  <c r="BD44" i="3"/>
  <c r="BH46" i="3"/>
  <c r="BH45" i="3"/>
  <c r="BH44" i="3"/>
  <c r="BL46" i="3"/>
  <c r="BL45" i="3"/>
  <c r="BL44" i="3"/>
  <c r="AW49" i="3"/>
  <c r="AW48" i="3"/>
  <c r="AW47" i="3"/>
  <c r="BA49" i="3"/>
  <c r="BA48" i="3"/>
  <c r="BA47" i="3"/>
  <c r="BE49" i="3"/>
  <c r="BE48" i="3"/>
  <c r="BE47" i="3"/>
  <c r="BI49" i="3"/>
  <c r="BI48" i="3"/>
  <c r="BI47" i="3"/>
  <c r="BM49" i="3"/>
  <c r="BM48" i="3"/>
  <c r="BM47" i="3"/>
  <c r="AV52" i="3"/>
  <c r="AV51" i="3"/>
  <c r="AV50" i="3"/>
  <c r="AZ52" i="3"/>
  <c r="AZ51" i="3"/>
  <c r="AZ50" i="3"/>
  <c r="BD52" i="3"/>
  <c r="BD51" i="3"/>
  <c r="BD50" i="3"/>
  <c r="BH52" i="3"/>
  <c r="BH51" i="3"/>
  <c r="BH50" i="3"/>
  <c r="BL52" i="3"/>
  <c r="BL51" i="3"/>
  <c r="BL50" i="3"/>
  <c r="AY55" i="3"/>
  <c r="AY54" i="3"/>
  <c r="AY53" i="3"/>
  <c r="BC55" i="3"/>
  <c r="BC54" i="3"/>
  <c r="BC53" i="3"/>
  <c r="BG55" i="3"/>
  <c r="BG54" i="3"/>
  <c r="BG53" i="3"/>
  <c r="BK55" i="3"/>
  <c r="BK54" i="3"/>
  <c r="BK53" i="3"/>
  <c r="BO55" i="3"/>
  <c r="BO54" i="3"/>
  <c r="BO53" i="3"/>
  <c r="AY58" i="3"/>
  <c r="AY57" i="3"/>
  <c r="AY56" i="3"/>
  <c r="BC58" i="3"/>
  <c r="BC57" i="3"/>
  <c r="BC56" i="3"/>
  <c r="BG58" i="3"/>
  <c r="BG57" i="3"/>
  <c r="BG56" i="3"/>
  <c r="BK58" i="3"/>
  <c r="BK57" i="3"/>
  <c r="BK56" i="3"/>
  <c r="BO58" i="3"/>
  <c r="BO57" i="3"/>
  <c r="BO56" i="3"/>
  <c r="AX64" i="3"/>
  <c r="AX63" i="3"/>
  <c r="AX62" i="3"/>
  <c r="BB64" i="3"/>
  <c r="BB63" i="3"/>
  <c r="BB62" i="3"/>
  <c r="BF64" i="3"/>
  <c r="BF63" i="3"/>
  <c r="BF62" i="3"/>
  <c r="BJ64" i="3"/>
  <c r="BJ63" i="3"/>
  <c r="BJ62" i="3"/>
  <c r="BN64" i="3"/>
  <c r="BN63" i="3"/>
  <c r="BN62" i="3"/>
  <c r="AW40" i="3"/>
  <c r="AW39" i="3"/>
  <c r="AW38" i="3"/>
  <c r="BA40" i="3"/>
  <c r="BA39" i="3"/>
  <c r="BA38" i="3"/>
  <c r="BE40" i="3"/>
  <c r="BE39" i="3"/>
  <c r="BE38" i="3"/>
  <c r="BI40" i="3"/>
  <c r="BI39" i="3"/>
  <c r="BI38" i="3"/>
  <c r="BM40" i="3"/>
  <c r="BM39" i="3"/>
  <c r="BM38" i="3"/>
  <c r="AX43" i="3"/>
  <c r="AX42" i="3"/>
  <c r="AX41" i="3"/>
  <c r="BB43" i="3"/>
  <c r="BB42" i="3"/>
  <c r="BB41" i="3"/>
  <c r="AX46" i="3"/>
  <c r="AX45" i="3"/>
  <c r="AX44" i="3"/>
  <c r="BB46" i="3"/>
  <c r="BB45" i="3"/>
  <c r="BB44" i="3"/>
  <c r="BF46" i="3"/>
  <c r="BF45" i="3"/>
  <c r="BF44" i="3"/>
  <c r="BJ46" i="3"/>
  <c r="BJ45" i="3"/>
  <c r="BJ44" i="3"/>
  <c r="BN46" i="3"/>
  <c r="BN45" i="3"/>
  <c r="BN44" i="3"/>
  <c r="AY49" i="3"/>
  <c r="AY48" i="3"/>
  <c r="AY47" i="3"/>
  <c r="BC49" i="3"/>
  <c r="BC48" i="3"/>
  <c r="BC47" i="3"/>
  <c r="BG49" i="3"/>
  <c r="BG48" i="3"/>
  <c r="BG47" i="3"/>
  <c r="BK49" i="3"/>
  <c r="BK48" i="3"/>
  <c r="BK47" i="3"/>
  <c r="BO49" i="3"/>
  <c r="BO48" i="3"/>
  <c r="BO47" i="3"/>
  <c r="AX52" i="3"/>
  <c r="AX51" i="3"/>
  <c r="AX50" i="3"/>
  <c r="BB52" i="3"/>
  <c r="BB51" i="3"/>
  <c r="BB50" i="3"/>
  <c r="BF52" i="3"/>
  <c r="BF51" i="3"/>
  <c r="BF50" i="3"/>
  <c r="BJ52" i="3"/>
  <c r="BJ51" i="3"/>
  <c r="BJ50" i="3"/>
  <c r="BN52" i="3"/>
  <c r="BN51" i="3"/>
  <c r="BN50" i="3"/>
  <c r="AW55" i="3"/>
  <c r="AW54" i="3"/>
  <c r="AW53" i="3"/>
  <c r="BA55" i="3"/>
  <c r="BA54" i="3"/>
  <c r="BA53" i="3"/>
  <c r="BE55" i="3"/>
  <c r="BE54" i="3"/>
  <c r="BE53" i="3"/>
  <c r="BI55" i="3"/>
  <c r="BI54" i="3"/>
  <c r="BI53" i="3"/>
  <c r="BM55" i="3"/>
  <c r="BM54" i="3"/>
  <c r="BM53" i="3"/>
  <c r="AW58" i="3"/>
  <c r="AW57" i="3"/>
  <c r="AW56" i="3"/>
  <c r="BA58" i="3"/>
  <c r="BA57" i="3"/>
  <c r="BA56" i="3"/>
  <c r="BE58" i="3"/>
  <c r="BE57" i="3"/>
  <c r="BE56" i="3"/>
  <c r="BI58" i="3"/>
  <c r="BI57" i="3"/>
  <c r="BI56" i="3"/>
  <c r="BM58" i="3"/>
  <c r="BM57" i="3"/>
  <c r="BM56" i="3"/>
  <c r="AV64" i="3"/>
  <c r="AV63" i="3"/>
  <c r="AV62" i="3"/>
  <c r="AZ64" i="3"/>
  <c r="AZ63" i="3"/>
  <c r="AZ62" i="3"/>
  <c r="BD64" i="3"/>
  <c r="BD63" i="3"/>
  <c r="BD62" i="3"/>
  <c r="BH64" i="3"/>
  <c r="BH63" i="3"/>
  <c r="BH62" i="3"/>
  <c r="BL64" i="3"/>
  <c r="BL63" i="3"/>
  <c r="BL62" i="3"/>
  <c r="BM76" i="3"/>
  <c r="BM75" i="3"/>
  <c r="BM74" i="3"/>
  <c r="AW76" i="3"/>
  <c r="AW75" i="3"/>
  <c r="AW74" i="3"/>
  <c r="BE76" i="3"/>
  <c r="BE75" i="3"/>
  <c r="BE74" i="3"/>
  <c r="BI76" i="3"/>
  <c r="BI75" i="3"/>
  <c r="BI74" i="3"/>
  <c r="BA76" i="3"/>
  <c r="BA75" i="3"/>
  <c r="BA74" i="3"/>
  <c r="BG76" i="3"/>
  <c r="BG75" i="3"/>
  <c r="BG74" i="3"/>
  <c r="AY76" i="3"/>
  <c r="AY75" i="3"/>
  <c r="AY74" i="3"/>
  <c r="BC76" i="3"/>
  <c r="BC75" i="3"/>
  <c r="BC74" i="3"/>
  <c r="BK76" i="3"/>
  <c r="BK75" i="3"/>
  <c r="BK74" i="3"/>
  <c r="BO76" i="3"/>
  <c r="BO75" i="3"/>
  <c r="BO74" i="3"/>
  <c r="AX55" i="3"/>
  <c r="AX54" i="3"/>
  <c r="AX53" i="3"/>
  <c r="BB55" i="3"/>
  <c r="BB54" i="3"/>
  <c r="BB53" i="3"/>
  <c r="BF55" i="3"/>
  <c r="BF54" i="3"/>
  <c r="BF53" i="3"/>
  <c r="BJ55" i="3"/>
  <c r="BJ54" i="3"/>
  <c r="BJ53" i="3"/>
  <c r="BN55" i="3"/>
  <c r="BN54" i="3"/>
  <c r="BN53" i="3"/>
  <c r="AX61" i="3"/>
  <c r="AX60" i="3"/>
  <c r="AX59" i="3"/>
  <c r="BB61" i="3"/>
  <c r="BB60" i="3"/>
  <c r="BB59" i="3"/>
  <c r="BF61" i="3"/>
  <c r="BF60" i="3"/>
  <c r="BF59" i="3"/>
  <c r="BJ61" i="3"/>
  <c r="BJ60" i="3"/>
  <c r="BJ59" i="3"/>
  <c r="BN61" i="3"/>
  <c r="BN60" i="3"/>
  <c r="BN59" i="3"/>
  <c r="AW64" i="3"/>
  <c r="AW63" i="3"/>
  <c r="AW62" i="3"/>
  <c r="BA64" i="3"/>
  <c r="BA63" i="3"/>
  <c r="BA62" i="3"/>
  <c r="BE64" i="3"/>
  <c r="BE63" i="3"/>
  <c r="BE62" i="3"/>
  <c r="BI64" i="3"/>
  <c r="BI63" i="3"/>
  <c r="BI62" i="3"/>
  <c r="BM64" i="3"/>
  <c r="BM63" i="3"/>
  <c r="BM62" i="3"/>
  <c r="AV67" i="3"/>
  <c r="AV66" i="3"/>
  <c r="AV65" i="3"/>
  <c r="AZ67" i="3"/>
  <c r="AZ66" i="3"/>
  <c r="AZ65" i="3"/>
  <c r="BD67" i="3"/>
  <c r="BD66" i="3"/>
  <c r="BD65" i="3"/>
  <c r="BH67" i="3"/>
  <c r="BH66" i="3"/>
  <c r="BH65" i="3"/>
  <c r="BL67" i="3"/>
  <c r="BL66" i="3"/>
  <c r="BL65" i="3"/>
  <c r="AX37" i="3"/>
  <c r="AX36" i="3"/>
  <c r="AX35" i="3"/>
  <c r="BB37" i="3"/>
  <c r="BB36" i="3"/>
  <c r="BB35" i="3"/>
  <c r="AY61" i="3"/>
  <c r="AY60" i="3"/>
  <c r="AY59" i="3"/>
  <c r="BC61" i="3"/>
  <c r="BC60" i="3"/>
  <c r="BC59" i="3"/>
  <c r="BG61" i="3"/>
  <c r="BG60" i="3"/>
  <c r="BG59" i="3"/>
  <c r="BK61" i="3"/>
  <c r="BK60" i="3"/>
  <c r="BK59" i="3"/>
  <c r="BO61" i="3"/>
  <c r="BO60" i="3"/>
  <c r="BO59" i="3"/>
  <c r="BN31" i="3"/>
  <c r="BN30" i="3"/>
  <c r="BN29" i="3"/>
  <c r="BL31" i="3"/>
  <c r="BL30" i="3"/>
  <c r="BL29" i="3"/>
  <c r="BJ31" i="3"/>
  <c r="BJ30" i="3"/>
  <c r="BJ29" i="3"/>
  <c r="BH31" i="3"/>
  <c r="BH30" i="3"/>
  <c r="BH29" i="3"/>
  <c r="BF31" i="3"/>
  <c r="BF30" i="3"/>
  <c r="BF29" i="3"/>
  <c r="BD31" i="3"/>
  <c r="BD30" i="3"/>
  <c r="BD29" i="3"/>
  <c r="BB31" i="3"/>
  <c r="BB30" i="3"/>
  <c r="BB29" i="3"/>
  <c r="AZ31" i="3"/>
  <c r="AZ30" i="3"/>
  <c r="AZ29" i="3"/>
  <c r="AX31" i="3"/>
  <c r="AX30" i="3"/>
  <c r="AX29" i="3"/>
  <c r="AV31" i="3"/>
  <c r="AV30" i="3"/>
  <c r="AV29" i="3"/>
  <c r="AV55" i="3"/>
  <c r="AV54" i="3"/>
  <c r="AV53" i="3"/>
  <c r="AZ55" i="3"/>
  <c r="AZ54" i="3"/>
  <c r="AZ53" i="3"/>
  <c r="BD55" i="3"/>
  <c r="BD54" i="3"/>
  <c r="BD53" i="3"/>
  <c r="BH55" i="3"/>
  <c r="BH54" i="3"/>
  <c r="BH53" i="3"/>
  <c r="BL55" i="3"/>
  <c r="BL54" i="3"/>
  <c r="BL53" i="3"/>
  <c r="AV61" i="3"/>
  <c r="AV60" i="3"/>
  <c r="AV59" i="3"/>
  <c r="AZ61" i="3"/>
  <c r="AZ60" i="3"/>
  <c r="AZ59" i="3"/>
  <c r="BD61" i="3"/>
  <c r="BD60" i="3"/>
  <c r="BD59" i="3"/>
  <c r="BH61" i="3"/>
  <c r="BH60" i="3"/>
  <c r="BH59" i="3"/>
  <c r="BL61" i="3"/>
  <c r="BL60" i="3"/>
  <c r="BL59" i="3"/>
  <c r="AY64" i="3"/>
  <c r="AY63" i="3"/>
  <c r="AY62" i="3"/>
  <c r="BC64" i="3"/>
  <c r="BC63" i="3"/>
  <c r="BC62" i="3"/>
  <c r="BG64" i="3"/>
  <c r="BG63" i="3"/>
  <c r="BG62" i="3"/>
  <c r="BK64" i="3"/>
  <c r="BK63" i="3"/>
  <c r="BK62" i="3"/>
  <c r="BO64" i="3"/>
  <c r="BO63" i="3"/>
  <c r="BO62" i="3"/>
  <c r="AX67" i="3"/>
  <c r="AX66" i="3"/>
  <c r="AX65" i="3"/>
  <c r="BB67" i="3"/>
  <c r="BB66" i="3"/>
  <c r="BB65" i="3"/>
  <c r="BF67" i="3"/>
  <c r="BF66" i="3"/>
  <c r="BF65" i="3"/>
  <c r="BJ67" i="3"/>
  <c r="BJ66" i="3"/>
  <c r="BJ65" i="3"/>
  <c r="BN67" i="3"/>
  <c r="BN66" i="3"/>
  <c r="BN65" i="3"/>
  <c r="BH37" i="3"/>
  <c r="BH36" i="3"/>
  <c r="BH35" i="3"/>
  <c r="BL37" i="3"/>
  <c r="BL36" i="3"/>
  <c r="BL35" i="3"/>
  <c r="AW61" i="3"/>
  <c r="AW60" i="3"/>
  <c r="AW59" i="3"/>
  <c r="BA61" i="3"/>
  <c r="BA60" i="3"/>
  <c r="BA59" i="3"/>
  <c r="BE61" i="3"/>
  <c r="BE60" i="3"/>
  <c r="BE59" i="3"/>
  <c r="BI61" i="3"/>
  <c r="BI60" i="3"/>
  <c r="BI59" i="3"/>
  <c r="BM61" i="3"/>
  <c r="BM60" i="3"/>
  <c r="BM59" i="3"/>
  <c r="BH76" i="3"/>
  <c r="BH75" i="3"/>
  <c r="BH74" i="3"/>
  <c r="BL76" i="3"/>
  <c r="BL75" i="3"/>
  <c r="BL74" i="3"/>
  <c r="AX76" i="3"/>
  <c r="AX75" i="3"/>
  <c r="AX74" i="3"/>
  <c r="AX58" i="3"/>
  <c r="AX57" i="3"/>
  <c r="AX56" i="3"/>
  <c r="BB58" i="3"/>
  <c r="BB57" i="3"/>
  <c r="BB56" i="3"/>
  <c r="BF58" i="3"/>
  <c r="BF57" i="3"/>
  <c r="BF56" i="3"/>
  <c r="BJ58" i="3"/>
  <c r="BJ57" i="3"/>
  <c r="BJ56" i="3"/>
  <c r="BN58" i="3"/>
  <c r="BN57" i="3"/>
  <c r="BN56" i="3"/>
  <c r="AV73" i="3"/>
  <c r="AV72" i="3"/>
  <c r="AV71" i="3"/>
  <c r="AZ76" i="3"/>
  <c r="AZ75" i="3"/>
  <c r="AZ74" i="3"/>
  <c r="BJ76" i="3"/>
  <c r="BJ75" i="3"/>
  <c r="BJ74" i="3"/>
  <c r="BB76" i="3"/>
  <c r="BB75" i="3"/>
  <c r="BB74" i="3"/>
  <c r="BD76" i="3"/>
  <c r="BD75" i="3"/>
  <c r="BD74" i="3"/>
  <c r="BN76" i="3"/>
  <c r="BN75" i="3"/>
  <c r="BN74" i="3"/>
  <c r="BO31" i="3"/>
  <c r="BO30" i="3"/>
  <c r="BO29" i="3"/>
  <c r="BM31" i="3"/>
  <c r="BM30" i="3"/>
  <c r="BM29" i="3"/>
  <c r="BK31" i="3"/>
  <c r="BK30" i="3"/>
  <c r="BK29" i="3"/>
  <c r="BI31" i="3"/>
  <c r="BI30" i="3"/>
  <c r="BI29" i="3"/>
  <c r="BG31" i="3"/>
  <c r="BG30" i="3"/>
  <c r="BG29" i="3"/>
  <c r="BE31" i="3"/>
  <c r="BE30" i="3"/>
  <c r="BE29" i="3"/>
  <c r="BC31" i="3"/>
  <c r="BC30" i="3"/>
  <c r="BC29" i="3"/>
  <c r="BA31" i="3"/>
  <c r="BA30" i="3"/>
  <c r="BA29" i="3"/>
  <c r="AY31" i="3"/>
  <c r="AY30" i="3"/>
  <c r="AY29" i="3"/>
  <c r="AW31" i="3"/>
  <c r="AW30" i="3"/>
  <c r="AW29" i="3"/>
  <c r="AV76" i="3"/>
  <c r="AV75" i="3"/>
  <c r="AV74" i="3"/>
  <c r="AW67" i="3"/>
  <c r="AW66" i="3"/>
  <c r="AW65" i="3"/>
  <c r="AY67" i="3"/>
  <c r="AY66" i="3"/>
  <c r="AY65" i="3"/>
  <c r="AV49" i="3"/>
  <c r="AV48" i="3"/>
  <c r="AV47" i="3"/>
  <c r="AZ49" i="3"/>
  <c r="AZ48" i="3"/>
  <c r="AZ47" i="3"/>
  <c r="BD49" i="3"/>
  <c r="BD48" i="3"/>
  <c r="BD47" i="3"/>
  <c r="BH49" i="3"/>
  <c r="BH48" i="3"/>
  <c r="BH47" i="3"/>
  <c r="BL49" i="3"/>
  <c r="BL48" i="3"/>
  <c r="BL47" i="3"/>
  <c r="BF76" i="3"/>
  <c r="BF75" i="3"/>
  <c r="BF74" i="3"/>
  <c r="FI22" i="3"/>
  <c r="FI19" i="3"/>
  <c r="FI15" i="3"/>
  <c r="FI11" i="3"/>
  <c r="FI7" i="3"/>
  <c r="FF12" i="3"/>
  <c r="FF8" i="3"/>
  <c r="FC23" i="3"/>
  <c r="FC17" i="3"/>
  <c r="FC13" i="3"/>
  <c r="FC9" i="3"/>
  <c r="FC5" i="3"/>
  <c r="FI23" i="3"/>
  <c r="FI17" i="3"/>
  <c r="FI13" i="3"/>
  <c r="FI9" i="3"/>
  <c r="FI5" i="3"/>
  <c r="FF21" i="3"/>
  <c r="FF18" i="3"/>
  <c r="FF14" i="3"/>
  <c r="FF10" i="3"/>
  <c r="FF6" i="3"/>
  <c r="FC22" i="3"/>
  <c r="FC19" i="3"/>
  <c r="FC15" i="3"/>
  <c r="FC11" i="3"/>
  <c r="FC7" i="3"/>
  <c r="FC21" i="3"/>
  <c r="FC18" i="3"/>
  <c r="FC14" i="3"/>
  <c r="FC10" i="3"/>
  <c r="FC6" i="3"/>
  <c r="FY21" i="3"/>
  <c r="GE22" i="3"/>
  <c r="FY22" i="3"/>
  <c r="FF22" i="3"/>
  <c r="FF19" i="3"/>
  <c r="FF15" i="3"/>
  <c r="FF11" i="3"/>
  <c r="FF7" i="3"/>
  <c r="FF23" i="3"/>
  <c r="FF17" i="3"/>
  <c r="FF13" i="3"/>
  <c r="FF9" i="3"/>
  <c r="FF5" i="3"/>
  <c r="DQ21" i="3"/>
  <c r="DN21" i="3"/>
  <c r="EG8" i="3"/>
  <c r="EG16" i="3"/>
  <c r="DQ22" i="3"/>
  <c r="DN22" i="3"/>
  <c r="EX5" i="3"/>
  <c r="EX9" i="3"/>
  <c r="EX13" i="3"/>
  <c r="EX17" i="3"/>
  <c r="GE21" i="3"/>
  <c r="GB22" i="3"/>
  <c r="G3" i="2"/>
  <c r="CD5" i="3" s="1"/>
  <c r="I3" i="2"/>
  <c r="CD7" i="3" s="1"/>
  <c r="K3" i="2"/>
  <c r="CD9" i="3" s="1"/>
  <c r="M3" i="2"/>
  <c r="CD11" i="3" s="1"/>
  <c r="O3" i="2"/>
  <c r="CD13" i="3" s="1"/>
  <c r="Q3" i="2"/>
  <c r="CD15" i="3" s="1"/>
  <c r="S3" i="2"/>
  <c r="CD17" i="3" s="1"/>
  <c r="U3" i="2"/>
  <c r="CD19" i="3" s="1"/>
  <c r="W3" i="2"/>
  <c r="CD23" i="3" s="1"/>
  <c r="CD22" i="3"/>
  <c r="H4" i="2"/>
  <c r="J4" i="2"/>
  <c r="L4" i="2"/>
  <c r="N4" i="2"/>
  <c r="P4" i="2"/>
  <c r="R4" i="2"/>
  <c r="T4" i="2"/>
  <c r="V4" i="2"/>
  <c r="G5" i="2"/>
  <c r="I5" i="2"/>
  <c r="CJ7" i="3" s="1"/>
  <c r="K5" i="2"/>
  <c r="CJ9" i="3" s="1"/>
  <c r="M5" i="2"/>
  <c r="O5" i="2"/>
  <c r="CJ13" i="3" s="1"/>
  <c r="Q5" i="2"/>
  <c r="CJ15" i="3" s="1"/>
  <c r="S5" i="2"/>
  <c r="CJ17" i="3" s="1"/>
  <c r="U5" i="2"/>
  <c r="CJ19" i="3" s="1"/>
  <c r="W5" i="2"/>
  <c r="CJ23" i="3" s="1"/>
  <c r="CJ22" i="3"/>
  <c r="H3" i="2"/>
  <c r="CD6" i="3" s="1"/>
  <c r="J3" i="2"/>
  <c r="CD8" i="3" s="1"/>
  <c r="L3" i="2"/>
  <c r="CD10" i="3" s="1"/>
  <c r="N3" i="2"/>
  <c r="CD12" i="3" s="1"/>
  <c r="P3" i="2"/>
  <c r="R3" i="2"/>
  <c r="CD16" i="3" s="1"/>
  <c r="T3" i="2"/>
  <c r="CD18" i="3" s="1"/>
  <c r="V3" i="2"/>
  <c r="CD20" i="3" s="1"/>
  <c r="CD21" i="3"/>
  <c r="G4" i="2"/>
  <c r="I4" i="2"/>
  <c r="K4" i="2"/>
  <c r="M4" i="2"/>
  <c r="CJ11" i="3"/>
  <c r="O4" i="2"/>
  <c r="Q4" i="2"/>
  <c r="S4" i="2"/>
  <c r="U4" i="2"/>
  <c r="W4" i="2"/>
  <c r="H5" i="2"/>
  <c r="J5" i="2"/>
  <c r="L5" i="2"/>
  <c r="N5" i="2"/>
  <c r="P5" i="2"/>
  <c r="R5" i="2"/>
  <c r="T5" i="2"/>
  <c r="V5" i="2"/>
  <c r="JV12" i="3" l="1"/>
  <c r="JY12" i="3"/>
  <c r="JQ14" i="3"/>
  <c r="LY15" i="3"/>
  <c r="ME15" i="3"/>
  <c r="JK13" i="3"/>
  <c r="JQ13" i="3"/>
  <c r="JK15" i="3"/>
  <c r="JQ15" i="3"/>
  <c r="JC15" i="3"/>
  <c r="JK14" i="3"/>
  <c r="JN14" i="3"/>
  <c r="MB15" i="3"/>
  <c r="JN13" i="3"/>
  <c r="JN15" i="3"/>
  <c r="IZ15" i="3"/>
  <c r="JF15" i="3"/>
  <c r="KB8" i="3"/>
  <c r="GW11" i="3"/>
  <c r="GZ7" i="3"/>
  <c r="HC11" i="3"/>
  <c r="JF12" i="3"/>
  <c r="IZ8" i="3"/>
  <c r="JC8" i="3"/>
  <c r="KR8" i="3"/>
  <c r="KU8" i="3"/>
  <c r="IO8" i="3"/>
  <c r="JQ8" i="3"/>
  <c r="JN8" i="3"/>
  <c r="ME12" i="3"/>
  <c r="ME10" i="3"/>
  <c r="MB10" i="3"/>
  <c r="ME8" i="3"/>
  <c r="MB8" i="3"/>
  <c r="JK10" i="3"/>
  <c r="JN10" i="3"/>
  <c r="FP10" i="3"/>
  <c r="KB11" i="3"/>
  <c r="JY11" i="3"/>
  <c r="JV7" i="3"/>
  <c r="JY10" i="3"/>
  <c r="JF14" i="3"/>
  <c r="JC14" i="3"/>
  <c r="IZ10" i="3"/>
  <c r="LY11" i="3"/>
  <c r="ME11" i="3"/>
  <c r="MB7" i="3"/>
  <c r="ME9" i="3"/>
  <c r="JN9" i="3"/>
  <c r="IZ9" i="3"/>
  <c r="JN11" i="3"/>
  <c r="JK7" i="3"/>
  <c r="JQ7" i="3"/>
  <c r="IZ11" i="3"/>
  <c r="JF11" i="3"/>
  <c r="JC7" i="3"/>
  <c r="GW12" i="3"/>
  <c r="HC8" i="3"/>
  <c r="GW8" i="3"/>
  <c r="JK8" i="3"/>
  <c r="LY12" i="3"/>
  <c r="MB12" i="3"/>
  <c r="LY10" i="3"/>
  <c r="LY8" i="3"/>
  <c r="JQ10" i="3"/>
  <c r="JV9" i="3"/>
  <c r="JV8" i="3"/>
  <c r="JY8" i="3"/>
  <c r="FV8" i="3"/>
  <c r="FS12" i="3"/>
  <c r="JV11" i="3"/>
  <c r="KB7" i="3"/>
  <c r="JY7" i="3"/>
  <c r="JV10" i="3"/>
  <c r="KB10" i="3"/>
  <c r="IZ14" i="3"/>
  <c r="JF10" i="3"/>
  <c r="JC10" i="3"/>
  <c r="MB11" i="3"/>
  <c r="LY7" i="3"/>
  <c r="ME7" i="3"/>
  <c r="LY9" i="3"/>
  <c r="MB9" i="3"/>
  <c r="JK9" i="3"/>
  <c r="JQ9" i="3"/>
  <c r="JC9" i="3"/>
  <c r="JF9" i="3"/>
  <c r="JK11" i="3"/>
  <c r="JQ11" i="3"/>
  <c r="JN7" i="3"/>
  <c r="JC11" i="3"/>
  <c r="IZ7" i="3"/>
  <c r="JF7" i="3"/>
  <c r="IU8" i="3"/>
  <c r="IR8" i="3"/>
  <c r="GZ11" i="3"/>
  <c r="GW7" i="3"/>
  <c r="HC7" i="3"/>
  <c r="HC12" i="3"/>
  <c r="GZ8" i="3"/>
  <c r="GZ12" i="3"/>
  <c r="LS13" i="3"/>
  <c r="LS14" i="3" s="1"/>
  <c r="LS15" i="3" s="1"/>
  <c r="CJ5" i="3"/>
  <c r="E5" i="2"/>
  <c r="E4" i="2"/>
  <c r="LT5" i="3"/>
  <c r="HJ7" i="3"/>
  <c r="HJ8" i="3" s="1"/>
  <c r="CD14" i="3"/>
  <c r="E3" i="2"/>
  <c r="LT20" i="3"/>
  <c r="LQ20" i="3"/>
  <c r="LN20" i="3"/>
  <c r="LQ23" i="3"/>
  <c r="LT23" i="3"/>
  <c r="LN23" i="3"/>
  <c r="LQ13" i="3"/>
  <c r="LT13" i="3"/>
  <c r="LN13" i="3"/>
  <c r="LT16" i="3"/>
  <c r="LQ16" i="3"/>
  <c r="LN16" i="3"/>
  <c r="LQ17" i="3"/>
  <c r="LT17" i="3"/>
  <c r="LN17" i="3"/>
  <c r="FJ5" i="3"/>
  <c r="FJ6" i="3" s="1"/>
  <c r="FJ7" i="3" s="1"/>
  <c r="FJ8" i="3" s="1"/>
  <c r="FJ9" i="3" s="1"/>
  <c r="FJ10" i="3" s="1"/>
  <c r="FJ11" i="3" s="1"/>
  <c r="FJ12" i="3" s="1"/>
  <c r="FJ13" i="3" s="1"/>
  <c r="FJ14" i="3" s="1"/>
  <c r="FJ15" i="3" s="1"/>
  <c r="FJ16" i="3" s="1"/>
  <c r="FJ17" i="3" s="1"/>
  <c r="FJ18" i="3" s="1"/>
  <c r="FJ19" i="3" s="1"/>
  <c r="FJ20" i="3" s="1"/>
  <c r="FJ21" i="3" s="1"/>
  <c r="FJ22" i="3" s="1"/>
  <c r="FJ23" i="3" s="1"/>
  <c r="IQ9" i="3"/>
  <c r="IQ10" i="3" s="1"/>
  <c r="IF6" i="3"/>
  <c r="IF7" i="3" s="1"/>
  <c r="FS8" i="3"/>
  <c r="FV12" i="3"/>
  <c r="FP14" i="3"/>
  <c r="FS16" i="3"/>
  <c r="FV20" i="3"/>
  <c r="FS20" i="3"/>
  <c r="FP8" i="3"/>
  <c r="FV10" i="3"/>
  <c r="FS10" i="3"/>
  <c r="FP12" i="3"/>
  <c r="FV14" i="3"/>
  <c r="FS14" i="3"/>
  <c r="FP16" i="3"/>
  <c r="FV18" i="3"/>
  <c r="FS18" i="3"/>
  <c r="FP20" i="3"/>
  <c r="EG20" i="3"/>
  <c r="EG12" i="3"/>
  <c r="CZ22" i="3"/>
  <c r="KU23" i="3"/>
  <c r="KU13" i="3"/>
  <c r="EU9" i="3"/>
  <c r="EU5" i="3"/>
  <c r="HK17" i="3"/>
  <c r="IU19" i="3"/>
  <c r="IO6" i="3"/>
  <c r="HK5" i="3"/>
  <c r="HK6" i="3"/>
  <c r="HH22" i="3"/>
  <c r="HH7" i="3"/>
  <c r="KR6" i="3"/>
  <c r="KG4" i="3"/>
  <c r="KR23" i="3"/>
  <c r="KR13" i="3"/>
  <c r="GW6" i="3"/>
  <c r="HH5" i="3"/>
  <c r="IR19" i="3"/>
  <c r="GR21" i="3"/>
  <c r="IU5" i="3"/>
  <c r="KR5" i="3"/>
  <c r="FV5" i="3"/>
  <c r="HC6" i="3"/>
  <c r="GZ6" i="3"/>
  <c r="HN5" i="3"/>
  <c r="HN22" i="3"/>
  <c r="IR17" i="3"/>
  <c r="IR9" i="3"/>
  <c r="IO5" i="3"/>
  <c r="KX5" i="3"/>
  <c r="KX6" i="3"/>
  <c r="HH17" i="3"/>
  <c r="HN7" i="3"/>
  <c r="GL21" i="3"/>
  <c r="IO17" i="3"/>
  <c r="IO9" i="3"/>
  <c r="IU9" i="3"/>
  <c r="IR5" i="3"/>
  <c r="KU5" i="3"/>
  <c r="JV5" i="3"/>
  <c r="KU6" i="3"/>
  <c r="IR6" i="3"/>
  <c r="HH6" i="3"/>
  <c r="HC5" i="3"/>
  <c r="IU4" i="3"/>
  <c r="JY4" i="3"/>
  <c r="GR4" i="3"/>
  <c r="JQ4" i="3"/>
  <c r="ID4" i="3"/>
  <c r="MB4" i="3"/>
  <c r="FS5" i="3"/>
  <c r="FP5" i="3"/>
  <c r="LT4" i="3"/>
  <c r="KB5" i="3"/>
  <c r="JY5" i="3"/>
  <c r="JV4" i="3"/>
  <c r="IU6" i="3"/>
  <c r="HN6" i="3"/>
  <c r="GW5" i="3"/>
  <c r="GZ5" i="3"/>
  <c r="IO4" i="3"/>
  <c r="IR4" i="3"/>
  <c r="HY4" i="3"/>
  <c r="HN4" i="3"/>
  <c r="ME4" i="3"/>
  <c r="LY4" i="3"/>
  <c r="LQ4" i="3"/>
  <c r="LN4" i="3"/>
  <c r="KB4" i="3"/>
  <c r="GO4" i="3"/>
  <c r="GL4" i="3"/>
  <c r="JF4" i="3"/>
  <c r="FP4" i="3"/>
  <c r="KX4" i="3"/>
  <c r="JK6" i="3"/>
  <c r="JQ6" i="3"/>
  <c r="LY6" i="3"/>
  <c r="KU19" i="3"/>
  <c r="KX19" i="3"/>
  <c r="KR19" i="3"/>
  <c r="KX15" i="3"/>
  <c r="KR15" i="3"/>
  <c r="KU15" i="3"/>
  <c r="FV6" i="3"/>
  <c r="JY6" i="3"/>
  <c r="KB6" i="3"/>
  <c r="IZ6" i="3"/>
  <c r="MB5" i="3"/>
  <c r="ME5" i="3"/>
  <c r="JN5" i="3"/>
  <c r="IZ5" i="3"/>
  <c r="JC5" i="3"/>
  <c r="HV23" i="3"/>
  <c r="HY23" i="3"/>
  <c r="HS23" i="3"/>
  <c r="HV17" i="3"/>
  <c r="HY17" i="3"/>
  <c r="HS17" i="3"/>
  <c r="HV13" i="3"/>
  <c r="HY13" i="3"/>
  <c r="HS13" i="3"/>
  <c r="HU5" i="3"/>
  <c r="HU6" i="3" s="1"/>
  <c r="HG16" i="3"/>
  <c r="HG17" i="3" s="1"/>
  <c r="HG18" i="3" s="1"/>
  <c r="HG19" i="3" s="1"/>
  <c r="HG20" i="3" s="1"/>
  <c r="HG21" i="3" s="1"/>
  <c r="HG22" i="3" s="1"/>
  <c r="HG23" i="3" s="1"/>
  <c r="LQ5" i="3"/>
  <c r="GO17" i="3"/>
  <c r="GR17" i="3"/>
  <c r="GL17" i="3"/>
  <c r="GR23" i="3"/>
  <c r="GL23" i="3"/>
  <c r="GO23" i="3"/>
  <c r="GN5" i="3"/>
  <c r="GN6" i="3" s="1"/>
  <c r="GR6" i="3" s="1"/>
  <c r="JN4" i="3"/>
  <c r="JK4" i="3"/>
  <c r="LM6" i="3"/>
  <c r="LN5" i="3"/>
  <c r="JN6" i="3"/>
  <c r="MB6" i="3"/>
  <c r="ME6" i="3"/>
  <c r="JC4" i="3"/>
  <c r="IZ4" i="3"/>
  <c r="FS4" i="3"/>
  <c r="FV4" i="3"/>
  <c r="FS6" i="3"/>
  <c r="FP6" i="3"/>
  <c r="KR4" i="3"/>
  <c r="KU4" i="3"/>
  <c r="JV6" i="3"/>
  <c r="JC6" i="3"/>
  <c r="JF6" i="3"/>
  <c r="LY5" i="3"/>
  <c r="FD5" i="3"/>
  <c r="FD6" i="3" s="1"/>
  <c r="FD7" i="3" s="1"/>
  <c r="FD8" i="3" s="1"/>
  <c r="FD9" i="3" s="1"/>
  <c r="FD10" i="3" s="1"/>
  <c r="FD11" i="3" s="1"/>
  <c r="FD12" i="3" s="1"/>
  <c r="FD13" i="3" s="1"/>
  <c r="FD14" i="3" s="1"/>
  <c r="FD15" i="3" s="1"/>
  <c r="FD16" i="3" s="1"/>
  <c r="FD17" i="3" s="1"/>
  <c r="FD18" i="3" s="1"/>
  <c r="FD19" i="3" s="1"/>
  <c r="FD20" i="3" s="1"/>
  <c r="FD21" i="3" s="1"/>
  <c r="FD22" i="3" s="1"/>
  <c r="FD23" i="3" s="1"/>
  <c r="JQ5" i="3"/>
  <c r="JK5" i="3"/>
  <c r="JF5" i="3"/>
  <c r="HV22" i="3"/>
  <c r="HS22" i="3"/>
  <c r="HY22" i="3"/>
  <c r="HY19" i="3"/>
  <c r="HS19" i="3"/>
  <c r="HV19" i="3"/>
  <c r="HY15" i="3"/>
  <c r="HS15" i="3"/>
  <c r="HV15" i="3"/>
  <c r="HV4" i="3"/>
  <c r="HS4" i="3"/>
  <c r="HK4" i="3"/>
  <c r="HH4" i="3"/>
  <c r="HC20" i="3"/>
  <c r="GQ21" i="3"/>
  <c r="GQ22" i="3" s="1"/>
  <c r="GQ23" i="3" s="1"/>
  <c r="GW20" i="3"/>
  <c r="KT11" i="3"/>
  <c r="KT12" i="3" s="1"/>
  <c r="KT13" i="3" s="1"/>
  <c r="KT14" i="3" s="1"/>
  <c r="KT15" i="3" s="1"/>
  <c r="KT16" i="3" s="1"/>
  <c r="KT17" i="3" s="1"/>
  <c r="KT18" i="3" s="1"/>
  <c r="KT19" i="3" s="1"/>
  <c r="KT20" i="3" s="1"/>
  <c r="KT21" i="3" s="1"/>
  <c r="KT22" i="3" s="1"/>
  <c r="KT23" i="3" s="1"/>
  <c r="HB20" i="3"/>
  <c r="HB21" i="3" s="1"/>
  <c r="HB22" i="3" s="1"/>
  <c r="HB23" i="3" s="1"/>
  <c r="CG8" i="3"/>
  <c r="CG11" i="3"/>
  <c r="CG9" i="3"/>
  <c r="CG7" i="3"/>
  <c r="CG5" i="3"/>
  <c r="CG21" i="3"/>
  <c r="CG20" i="3"/>
  <c r="CG18" i="3"/>
  <c r="CG16" i="3"/>
  <c r="CG14" i="3"/>
  <c r="CG12" i="3"/>
  <c r="CG10" i="3"/>
  <c r="CG6" i="3"/>
  <c r="DK22" i="3"/>
  <c r="BO15" i="3"/>
  <c r="BO16" i="3"/>
  <c r="BO14" i="3"/>
  <c r="DK21" i="3"/>
  <c r="BN16" i="3"/>
  <c r="BN14" i="3"/>
  <c r="BN15" i="3"/>
  <c r="GD22" i="3"/>
  <c r="GG22" i="3"/>
  <c r="GA22" i="3"/>
  <c r="FH14" i="3"/>
  <c r="FE14" i="3"/>
  <c r="FK14" i="3"/>
  <c r="FH18" i="3"/>
  <c r="FE18" i="3"/>
  <c r="FK18" i="3"/>
  <c r="FK21" i="3"/>
  <c r="FH21" i="3"/>
  <c r="FE21" i="3"/>
  <c r="FK15" i="3"/>
  <c r="FH15" i="3"/>
  <c r="FE15" i="3"/>
  <c r="FK19" i="3"/>
  <c r="FH19" i="3"/>
  <c r="FE19" i="3"/>
  <c r="FH22" i="3"/>
  <c r="FE22" i="3"/>
  <c r="FK22" i="3"/>
  <c r="FK13" i="3"/>
  <c r="FH13" i="3"/>
  <c r="FE13" i="3"/>
  <c r="FK17" i="3"/>
  <c r="FH17" i="3"/>
  <c r="FE17" i="3"/>
  <c r="FK23" i="3"/>
  <c r="FH23" i="3"/>
  <c r="FE23" i="3"/>
  <c r="AV28" i="3"/>
  <c r="FF4" i="3"/>
  <c r="BH27" i="3"/>
  <c r="FF16" i="3"/>
  <c r="FK16" i="3" s="1"/>
  <c r="BL28" i="3"/>
  <c r="FF20" i="3"/>
  <c r="FK20" i="3" s="1"/>
  <c r="HK16" i="3"/>
  <c r="HN16" i="3"/>
  <c r="HH16" i="3"/>
  <c r="IG4" i="3"/>
  <c r="IC5" i="3"/>
  <c r="KJ4" i="3"/>
  <c r="KF5" i="3"/>
  <c r="CE5" i="3"/>
  <c r="CE6" i="3" s="1"/>
  <c r="CE7" i="3" s="1"/>
  <c r="CE8" i="3" s="1"/>
  <c r="CE9" i="3" s="1"/>
  <c r="CE10" i="3" s="1"/>
  <c r="CE11" i="3" s="1"/>
  <c r="CE12" i="3" s="1"/>
  <c r="CE13" i="3" s="1"/>
  <c r="CR8" i="3"/>
  <c r="CR12" i="3"/>
  <c r="CR16" i="3"/>
  <c r="CR6" i="3"/>
  <c r="CR10" i="3"/>
  <c r="CR14" i="3"/>
  <c r="EU7" i="3"/>
  <c r="EG21" i="3"/>
  <c r="EG18" i="3"/>
  <c r="EG14" i="3"/>
  <c r="EG10" i="3"/>
  <c r="EG6" i="3"/>
  <c r="EX15" i="3"/>
  <c r="EX11" i="3"/>
  <c r="EX7" i="3"/>
  <c r="EJ21" i="3"/>
  <c r="EJ14" i="3"/>
  <c r="EJ10" i="3"/>
  <c r="EJ6" i="3"/>
  <c r="BD28" i="3"/>
  <c r="EB7" i="3"/>
  <c r="AZ27" i="3"/>
  <c r="AZ26" i="3"/>
  <c r="BH26" i="3"/>
  <c r="AZ28" i="3"/>
  <c r="BH28" i="3"/>
  <c r="AV27" i="3"/>
  <c r="BD27" i="3"/>
  <c r="BL27" i="3"/>
  <c r="AV26" i="3"/>
  <c r="BD26" i="3"/>
  <c r="BL26" i="3"/>
  <c r="BC7" i="3"/>
  <c r="BC6" i="3"/>
  <c r="BC5" i="3"/>
  <c r="BA7" i="3"/>
  <c r="BA6" i="3"/>
  <c r="BA5" i="3"/>
  <c r="AY7" i="3"/>
  <c r="AY6" i="3"/>
  <c r="AY5" i="3"/>
  <c r="AW7" i="3"/>
  <c r="AW6" i="3"/>
  <c r="AW5" i="3"/>
  <c r="BO34" i="3"/>
  <c r="BO33" i="3"/>
  <c r="BO32" i="3"/>
  <c r="BN34" i="3"/>
  <c r="BN33" i="3"/>
  <c r="BN32" i="3"/>
  <c r="AX28" i="3"/>
  <c r="AX27" i="3"/>
  <c r="AX26" i="3"/>
  <c r="BB28" i="3"/>
  <c r="BB27" i="3"/>
  <c r="BB26" i="3"/>
  <c r="BF28" i="3"/>
  <c r="BF27" i="3"/>
  <c r="BF26" i="3"/>
  <c r="BJ28" i="3"/>
  <c r="BJ27" i="3"/>
  <c r="BJ26" i="3"/>
  <c r="BN28" i="3"/>
  <c r="BN27" i="3"/>
  <c r="BN26" i="3"/>
  <c r="AY28" i="3"/>
  <c r="AY27" i="3"/>
  <c r="AY26" i="3"/>
  <c r="BC28" i="3"/>
  <c r="BC27" i="3"/>
  <c r="BC26" i="3"/>
  <c r="BG28" i="3"/>
  <c r="BG27" i="3"/>
  <c r="BG26" i="3"/>
  <c r="BK28" i="3"/>
  <c r="BK27" i="3"/>
  <c r="BK26" i="3"/>
  <c r="BO28" i="3"/>
  <c r="BO27" i="3"/>
  <c r="BO26" i="3"/>
  <c r="AW28" i="3"/>
  <c r="AW27" i="3"/>
  <c r="AW26" i="3"/>
  <c r="BA28" i="3"/>
  <c r="BA27" i="3"/>
  <c r="BA26" i="3"/>
  <c r="BE28" i="3"/>
  <c r="BE27" i="3"/>
  <c r="BE26" i="3"/>
  <c r="BI28" i="3"/>
  <c r="BI27" i="3"/>
  <c r="BI26" i="3"/>
  <c r="BM28" i="3"/>
  <c r="BM27" i="3"/>
  <c r="BM26" i="3"/>
  <c r="EJ16" i="3"/>
  <c r="EJ8" i="3"/>
  <c r="EM23" i="3"/>
  <c r="EM17" i="3"/>
  <c r="EM13" i="3"/>
  <c r="EM9" i="3"/>
  <c r="EM5" i="3"/>
  <c r="EG22" i="3"/>
  <c r="EG19" i="3"/>
  <c r="EG15" i="3"/>
  <c r="EG11" i="3"/>
  <c r="EG7" i="3"/>
  <c r="EG23" i="3"/>
  <c r="EG17" i="3"/>
  <c r="EG13" i="3"/>
  <c r="EG9" i="3"/>
  <c r="EG5" i="3"/>
  <c r="EJ22" i="3"/>
  <c r="EJ19" i="3"/>
  <c r="EJ15" i="3"/>
  <c r="EJ11" i="3"/>
  <c r="EJ7" i="3"/>
  <c r="EJ23" i="3"/>
  <c r="EJ17" i="3"/>
  <c r="EJ13" i="3"/>
  <c r="EJ9" i="3"/>
  <c r="EJ5" i="3"/>
  <c r="B72" i="3"/>
  <c r="EU21" i="3"/>
  <c r="EU18" i="3"/>
  <c r="EU14" i="3"/>
  <c r="EU10" i="3"/>
  <c r="EU6" i="3"/>
  <c r="EU20" i="3"/>
  <c r="EU16" i="3"/>
  <c r="EU12" i="3"/>
  <c r="EU8" i="3"/>
  <c r="EU4" i="3"/>
  <c r="EV4" i="3" s="1"/>
  <c r="EM4" i="3"/>
  <c r="EN4" i="3" s="1"/>
  <c r="EN5" i="3" s="1"/>
  <c r="ER22" i="3"/>
  <c r="ER19" i="3"/>
  <c r="ER15" i="3"/>
  <c r="ER11" i="3"/>
  <c r="ER7" i="3"/>
  <c r="ER21" i="3"/>
  <c r="ER18" i="3"/>
  <c r="ER14" i="3"/>
  <c r="ER10" i="3"/>
  <c r="ER6" i="3"/>
  <c r="EM22" i="3"/>
  <c r="EM19" i="3"/>
  <c r="EM15" i="3"/>
  <c r="EM11" i="3"/>
  <c r="EM7" i="3"/>
  <c r="EB5" i="3"/>
  <c r="EB9" i="3"/>
  <c r="EX22" i="3"/>
  <c r="EX19" i="3"/>
  <c r="EX21" i="3"/>
  <c r="EX18" i="3"/>
  <c r="EX14" i="3"/>
  <c r="EX10" i="3"/>
  <c r="EX6" i="3"/>
  <c r="EU22" i="3"/>
  <c r="EU19" i="3"/>
  <c r="EU15" i="3"/>
  <c r="EU11" i="3"/>
  <c r="ER23" i="3"/>
  <c r="ER17" i="3"/>
  <c r="ER13" i="3"/>
  <c r="ER9" i="3"/>
  <c r="ER5" i="3"/>
  <c r="ER20" i="3"/>
  <c r="ER16" i="3"/>
  <c r="ER12" i="3"/>
  <c r="ER8" i="3"/>
  <c r="ER4" i="3"/>
  <c r="EX23" i="3"/>
  <c r="EX20" i="3"/>
  <c r="EX16" i="3"/>
  <c r="EX12" i="3"/>
  <c r="EX8" i="3"/>
  <c r="EX4" i="3"/>
  <c r="EY4" i="3" s="1"/>
  <c r="EY5" i="3" s="1"/>
  <c r="EU23" i="3"/>
  <c r="EU17" i="3"/>
  <c r="EU13" i="3"/>
  <c r="DY5" i="3"/>
  <c r="DY9" i="3"/>
  <c r="DY13" i="3"/>
  <c r="DY17" i="3"/>
  <c r="DY23" i="3"/>
  <c r="EB13" i="3"/>
  <c r="EB17" i="3"/>
  <c r="EB23" i="3"/>
  <c r="DV6" i="3"/>
  <c r="DV10" i="3"/>
  <c r="DV14" i="3"/>
  <c r="DV18" i="3"/>
  <c r="DV21" i="3"/>
  <c r="DY6" i="3"/>
  <c r="DY10" i="3"/>
  <c r="DY14" i="3"/>
  <c r="DY18" i="3"/>
  <c r="DY21" i="3"/>
  <c r="EB6" i="3"/>
  <c r="EB10" i="3"/>
  <c r="EB14" i="3"/>
  <c r="EB18" i="3"/>
  <c r="EB21" i="3"/>
  <c r="DY7" i="3"/>
  <c r="DY11" i="3"/>
  <c r="DY15" i="3"/>
  <c r="DY19" i="3"/>
  <c r="DY22" i="3"/>
  <c r="EB11" i="3"/>
  <c r="EB15" i="3"/>
  <c r="EB19" i="3"/>
  <c r="EB22" i="3"/>
  <c r="DV4" i="3"/>
  <c r="DV8" i="3"/>
  <c r="DV12" i="3"/>
  <c r="DV16" i="3"/>
  <c r="DV20" i="3"/>
  <c r="DY4" i="3"/>
  <c r="DZ4" i="3" s="1"/>
  <c r="DY8" i="3"/>
  <c r="DY12" i="3"/>
  <c r="DY16" i="3"/>
  <c r="DY20" i="3"/>
  <c r="EB4" i="3"/>
  <c r="EC4" i="3" s="1"/>
  <c r="EC5" i="3" s="1"/>
  <c r="EB8" i="3"/>
  <c r="EB12" i="3"/>
  <c r="EB16" i="3"/>
  <c r="EB20" i="3"/>
  <c r="EM20" i="3"/>
  <c r="EM16" i="3"/>
  <c r="EM12" i="3"/>
  <c r="EM8" i="3"/>
  <c r="EJ12" i="3"/>
  <c r="EJ4" i="3"/>
  <c r="EK4" i="3" s="1"/>
  <c r="EM21" i="3"/>
  <c r="EM18" i="3"/>
  <c r="EM14" i="3"/>
  <c r="EM10" i="3"/>
  <c r="EM6" i="3"/>
  <c r="EJ18" i="3"/>
  <c r="DV19" i="3"/>
  <c r="DV22" i="3"/>
  <c r="DV7" i="3"/>
  <c r="DV11" i="3"/>
  <c r="DV15" i="3"/>
  <c r="DV23" i="3"/>
  <c r="DV5" i="3"/>
  <c r="DV9" i="3"/>
  <c r="DV13" i="3"/>
  <c r="DV17" i="3"/>
  <c r="EG4" i="3"/>
  <c r="LS16" i="3" l="1"/>
  <c r="LS17" i="3" s="1"/>
  <c r="LS18" i="3" s="1"/>
  <c r="LS19" i="3" s="1"/>
  <c r="LS20" i="3" s="1"/>
  <c r="LS21" i="3" s="1"/>
  <c r="LS22" i="3" s="1"/>
  <c r="LS23" i="3" s="1"/>
  <c r="HK7" i="3"/>
  <c r="KR11" i="3"/>
  <c r="KU11" i="3"/>
  <c r="IQ11" i="3"/>
  <c r="IR10" i="3"/>
  <c r="IO10" i="3"/>
  <c r="IU10" i="3"/>
  <c r="HJ9" i="3"/>
  <c r="HK8" i="3"/>
  <c r="HH8" i="3"/>
  <c r="HN8" i="3"/>
  <c r="KX11" i="3"/>
  <c r="IF8" i="3"/>
  <c r="FE20" i="3"/>
  <c r="FH16" i="3"/>
  <c r="CE14" i="3"/>
  <c r="CE15" i="3" s="1"/>
  <c r="CE16" i="3" s="1"/>
  <c r="CE17" i="3" s="1"/>
  <c r="F56" i="7"/>
  <c r="H56" i="7" s="1"/>
  <c r="I56" i="7" s="1"/>
  <c r="EV5" i="3"/>
  <c r="EV6" i="3" s="1"/>
  <c r="EV7" i="3" s="1"/>
  <c r="EV8" i="3" s="1"/>
  <c r="EV9" i="3" s="1"/>
  <c r="EV10" i="3" s="1"/>
  <c r="EV11" i="3" s="1"/>
  <c r="EV12" i="3" s="1"/>
  <c r="EV13" i="3" s="1"/>
  <c r="EV14" i="3" s="1"/>
  <c r="EV15" i="3" s="1"/>
  <c r="EV16" i="3" s="1"/>
  <c r="EV17" i="3" s="1"/>
  <c r="EV18" i="3" s="1"/>
  <c r="EV19" i="3" s="1"/>
  <c r="EV20" i="3" s="1"/>
  <c r="EV21" i="3" s="1"/>
  <c r="EV22" i="3" s="1"/>
  <c r="EV23" i="3" s="1"/>
  <c r="B61" i="3"/>
  <c r="B47" i="3"/>
  <c r="DZ5" i="3"/>
  <c r="DZ6" i="3" s="1"/>
  <c r="DZ7" i="3" s="1"/>
  <c r="DZ8" i="3" s="1"/>
  <c r="DZ9" i="3" s="1"/>
  <c r="DZ10" i="3" s="1"/>
  <c r="DZ11" i="3" s="1"/>
  <c r="DZ12" i="3" s="1"/>
  <c r="DZ13" i="3" s="1"/>
  <c r="DZ14" i="3" s="1"/>
  <c r="DZ15" i="3" s="1"/>
  <c r="DZ16" i="3" s="1"/>
  <c r="DZ17" i="3" s="1"/>
  <c r="DC21" i="3"/>
  <c r="X3" i="3"/>
  <c r="CZ21" i="3"/>
  <c r="X2" i="3"/>
  <c r="DF21" i="3"/>
  <c r="X4" i="3"/>
  <c r="DC22" i="3"/>
  <c r="DF22" i="3"/>
  <c r="CH5" i="3"/>
  <c r="CH6" i="3" s="1"/>
  <c r="CH7" i="3" s="1"/>
  <c r="CH8" i="3" s="1"/>
  <c r="CH9" i="3" s="1"/>
  <c r="CH10" i="3" s="1"/>
  <c r="CH11" i="3" s="1"/>
  <c r="CH12" i="3" s="1"/>
  <c r="EK5" i="3"/>
  <c r="EK6" i="3" s="1"/>
  <c r="EK7" i="3" s="1"/>
  <c r="EK8" i="3" s="1"/>
  <c r="EK9" i="3" s="1"/>
  <c r="EK10" i="3" s="1"/>
  <c r="EK11" i="3" s="1"/>
  <c r="EK12" i="3" s="1"/>
  <c r="EK13" i="3" s="1"/>
  <c r="EK14" i="3" s="1"/>
  <c r="EK15" i="3" s="1"/>
  <c r="EK16" i="3" s="1"/>
  <c r="EK17" i="3" s="1"/>
  <c r="EK18" i="3" s="1"/>
  <c r="EK19" i="3" s="1"/>
  <c r="EC6" i="3"/>
  <c r="EC7" i="3" s="1"/>
  <c r="EC8" i="3" s="1"/>
  <c r="EC9" i="3" s="1"/>
  <c r="EC10" i="3" s="1"/>
  <c r="EC11" i="3" s="1"/>
  <c r="EC12" i="3" s="1"/>
  <c r="EC13" i="3" s="1"/>
  <c r="EC14" i="3" s="1"/>
  <c r="EC15" i="3" s="1"/>
  <c r="EC16" i="3" s="1"/>
  <c r="EC17" i="3" s="1"/>
  <c r="EY6" i="3"/>
  <c r="EY7" i="3" s="1"/>
  <c r="EY8" i="3" s="1"/>
  <c r="EY9" i="3" s="1"/>
  <c r="EY10" i="3" s="1"/>
  <c r="EY11" i="3" s="1"/>
  <c r="EY12" i="3" s="1"/>
  <c r="EY13" i="3" s="1"/>
  <c r="EY14" i="3" s="1"/>
  <c r="EY15" i="3" s="1"/>
  <c r="EY16" i="3" s="1"/>
  <c r="EY17" i="3" s="1"/>
  <c r="EY18" i="3" s="1"/>
  <c r="EY19" i="3" s="1"/>
  <c r="EY20" i="3" s="1"/>
  <c r="EY21" i="3" s="1"/>
  <c r="EY22" i="3" s="1"/>
  <c r="EY23" i="3" s="1"/>
  <c r="HV5" i="3"/>
  <c r="B38" i="3"/>
  <c r="ED14" i="3"/>
  <c r="FH20" i="3"/>
  <c r="FE16" i="3"/>
  <c r="HS5" i="3"/>
  <c r="DX16" i="3"/>
  <c r="FG4" i="3"/>
  <c r="FG5" i="3" s="1"/>
  <c r="GO5" i="3"/>
  <c r="GR5" i="3"/>
  <c r="HU7" i="3"/>
  <c r="HS6" i="3"/>
  <c r="HY6" i="3"/>
  <c r="HV6" i="3"/>
  <c r="EA22" i="3"/>
  <c r="EA18" i="3"/>
  <c r="EN6" i="3"/>
  <c r="EN7" i="3" s="1"/>
  <c r="EN8" i="3" s="1"/>
  <c r="EN9" i="3" s="1"/>
  <c r="EN10" i="3" s="1"/>
  <c r="EN11" i="3" s="1"/>
  <c r="EN12" i="3" s="1"/>
  <c r="EN13" i="3" s="1"/>
  <c r="EN14" i="3" s="1"/>
  <c r="EN15" i="3" s="1"/>
  <c r="EN16" i="3" s="1"/>
  <c r="EN17" i="3" s="1"/>
  <c r="EN18" i="3" s="1"/>
  <c r="EN19" i="3" s="1"/>
  <c r="EN20" i="3" s="1"/>
  <c r="EN21" i="3" s="1"/>
  <c r="EN22" i="3" s="1"/>
  <c r="EN23" i="3" s="1"/>
  <c r="KF6" i="3"/>
  <c r="KM5" i="3"/>
  <c r="KG5" i="3"/>
  <c r="KJ5" i="3"/>
  <c r="IC6" i="3"/>
  <c r="IG5" i="3"/>
  <c r="IJ5" i="3"/>
  <c r="ID5" i="3"/>
  <c r="LM7" i="3"/>
  <c r="LN6" i="3"/>
  <c r="LT6" i="3"/>
  <c r="LQ6" i="3"/>
  <c r="GN7" i="3"/>
  <c r="GO6" i="3"/>
  <c r="GL5" i="3"/>
  <c r="HY5" i="3"/>
  <c r="GL6" i="3"/>
  <c r="EH4" i="3"/>
  <c r="EH5" i="3" s="1"/>
  <c r="EH6" i="3" s="1"/>
  <c r="EH7" i="3" s="1"/>
  <c r="EH8" i="3" s="1"/>
  <c r="EH9" i="3" s="1"/>
  <c r="EH10" i="3" s="1"/>
  <c r="EH11" i="3" s="1"/>
  <c r="EH12" i="3" s="1"/>
  <c r="EH13" i="3" s="1"/>
  <c r="EH14" i="3" s="1"/>
  <c r="EH15" i="3" s="1"/>
  <c r="EH16" i="3" s="1"/>
  <c r="EH17" i="3" s="1"/>
  <c r="EH18" i="3" s="1"/>
  <c r="EH19" i="3" s="1"/>
  <c r="EH20" i="3" s="1"/>
  <c r="EH21" i="3" s="1"/>
  <c r="EH22" i="3" s="1"/>
  <c r="EH23" i="3" s="1"/>
  <c r="ED17" i="3"/>
  <c r="EA17" i="3"/>
  <c r="DX17" i="3"/>
  <c r="EA13" i="3"/>
  <c r="ED13" i="3"/>
  <c r="DX13" i="3"/>
  <c r="EA23" i="3"/>
  <c r="ED23" i="3"/>
  <c r="DX23" i="3"/>
  <c r="ED15" i="3"/>
  <c r="EA15" i="3"/>
  <c r="DX15" i="3"/>
  <c r="ED22" i="3"/>
  <c r="DX22" i="3"/>
  <c r="ED19" i="3"/>
  <c r="EA19" i="3"/>
  <c r="DX19" i="3"/>
  <c r="BL22" i="3"/>
  <c r="EJ20" i="3"/>
  <c r="CG15" i="3"/>
  <c r="CI15" i="3" s="1"/>
  <c r="CG19" i="3"/>
  <c r="CI19" i="3" s="1"/>
  <c r="CG22" i="3"/>
  <c r="CL22" i="3" s="1"/>
  <c r="CG13" i="3"/>
  <c r="CG17" i="3"/>
  <c r="CL17" i="3" s="1"/>
  <c r="CG23" i="3"/>
  <c r="CI23" i="3" s="1"/>
  <c r="EA20" i="3"/>
  <c r="ED20" i="3"/>
  <c r="DX20" i="3"/>
  <c r="ED16" i="3"/>
  <c r="EA16" i="3"/>
  <c r="DW4" i="3"/>
  <c r="DW5" i="3" s="1"/>
  <c r="DW6" i="3" s="1"/>
  <c r="DW7" i="3" s="1"/>
  <c r="DW8" i="3" s="1"/>
  <c r="DW9" i="3" s="1"/>
  <c r="DW10" i="3" s="1"/>
  <c r="DW11" i="3" s="1"/>
  <c r="DW12" i="3" s="1"/>
  <c r="DW13" i="3" s="1"/>
  <c r="DW14" i="3" s="1"/>
  <c r="DW15" i="3" s="1"/>
  <c r="DW16" i="3" s="1"/>
  <c r="DW17" i="3" s="1"/>
  <c r="EA21" i="3"/>
  <c r="ED21" i="3"/>
  <c r="DX21" i="3"/>
  <c r="ED18" i="3"/>
  <c r="DX18" i="3"/>
  <c r="EA14" i="3"/>
  <c r="DX14" i="3"/>
  <c r="EA10" i="3"/>
  <c r="ES4" i="3"/>
  <c r="ES5" i="3" s="1"/>
  <c r="ES6" i="3" s="1"/>
  <c r="ES7" i="3" s="1"/>
  <c r="ES8" i="3" s="1"/>
  <c r="ES9" i="3" s="1"/>
  <c r="ES10" i="3" s="1"/>
  <c r="ES11" i="3" s="1"/>
  <c r="ES12" i="3" s="1"/>
  <c r="ES13" i="3" s="1"/>
  <c r="ES14" i="3" s="1"/>
  <c r="ES15" i="3" s="1"/>
  <c r="ES16" i="3" s="1"/>
  <c r="ES17" i="3" s="1"/>
  <c r="ES18" i="3" s="1"/>
  <c r="ES19" i="3" s="1"/>
  <c r="ES20" i="3" s="1"/>
  <c r="ES21" i="3" s="1"/>
  <c r="ES22" i="3" s="1"/>
  <c r="ES23" i="3" s="1"/>
  <c r="ET16" i="3"/>
  <c r="EW20" i="3"/>
  <c r="ET20" i="3"/>
  <c r="EZ20" i="3"/>
  <c r="EZ17" i="3"/>
  <c r="EW17" i="3"/>
  <c r="ET17" i="3"/>
  <c r="EZ23" i="3"/>
  <c r="EW23" i="3"/>
  <c r="ET23" i="3"/>
  <c r="EZ14" i="3"/>
  <c r="EW18" i="3"/>
  <c r="EZ18" i="3"/>
  <c r="ET18" i="3"/>
  <c r="EZ21" i="3"/>
  <c r="EW21" i="3"/>
  <c r="ET21" i="3"/>
  <c r="EZ15" i="3"/>
  <c r="ET15" i="3"/>
  <c r="EZ19" i="3"/>
  <c r="EW19" i="3"/>
  <c r="ET19" i="3"/>
  <c r="EW22" i="3"/>
  <c r="EZ22" i="3"/>
  <c r="ET22" i="3"/>
  <c r="EO17" i="3"/>
  <c r="EL17" i="3"/>
  <c r="EI17" i="3"/>
  <c r="EO23" i="3"/>
  <c r="EL23" i="3"/>
  <c r="EI23" i="3"/>
  <c r="EO15" i="3"/>
  <c r="EL15" i="3"/>
  <c r="EI15" i="3"/>
  <c r="EO19" i="3"/>
  <c r="EL19" i="3"/>
  <c r="EI19" i="3"/>
  <c r="EL22" i="3"/>
  <c r="EI22" i="3"/>
  <c r="EO22" i="3"/>
  <c r="EL14" i="3"/>
  <c r="EO14" i="3"/>
  <c r="EI14" i="3"/>
  <c r="EL18" i="3"/>
  <c r="EI18" i="3"/>
  <c r="EO18" i="3"/>
  <c r="EO21" i="3"/>
  <c r="EL21" i="3"/>
  <c r="EI21" i="3"/>
  <c r="BD22" i="3"/>
  <c r="AZ22" i="3"/>
  <c r="BH22" i="3"/>
  <c r="DP22" i="3"/>
  <c r="CO17" i="3"/>
  <c r="CO9" i="3"/>
  <c r="CO22" i="3"/>
  <c r="CO15" i="3"/>
  <c r="CO7" i="3"/>
  <c r="CO20" i="3"/>
  <c r="CO12" i="3"/>
  <c r="CO4" i="3"/>
  <c r="CO21" i="3"/>
  <c r="CO14" i="3"/>
  <c r="CO6" i="3"/>
  <c r="CU19" i="3"/>
  <c r="CU11" i="3"/>
  <c r="CU21" i="3"/>
  <c r="CU14" i="3"/>
  <c r="CU6" i="3"/>
  <c r="CU13" i="3"/>
  <c r="CU5" i="3"/>
  <c r="CU20" i="3"/>
  <c r="CU12" i="3"/>
  <c r="CU4" i="3"/>
  <c r="CV4" i="3" s="1"/>
  <c r="BB7" i="3"/>
  <c r="CJ10" i="3"/>
  <c r="BJ7" i="3"/>
  <c r="CJ18" i="3"/>
  <c r="AZ5" i="3"/>
  <c r="CJ8" i="3"/>
  <c r="BH7" i="3"/>
  <c r="CJ16" i="3"/>
  <c r="CR23" i="3"/>
  <c r="CR13" i="3"/>
  <c r="CR5" i="3"/>
  <c r="DS22" i="3"/>
  <c r="CU22" i="3"/>
  <c r="CR11" i="3"/>
  <c r="CR7" i="3"/>
  <c r="CR15" i="3"/>
  <c r="CR4" i="3"/>
  <c r="CS4" i="3" s="1"/>
  <c r="DM22" i="3"/>
  <c r="CO23" i="3"/>
  <c r="CO13" i="3"/>
  <c r="CO5" i="3"/>
  <c r="CO19" i="3"/>
  <c r="CO11" i="3"/>
  <c r="CO16" i="3"/>
  <c r="CO8" i="3"/>
  <c r="CO18" i="3"/>
  <c r="CO10" i="3"/>
  <c r="CU15" i="3"/>
  <c r="CU7" i="3"/>
  <c r="CU18" i="3"/>
  <c r="CU10" i="3"/>
  <c r="CU17" i="3"/>
  <c r="CU9" i="3"/>
  <c r="CU23" i="3"/>
  <c r="CU16" i="3"/>
  <c r="CU8" i="3"/>
  <c r="AX7" i="3"/>
  <c r="CJ6" i="3"/>
  <c r="BF7" i="3"/>
  <c r="CJ14" i="3"/>
  <c r="BN7" i="3"/>
  <c r="CJ21" i="3"/>
  <c r="AV7" i="3"/>
  <c r="BD5" i="3"/>
  <c r="CJ12" i="3"/>
  <c r="BL7" i="3"/>
  <c r="CJ20" i="3"/>
  <c r="CR17" i="3"/>
  <c r="CR9" i="3"/>
  <c r="DS21" i="3"/>
  <c r="DM21" i="3"/>
  <c r="DP21" i="3"/>
  <c r="CR19" i="3"/>
  <c r="CR22" i="3"/>
  <c r="CR18" i="3"/>
  <c r="CR21" i="3"/>
  <c r="CR20" i="3"/>
  <c r="BG7" i="3"/>
  <c r="BK7" i="3"/>
  <c r="BO7" i="3"/>
  <c r="BE6" i="3"/>
  <c r="BI6" i="3"/>
  <c r="BM6" i="3"/>
  <c r="BB21" i="3"/>
  <c r="B30" i="3"/>
  <c r="B66" i="3"/>
  <c r="B63" i="3"/>
  <c r="B36" i="3"/>
  <c r="B41" i="3"/>
  <c r="B57" i="3"/>
  <c r="B51" i="3"/>
  <c r="B45" i="3"/>
  <c r="B55" i="3"/>
  <c r="B31" i="3"/>
  <c r="B56" i="3"/>
  <c r="B35" i="3"/>
  <c r="B44" i="3"/>
  <c r="B67" i="3"/>
  <c r="B53" i="3"/>
  <c r="B71" i="3"/>
  <c r="B40" i="3"/>
  <c r="B29" i="3"/>
  <c r="B43" i="3"/>
  <c r="B50" i="3"/>
  <c r="B58" i="3"/>
  <c r="B59" i="3"/>
  <c r="B37" i="3"/>
  <c r="B49" i="3"/>
  <c r="B64" i="3"/>
  <c r="B54" i="3"/>
  <c r="B42" i="3"/>
  <c r="B46" i="3"/>
  <c r="B65" i="3"/>
  <c r="B48" i="3"/>
  <c r="B62" i="3"/>
  <c r="B60" i="3"/>
  <c r="B52" i="3"/>
  <c r="AU73" i="3"/>
  <c r="B73" i="3"/>
  <c r="AU40" i="3"/>
  <c r="B39" i="3"/>
  <c r="AX21" i="3"/>
  <c r="BF21" i="3"/>
  <c r="BN21" i="3"/>
  <c r="BJ21" i="3"/>
  <c r="BO12" i="3"/>
  <c r="BO11" i="3"/>
  <c r="BO13" i="3"/>
  <c r="BE5" i="3"/>
  <c r="BE7" i="3"/>
  <c r="BG6" i="3"/>
  <c r="BI5" i="3"/>
  <c r="BI7" i="3"/>
  <c r="BK6" i="3"/>
  <c r="BM5" i="3"/>
  <c r="BM7" i="3"/>
  <c r="BO6" i="3"/>
  <c r="AV6" i="3"/>
  <c r="AX6" i="3"/>
  <c r="AZ7" i="3"/>
  <c r="AZ6" i="3"/>
  <c r="BB6" i="3"/>
  <c r="BF5" i="3"/>
  <c r="BF6" i="3"/>
  <c r="BH6" i="3"/>
  <c r="BJ6" i="3"/>
  <c r="BJ5" i="3"/>
  <c r="BL6" i="3"/>
  <c r="BN6" i="3"/>
  <c r="BN5" i="3"/>
  <c r="BD7" i="3"/>
  <c r="AX20" i="3"/>
  <c r="AX22" i="3"/>
  <c r="AZ21" i="3"/>
  <c r="BB20" i="3"/>
  <c r="BB22" i="3"/>
  <c r="BD21" i="3"/>
  <c r="BF20" i="3"/>
  <c r="BF22" i="3"/>
  <c r="BH21" i="3"/>
  <c r="BJ20" i="3"/>
  <c r="BJ22" i="3"/>
  <c r="BL21" i="3"/>
  <c r="BN20" i="3"/>
  <c r="BN22" i="3"/>
  <c r="BG5" i="3"/>
  <c r="BK5" i="3"/>
  <c r="BO5" i="3"/>
  <c r="AX5" i="3"/>
  <c r="BB5" i="3"/>
  <c r="BH5" i="3"/>
  <c r="BL5" i="3"/>
  <c r="BD6" i="3"/>
  <c r="AZ20" i="3"/>
  <c r="BD20" i="3"/>
  <c r="BH20" i="3"/>
  <c r="BL20" i="3"/>
  <c r="BM10" i="3"/>
  <c r="BM9" i="3"/>
  <c r="BM8" i="3"/>
  <c r="BI10" i="3"/>
  <c r="BI9" i="3"/>
  <c r="BI8" i="3"/>
  <c r="BE10" i="3"/>
  <c r="BE9" i="3"/>
  <c r="BE8" i="3"/>
  <c r="BA10" i="3"/>
  <c r="BA9" i="3"/>
  <c r="BA8" i="3"/>
  <c r="AW10" i="3"/>
  <c r="AW9" i="3"/>
  <c r="AW8" i="3"/>
  <c r="BO10" i="3"/>
  <c r="BO9" i="3"/>
  <c r="BO8" i="3"/>
  <c r="BK10" i="3"/>
  <c r="BK9" i="3"/>
  <c r="BK8" i="3"/>
  <c r="BG10" i="3"/>
  <c r="BG9" i="3"/>
  <c r="BG8" i="3"/>
  <c r="BC10" i="3"/>
  <c r="BC9" i="3"/>
  <c r="BC8" i="3"/>
  <c r="AY10" i="3"/>
  <c r="AY9" i="3"/>
  <c r="AY8" i="3"/>
  <c r="AV22" i="3"/>
  <c r="AV21" i="3"/>
  <c r="AV20" i="3"/>
  <c r="BL10" i="3"/>
  <c r="BL9" i="3"/>
  <c r="BL8" i="3"/>
  <c r="BH9" i="3"/>
  <c r="BH8" i="3"/>
  <c r="BH10" i="3"/>
  <c r="BD10" i="3"/>
  <c r="BD9" i="3"/>
  <c r="BD8" i="3"/>
  <c r="AZ10" i="3"/>
  <c r="AZ9" i="3"/>
  <c r="AZ8" i="3"/>
  <c r="AV9" i="3"/>
  <c r="AV10" i="3"/>
  <c r="AV8" i="3"/>
  <c r="BI19" i="3"/>
  <c r="BI18" i="3"/>
  <c r="BI17" i="3"/>
  <c r="BE19" i="3"/>
  <c r="BE18" i="3"/>
  <c r="BE17" i="3"/>
  <c r="BA19" i="3"/>
  <c r="BA18" i="3"/>
  <c r="BA17" i="3"/>
  <c r="AW19" i="3"/>
  <c r="AW18" i="3"/>
  <c r="AW17" i="3"/>
  <c r="BM19" i="3"/>
  <c r="BM18" i="3"/>
  <c r="BM17" i="3"/>
  <c r="BN8" i="3"/>
  <c r="BN10" i="3"/>
  <c r="BN9" i="3"/>
  <c r="BJ10" i="3"/>
  <c r="BJ9" i="3"/>
  <c r="BJ8" i="3"/>
  <c r="BF10" i="3"/>
  <c r="BF9" i="3"/>
  <c r="BF8" i="3"/>
  <c r="BB9" i="3"/>
  <c r="BB8" i="3"/>
  <c r="BB10" i="3"/>
  <c r="AX8" i="3"/>
  <c r="AX10" i="3"/>
  <c r="AX9" i="3"/>
  <c r="BG19" i="3"/>
  <c r="BG18" i="3"/>
  <c r="BG17" i="3"/>
  <c r="BC19" i="3"/>
  <c r="BC18" i="3"/>
  <c r="BC17" i="3"/>
  <c r="AY19" i="3"/>
  <c r="AY18" i="3"/>
  <c r="AY17" i="3"/>
  <c r="BO19" i="3"/>
  <c r="BO18" i="3"/>
  <c r="BO17" i="3"/>
  <c r="BK19" i="3"/>
  <c r="BK18" i="3"/>
  <c r="BK17" i="3"/>
  <c r="BL18" i="3"/>
  <c r="BL17" i="3"/>
  <c r="BL19" i="3"/>
  <c r="BH18" i="3"/>
  <c r="BH17" i="3"/>
  <c r="BH19" i="3"/>
  <c r="BD18" i="3"/>
  <c r="BD17" i="3"/>
  <c r="BD19" i="3"/>
  <c r="AZ18" i="3"/>
  <c r="AZ17" i="3"/>
  <c r="AZ19" i="3"/>
  <c r="AV19" i="3"/>
  <c r="AV18" i="3"/>
  <c r="AV17" i="3"/>
  <c r="BN19" i="3"/>
  <c r="BN18" i="3"/>
  <c r="BN17" i="3"/>
  <c r="BJ19" i="3"/>
  <c r="BJ18" i="3"/>
  <c r="BJ17" i="3"/>
  <c r="BF19" i="3"/>
  <c r="BF18" i="3"/>
  <c r="BF17" i="3"/>
  <c r="BB19" i="3"/>
  <c r="BB18" i="3"/>
  <c r="BB17" i="3"/>
  <c r="AX19" i="3"/>
  <c r="AX18" i="3"/>
  <c r="AX17" i="3"/>
  <c r="AV25" i="3"/>
  <c r="AV24" i="3"/>
  <c r="AV23" i="3"/>
  <c r="AZ25" i="3"/>
  <c r="AZ24" i="3"/>
  <c r="AZ23" i="3"/>
  <c r="BD25" i="3"/>
  <c r="BD24" i="3"/>
  <c r="BD23" i="3"/>
  <c r="BH25" i="3"/>
  <c r="BH24" i="3"/>
  <c r="BH23" i="3"/>
  <c r="BL25" i="3"/>
  <c r="BL24" i="3"/>
  <c r="BL23" i="3"/>
  <c r="AW25" i="3"/>
  <c r="AW24" i="3"/>
  <c r="AW23" i="3"/>
  <c r="BA25" i="3"/>
  <c r="BA24" i="3"/>
  <c r="BA23" i="3"/>
  <c r="BE25" i="3"/>
  <c r="BE24" i="3"/>
  <c r="BE23" i="3"/>
  <c r="BI25" i="3"/>
  <c r="BI24" i="3"/>
  <c r="BI23" i="3"/>
  <c r="BM25" i="3"/>
  <c r="BM24" i="3"/>
  <c r="BM23" i="3"/>
  <c r="AX25" i="3"/>
  <c r="AX24" i="3"/>
  <c r="AX23" i="3"/>
  <c r="BB25" i="3"/>
  <c r="BB24" i="3"/>
  <c r="BB23" i="3"/>
  <c r="BF25" i="3"/>
  <c r="BF24" i="3"/>
  <c r="BF23" i="3"/>
  <c r="BJ25" i="3"/>
  <c r="BJ24" i="3"/>
  <c r="BJ23" i="3"/>
  <c r="BN25" i="3"/>
  <c r="BN24" i="3"/>
  <c r="BN23" i="3"/>
  <c r="AY25" i="3"/>
  <c r="AY24" i="3"/>
  <c r="AY23" i="3"/>
  <c r="BC25" i="3"/>
  <c r="BC24" i="3"/>
  <c r="BC23" i="3"/>
  <c r="BG25" i="3"/>
  <c r="BG24" i="3"/>
  <c r="BG23" i="3"/>
  <c r="BK25" i="3"/>
  <c r="BK24" i="3"/>
  <c r="BK23" i="3"/>
  <c r="BO25" i="3"/>
  <c r="BO24" i="3"/>
  <c r="BO23" i="3"/>
  <c r="BN11" i="3"/>
  <c r="BN13" i="3"/>
  <c r="BN12" i="3"/>
  <c r="AW22" i="3"/>
  <c r="AW21" i="3"/>
  <c r="AW20" i="3"/>
  <c r="BA22" i="3"/>
  <c r="BA21" i="3"/>
  <c r="BA20" i="3"/>
  <c r="BE22" i="3"/>
  <c r="BE21" i="3"/>
  <c r="BE20" i="3"/>
  <c r="BI22" i="3"/>
  <c r="BI21" i="3"/>
  <c r="BI20" i="3"/>
  <c r="BM22" i="3"/>
  <c r="BM21" i="3"/>
  <c r="BM20" i="3"/>
  <c r="AY22" i="3"/>
  <c r="AY21" i="3"/>
  <c r="AY20" i="3"/>
  <c r="BC22" i="3"/>
  <c r="BC21" i="3"/>
  <c r="BC20" i="3"/>
  <c r="BG22" i="3"/>
  <c r="BG21" i="3"/>
  <c r="BG20" i="3"/>
  <c r="BK22" i="3"/>
  <c r="BK21" i="3"/>
  <c r="BK20" i="3"/>
  <c r="BO22" i="3"/>
  <c r="BO21" i="3"/>
  <c r="BO20" i="3"/>
  <c r="AU42" i="3"/>
  <c r="AU43" i="3"/>
  <c r="AU41" i="3"/>
  <c r="AU60" i="3"/>
  <c r="AU61" i="3"/>
  <c r="AU59" i="3"/>
  <c r="AU66" i="3"/>
  <c r="AU67" i="3"/>
  <c r="AU65" i="3"/>
  <c r="AU64" i="3"/>
  <c r="AU62" i="3"/>
  <c r="AU63" i="3"/>
  <c r="AU30" i="3"/>
  <c r="AU31" i="3"/>
  <c r="AU29" i="3"/>
  <c r="AU48" i="3"/>
  <c r="AU49" i="3"/>
  <c r="AU47" i="3"/>
  <c r="AU52" i="3"/>
  <c r="AU50" i="3"/>
  <c r="AU51" i="3"/>
  <c r="AU58" i="3"/>
  <c r="AU56" i="3"/>
  <c r="AU57" i="3"/>
  <c r="AU36" i="3"/>
  <c r="AU35" i="3"/>
  <c r="AU37" i="3"/>
  <c r="AU46" i="3"/>
  <c r="AU44" i="3"/>
  <c r="AU45" i="3"/>
  <c r="AU54" i="3"/>
  <c r="AU55" i="3"/>
  <c r="AU53" i="3"/>
  <c r="AU71" i="3"/>
  <c r="AU72" i="3"/>
  <c r="AU38" i="3"/>
  <c r="AU39" i="3"/>
  <c r="B75" i="3"/>
  <c r="C3" i="2"/>
  <c r="C5" i="2"/>
  <c r="C4" i="2"/>
  <c r="H3" i="7" s="1"/>
  <c r="I3" i="7" s="1"/>
  <c r="C12" i="2"/>
  <c r="G4" i="7" s="1"/>
  <c r="C13" i="2"/>
  <c r="F4" i="7" s="1"/>
  <c r="C14" i="2"/>
  <c r="EW15" i="3" l="1"/>
  <c r="ET14" i="3"/>
  <c r="EW14" i="3"/>
  <c r="EZ16" i="3"/>
  <c r="EW16" i="3"/>
  <c r="EL16" i="3"/>
  <c r="EO16" i="3"/>
  <c r="EI16" i="3"/>
  <c r="EO10" i="3"/>
  <c r="EL7" i="3"/>
  <c r="EI11" i="3"/>
  <c r="EI9" i="3"/>
  <c r="EI7" i="3"/>
  <c r="EL13" i="3"/>
  <c r="EO9" i="3"/>
  <c r="EW7" i="3"/>
  <c r="EZ10" i="3"/>
  <c r="ET11" i="3"/>
  <c r="EZ13" i="3"/>
  <c r="EZ11" i="3"/>
  <c r="ET13" i="3"/>
  <c r="EW9" i="3"/>
  <c r="EZ12" i="3"/>
  <c r="EW12" i="3"/>
  <c r="ET8" i="3"/>
  <c r="DX12" i="3"/>
  <c r="DX9" i="3"/>
  <c r="ED7" i="3"/>
  <c r="EI10" i="3"/>
  <c r="EL10" i="3"/>
  <c r="EL11" i="3"/>
  <c r="EO11" i="3"/>
  <c r="EO7" i="3"/>
  <c r="EI13" i="3"/>
  <c r="EO13" i="3"/>
  <c r="EL9" i="3"/>
  <c r="EW11" i="3"/>
  <c r="ET7" i="3"/>
  <c r="EZ7" i="3"/>
  <c r="ET10" i="3"/>
  <c r="EW10" i="3"/>
  <c r="EW13" i="3"/>
  <c r="ET9" i="3"/>
  <c r="EZ9" i="3"/>
  <c r="ET12" i="3"/>
  <c r="EZ8" i="3"/>
  <c r="EW8" i="3"/>
  <c r="DX10" i="3"/>
  <c r="ED8" i="3"/>
  <c r="DX7" i="3"/>
  <c r="ED11" i="3"/>
  <c r="ED9" i="3"/>
  <c r="DX8" i="3"/>
  <c r="ED12" i="3"/>
  <c r="EA7" i="3"/>
  <c r="DX11" i="3"/>
  <c r="EA11" i="3"/>
  <c r="EA9" i="3"/>
  <c r="EO12" i="3"/>
  <c r="ED10" i="3"/>
  <c r="EI12" i="3"/>
  <c r="EO8" i="3"/>
  <c r="EA8" i="3"/>
  <c r="EL12" i="3"/>
  <c r="IF9" i="3"/>
  <c r="HJ10" i="3"/>
  <c r="HN9" i="3"/>
  <c r="HK9" i="3"/>
  <c r="HH9" i="3"/>
  <c r="IQ12" i="3"/>
  <c r="IU11" i="3"/>
  <c r="IO11" i="3"/>
  <c r="IR11" i="3"/>
  <c r="GN8" i="3"/>
  <c r="GO7" i="3"/>
  <c r="GR7" i="3"/>
  <c r="GL7" i="3"/>
  <c r="LM8" i="3"/>
  <c r="LN7" i="3"/>
  <c r="LQ7" i="3"/>
  <c r="LT7" i="3"/>
  <c r="EA12" i="3"/>
  <c r="HU8" i="3"/>
  <c r="HS7" i="3"/>
  <c r="HY7" i="3"/>
  <c r="HV7" i="3"/>
  <c r="EL8" i="3"/>
  <c r="EI8" i="3"/>
  <c r="H4" i="7"/>
  <c r="I4" i="7" s="1"/>
  <c r="EI5" i="3"/>
  <c r="EI6" i="3"/>
  <c r="DE22" i="3"/>
  <c r="CF23" i="3"/>
  <c r="CW18" i="3"/>
  <c r="CV5" i="3"/>
  <c r="CV6" i="3" s="1"/>
  <c r="CV7" i="3" s="1"/>
  <c r="CV8" i="3" s="1"/>
  <c r="CV9" i="3" s="1"/>
  <c r="CV10" i="3" s="1"/>
  <c r="CV11" i="3" s="1"/>
  <c r="CV12" i="3" s="1"/>
  <c r="CV13" i="3" s="1"/>
  <c r="CV14" i="3" s="1"/>
  <c r="CV15" i="3" s="1"/>
  <c r="CV16" i="3" s="1"/>
  <c r="CV17" i="3" s="1"/>
  <c r="CL19" i="3"/>
  <c r="CL23" i="3"/>
  <c r="CF19" i="3"/>
  <c r="CH13" i="3"/>
  <c r="CT20" i="3"/>
  <c r="CF22" i="3"/>
  <c r="CF15" i="3"/>
  <c r="EO6" i="3"/>
  <c r="EO5" i="3"/>
  <c r="EO4" i="3"/>
  <c r="CL15" i="3"/>
  <c r="CI17" i="3"/>
  <c r="CI22" i="3"/>
  <c r="CF17" i="3"/>
  <c r="EL6" i="3"/>
  <c r="EL5" i="3"/>
  <c r="EL4" i="3"/>
  <c r="EI4" i="3"/>
  <c r="B26" i="3"/>
  <c r="FH4" i="3"/>
  <c r="FE4" i="3"/>
  <c r="EZ6" i="3"/>
  <c r="FK4" i="3"/>
  <c r="EW5" i="3"/>
  <c r="ET5" i="3"/>
  <c r="ET4" i="3"/>
  <c r="DX6" i="3"/>
  <c r="EA4" i="3"/>
  <c r="EL20" i="3"/>
  <c r="EI20" i="3"/>
  <c r="EO20" i="3"/>
  <c r="EA5" i="3"/>
  <c r="EK20" i="3"/>
  <c r="EK21" i="3" s="1"/>
  <c r="EK22" i="3" s="1"/>
  <c r="EK23" i="3" s="1"/>
  <c r="EW6" i="3"/>
  <c r="ET6" i="3"/>
  <c r="EZ5" i="3"/>
  <c r="EZ4" i="3"/>
  <c r="EW4" i="3"/>
  <c r="EA6" i="3"/>
  <c r="ED6" i="3"/>
  <c r="DX4" i="3"/>
  <c r="ED4" i="3"/>
  <c r="DX5" i="3"/>
  <c r="ED5" i="3"/>
  <c r="IC7" i="3"/>
  <c r="ID6" i="3"/>
  <c r="IJ6" i="3"/>
  <c r="IG6" i="3"/>
  <c r="KF7" i="3"/>
  <c r="KG6" i="3"/>
  <c r="KJ6" i="3"/>
  <c r="KM6" i="3"/>
  <c r="FG6" i="3"/>
  <c r="FH5" i="3"/>
  <c r="FE5" i="3"/>
  <c r="FK5" i="3"/>
  <c r="CW16" i="3"/>
  <c r="CT16" i="3"/>
  <c r="CQ16" i="3"/>
  <c r="CI20" i="3"/>
  <c r="CF20" i="3"/>
  <c r="CL20" i="3"/>
  <c r="CK5" i="3"/>
  <c r="CL21" i="3"/>
  <c r="CF21" i="3"/>
  <c r="CI21" i="3"/>
  <c r="CT18" i="3"/>
  <c r="CQ18" i="3"/>
  <c r="CW19" i="3"/>
  <c r="CQ19" i="3"/>
  <c r="CT19" i="3"/>
  <c r="CW23" i="3"/>
  <c r="CQ23" i="3"/>
  <c r="CT23" i="3"/>
  <c r="DE21" i="3"/>
  <c r="DH21" i="3"/>
  <c r="DB21" i="3"/>
  <c r="DH22" i="3"/>
  <c r="DB22" i="3"/>
  <c r="CS5" i="3"/>
  <c r="CS6" i="3" s="1"/>
  <c r="CS7" i="3" s="1"/>
  <c r="CS8" i="3" s="1"/>
  <c r="CS9" i="3" s="1"/>
  <c r="CS10" i="3" s="1"/>
  <c r="CS11" i="3" s="1"/>
  <c r="CS12" i="3" s="1"/>
  <c r="CS13" i="3" s="1"/>
  <c r="CS14" i="3" s="1"/>
  <c r="CS15" i="3" s="1"/>
  <c r="CS16" i="3" s="1"/>
  <c r="CS17" i="3" s="1"/>
  <c r="CL18" i="3"/>
  <c r="CI18" i="3"/>
  <c r="CF18" i="3"/>
  <c r="CW21" i="3"/>
  <c r="CT21" i="3"/>
  <c r="CQ21" i="3"/>
  <c r="CP4" i="3"/>
  <c r="CP5" i="3" s="1"/>
  <c r="CP6" i="3" s="1"/>
  <c r="CP7" i="3" s="1"/>
  <c r="CP8" i="3" s="1"/>
  <c r="CP9" i="3" s="1"/>
  <c r="CP10" i="3" s="1"/>
  <c r="CP11" i="3" s="1"/>
  <c r="CP12" i="3" s="1"/>
  <c r="CP13" i="3" s="1"/>
  <c r="CP14" i="3" s="1"/>
  <c r="CP15" i="3" s="1"/>
  <c r="CP16" i="3" s="1"/>
  <c r="CP17" i="3" s="1"/>
  <c r="CW20" i="3"/>
  <c r="CQ20" i="3"/>
  <c r="CW15" i="3"/>
  <c r="CQ15" i="3"/>
  <c r="CT15" i="3"/>
  <c r="CW17" i="3"/>
  <c r="CT17" i="3"/>
  <c r="CQ17" i="3"/>
  <c r="B8" i="3"/>
  <c r="B28" i="3"/>
  <c r="B74" i="3"/>
  <c r="B9" i="3"/>
  <c r="B10" i="3"/>
  <c r="B27" i="3"/>
  <c r="AU76" i="3"/>
  <c r="B76" i="3"/>
  <c r="AR73" i="3"/>
  <c r="AR48" i="3"/>
  <c r="E19" i="6" s="1"/>
  <c r="AR29" i="3"/>
  <c r="AR44" i="3"/>
  <c r="AR35" i="3"/>
  <c r="AR50" i="3"/>
  <c r="AR60" i="3"/>
  <c r="E23" i="6" s="1"/>
  <c r="AR61" i="3"/>
  <c r="AR40" i="3"/>
  <c r="AR71" i="3"/>
  <c r="AU10" i="3"/>
  <c r="AU8" i="3"/>
  <c r="AU9" i="3"/>
  <c r="AU28" i="3"/>
  <c r="AU26" i="3"/>
  <c r="AU27" i="3"/>
  <c r="AR38" i="3"/>
  <c r="AR39" i="3"/>
  <c r="E16" i="6" s="1"/>
  <c r="AU74" i="3"/>
  <c r="AU75" i="3"/>
  <c r="AR63" i="3"/>
  <c r="E24" i="6" s="1"/>
  <c r="AR64" i="3"/>
  <c r="AR51" i="3"/>
  <c r="E20" i="6" s="1"/>
  <c r="AR62" i="3"/>
  <c r="AR59" i="3"/>
  <c r="AR45" i="3"/>
  <c r="E18" i="6" s="1"/>
  <c r="AR36" i="3"/>
  <c r="E15" i="6" s="1"/>
  <c r="AR56" i="3"/>
  <c r="AR43" i="3"/>
  <c r="AR54" i="3"/>
  <c r="E21" i="6" s="1"/>
  <c r="AR66" i="3"/>
  <c r="E25" i="6" s="1"/>
  <c r="AR30" i="3"/>
  <c r="E13" i="6" s="1"/>
  <c r="AR46" i="3"/>
  <c r="AR53" i="3"/>
  <c r="AR42" i="3"/>
  <c r="E17" i="6" s="1"/>
  <c r="AR37" i="3"/>
  <c r="AR41" i="3"/>
  <c r="AR55" i="3"/>
  <c r="AR58" i="3"/>
  <c r="AR72" i="3"/>
  <c r="E27" i="6" s="1"/>
  <c r="AR52" i="3"/>
  <c r="AR47" i="3"/>
  <c r="AR31" i="3"/>
  <c r="AR67" i="3"/>
  <c r="AR49" i="3"/>
  <c r="AR57" i="3"/>
  <c r="E22" i="6" s="1"/>
  <c r="AR65" i="3"/>
  <c r="B17" i="3"/>
  <c r="CT9" i="3" l="1"/>
  <c r="CQ7" i="3"/>
  <c r="CW12" i="3"/>
  <c r="CQ9" i="3"/>
  <c r="CT7" i="3"/>
  <c r="CW9" i="3"/>
  <c r="CW7" i="3"/>
  <c r="CQ12" i="3"/>
  <c r="CQ14" i="3"/>
  <c r="CT8" i="3"/>
  <c r="CQ13" i="3"/>
  <c r="CW13" i="3"/>
  <c r="CT11" i="3"/>
  <c r="CW11" i="3"/>
  <c r="CW8" i="3"/>
  <c r="CT10" i="3"/>
  <c r="CW10" i="3"/>
  <c r="LM9" i="3"/>
  <c r="LQ8" i="3"/>
  <c r="LT8" i="3"/>
  <c r="LN8" i="3"/>
  <c r="GN9" i="3"/>
  <c r="GR8" i="3"/>
  <c r="GO8" i="3"/>
  <c r="GL8" i="3"/>
  <c r="IQ13" i="3"/>
  <c r="IQ14" i="3" s="1"/>
  <c r="IQ15" i="3" s="1"/>
  <c r="IR12" i="3"/>
  <c r="IU12" i="3"/>
  <c r="IO12" i="3"/>
  <c r="HJ11" i="3"/>
  <c r="HH10" i="3"/>
  <c r="HK10" i="3"/>
  <c r="HN10" i="3"/>
  <c r="IF10" i="3"/>
  <c r="CT14" i="3"/>
  <c r="CT13" i="3"/>
  <c r="CQ11" i="3"/>
  <c r="CQ8" i="3"/>
  <c r="CQ10" i="3"/>
  <c r="KF8" i="3"/>
  <c r="KJ7" i="3"/>
  <c r="KG7" i="3"/>
  <c r="KM7" i="3"/>
  <c r="IC8" i="3"/>
  <c r="ID7" i="3"/>
  <c r="IJ7" i="3"/>
  <c r="IG7" i="3"/>
  <c r="CT12" i="3"/>
  <c r="CW14" i="3"/>
  <c r="CH14" i="3"/>
  <c r="HU9" i="3"/>
  <c r="HS8" i="3"/>
  <c r="HV8" i="3"/>
  <c r="HY8" i="3"/>
  <c r="F19" i="6"/>
  <c r="J19" i="6" s="1"/>
  <c r="F21" i="6"/>
  <c r="J21" i="6" s="1"/>
  <c r="F22" i="6"/>
  <c r="F24" i="6"/>
  <c r="J24" i="6" s="1"/>
  <c r="F27" i="6"/>
  <c r="J27" i="6" s="1"/>
  <c r="F20" i="6"/>
  <c r="J20" i="6" s="1"/>
  <c r="F18" i="6"/>
  <c r="J18" i="6" s="1"/>
  <c r="F25" i="6"/>
  <c r="J25" i="6" s="1"/>
  <c r="F17" i="6"/>
  <c r="J17" i="6" s="1"/>
  <c r="F23" i="6"/>
  <c r="J23" i="6" s="1"/>
  <c r="F16" i="6"/>
  <c r="J16" i="6" s="1"/>
  <c r="F15" i="6"/>
  <c r="J15" i="6" s="1"/>
  <c r="F13" i="6"/>
  <c r="H22" i="6"/>
  <c r="J22" i="6"/>
  <c r="H13" i="6"/>
  <c r="J13" i="6"/>
  <c r="H21" i="6"/>
  <c r="H18" i="6"/>
  <c r="H16" i="6"/>
  <c r="H19" i="6"/>
  <c r="H27" i="6"/>
  <c r="H17" i="6"/>
  <c r="H25" i="6"/>
  <c r="H15" i="6"/>
  <c r="H20" i="6"/>
  <c r="H24" i="6"/>
  <c r="H23" i="6"/>
  <c r="FG7" i="3"/>
  <c r="FH6" i="3"/>
  <c r="FK6" i="3"/>
  <c r="FE6" i="3"/>
  <c r="CW4" i="3"/>
  <c r="CQ4" i="3"/>
  <c r="CT4" i="3"/>
  <c r="CQ6" i="3"/>
  <c r="CW6" i="3"/>
  <c r="CT6" i="3"/>
  <c r="CQ5" i="3"/>
  <c r="CT5" i="3"/>
  <c r="CW5" i="3"/>
  <c r="CK6" i="3"/>
  <c r="CF5" i="3"/>
  <c r="CI5" i="3"/>
  <c r="CL5" i="3"/>
  <c r="B24" i="3"/>
  <c r="B21" i="3"/>
  <c r="B19" i="3"/>
  <c r="B20" i="3"/>
  <c r="B25" i="3"/>
  <c r="B23" i="3"/>
  <c r="B22" i="3"/>
  <c r="AU18" i="3"/>
  <c r="B18" i="3"/>
  <c r="AR10" i="3"/>
  <c r="AR28" i="3"/>
  <c r="AR27" i="3"/>
  <c r="E12" i="6" s="1"/>
  <c r="AU19" i="3"/>
  <c r="AU24" i="3"/>
  <c r="AU23" i="3"/>
  <c r="AU25" i="3"/>
  <c r="AU22" i="3"/>
  <c r="AU20" i="3"/>
  <c r="AU21" i="3"/>
  <c r="AU6" i="3"/>
  <c r="AU7" i="3"/>
  <c r="AU5" i="3"/>
  <c r="AU17" i="3"/>
  <c r="AR74" i="3"/>
  <c r="AR8" i="3"/>
  <c r="AR26" i="3"/>
  <c r="AR75" i="3"/>
  <c r="E28" i="6" s="1"/>
  <c r="AR76" i="3"/>
  <c r="AR9" i="3"/>
  <c r="E6" i="6" s="1"/>
  <c r="B7" i="3"/>
  <c r="B5" i="3"/>
  <c r="B6" i="3"/>
  <c r="LG21" i="3"/>
  <c r="LA21" i="3"/>
  <c r="CH15" i="3" l="1"/>
  <c r="CH16" i="3" s="1"/>
  <c r="IQ16" i="3"/>
  <c r="IQ17" i="3" s="1"/>
  <c r="IQ18" i="3" s="1"/>
  <c r="IQ19" i="3" s="1"/>
  <c r="IQ20" i="3" s="1"/>
  <c r="IQ21" i="3" s="1"/>
  <c r="IQ22" i="3" s="1"/>
  <c r="IQ23" i="3" s="1"/>
  <c r="IU15" i="3"/>
  <c r="IR15" i="3"/>
  <c r="IO15" i="3"/>
  <c r="FG8" i="3"/>
  <c r="FK7" i="3"/>
  <c r="FE7" i="3"/>
  <c r="FH7" i="3"/>
  <c r="HU10" i="3"/>
  <c r="HV9" i="3"/>
  <c r="HS9" i="3"/>
  <c r="HY9" i="3"/>
  <c r="IC9" i="3"/>
  <c r="IJ8" i="3"/>
  <c r="ID8" i="3"/>
  <c r="IG8" i="3"/>
  <c r="KF9" i="3"/>
  <c r="KM8" i="3"/>
  <c r="KG8" i="3"/>
  <c r="KJ8" i="3"/>
  <c r="IF11" i="3"/>
  <c r="HJ12" i="3"/>
  <c r="HK11" i="3"/>
  <c r="HH11" i="3"/>
  <c r="HN11" i="3"/>
  <c r="GN10" i="3"/>
  <c r="GR9" i="3"/>
  <c r="GO9" i="3"/>
  <c r="GL9" i="3"/>
  <c r="LM10" i="3"/>
  <c r="LT9" i="3"/>
  <c r="LQ9" i="3"/>
  <c r="LN9" i="3"/>
  <c r="I13" i="6"/>
  <c r="I15" i="6"/>
  <c r="I16" i="6"/>
  <c r="I23" i="6"/>
  <c r="I17" i="6"/>
  <c r="I25" i="6"/>
  <c r="I18" i="6"/>
  <c r="I20" i="6"/>
  <c r="I27" i="6"/>
  <c r="I24" i="6"/>
  <c r="I22" i="6"/>
  <c r="I21" i="6"/>
  <c r="I19" i="6"/>
  <c r="F6" i="6"/>
  <c r="J6" i="6" s="1"/>
  <c r="F12" i="6"/>
  <c r="F28" i="6"/>
  <c r="J28" i="6" s="1"/>
  <c r="H12" i="6"/>
  <c r="H6" i="6"/>
  <c r="H28" i="6"/>
  <c r="LD6" i="3"/>
  <c r="LD8" i="3"/>
  <c r="LD12" i="3"/>
  <c r="LD14" i="3"/>
  <c r="LD16" i="3"/>
  <c r="LD18" i="3"/>
  <c r="LD20" i="3"/>
  <c r="LG6" i="3"/>
  <c r="LG8" i="3"/>
  <c r="LG10" i="3"/>
  <c r="LG12" i="3"/>
  <c r="LG14" i="3"/>
  <c r="LG16" i="3"/>
  <c r="LG18" i="3"/>
  <c r="LG20" i="3"/>
  <c r="LD10" i="3"/>
  <c r="LD21" i="3"/>
  <c r="LI21" i="3" s="1"/>
  <c r="CK7" i="3"/>
  <c r="CL6" i="3"/>
  <c r="CI6" i="3"/>
  <c r="CF6" i="3"/>
  <c r="BN70" i="3"/>
  <c r="BN4" i="3" s="1"/>
  <c r="BY22" i="3" s="1"/>
  <c r="BN69" i="3"/>
  <c r="BN3" i="3" s="1"/>
  <c r="BV22" i="3" s="1"/>
  <c r="BN68" i="3"/>
  <c r="BN2" i="3" s="1"/>
  <c r="BS22" i="3" s="1"/>
  <c r="AR25" i="3"/>
  <c r="AR18" i="3"/>
  <c r="E9" i="6" s="1"/>
  <c r="AR5" i="3"/>
  <c r="AR17" i="3"/>
  <c r="AR23" i="3"/>
  <c r="AR6" i="3"/>
  <c r="E5" i="6" s="1"/>
  <c r="AR20" i="3"/>
  <c r="AR19" i="3"/>
  <c r="AR7" i="3"/>
  <c r="AR22" i="3"/>
  <c r="AR24" i="3"/>
  <c r="E11" i="6" s="1"/>
  <c r="AR21" i="3"/>
  <c r="E10" i="6" s="1"/>
  <c r="CH17" i="3" l="1"/>
  <c r="LM11" i="3"/>
  <c r="LN10" i="3"/>
  <c r="LT10" i="3"/>
  <c r="LQ10" i="3"/>
  <c r="GN11" i="3"/>
  <c r="GO10" i="3"/>
  <c r="GL10" i="3"/>
  <c r="GR10" i="3"/>
  <c r="HJ13" i="3"/>
  <c r="HJ14" i="3" s="1"/>
  <c r="HJ15" i="3" s="1"/>
  <c r="HK12" i="3"/>
  <c r="HN12" i="3"/>
  <c r="HH12" i="3"/>
  <c r="IF12" i="3"/>
  <c r="KF10" i="3"/>
  <c r="KM9" i="3"/>
  <c r="KG9" i="3"/>
  <c r="KJ9" i="3"/>
  <c r="IC10" i="3"/>
  <c r="IJ9" i="3"/>
  <c r="ID9" i="3"/>
  <c r="IG9" i="3"/>
  <c r="HU11" i="3"/>
  <c r="HV10" i="3"/>
  <c r="HS10" i="3"/>
  <c r="HY10" i="3"/>
  <c r="FG9" i="3"/>
  <c r="FK8" i="3"/>
  <c r="FH8" i="3"/>
  <c r="FE8" i="3"/>
  <c r="I28" i="6"/>
  <c r="I12" i="6"/>
  <c r="I6" i="6"/>
  <c r="CK8" i="3"/>
  <c r="CF7" i="3"/>
  <c r="CL7" i="3"/>
  <c r="CI7" i="3"/>
  <c r="J12" i="6"/>
  <c r="F9" i="6"/>
  <c r="F10" i="6"/>
  <c r="F11" i="6"/>
  <c r="F5" i="6"/>
  <c r="H10" i="6"/>
  <c r="J10" i="6"/>
  <c r="H5" i="6"/>
  <c r="J5" i="6"/>
  <c r="H9" i="6"/>
  <c r="H11" i="6"/>
  <c r="LA18" i="3"/>
  <c r="LF18" i="3" s="1"/>
  <c r="BJ70" i="3"/>
  <c r="BJ68" i="3"/>
  <c r="BJ69" i="3"/>
  <c r="LA14" i="3"/>
  <c r="LF14" i="3" s="1"/>
  <c r="BF70" i="3"/>
  <c r="BF68" i="3"/>
  <c r="BF69" i="3"/>
  <c r="LA10" i="3"/>
  <c r="LI10" i="3" s="1"/>
  <c r="BB68" i="3"/>
  <c r="BB70" i="3"/>
  <c r="LA6" i="3"/>
  <c r="AX69" i="3"/>
  <c r="AX68" i="3"/>
  <c r="AX70" i="3"/>
  <c r="LA20" i="3"/>
  <c r="LF20" i="3" s="1"/>
  <c r="BL70" i="3"/>
  <c r="BL68" i="3"/>
  <c r="BL69" i="3"/>
  <c r="LA16" i="3"/>
  <c r="LF16" i="3" s="1"/>
  <c r="BH70" i="3"/>
  <c r="BH68" i="3"/>
  <c r="BH69" i="3"/>
  <c r="LA12" i="3"/>
  <c r="LF12" i="3" s="1"/>
  <c r="BD70" i="3"/>
  <c r="BD68" i="3"/>
  <c r="BD69" i="3"/>
  <c r="LA8" i="3"/>
  <c r="AZ69" i="3"/>
  <c r="AZ68" i="3"/>
  <c r="AZ70" i="3"/>
  <c r="BB69" i="3"/>
  <c r="LF21" i="3"/>
  <c r="LC21" i="3"/>
  <c r="HJ16" i="3" l="1"/>
  <c r="HJ17" i="3" s="1"/>
  <c r="HJ18" i="3" s="1"/>
  <c r="HJ19" i="3" s="1"/>
  <c r="HJ20" i="3" s="1"/>
  <c r="HJ21" i="3" s="1"/>
  <c r="HJ22" i="3" s="1"/>
  <c r="HJ23" i="3" s="1"/>
  <c r="HK15" i="3"/>
  <c r="HN15" i="3"/>
  <c r="HH15" i="3"/>
  <c r="FG10" i="3"/>
  <c r="FH9" i="3"/>
  <c r="FK9" i="3"/>
  <c r="FE9" i="3"/>
  <c r="HU12" i="3"/>
  <c r="HU13" i="3" s="1"/>
  <c r="HU14" i="3" s="1"/>
  <c r="HY11" i="3"/>
  <c r="HV11" i="3"/>
  <c r="HS11" i="3"/>
  <c r="IC11" i="3"/>
  <c r="ID10" i="3"/>
  <c r="IJ10" i="3"/>
  <c r="IG10" i="3"/>
  <c r="KF11" i="3"/>
  <c r="KJ10" i="3"/>
  <c r="KM10" i="3"/>
  <c r="KG10" i="3"/>
  <c r="IF13" i="3"/>
  <c r="GN12" i="3"/>
  <c r="GR11" i="3"/>
  <c r="GL11" i="3"/>
  <c r="GO11" i="3"/>
  <c r="LM12" i="3"/>
  <c r="LN11" i="3"/>
  <c r="LQ11" i="3"/>
  <c r="LT11" i="3"/>
  <c r="I11" i="6"/>
  <c r="I10" i="6"/>
  <c r="I9" i="6"/>
  <c r="I5" i="6"/>
  <c r="CK9" i="3"/>
  <c r="CL8" i="3"/>
  <c r="CI8" i="3"/>
  <c r="CF8" i="3"/>
  <c r="J11" i="6"/>
  <c r="J9" i="6"/>
  <c r="LC14" i="3"/>
  <c r="LI14" i="3"/>
  <c r="LC10" i="3"/>
  <c r="LC18" i="3"/>
  <c r="LI12" i="3"/>
  <c r="LI16" i="3"/>
  <c r="LI20" i="3"/>
  <c r="LC12" i="3"/>
  <c r="LF10" i="3"/>
  <c r="LC16" i="3"/>
  <c r="LC20" i="3"/>
  <c r="LI18" i="3"/>
  <c r="LD4" i="3"/>
  <c r="LE4" i="3" s="1"/>
  <c r="LA4" i="3"/>
  <c r="AV69" i="3"/>
  <c r="AV70" i="3"/>
  <c r="AV68" i="3"/>
  <c r="LG4" i="3"/>
  <c r="LH4" i="3" s="1"/>
  <c r="HU15" i="3" l="1"/>
  <c r="HU16" i="3" s="1"/>
  <c r="HU17" i="3" s="1"/>
  <c r="HU18" i="3" s="1"/>
  <c r="HU19" i="3" s="1"/>
  <c r="HU20" i="3" s="1"/>
  <c r="HU21" i="3" s="1"/>
  <c r="HU22" i="3" s="1"/>
  <c r="HU23" i="3" s="1"/>
  <c r="HV14" i="3"/>
  <c r="HS14" i="3"/>
  <c r="HY14" i="3"/>
  <c r="CK10" i="3"/>
  <c r="CL9" i="3"/>
  <c r="CF9" i="3"/>
  <c r="CI9" i="3"/>
  <c r="LM13" i="3"/>
  <c r="LM14" i="3" s="1"/>
  <c r="LM15" i="3" s="1"/>
  <c r="LQ12" i="3"/>
  <c r="LT12" i="3"/>
  <c r="LN12" i="3"/>
  <c r="GN13" i="3"/>
  <c r="GR12" i="3"/>
  <c r="GO12" i="3"/>
  <c r="GL12" i="3"/>
  <c r="IF14" i="3"/>
  <c r="KF12" i="3"/>
  <c r="KF13" i="3" s="1"/>
  <c r="KF14" i="3" s="1"/>
  <c r="KF15" i="3" s="1"/>
  <c r="KF16" i="3" s="1"/>
  <c r="KF17" i="3" s="1"/>
  <c r="KF18" i="3" s="1"/>
  <c r="KF19" i="3" s="1"/>
  <c r="KF20" i="3" s="1"/>
  <c r="KF21" i="3" s="1"/>
  <c r="KF22" i="3" s="1"/>
  <c r="KF23" i="3" s="1"/>
  <c r="KM11" i="3"/>
  <c r="KJ11" i="3"/>
  <c r="KG11" i="3"/>
  <c r="IC12" i="3"/>
  <c r="IJ11" i="3"/>
  <c r="ID11" i="3"/>
  <c r="IG11" i="3"/>
  <c r="FG11" i="3"/>
  <c r="FH10" i="3"/>
  <c r="FK10" i="3"/>
  <c r="FE10" i="3"/>
  <c r="LB4" i="3"/>
  <c r="B34" i="3"/>
  <c r="LM16" i="3" l="1"/>
  <c r="LM17" i="3" s="1"/>
  <c r="LM18" i="3" s="1"/>
  <c r="LM19" i="3" s="1"/>
  <c r="LM20" i="3" s="1"/>
  <c r="LM21" i="3" s="1"/>
  <c r="LM22" i="3" s="1"/>
  <c r="LM23" i="3" s="1"/>
  <c r="LN15" i="3"/>
  <c r="LQ15" i="3"/>
  <c r="LT15" i="3"/>
  <c r="IF15" i="3"/>
  <c r="IF16" i="3" s="1"/>
  <c r="FG12" i="3"/>
  <c r="FH11" i="3"/>
  <c r="FK11" i="3"/>
  <c r="FE11" i="3"/>
  <c r="IC13" i="3"/>
  <c r="ID12" i="3"/>
  <c r="IJ12" i="3"/>
  <c r="IG12" i="3"/>
  <c r="GN14" i="3"/>
  <c r="GN15" i="3" s="1"/>
  <c r="GN16" i="3" s="1"/>
  <c r="GN17" i="3" s="1"/>
  <c r="GN18" i="3" s="1"/>
  <c r="GN19" i="3" s="1"/>
  <c r="GN20" i="3" s="1"/>
  <c r="GN21" i="3" s="1"/>
  <c r="GN22" i="3" s="1"/>
  <c r="GN23" i="3" s="1"/>
  <c r="GR13" i="3"/>
  <c r="GO13" i="3"/>
  <c r="GL13" i="3"/>
  <c r="CK11" i="3"/>
  <c r="CI10" i="3"/>
  <c r="CL10" i="3"/>
  <c r="CF10" i="3"/>
  <c r="LI4" i="3"/>
  <c r="LF4" i="3"/>
  <c r="LC4" i="3"/>
  <c r="AU32" i="3"/>
  <c r="B33" i="3"/>
  <c r="B32" i="3"/>
  <c r="AU33" i="3"/>
  <c r="AU34" i="3"/>
  <c r="IF17" i="3" l="1"/>
  <c r="IF18" i="3" s="1"/>
  <c r="IF19" i="3" s="1"/>
  <c r="IF20" i="3" s="1"/>
  <c r="IF21" i="3" s="1"/>
  <c r="IF22" i="3" s="1"/>
  <c r="IF23" i="3" s="1"/>
  <c r="CK12" i="3"/>
  <c r="CL11" i="3"/>
  <c r="CF11" i="3"/>
  <c r="CI11" i="3"/>
  <c r="IC14" i="3"/>
  <c r="ID13" i="3"/>
  <c r="IJ13" i="3"/>
  <c r="IG13" i="3"/>
  <c r="FG13" i="3"/>
  <c r="FG14" i="3" s="1"/>
  <c r="FG15" i="3" s="1"/>
  <c r="FG16" i="3" s="1"/>
  <c r="FG17" i="3" s="1"/>
  <c r="FG18" i="3" s="1"/>
  <c r="FG19" i="3" s="1"/>
  <c r="FG20" i="3" s="1"/>
  <c r="FG21" i="3" s="1"/>
  <c r="FG22" i="3" s="1"/>
  <c r="FG23" i="3" s="1"/>
  <c r="FH12" i="3"/>
  <c r="FE12" i="3"/>
  <c r="FK12" i="3"/>
  <c r="AR32" i="3"/>
  <c r="AR33" i="3"/>
  <c r="E14" i="6" s="1"/>
  <c r="AR34" i="3"/>
  <c r="IC15" i="3" l="1"/>
  <c r="IC16" i="3" s="1"/>
  <c r="ID14" i="3"/>
  <c r="IJ14" i="3"/>
  <c r="IG14" i="3"/>
  <c r="CK13" i="3"/>
  <c r="CL12" i="3"/>
  <c r="CI12" i="3"/>
  <c r="CF12" i="3"/>
  <c r="F14" i="6"/>
  <c r="J14" i="6" s="1"/>
  <c r="H14" i="6"/>
  <c r="DZ18" i="3"/>
  <c r="DZ19" i="3" s="1"/>
  <c r="DZ20" i="3" s="1"/>
  <c r="DZ21" i="3" s="1"/>
  <c r="DZ22" i="3" s="1"/>
  <c r="DZ23" i="3" s="1"/>
  <c r="DW18" i="3"/>
  <c r="DW19" i="3" s="1"/>
  <c r="DW20" i="3" s="1"/>
  <c r="DW21" i="3" s="1"/>
  <c r="DW22" i="3" s="1"/>
  <c r="DW23" i="3" s="1"/>
  <c r="CP18" i="3"/>
  <c r="CP19" i="3" s="1"/>
  <c r="CP20" i="3" s="1"/>
  <c r="CP21" i="3" s="1"/>
  <c r="CP22" i="3" s="1"/>
  <c r="EC18" i="3"/>
  <c r="EC19" i="3" s="1"/>
  <c r="EC20" i="3" s="1"/>
  <c r="EC21" i="3" s="1"/>
  <c r="EC22" i="3" s="1"/>
  <c r="EC23" i="3" s="1"/>
  <c r="CE18" i="3"/>
  <c r="CE19" i="3" s="1"/>
  <c r="CE20" i="3" s="1"/>
  <c r="CE21" i="3" s="1"/>
  <c r="CE22" i="3" s="1"/>
  <c r="CE23" i="3" s="1"/>
  <c r="CH18" i="3"/>
  <c r="CH19" i="3" s="1"/>
  <c r="CH20" i="3" s="1"/>
  <c r="CH21" i="3" s="1"/>
  <c r="CH22" i="3" s="1"/>
  <c r="CH23" i="3" s="1"/>
  <c r="CS18" i="3"/>
  <c r="CS19" i="3" s="1"/>
  <c r="CS20" i="3" s="1"/>
  <c r="CS21" i="3" s="1"/>
  <c r="CS22" i="3" s="1"/>
  <c r="CV18" i="3"/>
  <c r="CV19" i="3" s="1"/>
  <c r="CV20" i="3" s="1"/>
  <c r="CV21" i="3" s="1"/>
  <c r="CV22" i="3" s="1"/>
  <c r="IC17" i="3" l="1"/>
  <c r="IC18" i="3" s="1"/>
  <c r="IC19" i="3" s="1"/>
  <c r="IC20" i="3" s="1"/>
  <c r="IC21" i="3" s="1"/>
  <c r="IC22" i="3" s="1"/>
  <c r="IC23" i="3" s="1"/>
  <c r="ID16" i="3"/>
  <c r="IJ16" i="3"/>
  <c r="IG16" i="3"/>
  <c r="CK14" i="3"/>
  <c r="CL13" i="3"/>
  <c r="CF13" i="3"/>
  <c r="CI13" i="3"/>
  <c r="I14" i="6"/>
  <c r="CV23" i="3"/>
  <c r="CW22" i="3"/>
  <c r="CS23" i="3"/>
  <c r="CT22" i="3"/>
  <c r="CP23" i="3"/>
  <c r="CQ22" i="3"/>
  <c r="DC4" i="3"/>
  <c r="DD4" i="3" s="1"/>
  <c r="DF4" i="3"/>
  <c r="DG4" i="3" s="1"/>
  <c r="CZ11" i="3"/>
  <c r="BC11" i="3"/>
  <c r="BC12" i="3"/>
  <c r="BC13" i="3"/>
  <c r="CZ7" i="3"/>
  <c r="AY13" i="3"/>
  <c r="AY12" i="3"/>
  <c r="AY11" i="3"/>
  <c r="CZ9" i="3"/>
  <c r="BA12" i="3"/>
  <c r="BA11" i="3"/>
  <c r="BA13" i="3"/>
  <c r="DF14" i="3"/>
  <c r="CZ13" i="3"/>
  <c r="BE13" i="3"/>
  <c r="BE11" i="3"/>
  <c r="BE12" i="3"/>
  <c r="CZ23" i="3"/>
  <c r="BM11" i="3"/>
  <c r="BM12" i="3"/>
  <c r="BM13" i="3"/>
  <c r="DC6" i="3"/>
  <c r="DC8" i="3"/>
  <c r="DC5" i="3"/>
  <c r="CZ6" i="3"/>
  <c r="AX12" i="3"/>
  <c r="AX11" i="3"/>
  <c r="AX13" i="3"/>
  <c r="AW12" i="3"/>
  <c r="AW13" i="3"/>
  <c r="CZ5" i="3"/>
  <c r="AW11" i="3"/>
  <c r="DF16" i="3"/>
  <c r="DF19" i="3"/>
  <c r="DF23" i="3"/>
  <c r="DF6" i="3"/>
  <c r="DF17" i="3"/>
  <c r="AV13" i="3"/>
  <c r="CZ16" i="3"/>
  <c r="BH12" i="3"/>
  <c r="BH13" i="3"/>
  <c r="BH11" i="3"/>
  <c r="DF18" i="3"/>
  <c r="CZ14" i="3"/>
  <c r="BF11" i="3"/>
  <c r="BF12" i="3"/>
  <c r="BF13" i="3"/>
  <c r="CZ19" i="3"/>
  <c r="BK11" i="3"/>
  <c r="BK12" i="3"/>
  <c r="BK13" i="3"/>
  <c r="CZ15" i="3"/>
  <c r="BG11" i="3"/>
  <c r="BG13" i="3"/>
  <c r="BG12" i="3"/>
  <c r="CZ17" i="3"/>
  <c r="BI12" i="3"/>
  <c r="BI13" i="3"/>
  <c r="BI11" i="3"/>
  <c r="CZ8" i="3"/>
  <c r="AZ13" i="3"/>
  <c r="AZ11" i="3"/>
  <c r="AZ12" i="3"/>
  <c r="BB11" i="3"/>
  <c r="BB13" i="3"/>
  <c r="CZ10" i="3"/>
  <c r="BB12" i="3"/>
  <c r="DF10" i="3"/>
  <c r="CZ20" i="3"/>
  <c r="BL12" i="3"/>
  <c r="BL11" i="3"/>
  <c r="BL13" i="3"/>
  <c r="CZ18" i="3"/>
  <c r="BJ13" i="3"/>
  <c r="BJ11" i="3"/>
  <c r="BJ12" i="3"/>
  <c r="CZ12" i="3"/>
  <c r="BD11" i="3"/>
  <c r="BD13" i="3"/>
  <c r="BD12" i="3"/>
  <c r="DC18" i="3"/>
  <c r="DC14" i="3"/>
  <c r="DF13" i="3"/>
  <c r="DC20" i="3"/>
  <c r="DC16" i="3"/>
  <c r="DF15" i="3"/>
  <c r="DF9" i="3"/>
  <c r="DC11" i="3"/>
  <c r="DF20" i="3"/>
  <c r="DF11" i="3"/>
  <c r="DF12" i="3"/>
  <c r="DC12" i="3"/>
  <c r="DC15" i="3"/>
  <c r="DC13" i="3"/>
  <c r="DC7" i="3"/>
  <c r="DF8" i="3"/>
  <c r="DC23" i="3"/>
  <c r="DC17" i="3"/>
  <c r="DF7" i="3"/>
  <c r="DF5" i="3"/>
  <c r="DC10" i="3"/>
  <c r="DC19" i="3"/>
  <c r="DC9" i="3"/>
  <c r="CK15" i="3" l="1"/>
  <c r="CK16" i="3" s="1"/>
  <c r="CL14" i="3"/>
  <c r="CF14" i="3"/>
  <c r="CI14" i="3"/>
  <c r="DD5" i="3"/>
  <c r="AV11" i="3"/>
  <c r="AV12" i="3"/>
  <c r="CZ4" i="3"/>
  <c r="DA4" i="3" s="1"/>
  <c r="DA5" i="3" s="1"/>
  <c r="DA6" i="3" s="1"/>
  <c r="DA7" i="3" s="1"/>
  <c r="DA8" i="3" s="1"/>
  <c r="DA9" i="3" s="1"/>
  <c r="DA10" i="3" s="1"/>
  <c r="DA11" i="3" s="1"/>
  <c r="DA12" i="3" s="1"/>
  <c r="DA13" i="3" s="1"/>
  <c r="DA14" i="3" s="1"/>
  <c r="DA15" i="3" s="1"/>
  <c r="DA16" i="3" s="1"/>
  <c r="DA17" i="3" s="1"/>
  <c r="DA18" i="3" s="1"/>
  <c r="DA19" i="3" s="1"/>
  <c r="DA20" i="3" s="1"/>
  <c r="DA21" i="3" s="1"/>
  <c r="DA22" i="3" s="1"/>
  <c r="DA23" i="3" s="1"/>
  <c r="DD6" i="3"/>
  <c r="DD7" i="3" s="1"/>
  <c r="DD8" i="3" s="1"/>
  <c r="DD9" i="3" s="1"/>
  <c r="DD10" i="3" s="1"/>
  <c r="DD11" i="3" s="1"/>
  <c r="DD12" i="3" s="1"/>
  <c r="DD13" i="3" s="1"/>
  <c r="DD14" i="3" s="1"/>
  <c r="DD15" i="3" s="1"/>
  <c r="DD16" i="3" s="1"/>
  <c r="DD17" i="3" s="1"/>
  <c r="DD18" i="3" s="1"/>
  <c r="DD19" i="3" s="1"/>
  <c r="DD20" i="3" s="1"/>
  <c r="DD21" i="3" s="1"/>
  <c r="DD22" i="3" s="1"/>
  <c r="DD23" i="3" s="1"/>
  <c r="DH20" i="3"/>
  <c r="DB20" i="3"/>
  <c r="DE20" i="3"/>
  <c r="DH15" i="3"/>
  <c r="DE15" i="3"/>
  <c r="DB15" i="3"/>
  <c r="DE18" i="3"/>
  <c r="DH18" i="3"/>
  <c r="DB18" i="3"/>
  <c r="DE17" i="3"/>
  <c r="DB17" i="3"/>
  <c r="DH17" i="3"/>
  <c r="DE19" i="3"/>
  <c r="DB19" i="3"/>
  <c r="DH19" i="3"/>
  <c r="DB16" i="3"/>
  <c r="DE16" i="3"/>
  <c r="DH16" i="3"/>
  <c r="DB23" i="3"/>
  <c r="DE23" i="3"/>
  <c r="DH23" i="3"/>
  <c r="DG5" i="3"/>
  <c r="DG6" i="3" s="1"/>
  <c r="DG7" i="3" s="1"/>
  <c r="DG8" i="3" s="1"/>
  <c r="DG9" i="3" s="1"/>
  <c r="DG10" i="3" s="1"/>
  <c r="DG11" i="3" s="1"/>
  <c r="DG12" i="3" s="1"/>
  <c r="DG13" i="3" s="1"/>
  <c r="DG14" i="3" s="1"/>
  <c r="DG15" i="3" s="1"/>
  <c r="DG16" i="3" s="1"/>
  <c r="DG17" i="3" s="1"/>
  <c r="DG18" i="3" s="1"/>
  <c r="DG19" i="3" s="1"/>
  <c r="DG20" i="3" s="1"/>
  <c r="DG21" i="3" s="1"/>
  <c r="DG22" i="3" s="1"/>
  <c r="DG23" i="3" s="1"/>
  <c r="CK17" i="3" l="1"/>
  <c r="CK18" i="3" s="1"/>
  <c r="CK19" i="3" s="1"/>
  <c r="CK20" i="3" s="1"/>
  <c r="CK21" i="3" s="1"/>
  <c r="CK22" i="3" s="1"/>
  <c r="CK23" i="3" s="1"/>
  <c r="CL16" i="3"/>
  <c r="CF16" i="3"/>
  <c r="CI16" i="3"/>
  <c r="DH11" i="3"/>
  <c r="DE11" i="3"/>
  <c r="DH9" i="3"/>
  <c r="DH14" i="3"/>
  <c r="DB14" i="3"/>
  <c r="DE10" i="3"/>
  <c r="DB7" i="3"/>
  <c r="DH13" i="3"/>
  <c r="DB13" i="3"/>
  <c r="DH8" i="3"/>
  <c r="DE8" i="3"/>
  <c r="DE12" i="3"/>
  <c r="DH12" i="3"/>
  <c r="DB11" i="3"/>
  <c r="DE9" i="3"/>
  <c r="DB9" i="3"/>
  <c r="DE14" i="3"/>
  <c r="DB10" i="3"/>
  <c r="DH10" i="3"/>
  <c r="DH7" i="3"/>
  <c r="DE7" i="3"/>
  <c r="DE13" i="3"/>
  <c r="DB8" i="3"/>
  <c r="DB12" i="3"/>
  <c r="DE5" i="3"/>
  <c r="DB5" i="3"/>
  <c r="DH4" i="3"/>
  <c r="DE6" i="3"/>
  <c r="DH5" i="3"/>
  <c r="DB4" i="3"/>
  <c r="DE4" i="3"/>
  <c r="DH6" i="3"/>
  <c r="DB6" i="3"/>
  <c r="B13" i="3" l="1"/>
  <c r="AU13" i="3"/>
  <c r="B11" i="3"/>
  <c r="AU11" i="3"/>
  <c r="B12" i="3"/>
  <c r="AU12" i="3"/>
  <c r="AR12" i="3" l="1"/>
  <c r="E7" i="6" s="1"/>
  <c r="AR11" i="3"/>
  <c r="AR13" i="3"/>
  <c r="F7" i="6" l="1"/>
  <c r="J7" i="6" s="1"/>
  <c r="H7" i="6"/>
  <c r="B16" i="3"/>
  <c r="B15" i="3"/>
  <c r="AU15" i="3"/>
  <c r="AU16" i="3"/>
  <c r="AU14" i="3"/>
  <c r="B14" i="3"/>
  <c r="I7" i="6" l="1"/>
  <c r="AR14" i="3"/>
  <c r="AR16" i="3"/>
  <c r="AR15" i="3"/>
  <c r="E8" i="6" s="1"/>
  <c r="F8" i="6" l="1"/>
  <c r="H8" i="6"/>
  <c r="J8" i="6"/>
  <c r="DQ4" i="3"/>
  <c r="DR4" i="3" s="1"/>
  <c r="DN4" i="3"/>
  <c r="DO4" i="3" s="1"/>
  <c r="DK11" i="3"/>
  <c r="BC14" i="3"/>
  <c r="BC16" i="3"/>
  <c r="BC15" i="3"/>
  <c r="DK18" i="3"/>
  <c r="BJ15" i="3"/>
  <c r="BJ16" i="3"/>
  <c r="BJ14" i="3"/>
  <c r="DQ16" i="3"/>
  <c r="DK23" i="3"/>
  <c r="BM16" i="3"/>
  <c r="BM14" i="3"/>
  <c r="BM15" i="3"/>
  <c r="DN17" i="3"/>
  <c r="DN19" i="3"/>
  <c r="DQ18" i="3"/>
  <c r="DK16" i="3"/>
  <c r="BH14" i="3"/>
  <c r="BH16" i="3"/>
  <c r="BH15" i="3"/>
  <c r="DK10" i="3"/>
  <c r="BB14" i="3"/>
  <c r="BB16" i="3"/>
  <c r="BB15" i="3"/>
  <c r="DN18" i="3"/>
  <c r="DQ14" i="3"/>
  <c r="DK20" i="3"/>
  <c r="BL16" i="3"/>
  <c r="BL15" i="3"/>
  <c r="BL14" i="3"/>
  <c r="DQ12" i="3"/>
  <c r="DQ20" i="3"/>
  <c r="DQ13" i="3"/>
  <c r="DN8" i="3"/>
  <c r="DQ10" i="3"/>
  <c r="BI15" i="3"/>
  <c r="DK17" i="3"/>
  <c r="BI14" i="3"/>
  <c r="BI16" i="3"/>
  <c r="DK9" i="3"/>
  <c r="BA14" i="3"/>
  <c r="BA16" i="3"/>
  <c r="BA15" i="3"/>
  <c r="DK12" i="3"/>
  <c r="BD15" i="3"/>
  <c r="BD14" i="3"/>
  <c r="BD16" i="3"/>
  <c r="DQ5" i="3"/>
  <c r="DQ23" i="3"/>
  <c r="DK14" i="3"/>
  <c r="BF14" i="3"/>
  <c r="BF16" i="3"/>
  <c r="BF15" i="3"/>
  <c r="DK15" i="3"/>
  <c r="BG15" i="3"/>
  <c r="BG16" i="3"/>
  <c r="BG14" i="3"/>
  <c r="DQ8" i="3"/>
  <c r="DQ15" i="3"/>
  <c r="DK8" i="3"/>
  <c r="AZ15" i="3"/>
  <c r="AZ16" i="3"/>
  <c r="AZ14" i="3"/>
  <c r="DQ7" i="3"/>
  <c r="DK13" i="3"/>
  <c r="BE15" i="3"/>
  <c r="BE16" i="3"/>
  <c r="BE14" i="3"/>
  <c r="DK5" i="3"/>
  <c r="AW16" i="3"/>
  <c r="AW14" i="3"/>
  <c r="AW15" i="3"/>
  <c r="DN13" i="3"/>
  <c r="DK19" i="3"/>
  <c r="BK15" i="3"/>
  <c r="BK14" i="3"/>
  <c r="BK16" i="3"/>
  <c r="DN16" i="3"/>
  <c r="DN12" i="3"/>
  <c r="DN14" i="3"/>
  <c r="DN15" i="3"/>
  <c r="DN11" i="3"/>
  <c r="DN7" i="3"/>
  <c r="AY16" i="3"/>
  <c r="AY15" i="3"/>
  <c r="DK7" i="3"/>
  <c r="DN6" i="3"/>
  <c r="DN23" i="3"/>
  <c r="DN9" i="3"/>
  <c r="DQ6" i="3"/>
  <c r="DQ9" i="3"/>
  <c r="DN5" i="3"/>
  <c r="DN10" i="3"/>
  <c r="DK6" i="3"/>
  <c r="AX14" i="3"/>
  <c r="AX16" i="3"/>
  <c r="AX15" i="3"/>
  <c r="DQ11" i="3"/>
  <c r="AY14" i="3"/>
  <c r="DN20" i="3"/>
  <c r="DQ17" i="3"/>
  <c r="DQ19" i="3"/>
  <c r="I8" i="6" l="1"/>
  <c r="AV15" i="3"/>
  <c r="AV16" i="3"/>
  <c r="AV14" i="3"/>
  <c r="DK4" i="3"/>
  <c r="DL4" i="3" s="1"/>
  <c r="DL5" i="3" s="1"/>
  <c r="DL6" i="3" s="1"/>
  <c r="DL7" i="3" s="1"/>
  <c r="DL8" i="3" s="1"/>
  <c r="DL9" i="3" s="1"/>
  <c r="DL10" i="3" s="1"/>
  <c r="DL11" i="3" s="1"/>
  <c r="DL12" i="3" s="1"/>
  <c r="DL13" i="3" s="1"/>
  <c r="DL14" i="3" s="1"/>
  <c r="DL15" i="3" s="1"/>
  <c r="DL16" i="3" s="1"/>
  <c r="DL17" i="3" s="1"/>
  <c r="DL18" i="3" s="1"/>
  <c r="DL19" i="3" s="1"/>
  <c r="DL20" i="3" s="1"/>
  <c r="DL21" i="3" s="1"/>
  <c r="DL22" i="3" s="1"/>
  <c r="DL23" i="3" s="1"/>
  <c r="DM19" i="3"/>
  <c r="DS19" i="3"/>
  <c r="DP19" i="3"/>
  <c r="DS17" i="3"/>
  <c r="DM17" i="3"/>
  <c r="DP17" i="3"/>
  <c r="DR5" i="3"/>
  <c r="DR6" i="3" s="1"/>
  <c r="DR7" i="3" s="1"/>
  <c r="DR8" i="3" s="1"/>
  <c r="DR9" i="3" s="1"/>
  <c r="DR10" i="3" s="1"/>
  <c r="DR11" i="3" s="1"/>
  <c r="DR12" i="3" s="1"/>
  <c r="DR13" i="3" s="1"/>
  <c r="DR14" i="3" s="1"/>
  <c r="DR15" i="3" s="1"/>
  <c r="DR16" i="3" s="1"/>
  <c r="DR17" i="3" s="1"/>
  <c r="DR18" i="3" s="1"/>
  <c r="DR19" i="3" s="1"/>
  <c r="DR20" i="3" s="1"/>
  <c r="DR21" i="3" s="1"/>
  <c r="DR22" i="3" s="1"/>
  <c r="DR23" i="3" s="1"/>
  <c r="DM20" i="3"/>
  <c r="DP20" i="3"/>
  <c r="DS20" i="3"/>
  <c r="DM18" i="3"/>
  <c r="DP18" i="3"/>
  <c r="DS18" i="3"/>
  <c r="DS14" i="3"/>
  <c r="DM14" i="3"/>
  <c r="DP14" i="3"/>
  <c r="DP16" i="3"/>
  <c r="DS16" i="3"/>
  <c r="DM16" i="3"/>
  <c r="DS23" i="3"/>
  <c r="DP23" i="3"/>
  <c r="DM23" i="3"/>
  <c r="DO5" i="3"/>
  <c r="DO6" i="3" s="1"/>
  <c r="DO7" i="3" s="1"/>
  <c r="DO8" i="3" s="1"/>
  <c r="DO9" i="3" s="1"/>
  <c r="DO10" i="3" s="1"/>
  <c r="DO11" i="3" s="1"/>
  <c r="DO12" i="3" s="1"/>
  <c r="DO13" i="3" s="1"/>
  <c r="DO14" i="3" s="1"/>
  <c r="DO15" i="3" s="1"/>
  <c r="DO16" i="3" s="1"/>
  <c r="DO17" i="3" s="1"/>
  <c r="DO18" i="3" s="1"/>
  <c r="DO19" i="3" s="1"/>
  <c r="DO20" i="3" s="1"/>
  <c r="DO21" i="3" s="1"/>
  <c r="DO22" i="3" s="1"/>
  <c r="DO23" i="3" s="1"/>
  <c r="DS11" i="3" l="1"/>
  <c r="DS15" i="3"/>
  <c r="DP15" i="3"/>
  <c r="DM15" i="3"/>
  <c r="DP9" i="3"/>
  <c r="DS8" i="3"/>
  <c r="DS10" i="3"/>
  <c r="DP7" i="3"/>
  <c r="DP11" i="3"/>
  <c r="DM9" i="3"/>
  <c r="DM8" i="3"/>
  <c r="DM11" i="3"/>
  <c r="DP10" i="3"/>
  <c r="DM10" i="3"/>
  <c r="DS9" i="3"/>
  <c r="DP8" i="3"/>
  <c r="DS7" i="3"/>
  <c r="DM7" i="3"/>
  <c r="DS12" i="3"/>
  <c r="DP13" i="3"/>
  <c r="DP12" i="3"/>
  <c r="DM12" i="3"/>
  <c r="DS13" i="3"/>
  <c r="DM13" i="3"/>
  <c r="DP4" i="3"/>
  <c r="DS5" i="3"/>
  <c r="DP6" i="3"/>
  <c r="DM4" i="3"/>
  <c r="DP5" i="3"/>
  <c r="DM5" i="3"/>
  <c r="DM6" i="3"/>
  <c r="DS6" i="3"/>
  <c r="DS4" i="3"/>
  <c r="J3" i="3"/>
  <c r="GB23" i="3"/>
  <c r="T4" i="3"/>
  <c r="L2" i="3"/>
  <c r="GB9" i="3"/>
  <c r="FY10" i="3"/>
  <c r="GE6" i="3"/>
  <c r="H4" i="3"/>
  <c r="GE7" i="3"/>
  <c r="GE11" i="3"/>
  <c r="T2" i="3"/>
  <c r="GB18" i="3"/>
  <c r="GB7" i="3"/>
  <c r="GB20" i="3"/>
  <c r="GE16" i="3"/>
  <c r="GE5" i="3"/>
  <c r="GB17" i="3"/>
  <c r="GB15" i="3"/>
  <c r="GB12" i="3"/>
  <c r="GE13" i="3"/>
  <c r="GB6" i="3"/>
  <c r="GE17" i="3"/>
  <c r="GE14" i="3"/>
  <c r="GB16" i="3"/>
  <c r="GB11" i="3"/>
  <c r="GE19" i="3"/>
  <c r="FY5" i="3"/>
  <c r="FY14" i="3"/>
  <c r="N4" i="3"/>
  <c r="FY16" i="3"/>
  <c r="F3" i="3"/>
  <c r="F4" i="3"/>
  <c r="FY4" i="3"/>
  <c r="BG32" i="3" l="1"/>
  <c r="AY32" i="3"/>
  <c r="AW34" i="3"/>
  <c r="BA33" i="3"/>
  <c r="FY19" i="3"/>
  <c r="BK34" i="3"/>
  <c r="BK33" i="3"/>
  <c r="BK32" i="3"/>
  <c r="GE4" i="3"/>
  <c r="GF4" i="3" s="1"/>
  <c r="GF5" i="3" s="1"/>
  <c r="GF6" i="3" s="1"/>
  <c r="GF7" i="3" s="1"/>
  <c r="FZ4" i="3"/>
  <c r="FZ5" i="3" s="1"/>
  <c r="AV32" i="3"/>
  <c r="AV2" i="3" s="1"/>
  <c r="BS4" i="3" s="1"/>
  <c r="AV34" i="3"/>
  <c r="AV4" i="3" s="1"/>
  <c r="BY4" i="3" s="1"/>
  <c r="BZ4" i="3" s="1"/>
  <c r="AV33" i="3"/>
  <c r="AV3" i="3" s="1"/>
  <c r="BV4" i="3" s="1"/>
  <c r="BW4" i="3" s="1"/>
  <c r="F2" i="3"/>
  <c r="GB4" i="3"/>
  <c r="GC4" i="3" s="1"/>
  <c r="FY17" i="3"/>
  <c r="BI32" i="3"/>
  <c r="BI33" i="3"/>
  <c r="BI34" i="3"/>
  <c r="FY23" i="3"/>
  <c r="GB13" i="3"/>
  <c r="R2" i="3"/>
  <c r="BM34" i="3"/>
  <c r="BD34" i="3"/>
  <c r="BD4" i="3" s="1"/>
  <c r="BY12" i="3" s="1"/>
  <c r="FY12" i="3"/>
  <c r="GB14" i="3"/>
  <c r="P3" i="3"/>
  <c r="GB10" i="3"/>
  <c r="BB33" i="3"/>
  <c r="BB3" i="3" s="1"/>
  <c r="BV10" i="3" s="1"/>
  <c r="GE9" i="3"/>
  <c r="BF33" i="3"/>
  <c r="BF3" i="3" s="1"/>
  <c r="BV14" i="3" s="1"/>
  <c r="AY33" i="3"/>
  <c r="BG33" i="3"/>
  <c r="R3" i="3"/>
  <c r="P4" i="3"/>
  <c r="BE33" i="3"/>
  <c r="BE32" i="3"/>
  <c r="FY13" i="3"/>
  <c r="BA32" i="3"/>
  <c r="BC32" i="3"/>
  <c r="N3" i="3"/>
  <c r="GE20" i="3"/>
  <c r="V4" i="3"/>
  <c r="V3" i="3"/>
  <c r="H2" i="3"/>
  <c r="FY6" i="3"/>
  <c r="AX34" i="3"/>
  <c r="AX4" i="3" s="1"/>
  <c r="BY6" i="3" s="1"/>
  <c r="BH32" i="3"/>
  <c r="BH2" i="3" s="1"/>
  <c r="BS16" i="3" s="1"/>
  <c r="GE12" i="3"/>
  <c r="BB34" i="3"/>
  <c r="BB4" i="3" s="1"/>
  <c r="BY10" i="3" s="1"/>
  <c r="FY15" i="3"/>
  <c r="BG34" i="3"/>
  <c r="FY8" i="3"/>
  <c r="J2" i="3"/>
  <c r="BD33" i="3"/>
  <c r="BD3" i="3" s="1"/>
  <c r="BV12" i="3" s="1"/>
  <c r="GE15" i="3"/>
  <c r="GE23" i="3"/>
  <c r="L3" i="3"/>
  <c r="AY34" i="3"/>
  <c r="FY7" i="3"/>
  <c r="BM32" i="3"/>
  <c r="GB5" i="3"/>
  <c r="BF34" i="3"/>
  <c r="BF4" i="3" s="1"/>
  <c r="BY14" i="3" s="1"/>
  <c r="BE34" i="3"/>
  <c r="FY9" i="3"/>
  <c r="BC34" i="3"/>
  <c r="FY11" i="3"/>
  <c r="H3" i="3"/>
  <c r="BH33" i="3"/>
  <c r="BH3" i="3" s="1"/>
  <c r="BV16" i="3" s="1"/>
  <c r="BA34" i="3"/>
  <c r="BM33" i="3"/>
  <c r="GE8" i="3"/>
  <c r="J4" i="3"/>
  <c r="AZ34" i="3"/>
  <c r="AZ4" i="3" s="1"/>
  <c r="BY8" i="3" s="1"/>
  <c r="BH34" i="3"/>
  <c r="BH4" i="3" s="1"/>
  <c r="BY16" i="3" s="1"/>
  <c r="BF32" i="3"/>
  <c r="BF2" i="3" s="1"/>
  <c r="BS14" i="3" s="1"/>
  <c r="AZ32" i="3"/>
  <c r="AZ2" i="3" s="1"/>
  <c r="BS8" i="3" s="1"/>
  <c r="GB19" i="3"/>
  <c r="AX32" i="3"/>
  <c r="AX2" i="3" s="1"/>
  <c r="BS6" i="3" s="1"/>
  <c r="L4" i="3"/>
  <c r="GE10" i="3"/>
  <c r="BC33" i="3"/>
  <c r="T3" i="3"/>
  <c r="BJ32" i="3"/>
  <c r="BJ2" i="3" s="1"/>
  <c r="BS18" i="3" s="1"/>
  <c r="FY18" i="3"/>
  <c r="BJ34" i="3"/>
  <c r="BJ4" i="3" s="1"/>
  <c r="BY18" i="3" s="1"/>
  <c r="BJ33" i="3"/>
  <c r="BJ3" i="3" s="1"/>
  <c r="BV18" i="3" s="1"/>
  <c r="N2" i="3"/>
  <c r="FY20" i="3"/>
  <c r="BL32" i="3"/>
  <c r="BL2" i="3" s="1"/>
  <c r="BS20" i="3" s="1"/>
  <c r="V2" i="3"/>
  <c r="BL34" i="3"/>
  <c r="BL4" i="3" s="1"/>
  <c r="BY20" i="3" s="1"/>
  <c r="P2" i="3"/>
  <c r="AW33" i="3"/>
  <c r="BL33" i="3"/>
  <c r="BL3" i="3" s="1"/>
  <c r="BV20" i="3" s="1"/>
  <c r="AZ33" i="3"/>
  <c r="AZ3" i="3" s="1"/>
  <c r="BV8" i="3" s="1"/>
  <c r="AW32" i="3"/>
  <c r="AX33" i="3"/>
  <c r="AX3" i="3" s="1"/>
  <c r="BV6" i="3" s="1"/>
  <c r="BD32" i="3"/>
  <c r="BD2" i="3" s="1"/>
  <c r="BS12" i="3" s="1"/>
  <c r="R4" i="3"/>
  <c r="GB8" i="3"/>
  <c r="BB32" i="3"/>
  <c r="BB2" i="3" s="1"/>
  <c r="BS10" i="3" s="1"/>
  <c r="GE18" i="3"/>
  <c r="CA4" i="3" l="1"/>
  <c r="BT4" i="3"/>
  <c r="BX4" i="3"/>
  <c r="BU4" i="3"/>
  <c r="GC5" i="3"/>
  <c r="GC6" i="3" s="1"/>
  <c r="GC7" i="3" s="1"/>
  <c r="GC8" i="3" s="1"/>
  <c r="GC9" i="3" s="1"/>
  <c r="GC10" i="3" s="1"/>
  <c r="GC11" i="3" s="1"/>
  <c r="GC12" i="3" s="1"/>
  <c r="GC13" i="3" s="1"/>
  <c r="GC14" i="3" s="1"/>
  <c r="FZ6" i="3"/>
  <c r="FZ7" i="3" s="1"/>
  <c r="FZ8" i="3" s="1"/>
  <c r="FZ9" i="3" s="1"/>
  <c r="FZ10" i="3" s="1"/>
  <c r="FZ11" i="3" s="1"/>
  <c r="FZ12" i="3" s="1"/>
  <c r="FZ13" i="3" s="1"/>
  <c r="FZ14" i="3" s="1"/>
  <c r="FZ15" i="3" s="1"/>
  <c r="FZ16" i="3" s="1"/>
  <c r="GA4" i="3"/>
  <c r="GF8" i="3"/>
  <c r="GF9" i="3" s="1"/>
  <c r="GF10" i="3" s="1"/>
  <c r="GF11" i="3" s="1"/>
  <c r="GF12" i="3" s="1"/>
  <c r="GF13" i="3" s="1"/>
  <c r="GF14" i="3" s="1"/>
  <c r="GF15" i="3" s="1"/>
  <c r="GF16" i="3" s="1"/>
  <c r="GG4" i="3"/>
  <c r="GD4" i="3"/>
  <c r="GF17" i="3" l="1"/>
  <c r="GA12" i="3"/>
  <c r="GG12" i="3"/>
  <c r="GD12" i="3"/>
  <c r="GG13" i="3"/>
  <c r="GA13" i="3"/>
  <c r="GD13" i="3"/>
  <c r="GA8" i="3"/>
  <c r="GD8" i="3"/>
  <c r="GG8" i="3"/>
  <c r="GD9" i="3"/>
  <c r="GG9" i="3"/>
  <c r="GA9" i="3"/>
  <c r="FZ17" i="3"/>
  <c r="GC15" i="3"/>
  <c r="GD14" i="3"/>
  <c r="GG15" i="3"/>
  <c r="GA15" i="3"/>
  <c r="GA7" i="3"/>
  <c r="GG7" i="3"/>
  <c r="GD7" i="3"/>
  <c r="GA11" i="3"/>
  <c r="GD11" i="3"/>
  <c r="GG11" i="3"/>
  <c r="GG14" i="3"/>
  <c r="GG10" i="3"/>
  <c r="GA10" i="3"/>
  <c r="GD10" i="3"/>
  <c r="GA14" i="3"/>
  <c r="GD5" i="3"/>
  <c r="GG6" i="3"/>
  <c r="GD6" i="3"/>
  <c r="GA6" i="3"/>
  <c r="GG5" i="3"/>
  <c r="GA5" i="3"/>
  <c r="I70" i="3"/>
  <c r="M70" i="3"/>
  <c r="Q70" i="3"/>
  <c r="U70" i="3"/>
  <c r="U4" i="3" s="1"/>
  <c r="K69" i="3"/>
  <c r="O69" i="3"/>
  <c r="LD13" i="3" s="1"/>
  <c r="S69" i="3"/>
  <c r="LD17" i="3" s="1"/>
  <c r="W69" i="3"/>
  <c r="K70" i="3"/>
  <c r="LG9" i="3" s="1"/>
  <c r="O70" i="3"/>
  <c r="O4" i="3" s="1"/>
  <c r="S70" i="3"/>
  <c r="LG17" i="3" s="1"/>
  <c r="W70" i="3"/>
  <c r="I69" i="3"/>
  <c r="I3" i="3" s="1"/>
  <c r="M69" i="3"/>
  <c r="LD11" i="3" s="1"/>
  <c r="Q69" i="3"/>
  <c r="Q3" i="3" s="1"/>
  <c r="U69" i="3"/>
  <c r="Y69" i="3"/>
  <c r="LD22" i="3" s="1"/>
  <c r="Y70" i="3"/>
  <c r="Y68" i="3"/>
  <c r="K68" i="3"/>
  <c r="U68" i="3"/>
  <c r="O68" i="3"/>
  <c r="M68" i="3"/>
  <c r="G68" i="3"/>
  <c r="W68" i="3"/>
  <c r="S68" i="3"/>
  <c r="C952" i="2"/>
  <c r="F157" i="7" s="1"/>
  <c r="Q68" i="3"/>
  <c r="GC16" i="3" l="1"/>
  <c r="GD15" i="3"/>
  <c r="FZ18" i="3"/>
  <c r="GF18" i="3"/>
  <c r="BE70" i="3"/>
  <c r="BE4" i="3" s="1"/>
  <c r="BY13" i="3" s="1"/>
  <c r="G70" i="3"/>
  <c r="LG5" i="3" s="1"/>
  <c r="LH5" i="3" s="1"/>
  <c r="LH6" i="3" s="1"/>
  <c r="S3" i="3"/>
  <c r="O3" i="3"/>
  <c r="K4" i="3"/>
  <c r="Y3" i="3"/>
  <c r="M3" i="3"/>
  <c r="LA15" i="3"/>
  <c r="BG70" i="3"/>
  <c r="BG4" i="3" s="1"/>
  <c r="BY15" i="3" s="1"/>
  <c r="BG68" i="3"/>
  <c r="BG2" i="3" s="1"/>
  <c r="BS15" i="3" s="1"/>
  <c r="Q2" i="3"/>
  <c r="BI70" i="3"/>
  <c r="BI4" i="3" s="1"/>
  <c r="BY17" i="3" s="1"/>
  <c r="LA17" i="3"/>
  <c r="BI68" i="3"/>
  <c r="BI2" i="3" s="1"/>
  <c r="BS17" i="3" s="1"/>
  <c r="BI69" i="3"/>
  <c r="BI3" i="3" s="1"/>
  <c r="BV17" i="3" s="1"/>
  <c r="S2" i="3"/>
  <c r="BK68" i="3"/>
  <c r="BK2" i="3" s="1"/>
  <c r="BS19" i="3" s="1"/>
  <c r="LA19" i="3"/>
  <c r="U2" i="3"/>
  <c r="BK69" i="3"/>
  <c r="BK3" i="3" s="1"/>
  <c r="BV19" i="3" s="1"/>
  <c r="BK70" i="3"/>
  <c r="BK4" i="3" s="1"/>
  <c r="BY19" i="3" s="1"/>
  <c r="G4" i="3"/>
  <c r="BA69" i="3"/>
  <c r="BA3" i="3" s="1"/>
  <c r="BV9" i="3" s="1"/>
  <c r="LA9" i="3"/>
  <c r="BA68" i="3"/>
  <c r="BA2" i="3" s="1"/>
  <c r="BS9" i="3" s="1"/>
  <c r="BA70" i="3"/>
  <c r="BA4" i="3" s="1"/>
  <c r="BY9" i="3" s="1"/>
  <c r="K2" i="3"/>
  <c r="LA23" i="3"/>
  <c r="BM69" i="3"/>
  <c r="BM3" i="3" s="1"/>
  <c r="BV21" i="3" s="1"/>
  <c r="BM70" i="3"/>
  <c r="BM4" i="3" s="1"/>
  <c r="BY21" i="3" s="1"/>
  <c r="BM68" i="3"/>
  <c r="BM2" i="3" s="1"/>
  <c r="BS21" i="3" s="1"/>
  <c r="W2" i="3"/>
  <c r="LA5" i="3"/>
  <c r="G2" i="3"/>
  <c r="G69" i="3"/>
  <c r="BG69" i="3"/>
  <c r="BG3" i="3" s="1"/>
  <c r="BV15" i="3" s="1"/>
  <c r="BC69" i="3"/>
  <c r="BC3" i="3" s="1"/>
  <c r="BV11" i="3" s="1"/>
  <c r="BC70" i="3"/>
  <c r="BC4" i="3" s="1"/>
  <c r="BY11" i="3" s="1"/>
  <c r="LA11" i="3"/>
  <c r="BC68" i="3"/>
  <c r="BC2" i="3" s="1"/>
  <c r="BS11" i="3" s="1"/>
  <c r="M2" i="3"/>
  <c r="I68" i="3"/>
  <c r="LA13" i="3"/>
  <c r="BE68" i="3"/>
  <c r="BE2" i="3" s="1"/>
  <c r="BS13" i="3" s="1"/>
  <c r="BE69" i="3"/>
  <c r="BE3" i="3" s="1"/>
  <c r="BV13" i="3" s="1"/>
  <c r="O2" i="3"/>
  <c r="E70" i="3"/>
  <c r="BO70" i="3"/>
  <c r="BO4" i="3" s="1"/>
  <c r="BY23" i="3" s="1"/>
  <c r="BO68" i="3"/>
  <c r="BO2" i="3" s="1"/>
  <c r="BS23" i="3" s="1"/>
  <c r="BO69" i="3"/>
  <c r="BO3" i="3" s="1"/>
  <c r="BV23" i="3" s="1"/>
  <c r="LA22" i="3"/>
  <c r="Y2" i="3"/>
  <c r="LD19" i="3"/>
  <c r="U3" i="3"/>
  <c r="W4" i="3"/>
  <c r="LG23" i="3"/>
  <c r="W3" i="3"/>
  <c r="LD23" i="3"/>
  <c r="M4" i="3"/>
  <c r="LG11" i="3"/>
  <c r="LG22" i="3"/>
  <c r="Y4" i="3"/>
  <c r="LG13" i="3"/>
  <c r="LD15" i="3"/>
  <c r="LD9" i="3"/>
  <c r="K3" i="3"/>
  <c r="C951" i="2"/>
  <c r="G157" i="7" s="1"/>
  <c r="H157" i="7" s="1"/>
  <c r="I157" i="7" s="1"/>
  <c r="LG19" i="3"/>
  <c r="LD7" i="3"/>
  <c r="LG15" i="3"/>
  <c r="Q4" i="3"/>
  <c r="LG7" i="3"/>
  <c r="I4" i="3"/>
  <c r="C953" i="2"/>
  <c r="S4" i="3"/>
  <c r="E4" i="3" l="1"/>
  <c r="GF19" i="3"/>
  <c r="FZ19" i="3"/>
  <c r="GC17" i="3"/>
  <c r="GD16" i="3"/>
  <c r="GG16" i="3"/>
  <c r="GA16" i="3"/>
  <c r="AW69" i="3"/>
  <c r="AW3" i="3" s="1"/>
  <c r="BV5" i="3" s="1"/>
  <c r="C947" i="2"/>
  <c r="LC13" i="3"/>
  <c r="LF13" i="3"/>
  <c r="LI13" i="3"/>
  <c r="LA7" i="3"/>
  <c r="AY69" i="3"/>
  <c r="AY3" i="3" s="1"/>
  <c r="BV7" i="3" s="1"/>
  <c r="AY70" i="3"/>
  <c r="AY4" i="3" s="1"/>
  <c r="BY7" i="3" s="1"/>
  <c r="I2" i="3"/>
  <c r="AY68" i="3"/>
  <c r="AY2" i="3" s="1"/>
  <c r="BS7" i="3" s="1"/>
  <c r="C946" i="2"/>
  <c r="F156" i="7" s="1"/>
  <c r="E69" i="3"/>
  <c r="LI23" i="3"/>
  <c r="LF23" i="3"/>
  <c r="LC23" i="3"/>
  <c r="LH7" i="3"/>
  <c r="LH8" i="3" s="1"/>
  <c r="LI17" i="3"/>
  <c r="LC17" i="3"/>
  <c r="LF17" i="3"/>
  <c r="LI22" i="3"/>
  <c r="LF22" i="3"/>
  <c r="LC22" i="3"/>
  <c r="E68" i="3"/>
  <c r="C945" i="2"/>
  <c r="G156" i="7" s="1"/>
  <c r="LD5" i="3"/>
  <c r="LE5" i="3" s="1"/>
  <c r="LE6" i="3" s="1"/>
  <c r="G3" i="3"/>
  <c r="AW68" i="3"/>
  <c r="AW2" i="3" s="1"/>
  <c r="BS5" i="3" s="1"/>
  <c r="BT5" i="3" s="1"/>
  <c r="BT6" i="3" s="1"/>
  <c r="AW70" i="3"/>
  <c r="AW4" i="3" s="1"/>
  <c r="BY5" i="3" s="1"/>
  <c r="BZ5" i="3" s="1"/>
  <c r="BZ6" i="3" s="1"/>
  <c r="BZ7" i="3" s="1"/>
  <c r="BZ8" i="3" s="1"/>
  <c r="LB5" i="3"/>
  <c r="LB6" i="3" s="1"/>
  <c r="LI19" i="3"/>
  <c r="LF19" i="3"/>
  <c r="LC19" i="3"/>
  <c r="LF15" i="3"/>
  <c r="LI15" i="3"/>
  <c r="LC15" i="3"/>
  <c r="E2" i="3" l="1"/>
  <c r="BW5" i="3"/>
  <c r="BW6" i="3" s="1"/>
  <c r="E3" i="3"/>
  <c r="B70" i="3"/>
  <c r="LH9" i="3"/>
  <c r="BZ9" i="3"/>
  <c r="GC18" i="3"/>
  <c r="GD17" i="3"/>
  <c r="GA17" i="3"/>
  <c r="GG17" i="3"/>
  <c r="FZ20" i="3"/>
  <c r="GF20" i="3"/>
  <c r="H156" i="7"/>
  <c r="I156" i="7" s="1"/>
  <c r="CA6" i="3"/>
  <c r="LC6" i="3"/>
  <c r="LB7" i="3"/>
  <c r="LB8" i="3" s="1"/>
  <c r="LC5" i="3"/>
  <c r="BX6" i="3"/>
  <c r="BW7" i="3"/>
  <c r="BW8" i="3" s="1"/>
  <c r="LI6" i="3"/>
  <c r="CA5" i="3"/>
  <c r="BU5" i="3"/>
  <c r="B69" i="3"/>
  <c r="LI5" i="3"/>
  <c r="LF5" i="3"/>
  <c r="LF6" i="3"/>
  <c r="LE7" i="3"/>
  <c r="LE8" i="3" s="1"/>
  <c r="AU70" i="3"/>
  <c r="B68" i="3"/>
  <c r="AU68" i="3"/>
  <c r="AU69" i="3"/>
  <c r="BU6" i="3"/>
  <c r="BT7" i="3"/>
  <c r="BT8" i="3" s="1"/>
  <c r="BX5" i="3"/>
  <c r="LE9" i="3" l="1"/>
  <c r="LF8" i="3"/>
  <c r="LC7" i="3"/>
  <c r="LI7" i="3"/>
  <c r="LI8" i="3"/>
  <c r="BU7" i="3"/>
  <c r="LF7" i="3"/>
  <c r="LB9" i="3"/>
  <c r="LC8" i="3"/>
  <c r="LH10" i="3"/>
  <c r="LH11" i="3" s="1"/>
  <c r="BX7" i="3"/>
  <c r="CA7" i="3"/>
  <c r="BT9" i="3"/>
  <c r="BU8" i="3"/>
  <c r="BW9" i="3"/>
  <c r="BX8" i="3"/>
  <c r="GF21" i="3"/>
  <c r="FZ21" i="3"/>
  <c r="GC19" i="3"/>
  <c r="GD18" i="3"/>
  <c r="GG18" i="3"/>
  <c r="GA18" i="3"/>
  <c r="CA8" i="3"/>
  <c r="BZ10" i="3"/>
  <c r="CA9" i="3"/>
  <c r="B2" i="3"/>
  <c r="AU2" i="3"/>
  <c r="AR68" i="3"/>
  <c r="AR70" i="3"/>
  <c r="AU4" i="3"/>
  <c r="B3" i="3"/>
  <c r="B4" i="3"/>
  <c r="AU3" i="3"/>
  <c r="AR69" i="3"/>
  <c r="E26" i="6" s="1"/>
  <c r="LH12" i="3" l="1"/>
  <c r="LH13" i="3" s="1"/>
  <c r="LH14" i="3" s="1"/>
  <c r="LH15" i="3" s="1"/>
  <c r="LH16" i="3" s="1"/>
  <c r="LH17" i="3" s="1"/>
  <c r="LH18" i="3" s="1"/>
  <c r="LH19" i="3" s="1"/>
  <c r="LH20" i="3" s="1"/>
  <c r="LH21" i="3" s="1"/>
  <c r="LH22" i="3" s="1"/>
  <c r="LH23" i="3" s="1"/>
  <c r="LB10" i="3"/>
  <c r="LB11" i="3" s="1"/>
  <c r="LC9" i="3"/>
  <c r="LI9" i="3"/>
  <c r="LE10" i="3"/>
  <c r="LE11" i="3" s="1"/>
  <c r="LF9" i="3"/>
  <c r="BZ11" i="3"/>
  <c r="GC20" i="3"/>
  <c r="GD19" i="3"/>
  <c r="GA19" i="3"/>
  <c r="GG19" i="3"/>
  <c r="FZ22" i="3"/>
  <c r="FZ23" i="3" s="1"/>
  <c r="GF22" i="3"/>
  <c r="GF23" i="3" s="1"/>
  <c r="BW10" i="3"/>
  <c r="BX9" i="3"/>
  <c r="BT10" i="3"/>
  <c r="BU9" i="3"/>
  <c r="F26" i="6"/>
  <c r="H26" i="6"/>
  <c r="J26" i="6"/>
  <c r="H4" i="6"/>
  <c r="AR3" i="3"/>
  <c r="AR2" i="3"/>
  <c r="AR4" i="3"/>
  <c r="LI11" i="3" l="1"/>
  <c r="LE12" i="3"/>
  <c r="LE13" i="3" s="1"/>
  <c r="LE14" i="3" s="1"/>
  <c r="LE15" i="3" s="1"/>
  <c r="LE16" i="3" s="1"/>
  <c r="LE17" i="3" s="1"/>
  <c r="LE18" i="3" s="1"/>
  <c r="LE19" i="3" s="1"/>
  <c r="LE20" i="3" s="1"/>
  <c r="LE21" i="3" s="1"/>
  <c r="LE22" i="3" s="1"/>
  <c r="LE23" i="3" s="1"/>
  <c r="LF11" i="3"/>
  <c r="LB12" i="3"/>
  <c r="LB13" i="3" s="1"/>
  <c r="LB14" i="3" s="1"/>
  <c r="LB15" i="3" s="1"/>
  <c r="LB16" i="3" s="1"/>
  <c r="LB17" i="3" s="1"/>
  <c r="LB18" i="3" s="1"/>
  <c r="LB19" i="3" s="1"/>
  <c r="LB20" i="3" s="1"/>
  <c r="LB21" i="3" s="1"/>
  <c r="LB22" i="3" s="1"/>
  <c r="LB23" i="3" s="1"/>
  <c r="LC11" i="3"/>
  <c r="I26" i="6"/>
  <c r="I4" i="6" s="1"/>
  <c r="BT11" i="3"/>
  <c r="BU10" i="3"/>
  <c r="BW11" i="3"/>
  <c r="BX10" i="3"/>
  <c r="GC21" i="3"/>
  <c r="GD20" i="3"/>
  <c r="GG20" i="3"/>
  <c r="GA20" i="3"/>
  <c r="CA10" i="3"/>
  <c r="BZ12" i="3"/>
  <c r="CA11" i="3"/>
  <c r="J4" i="6"/>
  <c r="BZ13" i="3" l="1"/>
  <c r="GC22" i="3"/>
  <c r="GC23" i="3" s="1"/>
  <c r="GD21" i="3"/>
  <c r="GA21" i="3"/>
  <c r="GG21" i="3"/>
  <c r="BW12" i="3"/>
  <c r="BX11" i="3"/>
  <c r="BT12" i="3"/>
  <c r="BU11" i="3"/>
  <c r="BT13" i="3" l="1"/>
  <c r="BU12" i="3"/>
  <c r="BW13" i="3"/>
  <c r="BX12" i="3"/>
  <c r="GD23" i="3"/>
  <c r="GG23" i="3"/>
  <c r="GA23" i="3"/>
  <c r="CA12" i="3"/>
  <c r="BZ14" i="3"/>
  <c r="CA13" i="3" l="1"/>
  <c r="BZ15" i="3"/>
  <c r="BW14" i="3"/>
  <c r="BX13" i="3"/>
  <c r="BT14" i="3"/>
  <c r="BU13" i="3"/>
  <c r="BT15" i="3" l="1"/>
  <c r="BU14" i="3"/>
  <c r="BW15" i="3"/>
  <c r="BX14" i="3"/>
  <c r="CA14" i="3"/>
  <c r="BZ16" i="3"/>
  <c r="CA15" i="3"/>
  <c r="BZ17" i="3" l="1"/>
  <c r="BW16" i="3"/>
  <c r="BX15" i="3"/>
  <c r="BT16" i="3"/>
  <c r="BU15" i="3"/>
  <c r="BT17" i="3" l="1"/>
  <c r="BU16" i="3"/>
  <c r="BW17" i="3"/>
  <c r="BX16" i="3"/>
  <c r="CA16" i="3"/>
  <c r="BZ18" i="3"/>
  <c r="CA17" i="3"/>
  <c r="BZ19" i="3" l="1"/>
  <c r="BW18" i="3"/>
  <c r="BX17" i="3"/>
  <c r="BT18" i="3"/>
  <c r="BU17" i="3"/>
  <c r="BT19" i="3" l="1"/>
  <c r="BU18" i="3"/>
  <c r="BW19" i="3"/>
  <c r="BX18" i="3"/>
  <c r="CA18" i="3"/>
  <c r="BZ20" i="3"/>
  <c r="CA19" i="3"/>
  <c r="BZ21" i="3" l="1"/>
  <c r="BW20" i="3"/>
  <c r="BX19" i="3"/>
  <c r="BT20" i="3"/>
  <c r="BU19" i="3"/>
  <c r="BT21" i="3" l="1"/>
  <c r="BU20" i="3"/>
  <c r="BW21" i="3"/>
  <c r="BX20" i="3"/>
  <c r="CA20" i="3"/>
  <c r="BZ22" i="3"/>
  <c r="CA21" i="3"/>
  <c r="BZ23" i="3" l="1"/>
  <c r="BW22" i="3"/>
  <c r="BX21" i="3"/>
  <c r="BT22" i="3"/>
  <c r="BU21" i="3"/>
  <c r="BT23" i="3" l="1"/>
  <c r="BU22" i="3"/>
  <c r="BW23" i="3"/>
  <c r="BX23" i="3" s="1"/>
  <c r="BX22" i="3"/>
  <c r="CA22" i="3"/>
  <c r="CA23" i="3"/>
  <c r="BU23" i="3" l="1"/>
</calcChain>
</file>

<file path=xl/connections.xml><?xml version="1.0" encoding="utf-8"?>
<connections xmlns="http://schemas.openxmlformats.org/spreadsheetml/2006/main">
  <connection id="1" sourceFile="C:\Documents and Settings\Administrador\Escritorio\Compartida\Transcripcion.accdb" keepAlive="1" interval="5" name="Transcripcion" type="5" refreshedVersion="4" background="1" saveData="1">
    <dbPr connection="Provider=Microsoft.ACE.OLEDB.12.0;User ID=Admin;Data Source=C:\Documents and Settings\Administrador\Escritorio\Compartida\Transcripcion.accdb;Mode=ReadWrit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datos_f" commandType="3"/>
  </connection>
</connections>
</file>

<file path=xl/sharedStrings.xml><?xml version="1.0" encoding="utf-8"?>
<sst xmlns="http://schemas.openxmlformats.org/spreadsheetml/2006/main" count="2626" uniqueCount="260">
  <si>
    <t>Chavez</t>
  </si>
  <si>
    <t>Capriles</t>
  </si>
  <si>
    <t>Otro</t>
  </si>
  <si>
    <t>CM</t>
  </si>
  <si>
    <t>Candidato</t>
  </si>
  <si>
    <t>ENTIDAD FEDERAL</t>
  </si>
  <si>
    <t>Lara</t>
  </si>
  <si>
    <t xml:space="preserve">Aragua    </t>
  </si>
  <si>
    <t xml:space="preserve">Carabobo  </t>
  </si>
  <si>
    <t xml:space="preserve">Miranda   </t>
  </si>
  <si>
    <t xml:space="preserve">Bolivar   </t>
  </si>
  <si>
    <t>HENRIQUE CAPRILES</t>
  </si>
  <si>
    <t xml:space="preserve">Amazonas  </t>
  </si>
  <si>
    <t>Anzoategui</t>
  </si>
  <si>
    <t xml:space="preserve">Apure     </t>
  </si>
  <si>
    <t xml:space="preserve">Barinas   </t>
  </si>
  <si>
    <t xml:space="preserve">Cojedes   </t>
  </si>
  <si>
    <t>Delta Amacuro</t>
  </si>
  <si>
    <t xml:space="preserve">Distrito Capital  </t>
  </si>
  <si>
    <t xml:space="preserve">Falcon    </t>
  </si>
  <si>
    <t xml:space="preserve">Guarico   </t>
  </si>
  <si>
    <t xml:space="preserve">Merida    </t>
  </si>
  <si>
    <t xml:space="preserve">Monagas   </t>
  </si>
  <si>
    <t>Nueva Esparta</t>
  </si>
  <si>
    <t>Portuguesa</t>
  </si>
  <si>
    <t xml:space="preserve">Sucre     </t>
  </si>
  <si>
    <t xml:space="preserve">Tachira   </t>
  </si>
  <si>
    <t xml:space="preserve">Trujillo  </t>
  </si>
  <si>
    <t xml:space="preserve">Vargas    </t>
  </si>
  <si>
    <t xml:space="preserve">Yaracuy   </t>
  </si>
  <si>
    <t xml:space="preserve">Zulia     </t>
  </si>
  <si>
    <t>AMAZONAS</t>
  </si>
  <si>
    <t>ATURES</t>
  </si>
  <si>
    <t>ANZOATEGUI</t>
  </si>
  <si>
    <t>ANACO</t>
  </si>
  <si>
    <t>BOLIVAR</t>
  </si>
  <si>
    <t>DIEGO BAUTISTA URBANEJA</t>
  </si>
  <si>
    <t>FREITES</t>
  </si>
  <si>
    <t>GUANIPA</t>
  </si>
  <si>
    <t>MIRANDA</t>
  </si>
  <si>
    <t>SIMON RODRIGUEZ</t>
  </si>
  <si>
    <t>SOTILLO</t>
  </si>
  <si>
    <t>APURE</t>
  </si>
  <si>
    <t>ACHAGUAS</t>
  </si>
  <si>
    <t>BIRUACA</t>
  </si>
  <si>
    <t>PAEZ</t>
  </si>
  <si>
    <t>SAN FERNANDO</t>
  </si>
  <si>
    <t>ARAGUA</t>
  </si>
  <si>
    <t>FRANCISCO LINARES ALCANTARA</t>
  </si>
  <si>
    <t>GIRARDOT</t>
  </si>
  <si>
    <t>JOSE FELIX RIBAS</t>
  </si>
  <si>
    <t>JOSE RAFAEL REVENGA</t>
  </si>
  <si>
    <t>LIBERTADOR</t>
  </si>
  <si>
    <t>MARIO BRICEÑO IRAGORRY</t>
  </si>
  <si>
    <t>SANTIAGO MARIÑO</t>
  </si>
  <si>
    <t>SUCRE</t>
  </si>
  <si>
    <t>ZAMORA</t>
  </si>
  <si>
    <t>BARINAS</t>
  </si>
  <si>
    <t>ANTONIO JOSE DE SUCRE</t>
  </si>
  <si>
    <t>EZEQUIEL ZAMORA</t>
  </si>
  <si>
    <t>PEDRAZA</t>
  </si>
  <si>
    <t>CARONI</t>
  </si>
  <si>
    <t>CEDEÑO</t>
  </si>
  <si>
    <t>HERES</t>
  </si>
  <si>
    <t>PIAR</t>
  </si>
  <si>
    <t>CARABOBO</t>
  </si>
  <si>
    <t>BEJUMA</t>
  </si>
  <si>
    <t>CARLOS ARVELO</t>
  </si>
  <si>
    <t>DIEGO IBARRA</t>
  </si>
  <si>
    <t>GUACARA</t>
  </si>
  <si>
    <t>JUAN JOSE MORA</t>
  </si>
  <si>
    <t>LOS GUAYOS</t>
  </si>
  <si>
    <t>NAGUANAGUA</t>
  </si>
  <si>
    <t>PUERTO CABELLO</t>
  </si>
  <si>
    <t>SAN DIEGO</t>
  </si>
  <si>
    <t>SAN JOAQUIN</t>
  </si>
  <si>
    <t>VALENCIA</t>
  </si>
  <si>
    <t>COJEDES</t>
  </si>
  <si>
    <t>FALCON</t>
  </si>
  <si>
    <t>DELTA AMACURO</t>
  </si>
  <si>
    <t>DISTRITO CAPITAL</t>
  </si>
  <si>
    <t>23 DE ENERO</t>
  </si>
  <si>
    <t>ALTAGRACIA</t>
  </si>
  <si>
    <t>CANDELARIA</t>
  </si>
  <si>
    <t>CARICUAO</t>
  </si>
  <si>
    <t>COCHE</t>
  </si>
  <si>
    <t>EL JUNQUITO</t>
  </si>
  <si>
    <t>EL PARAISO</t>
  </si>
  <si>
    <t>EL RECREO</t>
  </si>
  <si>
    <t>EL VALLE</t>
  </si>
  <si>
    <t>LA PASTORA</t>
  </si>
  <si>
    <t>LA VEGA</t>
  </si>
  <si>
    <t>MACARAO</t>
  </si>
  <si>
    <t>SAN AGUSTIN</t>
  </si>
  <si>
    <t>SAN JOSE</t>
  </si>
  <si>
    <t>SAN JUAN</t>
  </si>
  <si>
    <t>SAN PEDRO</t>
  </si>
  <si>
    <t>SANTA ROSALIA</t>
  </si>
  <si>
    <t>CARIRUBANA</t>
  </si>
  <si>
    <t>LOS TAQUES</t>
  </si>
  <si>
    <t>GUARICO</t>
  </si>
  <si>
    <t>LARA</t>
  </si>
  <si>
    <t>CRESPO</t>
  </si>
  <si>
    <t>IRIBARREN</t>
  </si>
  <si>
    <t>JIMENEZ</t>
  </si>
  <si>
    <t>MORAN</t>
  </si>
  <si>
    <t>PALAVECINO</t>
  </si>
  <si>
    <t>TORRES</t>
  </si>
  <si>
    <t>URDANETA</t>
  </si>
  <si>
    <t>MERIDA</t>
  </si>
  <si>
    <t>ALBERTO ADRIANI</t>
  </si>
  <si>
    <t>CAMPO ELIAS</t>
  </si>
  <si>
    <t>ACEVEDO</t>
  </si>
  <si>
    <t>BARUTA</t>
  </si>
  <si>
    <t>BRION</t>
  </si>
  <si>
    <t>CARRIZAL</t>
  </si>
  <si>
    <t>CHACAO</t>
  </si>
  <si>
    <t>CRISTOBAL ROJAS</t>
  </si>
  <si>
    <t>EL HATILLO</t>
  </si>
  <si>
    <t>GUAICAIPURO</t>
  </si>
  <si>
    <t>INDEPENDENCIA</t>
  </si>
  <si>
    <t>LANDER</t>
  </si>
  <si>
    <t>LOS SALIAS</t>
  </si>
  <si>
    <t>PAZ CASTILLO</t>
  </si>
  <si>
    <t>PLAZA</t>
  </si>
  <si>
    <t>MONAGAS</t>
  </si>
  <si>
    <t>MATURIN</t>
  </si>
  <si>
    <t>NUEVA ESPARTA</t>
  </si>
  <si>
    <t>DIAZ</t>
  </si>
  <si>
    <t>GARCIA</t>
  </si>
  <si>
    <t>MANEIRO</t>
  </si>
  <si>
    <t>MARIÑO</t>
  </si>
  <si>
    <t>PORTUGUESA</t>
  </si>
  <si>
    <t>ARAURE</t>
  </si>
  <si>
    <t>GUANARE</t>
  </si>
  <si>
    <t>OSPINO</t>
  </si>
  <si>
    <t>TUREN</t>
  </si>
  <si>
    <t>ARISMENDI</t>
  </si>
  <si>
    <t>BERMUDEZ</t>
  </si>
  <si>
    <t>MONTES</t>
  </si>
  <si>
    <t>RIBERO</t>
  </si>
  <si>
    <t>TACHIRA</t>
  </si>
  <si>
    <t>AYACUCHO</t>
  </si>
  <si>
    <t>CARDENAS</t>
  </si>
  <si>
    <t>GARCIA DE HEVIA</t>
  </si>
  <si>
    <t>JUNIN</t>
  </si>
  <si>
    <t>PEDRO MARIA UREÑA</t>
  </si>
  <si>
    <t>SAN CRISTOBAL</t>
  </si>
  <si>
    <t>TRUJILLO</t>
  </si>
  <si>
    <t>VARGAS</t>
  </si>
  <si>
    <t>CARLOS SOUBLETTE</t>
  </si>
  <si>
    <t>CATIA LA MAR</t>
  </si>
  <si>
    <t>YARACUY</t>
  </si>
  <si>
    <t>BRUZUAL</t>
  </si>
  <si>
    <t>NIRGUA</t>
  </si>
  <si>
    <t>PEÑA</t>
  </si>
  <si>
    <t>SAN FELIPE</t>
  </si>
  <si>
    <t>ZULIA</t>
  </si>
  <si>
    <t>BARALT</t>
  </si>
  <si>
    <t>CABIMAS</t>
  </si>
  <si>
    <t>COLON</t>
  </si>
  <si>
    <t>GUAJIRA</t>
  </si>
  <si>
    <t>LA CAÑADA DE URDANETA</t>
  </si>
  <si>
    <t>LAGUNILLAS</t>
  </si>
  <si>
    <t>MACHIQUES DE PERIJA</t>
  </si>
  <si>
    <t>MARA</t>
  </si>
  <si>
    <t>MARACAIBO</t>
  </si>
  <si>
    <t>SAN FRANCISCO</t>
  </si>
  <si>
    <t>SANTA RITA</t>
  </si>
  <si>
    <t>SIMON BOLIVAR</t>
  </si>
  <si>
    <t>VALMORE RODRIGUEZ</t>
  </si>
  <si>
    <t>TINAQUILLO</t>
  </si>
  <si>
    <t>INFANTE</t>
  </si>
  <si>
    <t>ROSCIO</t>
  </si>
  <si>
    <t>ZARAZA</t>
  </si>
  <si>
    <t xml:space="preserve"> </t>
  </si>
  <si>
    <t>Total</t>
  </si>
  <si>
    <t>VENEZUELA</t>
  </si>
  <si>
    <t>ANDRES BLANCO</t>
  </si>
  <si>
    <t>JESUS ENRIQUE LOZADA</t>
  </si>
  <si>
    <t>ROSA DE PERIJA</t>
  </si>
  <si>
    <t>PRESIDENCIAL 2012</t>
  </si>
  <si>
    <t>Hugo Chávez</t>
  </si>
  <si>
    <t>Henrique Capriles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</si>
  <si>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</si>
  <si>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</si>
  <si>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</si>
  <si>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</si>
  <si>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</si>
  <si>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</si>
  <si>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</si>
  <si>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</si>
  <si>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</si>
  <si>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</si>
  <si>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</si>
  <si>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</si>
  <si>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</si>
  <si>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</si>
  <si>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</si>
  <si>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</si>
  <si>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</si>
  <si>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</si>
  <si>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</si>
  <si>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</si>
  <si>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Amazonas</t>
  </si>
  <si>
    <t>Otros Candidatos</t>
  </si>
  <si>
    <t>Anzoátegui</t>
  </si>
  <si>
    <t>Apure</t>
  </si>
  <si>
    <t>Aragua</t>
  </si>
  <si>
    <t>Barinas</t>
  </si>
  <si>
    <t>Bolívar</t>
  </si>
  <si>
    <t>Carabobo</t>
  </si>
  <si>
    <t>Cojedes</t>
  </si>
  <si>
    <t>Distrito Capital</t>
  </si>
  <si>
    <t>Falcón</t>
  </si>
  <si>
    <t>Guárico</t>
  </si>
  <si>
    <t>Mérida</t>
  </si>
  <si>
    <t>Miranda</t>
  </si>
  <si>
    <t>Monagas</t>
  </si>
  <si>
    <t>Sucre</t>
  </si>
  <si>
    <t>Táchira</t>
  </si>
  <si>
    <t>Trujillo</t>
  </si>
  <si>
    <t>Vargas</t>
  </si>
  <si>
    <t>Yaracuy</t>
  </si>
  <si>
    <t>Zulia</t>
  </si>
  <si>
    <t>Votos</t>
  </si>
  <si>
    <t>Resultado</t>
  </si>
  <si>
    <t>BOCONO</t>
  </si>
  <si>
    <t>PAMPAM</t>
  </si>
  <si>
    <t>SAN RAFAEL DE CARVAJAL</t>
  </si>
  <si>
    <t>VALERA</t>
  </si>
  <si>
    <t>ANTIMANO</t>
  </si>
  <si>
    <t>MAIQUETIA</t>
  </si>
  <si>
    <t>Factor</t>
  </si>
  <si>
    <t>Resultado Nacional</t>
  </si>
  <si>
    <t>Situación</t>
  </si>
  <si>
    <t>HUGO CHAVEZ</t>
  </si>
  <si>
    <t>Resultados por Entidad</t>
  </si>
  <si>
    <t>Octubre 07/2012</t>
  </si>
  <si>
    <t>TUCUPITA</t>
  </si>
  <si>
    <t>FRANCISCO DE MIRANDA</t>
  </si>
  <si>
    <t>JOSE TADEO MONAGAS</t>
  </si>
  <si>
    <t>JUAN GERMAN ROSCIO</t>
  </si>
  <si>
    <t>LEONARDO INFANTE</t>
  </si>
  <si>
    <t>PEDRO ZARAZA</t>
  </si>
  <si>
    <t>ANDRES ELOY BLANCO</t>
  </si>
  <si>
    <t>PAMPAN</t>
  </si>
  <si>
    <t>S RAFAEL CARVAJAL</t>
  </si>
  <si>
    <t>JESUS ENRIQUE LOSSADA</t>
  </si>
  <si>
    <t>ROSARIO DE PERIJA</t>
  </si>
  <si>
    <t>Ventaja</t>
  </si>
  <si>
    <t>y</t>
  </si>
  <si>
    <r>
      <t xml:space="preserve">ESTADO
     </t>
    </r>
    <r>
      <rPr>
        <i/>
        <sz val="14"/>
        <color theme="3" tint="0.39997558519241921"/>
        <rFont val="Calibri"/>
        <family val="2"/>
        <scheme val="minor"/>
      </rPr>
      <t>MUNICIPIO</t>
    </r>
  </si>
  <si>
    <t>centro</t>
  </si>
  <si>
    <t>turno</t>
  </si>
  <si>
    <t>cod</t>
  </si>
  <si>
    <t>chavez</t>
  </si>
  <si>
    <t>capriles</t>
  </si>
  <si>
    <t>otro</t>
  </si>
  <si>
    <t>totalv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</si>
</sst>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"/>
    <numFmt numFmtId="165" formatCode="0.0%"/>
    <numFmt numFmtId="166" formatCode="0.0"/>
    <numFmt numFmtId="167" formatCode="0.0000"/>
    <numFmt numFmtId="168" formatCode="0.000"/>
    <numFmt numFmtId="169" formatCode="0.000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i/>
      <u/>
      <sz val="36"/>
      <color rgb="FFC00000"/>
      <name val="Calibri"/>
      <family val="2"/>
      <scheme val="minor"/>
    </font>
    <font>
      <b/>
      <i/>
      <sz val="16"/>
      <color rgb="FFC00000"/>
      <name val="Calibri"/>
      <family val="2"/>
      <scheme val="minor"/>
    </font>
    <font>
      <b/>
      <i/>
      <sz val="28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24"/>
      <color rgb="FF7030A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3" tint="-0.249977111117893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4"/>
      <color theme="3" tint="-0.249977111117893"/>
      <name val="Calibri"/>
      <family val="2"/>
      <scheme val="minor"/>
    </font>
    <font>
      <b/>
      <i/>
      <sz val="14"/>
      <color theme="3" tint="-0.249977111117893"/>
      <name val="Calibri"/>
      <family val="2"/>
      <scheme val="minor"/>
    </font>
    <font>
      <i/>
      <sz val="11"/>
      <color theme="3" tint="-0.249977111117893"/>
      <name val="Calibri"/>
      <family val="2"/>
      <scheme val="minor"/>
    </font>
    <font>
      <i/>
      <sz val="13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i/>
      <sz val="8"/>
      <color theme="3" tint="-0.249977111117893"/>
      <name val="Calibri"/>
      <family val="2"/>
      <scheme val="minor"/>
    </font>
    <font>
      <b/>
      <i/>
      <sz val="1"/>
      <color theme="3" tint="-0.249977111117893"/>
      <name val="Calibri"/>
      <family val="2"/>
      <scheme val="minor"/>
    </font>
    <font>
      <i/>
      <sz val="16"/>
      <color rgb="FFC00000"/>
      <name val="Calibri"/>
      <family val="2"/>
      <scheme val="minor"/>
    </font>
    <font>
      <i/>
      <sz val="14"/>
      <color theme="4"/>
      <name val="Calibri"/>
      <family val="2"/>
      <scheme val="minor"/>
    </font>
    <font>
      <i/>
      <sz val="14"/>
      <color rgb="FFC00000"/>
      <name val="Calibri"/>
      <family val="2"/>
      <scheme val="minor"/>
    </font>
    <font>
      <i/>
      <sz val="14"/>
      <color theme="3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thin">
        <color rgb="FFFFFF00"/>
      </right>
      <top/>
      <bottom/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rgb="FFFFFF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medium">
        <color rgb="FFFFFF00"/>
      </bottom>
      <diagonal/>
    </border>
    <border>
      <left style="thin">
        <color rgb="FFFFFF00"/>
      </left>
      <right style="thin">
        <color rgb="FFFFFF00"/>
      </right>
      <top/>
      <bottom style="medium">
        <color rgb="FFFFFF00"/>
      </bottom>
      <diagonal/>
    </border>
    <border>
      <left style="medium">
        <color indexed="64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indexed="64"/>
      </right>
      <top style="medium">
        <color rgb="FFFFFF00"/>
      </top>
      <bottom style="thin">
        <color rgb="FFFFFF00"/>
      </bottom>
      <diagonal/>
    </border>
    <border>
      <left style="medium">
        <color indexed="64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indexed="64"/>
      </right>
      <top style="thin">
        <color rgb="FFFFFF00"/>
      </top>
      <bottom/>
      <diagonal/>
    </border>
    <border>
      <left style="medium">
        <color indexed="64"/>
      </left>
      <right style="thin">
        <color rgb="FFFFFF00"/>
      </right>
      <top style="thin">
        <color rgb="FFFFFF00"/>
      </top>
      <bottom style="medium">
        <color rgb="FFFFFF00"/>
      </bottom>
      <diagonal/>
    </border>
    <border>
      <left style="thin">
        <color rgb="FFFFFF00"/>
      </left>
      <right style="medium">
        <color indexed="64"/>
      </right>
      <top style="thin">
        <color rgb="FFFFFF00"/>
      </top>
      <bottom style="medium">
        <color rgb="FFFFFF00"/>
      </bottom>
      <diagonal/>
    </border>
    <border>
      <left style="medium">
        <color indexed="64"/>
      </left>
      <right style="thin">
        <color indexed="64"/>
      </right>
      <top style="medium">
        <color rgb="FFFFFF00"/>
      </top>
      <bottom/>
      <diagonal/>
    </border>
    <border>
      <left style="thin">
        <color indexed="64"/>
      </left>
      <right style="thin">
        <color indexed="64"/>
      </right>
      <top style="medium">
        <color rgb="FFFFFF00"/>
      </top>
      <bottom/>
      <diagonal/>
    </border>
    <border>
      <left style="thin">
        <color indexed="64"/>
      </left>
      <right style="medium">
        <color indexed="64"/>
      </right>
      <top style="medium">
        <color rgb="FFFFFF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thin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DotDot">
        <color indexed="64"/>
      </right>
      <top style="thin">
        <color indexed="64"/>
      </top>
      <bottom style="thin">
        <color indexed="64"/>
      </bottom>
      <diagonal/>
    </border>
    <border>
      <left style="dashDotDot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DotDot">
        <color indexed="64"/>
      </right>
      <top style="thin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165" fontId="2" fillId="0" borderId="10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 vertical="center"/>
    </xf>
    <xf numFmtId="165" fontId="2" fillId="0" borderId="17" xfId="1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4" fillId="0" borderId="0" xfId="0" applyFont="1"/>
    <xf numFmtId="0" fontId="3" fillId="0" borderId="9" xfId="0" applyFont="1" applyFill="1" applyBorder="1" applyAlignment="1">
      <alignment horizontal="center" vertical="center" wrapText="1"/>
    </xf>
    <xf numFmtId="1" fontId="3" fillId="0" borderId="9" xfId="0" applyNumberFormat="1" applyFont="1" applyFill="1" applyBorder="1" applyAlignment="1">
      <alignment horizontal="center" vertical="center" wrapText="1"/>
    </xf>
    <xf numFmtId="1" fontId="3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2" xfId="0" applyFont="1" applyFill="1" applyBorder="1" applyAlignment="1">
      <alignment horizontal="center" vertical="center"/>
    </xf>
    <xf numFmtId="0" fontId="4" fillId="0" borderId="0" xfId="0" applyFont="1" applyFill="1" applyBorder="1"/>
    <xf numFmtId="165" fontId="4" fillId="0" borderId="0" xfId="1" applyNumberFormat="1" applyFont="1" applyFill="1" applyBorder="1" applyAlignment="1">
      <alignment horizontal="left" inden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5" fillId="0" borderId="1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65" fontId="9" fillId="0" borderId="25" xfId="1" applyNumberFormat="1" applyFont="1" applyFill="1" applyBorder="1" applyAlignment="1">
      <alignment horizontal="center" vertical="center"/>
    </xf>
    <xf numFmtId="165" fontId="9" fillId="0" borderId="27" xfId="1" applyNumberFormat="1" applyFont="1" applyFill="1" applyBorder="1" applyAlignment="1">
      <alignment horizontal="center" vertical="center"/>
    </xf>
    <xf numFmtId="1" fontId="2" fillId="0" borderId="0" xfId="0" applyNumberFormat="1" applyFont="1"/>
    <xf numFmtId="1" fontId="9" fillId="0" borderId="14" xfId="0" applyNumberFormat="1" applyFont="1" applyFill="1" applyBorder="1" applyAlignment="1">
      <alignment horizontal="center" vertical="center"/>
    </xf>
    <xf numFmtId="1" fontId="9" fillId="0" borderId="17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1" fontId="9" fillId="0" borderId="26" xfId="0" applyNumberFormat="1" applyFont="1" applyFill="1" applyBorder="1" applyAlignment="1">
      <alignment horizontal="center" vertical="center"/>
    </xf>
    <xf numFmtId="1" fontId="10" fillId="0" borderId="26" xfId="0" applyNumberFormat="1" applyFont="1" applyFill="1" applyBorder="1" applyAlignment="1">
      <alignment horizontal="center" vertical="center"/>
    </xf>
    <xf numFmtId="1" fontId="10" fillId="0" borderId="17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65" fontId="10" fillId="0" borderId="0" xfId="0" applyNumberFormat="1" applyFont="1" applyFill="1" applyBorder="1" applyAlignment="1">
      <alignment horizontal="center" vertical="center"/>
    </xf>
    <xf numFmtId="165" fontId="9" fillId="0" borderId="0" xfId="1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2" fillId="0" borderId="0" xfId="0" applyFont="1" applyFill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18" fontId="13" fillId="0" borderId="0" xfId="0" applyNumberFormat="1" applyFont="1" applyAlignment="1">
      <alignment horizontal="center" vertical="center"/>
    </xf>
    <xf numFmtId="0" fontId="4" fillId="0" borderId="0" xfId="0" applyFont="1" applyFill="1"/>
    <xf numFmtId="0" fontId="4" fillId="3" borderId="1" xfId="0" applyFont="1" applyFill="1" applyBorder="1" applyAlignment="1">
      <alignment horizontal="left" indent="1"/>
    </xf>
    <xf numFmtId="1" fontId="4" fillId="3" borderId="1" xfId="0" applyNumberFormat="1" applyFont="1" applyFill="1" applyBorder="1" applyAlignment="1">
      <alignment horizontal="right" indent="1"/>
    </xf>
    <xf numFmtId="0" fontId="4" fillId="3" borderId="21" xfId="0" applyFont="1" applyFill="1" applyBorder="1" applyAlignment="1">
      <alignment horizontal="left" indent="1"/>
    </xf>
    <xf numFmtId="1" fontId="4" fillId="3" borderId="21" xfId="0" applyNumberFormat="1" applyFont="1" applyFill="1" applyBorder="1" applyAlignment="1">
      <alignment horizontal="right" indent="1"/>
    </xf>
    <xf numFmtId="1" fontId="4" fillId="0" borderId="9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/>
    <xf numFmtId="0" fontId="4" fillId="3" borderId="4" xfId="0" applyFont="1" applyFill="1" applyBorder="1" applyAlignment="1">
      <alignment horizontal="left" indent="1"/>
    </xf>
    <xf numFmtId="1" fontId="4" fillId="3" borderId="4" xfId="0" applyNumberFormat="1" applyFont="1" applyFill="1" applyBorder="1" applyAlignment="1">
      <alignment horizontal="right" indent="1"/>
    </xf>
    <xf numFmtId="1" fontId="4" fillId="3" borderId="6" xfId="0" applyNumberFormat="1" applyFont="1" applyFill="1" applyBorder="1" applyAlignment="1">
      <alignment horizontal="right" indent="1"/>
    </xf>
    <xf numFmtId="1" fontId="4" fillId="3" borderId="29" xfId="0" applyNumberFormat="1" applyFont="1" applyFill="1" applyBorder="1" applyAlignment="1">
      <alignment horizontal="right" indent="1"/>
    </xf>
    <xf numFmtId="0" fontId="4" fillId="3" borderId="32" xfId="0" applyFont="1" applyFill="1" applyBorder="1" applyAlignment="1">
      <alignment horizontal="left" indent="1"/>
    </xf>
    <xf numFmtId="1" fontId="4" fillId="3" borderId="32" xfId="0" applyNumberFormat="1" applyFont="1" applyFill="1" applyBorder="1" applyAlignment="1">
      <alignment horizontal="right" indent="1"/>
    </xf>
    <xf numFmtId="1" fontId="4" fillId="3" borderId="33" xfId="0" applyNumberFormat="1" applyFont="1" applyFill="1" applyBorder="1" applyAlignment="1">
      <alignment horizontal="right" indent="1"/>
    </xf>
    <xf numFmtId="1" fontId="4" fillId="3" borderId="31" xfId="0" applyNumberFormat="1" applyFont="1" applyFill="1" applyBorder="1" applyAlignment="1">
      <alignment horizontal="right" indent="1"/>
    </xf>
    <xf numFmtId="0" fontId="4" fillId="3" borderId="15" xfId="0" applyFont="1" applyFill="1" applyBorder="1" applyAlignment="1">
      <alignment horizontal="left" indent="1"/>
    </xf>
    <xf numFmtId="0" fontId="4" fillId="0" borderId="9" xfId="0" applyFont="1" applyFill="1" applyBorder="1" applyAlignment="1">
      <alignment horizontal="center" vertical="center"/>
    </xf>
    <xf numFmtId="1" fontId="4" fillId="0" borderId="9" xfId="0" applyNumberFormat="1" applyFont="1" applyFill="1" applyBorder="1" applyAlignment="1">
      <alignment horizontal="center" vertical="center"/>
    </xf>
    <xf numFmtId="1" fontId="4" fillId="0" borderId="2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indent="1"/>
    </xf>
    <xf numFmtId="1" fontId="3" fillId="4" borderId="1" xfId="0" applyNumberFormat="1" applyFont="1" applyFill="1" applyBorder="1" applyAlignment="1">
      <alignment horizontal="right" indent="1"/>
    </xf>
    <xf numFmtId="0" fontId="3" fillId="4" borderId="4" xfId="0" applyFont="1" applyFill="1" applyBorder="1" applyAlignment="1">
      <alignment horizontal="left" indent="1"/>
    </xf>
    <xf numFmtId="1" fontId="3" fillId="4" borderId="4" xfId="0" applyNumberFormat="1" applyFont="1" applyFill="1" applyBorder="1" applyAlignment="1">
      <alignment horizontal="right" indent="1"/>
    </xf>
    <xf numFmtId="1" fontId="3" fillId="4" borderId="6" xfId="0" applyNumberFormat="1" applyFont="1" applyFill="1" applyBorder="1" applyAlignment="1">
      <alignment horizontal="right" indent="1"/>
    </xf>
    <xf numFmtId="1" fontId="3" fillId="4" borderId="29" xfId="0" applyNumberFormat="1" applyFont="1" applyFill="1" applyBorder="1" applyAlignment="1">
      <alignment horizontal="right" indent="1"/>
    </xf>
    <xf numFmtId="0" fontId="3" fillId="4" borderId="21" xfId="0" applyFont="1" applyFill="1" applyBorder="1" applyAlignment="1">
      <alignment horizontal="left" indent="1"/>
    </xf>
    <xf numFmtId="0" fontId="3" fillId="4" borderId="32" xfId="0" applyFont="1" applyFill="1" applyBorder="1" applyAlignment="1">
      <alignment horizontal="left" indent="1"/>
    </xf>
    <xf numFmtId="1" fontId="3" fillId="4" borderId="32" xfId="0" applyNumberFormat="1" applyFont="1" applyFill="1" applyBorder="1" applyAlignment="1">
      <alignment horizontal="right" indent="1"/>
    </xf>
    <xf numFmtId="1" fontId="3" fillId="4" borderId="33" xfId="0" applyNumberFormat="1" applyFont="1" applyFill="1" applyBorder="1" applyAlignment="1">
      <alignment horizontal="right" indent="1"/>
    </xf>
    <xf numFmtId="0" fontId="3" fillId="4" borderId="5" xfId="0" applyFont="1" applyFill="1" applyBorder="1" applyAlignment="1">
      <alignment horizontal="left" indent="1"/>
    </xf>
    <xf numFmtId="0" fontId="4" fillId="0" borderId="16" xfId="0" applyFont="1" applyFill="1" applyBorder="1" applyAlignment="1">
      <alignment horizontal="center" vertical="center" wrapText="1"/>
    </xf>
    <xf numFmtId="165" fontId="4" fillId="3" borderId="18" xfId="1" applyNumberFormat="1" applyFont="1" applyFill="1" applyBorder="1" applyAlignment="1">
      <alignment horizontal="right" indent="1"/>
    </xf>
    <xf numFmtId="165" fontId="4" fillId="3" borderId="19" xfId="1" applyNumberFormat="1" applyFont="1" applyFill="1" applyBorder="1" applyAlignment="1">
      <alignment horizontal="right" indent="1"/>
    </xf>
    <xf numFmtId="165" fontId="4" fillId="3" borderId="28" xfId="1" applyNumberFormat="1" applyFont="1" applyFill="1" applyBorder="1" applyAlignment="1">
      <alignment horizontal="right" indent="1"/>
    </xf>
    <xf numFmtId="165" fontId="4" fillId="3" borderId="22" xfId="1" applyNumberFormat="1" applyFont="1" applyFill="1" applyBorder="1" applyAlignment="1">
      <alignment horizontal="right" indent="1"/>
    </xf>
    <xf numFmtId="165" fontId="3" fillId="4" borderId="18" xfId="1" applyNumberFormat="1" applyFont="1" applyFill="1" applyBorder="1" applyAlignment="1">
      <alignment horizontal="right" indent="1"/>
    </xf>
    <xf numFmtId="165" fontId="3" fillId="4" borderId="19" xfId="1" applyNumberFormat="1" applyFont="1" applyFill="1" applyBorder="1" applyAlignment="1">
      <alignment horizontal="right" indent="1"/>
    </xf>
    <xf numFmtId="165" fontId="3" fillId="4" borderId="35" xfId="1" applyNumberFormat="1" applyFont="1" applyFill="1" applyBorder="1" applyAlignment="1">
      <alignment horizontal="right" indent="1"/>
    </xf>
    <xf numFmtId="165" fontId="3" fillId="4" borderId="22" xfId="1" applyNumberFormat="1" applyFont="1" applyFill="1" applyBorder="1" applyAlignment="1">
      <alignment horizontal="right" indent="1"/>
    </xf>
    <xf numFmtId="165" fontId="3" fillId="4" borderId="20" xfId="1" applyNumberFormat="1" applyFont="1" applyFill="1" applyBorder="1" applyAlignment="1">
      <alignment horizontal="right" indent="1"/>
    </xf>
    <xf numFmtId="165" fontId="4" fillId="3" borderId="35" xfId="1" applyNumberFormat="1" applyFont="1" applyFill="1" applyBorder="1" applyAlignment="1">
      <alignment horizontal="right" indent="1"/>
    </xf>
    <xf numFmtId="1" fontId="3" fillId="0" borderId="8" xfId="0" applyNumberFormat="1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3" fillId="0" borderId="36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/>
    </xf>
    <xf numFmtId="1" fontId="15" fillId="5" borderId="42" xfId="0" applyNumberFormat="1" applyFont="1" applyFill="1" applyBorder="1" applyAlignment="1">
      <alignment horizontal="right" vertical="center" indent="1"/>
    </xf>
    <xf numFmtId="1" fontId="15" fillId="5" borderId="39" xfId="0" applyNumberFormat="1" applyFont="1" applyFill="1" applyBorder="1" applyAlignment="1">
      <alignment horizontal="right" vertical="center" indent="1"/>
    </xf>
    <xf numFmtId="1" fontId="15" fillId="5" borderId="44" xfId="0" applyNumberFormat="1" applyFont="1" applyFill="1" applyBorder="1" applyAlignment="1">
      <alignment horizontal="right" vertical="center" indent="1"/>
    </xf>
    <xf numFmtId="165" fontId="15" fillId="5" borderId="46" xfId="1" applyNumberFormat="1" applyFont="1" applyFill="1" applyBorder="1" applyAlignment="1">
      <alignment horizontal="center" vertical="center"/>
    </xf>
    <xf numFmtId="1" fontId="15" fillId="5" borderId="47" xfId="0" applyNumberFormat="1" applyFont="1" applyFill="1" applyBorder="1" applyAlignment="1">
      <alignment horizontal="right" vertical="center" indent="1"/>
    </xf>
    <xf numFmtId="165" fontId="15" fillId="5" borderId="48" xfId="1" applyNumberFormat="1" applyFont="1" applyFill="1" applyBorder="1" applyAlignment="1">
      <alignment horizontal="center" vertical="center"/>
    </xf>
    <xf numFmtId="1" fontId="15" fillId="5" borderId="49" xfId="0" applyNumberFormat="1" applyFont="1" applyFill="1" applyBorder="1" applyAlignment="1">
      <alignment horizontal="right" vertical="center" indent="1"/>
    </xf>
    <xf numFmtId="165" fontId="15" fillId="5" borderId="50" xfId="1" applyNumberFormat="1" applyFont="1" applyFill="1" applyBorder="1" applyAlignment="1">
      <alignment horizontal="center" vertical="center"/>
    </xf>
    <xf numFmtId="1" fontId="15" fillId="5" borderId="51" xfId="0" applyNumberFormat="1" applyFont="1" applyFill="1" applyBorder="1" applyAlignment="1">
      <alignment horizontal="right" vertical="center" indent="1"/>
    </xf>
    <xf numFmtId="0" fontId="2" fillId="0" borderId="0" xfId="0" applyFont="1" applyAlignment="1">
      <alignment horizontal="left" vertical="center" indent="1"/>
    </xf>
    <xf numFmtId="0" fontId="15" fillId="5" borderId="42" xfId="0" applyFont="1" applyFill="1" applyBorder="1" applyAlignment="1">
      <alignment horizontal="left" vertical="center" indent="1"/>
    </xf>
    <xf numFmtId="0" fontId="15" fillId="5" borderId="39" xfId="0" applyFont="1" applyFill="1" applyBorder="1" applyAlignment="1">
      <alignment horizontal="left" vertical="center" indent="1"/>
    </xf>
    <xf numFmtId="0" fontId="15" fillId="5" borderId="44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2" fillId="0" borderId="26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1" fontId="2" fillId="0" borderId="0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165" fontId="14" fillId="0" borderId="10" xfId="1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left" vertical="center" indent="1"/>
    </xf>
    <xf numFmtId="0" fontId="15" fillId="0" borderId="13" xfId="0" applyFont="1" applyFill="1" applyBorder="1" applyAlignment="1">
      <alignment horizontal="center" vertical="center"/>
    </xf>
    <xf numFmtId="165" fontId="2" fillId="7" borderId="52" xfId="1" applyNumberFormat="1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left" vertical="center" indent="1"/>
    </xf>
    <xf numFmtId="0" fontId="2" fillId="7" borderId="53" xfId="0" applyFont="1" applyFill="1" applyBorder="1" applyAlignment="1">
      <alignment horizontal="center"/>
    </xf>
    <xf numFmtId="165" fontId="2" fillId="7" borderId="55" xfId="1" applyNumberFormat="1" applyFont="1" applyFill="1" applyBorder="1" applyAlignment="1">
      <alignment horizontal="center" vertical="center"/>
    </xf>
    <xf numFmtId="0" fontId="2" fillId="7" borderId="56" xfId="0" applyFont="1" applyFill="1" applyBorder="1" applyAlignment="1">
      <alignment horizontal="left" vertical="center" indent="1"/>
    </xf>
    <xf numFmtId="166" fontId="2" fillId="7" borderId="56" xfId="0" applyNumberFormat="1" applyFont="1" applyFill="1" applyBorder="1" applyAlignment="1">
      <alignment horizontal="center"/>
    </xf>
    <xf numFmtId="165" fontId="2" fillId="7" borderId="58" xfId="1" applyNumberFormat="1" applyFont="1" applyFill="1" applyBorder="1" applyAlignment="1">
      <alignment horizontal="center" vertical="center"/>
    </xf>
    <xf numFmtId="0" fontId="2" fillId="7" borderId="59" xfId="0" applyFont="1" applyFill="1" applyBorder="1" applyAlignment="1">
      <alignment horizontal="left" vertical="center" indent="1"/>
    </xf>
    <xf numFmtId="0" fontId="2" fillId="7" borderId="59" xfId="0" applyFont="1" applyFill="1" applyBorder="1" applyAlignment="1">
      <alignment horizontal="center"/>
    </xf>
    <xf numFmtId="1" fontId="15" fillId="6" borderId="41" xfId="0" applyNumberFormat="1" applyFont="1" applyFill="1" applyBorder="1" applyAlignment="1">
      <alignment horizontal="center" vertical="center"/>
    </xf>
    <xf numFmtId="1" fontId="15" fillId="6" borderId="41" xfId="0" applyNumberFormat="1" applyFont="1" applyFill="1" applyBorder="1" applyAlignment="1">
      <alignment horizontal="right" vertical="center" indent="1"/>
    </xf>
    <xf numFmtId="0" fontId="15" fillId="6" borderId="41" xfId="0" applyFont="1" applyFill="1" applyBorder="1" applyAlignment="1">
      <alignment horizontal="right" vertical="center" indent="1"/>
    </xf>
    <xf numFmtId="168" fontId="2" fillId="0" borderId="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horizontal="left" vertical="center" indent="1"/>
    </xf>
    <xf numFmtId="1" fontId="4" fillId="3" borderId="32" xfId="0" applyNumberFormat="1" applyFont="1" applyFill="1" applyBorder="1" applyAlignment="1">
      <alignment horizontal="center"/>
    </xf>
    <xf numFmtId="2" fontId="4" fillId="3" borderId="21" xfId="0" applyNumberFormat="1" applyFont="1" applyFill="1" applyBorder="1" applyAlignment="1">
      <alignment horizontal="right" indent="1"/>
    </xf>
    <xf numFmtId="2" fontId="3" fillId="4" borderId="21" xfId="0" applyNumberFormat="1" applyFont="1" applyFill="1" applyBorder="1" applyAlignment="1">
      <alignment horizontal="right" indent="1"/>
    </xf>
    <xf numFmtId="2" fontId="3" fillId="4" borderId="1" xfId="0" applyNumberFormat="1" applyFont="1" applyFill="1" applyBorder="1" applyAlignment="1">
      <alignment horizontal="right" indent="1"/>
    </xf>
    <xf numFmtId="2" fontId="3" fillId="4" borderId="5" xfId="0" applyNumberFormat="1" applyFont="1" applyFill="1" applyBorder="1" applyAlignment="1">
      <alignment horizontal="right" indent="1"/>
    </xf>
    <xf numFmtId="2" fontId="4" fillId="3" borderId="1" xfId="0" applyNumberFormat="1" applyFont="1" applyFill="1" applyBorder="1" applyAlignment="1">
      <alignment horizontal="right" indent="1"/>
    </xf>
    <xf numFmtId="2" fontId="4" fillId="3" borderId="15" xfId="0" applyNumberFormat="1" applyFont="1" applyFill="1" applyBorder="1" applyAlignment="1">
      <alignment horizontal="right" indent="1"/>
    </xf>
    <xf numFmtId="2" fontId="3" fillId="4" borderId="31" xfId="0" applyNumberFormat="1" applyFont="1" applyFill="1" applyBorder="1" applyAlignment="1">
      <alignment horizontal="right" indent="1"/>
    </xf>
    <xf numFmtId="2" fontId="3" fillId="4" borderId="29" xfId="0" applyNumberFormat="1" applyFont="1" applyFill="1" applyBorder="1" applyAlignment="1">
      <alignment horizontal="right" indent="1"/>
    </xf>
    <xf numFmtId="2" fontId="3" fillId="4" borderId="34" xfId="0" applyNumberFormat="1" applyFont="1" applyFill="1" applyBorder="1" applyAlignment="1">
      <alignment horizontal="right" indent="1"/>
    </xf>
    <xf numFmtId="2" fontId="4" fillId="3" borderId="29" xfId="0" applyNumberFormat="1" applyFont="1" applyFill="1" applyBorder="1" applyAlignment="1">
      <alignment horizontal="right" indent="1"/>
    </xf>
    <xf numFmtId="2" fontId="4" fillId="3" borderId="30" xfId="0" applyNumberFormat="1" applyFont="1" applyFill="1" applyBorder="1" applyAlignment="1">
      <alignment horizontal="right" indent="1"/>
    </xf>
    <xf numFmtId="1" fontId="3" fillId="0" borderId="61" xfId="0" applyNumberFormat="1" applyFont="1" applyFill="1" applyBorder="1" applyAlignment="1">
      <alignment horizontal="center" vertical="center" wrapText="1"/>
    </xf>
    <xf numFmtId="1" fontId="3" fillId="0" borderId="23" xfId="0" applyNumberFormat="1" applyFont="1" applyFill="1" applyBorder="1" applyAlignment="1">
      <alignment horizontal="center" vertical="center"/>
    </xf>
    <xf numFmtId="2" fontId="4" fillId="3" borderId="31" xfId="0" applyNumberFormat="1" applyFont="1" applyFill="1" applyBorder="1" applyAlignment="1">
      <alignment horizontal="right" indent="1"/>
    </xf>
    <xf numFmtId="2" fontId="3" fillId="4" borderId="32" xfId="0" applyNumberFormat="1" applyFont="1" applyFill="1" applyBorder="1" applyAlignment="1">
      <alignment horizontal="right" indent="1"/>
    </xf>
    <xf numFmtId="2" fontId="3" fillId="4" borderId="33" xfId="0" applyNumberFormat="1" applyFont="1" applyFill="1" applyBorder="1" applyAlignment="1">
      <alignment horizontal="right" indent="1"/>
    </xf>
    <xf numFmtId="2" fontId="2" fillId="7" borderId="53" xfId="0" applyNumberFormat="1" applyFont="1" applyFill="1" applyBorder="1" applyAlignment="1">
      <alignment horizontal="right" vertical="center" indent="1"/>
    </xf>
    <xf numFmtId="2" fontId="2" fillId="7" borderId="54" xfId="0" applyNumberFormat="1" applyFont="1" applyFill="1" applyBorder="1" applyAlignment="1">
      <alignment horizontal="right" vertical="center" indent="1"/>
    </xf>
    <xf numFmtId="2" fontId="2" fillId="7" borderId="56" xfId="0" applyNumberFormat="1" applyFont="1" applyFill="1" applyBorder="1" applyAlignment="1">
      <alignment horizontal="right" vertical="center" indent="1"/>
    </xf>
    <xf numFmtId="2" fontId="2" fillId="7" borderId="57" xfId="0" applyNumberFormat="1" applyFont="1" applyFill="1" applyBorder="1" applyAlignment="1">
      <alignment horizontal="right" vertical="center" indent="1"/>
    </xf>
    <xf numFmtId="2" fontId="2" fillId="7" borderId="59" xfId="0" applyNumberFormat="1" applyFont="1" applyFill="1" applyBorder="1" applyAlignment="1">
      <alignment horizontal="right" vertical="center" indent="1"/>
    </xf>
    <xf numFmtId="2" fontId="2" fillId="7" borderId="60" xfId="0" applyNumberFormat="1" applyFont="1" applyFill="1" applyBorder="1" applyAlignment="1">
      <alignment horizontal="right" vertical="center" indent="1"/>
    </xf>
    <xf numFmtId="166" fontId="3" fillId="4" borderId="21" xfId="0" applyNumberFormat="1" applyFont="1" applyFill="1" applyBorder="1" applyAlignment="1">
      <alignment horizontal="right" indent="1"/>
    </xf>
    <xf numFmtId="166" fontId="3" fillId="4" borderId="31" xfId="0" applyNumberFormat="1" applyFont="1" applyFill="1" applyBorder="1" applyAlignment="1">
      <alignment horizontal="right" indent="1"/>
    </xf>
    <xf numFmtId="166" fontId="3" fillId="4" borderId="1" xfId="0" applyNumberFormat="1" applyFont="1" applyFill="1" applyBorder="1" applyAlignment="1">
      <alignment horizontal="right" indent="1"/>
    </xf>
    <xf numFmtId="166" fontId="3" fillId="4" borderId="29" xfId="0" applyNumberFormat="1" applyFont="1" applyFill="1" applyBorder="1" applyAlignment="1">
      <alignment horizontal="right" indent="1"/>
    </xf>
    <xf numFmtId="166" fontId="3" fillId="4" borderId="5" xfId="0" applyNumberFormat="1" applyFont="1" applyFill="1" applyBorder="1" applyAlignment="1">
      <alignment horizontal="right" indent="1"/>
    </xf>
    <xf numFmtId="166" fontId="3" fillId="4" borderId="34" xfId="0" applyNumberFormat="1" applyFont="1" applyFill="1" applyBorder="1" applyAlignment="1">
      <alignment horizontal="right" indent="1"/>
    </xf>
    <xf numFmtId="0" fontId="15" fillId="0" borderId="0" xfId="0" applyFont="1" applyFill="1" applyBorder="1" applyAlignment="1">
      <alignment horizontal="right" vertical="center" indent="1"/>
    </xf>
    <xf numFmtId="0" fontId="2" fillId="0" borderId="0" xfId="0" applyFont="1" applyFill="1"/>
    <xf numFmtId="1" fontId="15" fillId="0" borderId="0" xfId="0" applyNumberFormat="1" applyFont="1" applyFill="1" applyBorder="1" applyAlignment="1">
      <alignment horizontal="right" vertical="center" indent="1"/>
    </xf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right" vertical="center" indent="1"/>
    </xf>
    <xf numFmtId="1" fontId="16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 vertical="center" indent="1"/>
    </xf>
    <xf numFmtId="0" fontId="17" fillId="0" borderId="0" xfId="0" applyFont="1" applyAlignment="1">
      <alignment horizontal="center" vertical="center"/>
    </xf>
    <xf numFmtId="18" fontId="19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8" fontId="23" fillId="0" borderId="0" xfId="0" applyNumberFormat="1" applyFont="1" applyAlignment="1">
      <alignment horizontal="center" vertical="top"/>
    </xf>
    <xf numFmtId="0" fontId="21" fillId="0" borderId="0" xfId="0" applyFont="1" applyBorder="1" applyAlignment="1">
      <alignment vertical="center"/>
    </xf>
    <xf numFmtId="0" fontId="25" fillId="0" borderId="0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7" fillId="0" borderId="69" xfId="0" applyFont="1" applyBorder="1" applyAlignment="1">
      <alignment horizontal="center" vertical="center" wrapText="1"/>
    </xf>
    <xf numFmtId="165" fontId="21" fillId="2" borderId="72" xfId="1" applyNumberFormat="1" applyFont="1" applyFill="1" applyBorder="1" applyAlignment="1">
      <alignment horizontal="center" vertical="center"/>
    </xf>
    <xf numFmtId="165" fontId="21" fillId="2" borderId="73" xfId="1" applyNumberFormat="1" applyFont="1" applyFill="1" applyBorder="1" applyAlignment="1">
      <alignment horizontal="center" vertical="center"/>
    </xf>
    <xf numFmtId="1" fontId="28" fillId="8" borderId="63" xfId="0" applyNumberFormat="1" applyFont="1" applyFill="1" applyBorder="1" applyAlignment="1">
      <alignment horizontal="right" vertical="center"/>
    </xf>
    <xf numFmtId="1" fontId="28" fillId="0" borderId="63" xfId="0" applyNumberFormat="1" applyFont="1" applyBorder="1" applyAlignment="1">
      <alignment horizontal="right" vertical="center"/>
    </xf>
    <xf numFmtId="0" fontId="26" fillId="0" borderId="64" xfId="0" applyFont="1" applyBorder="1" applyAlignment="1">
      <alignment horizontal="center" vertical="center" wrapText="1"/>
    </xf>
    <xf numFmtId="0" fontId="22" fillId="2" borderId="65" xfId="0" applyFont="1" applyFill="1" applyBorder="1" applyAlignment="1">
      <alignment horizontal="center" vertical="center"/>
    </xf>
    <xf numFmtId="0" fontId="21" fillId="0" borderId="65" xfId="0" applyFont="1" applyBorder="1" applyAlignment="1">
      <alignment horizontal="left" vertical="center" indent="3"/>
    </xf>
    <xf numFmtId="0" fontId="21" fillId="2" borderId="65" xfId="0" applyFont="1" applyFill="1" applyBorder="1" applyAlignment="1">
      <alignment horizontal="left" vertical="center" indent="3"/>
    </xf>
    <xf numFmtId="0" fontId="21" fillId="0" borderId="65" xfId="0" applyFont="1" applyFill="1" applyBorder="1" applyAlignment="1">
      <alignment horizontal="left" vertical="center" indent="3"/>
    </xf>
    <xf numFmtId="0" fontId="21" fillId="2" borderId="66" xfId="0" applyFont="1" applyFill="1" applyBorder="1" applyAlignment="1">
      <alignment horizontal="left" vertical="center" indent="3"/>
    </xf>
    <xf numFmtId="0" fontId="26" fillId="0" borderId="0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indent="3"/>
    </xf>
    <xf numFmtId="0" fontId="20" fillId="0" borderId="27" xfId="0" applyNumberFormat="1" applyFont="1" applyBorder="1" applyAlignment="1">
      <alignment horizontal="center" vertical="center"/>
    </xf>
    <xf numFmtId="0" fontId="20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26" fillId="0" borderId="76" xfId="0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24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vertical="center"/>
    </xf>
    <xf numFmtId="0" fontId="30" fillId="0" borderId="37" xfId="0" applyFont="1" applyBorder="1" applyAlignment="1">
      <alignment horizontal="left" indent="3"/>
    </xf>
    <xf numFmtId="0" fontId="30" fillId="0" borderId="38" xfId="0" applyFont="1" applyBorder="1" applyAlignment="1">
      <alignment horizontal="left" indent="3"/>
    </xf>
    <xf numFmtId="165" fontId="0" fillId="0" borderId="14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0" fontId="26" fillId="0" borderId="80" xfId="1" applyNumberFormat="1" applyFont="1" applyBorder="1" applyAlignment="1">
      <alignment horizontal="center" vertical="center" wrapText="1"/>
    </xf>
    <xf numFmtId="10" fontId="26" fillId="0" borderId="81" xfId="1" applyNumberFormat="1" applyFont="1" applyBorder="1" applyAlignment="1">
      <alignment horizontal="center" vertical="center" wrapText="1"/>
    </xf>
    <xf numFmtId="0" fontId="31" fillId="0" borderId="84" xfId="0" applyFont="1" applyBorder="1" applyAlignment="1">
      <alignment horizontal="left" vertical="center" wrapText="1" indent="1"/>
    </xf>
    <xf numFmtId="0" fontId="31" fillId="0" borderId="36" xfId="0" applyFont="1" applyBorder="1" applyAlignment="1">
      <alignment horizontal="left" indent="1"/>
    </xf>
    <xf numFmtId="165" fontId="0" fillId="0" borderId="10" xfId="0" applyNumberFormat="1" applyBorder="1" applyAlignment="1">
      <alignment horizontal="center" vertical="center"/>
    </xf>
    <xf numFmtId="10" fontId="26" fillId="0" borderId="82" xfId="1" applyNumberFormat="1" applyFont="1" applyBorder="1" applyAlignment="1">
      <alignment horizontal="center" vertical="center" wrapText="1"/>
    </xf>
    <xf numFmtId="10" fontId="26" fillId="0" borderId="83" xfId="1" applyNumberFormat="1" applyFont="1" applyBorder="1" applyAlignment="1">
      <alignment horizontal="center" vertical="center" wrapText="1"/>
    </xf>
    <xf numFmtId="10" fontId="23" fillId="0" borderId="72" xfId="1" applyNumberFormat="1" applyFont="1" applyBorder="1" applyAlignment="1">
      <alignment horizontal="center" vertical="center"/>
    </xf>
    <xf numFmtId="10" fontId="23" fillId="0" borderId="73" xfId="1" applyNumberFormat="1" applyFont="1" applyBorder="1" applyAlignment="1">
      <alignment horizontal="center" vertical="center"/>
    </xf>
    <xf numFmtId="10" fontId="23" fillId="2" borderId="72" xfId="1" applyNumberFormat="1" applyFont="1" applyFill="1" applyBorder="1" applyAlignment="1">
      <alignment horizontal="center" vertical="center"/>
    </xf>
    <xf numFmtId="10" fontId="23" fillId="2" borderId="73" xfId="1" applyNumberFormat="1" applyFont="1" applyFill="1" applyBorder="1" applyAlignment="1">
      <alignment horizontal="center" vertical="center"/>
    </xf>
    <xf numFmtId="10" fontId="23" fillId="2" borderId="74" xfId="1" applyNumberFormat="1" applyFont="1" applyFill="1" applyBorder="1" applyAlignment="1">
      <alignment horizontal="center" vertical="center"/>
    </xf>
    <xf numFmtId="10" fontId="23" fillId="2" borderId="75" xfId="1" applyNumberFormat="1" applyFont="1" applyFill="1" applyBorder="1" applyAlignment="1">
      <alignment horizontal="center" vertical="center"/>
    </xf>
    <xf numFmtId="10" fontId="26" fillId="0" borderId="78" xfId="1" applyNumberFormat="1" applyFont="1" applyBorder="1" applyAlignment="1">
      <alignment horizontal="center" vertical="center" wrapText="1"/>
    </xf>
    <xf numFmtId="10" fontId="26" fillId="0" borderId="79" xfId="1" applyNumberFormat="1" applyFont="1" applyBorder="1" applyAlignment="1">
      <alignment horizontal="center" vertical="center" wrapText="1"/>
    </xf>
    <xf numFmtId="169" fontId="0" fillId="0" borderId="0" xfId="1" applyNumberFormat="1" applyFont="1"/>
    <xf numFmtId="2" fontId="21" fillId="2" borderId="62" xfId="0" applyNumberFormat="1" applyFont="1" applyFill="1" applyBorder="1" applyAlignment="1">
      <alignment horizontal="center" vertical="center"/>
    </xf>
    <xf numFmtId="167" fontId="23" fillId="0" borderId="62" xfId="0" applyNumberFormat="1" applyFont="1" applyBorder="1" applyAlignment="1">
      <alignment horizontal="center" vertical="center"/>
    </xf>
    <xf numFmtId="167" fontId="23" fillId="2" borderId="62" xfId="0" applyNumberFormat="1" applyFont="1" applyFill="1" applyBorder="1" applyAlignment="1">
      <alignment horizontal="center" vertical="center"/>
    </xf>
    <xf numFmtId="167" fontId="23" fillId="2" borderId="68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22" fillId="2" borderId="72" xfId="1" applyNumberFormat="1" applyFont="1" applyFill="1" applyBorder="1" applyAlignment="1">
      <alignment horizontal="center" vertical="center"/>
    </xf>
    <xf numFmtId="165" fontId="22" fillId="2" borderId="73" xfId="1" applyNumberFormat="1" applyFont="1" applyFill="1" applyBorder="1" applyAlignment="1">
      <alignment horizontal="center" vertical="center"/>
    </xf>
    <xf numFmtId="49" fontId="3" fillId="4" borderId="36" xfId="0" applyNumberFormat="1" applyFont="1" applyFill="1" applyBorder="1" applyAlignment="1">
      <alignment horizontal="center" vertical="center" wrapText="1"/>
    </xf>
    <xf numFmtId="49" fontId="3" fillId="4" borderId="37" xfId="0" applyNumberFormat="1" applyFont="1" applyFill="1" applyBorder="1" applyAlignment="1">
      <alignment horizontal="center" vertical="center" wrapText="1"/>
    </xf>
    <xf numFmtId="49" fontId="3" fillId="4" borderId="38" xfId="0" applyNumberFormat="1" applyFont="1" applyFill="1" applyBorder="1" applyAlignment="1">
      <alignment horizontal="center" vertical="center" wrapText="1"/>
    </xf>
    <xf numFmtId="49" fontId="3" fillId="3" borderId="36" xfId="0" applyNumberFormat="1" applyFont="1" applyFill="1" applyBorder="1" applyAlignment="1">
      <alignment horizontal="center" vertical="center" wrapText="1"/>
    </xf>
    <xf numFmtId="49" fontId="3" fillId="3" borderId="37" xfId="0" applyNumberFormat="1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164" fontId="3" fillId="3" borderId="37" xfId="0" applyNumberFormat="1" applyFont="1" applyFill="1" applyBorder="1" applyAlignment="1">
      <alignment horizontal="center" vertical="center" wrapText="1"/>
    </xf>
    <xf numFmtId="164" fontId="3" fillId="3" borderId="38" xfId="0" applyNumberFormat="1" applyFont="1" applyFill="1" applyBorder="1" applyAlignment="1">
      <alignment horizontal="center" vertical="center" wrapText="1"/>
    </xf>
    <xf numFmtId="164" fontId="3" fillId="3" borderId="37" xfId="0" applyNumberFormat="1" applyFont="1" applyFill="1" applyBorder="1" applyAlignment="1">
      <alignment horizontal="center" vertical="center"/>
    </xf>
    <xf numFmtId="164" fontId="3" fillId="3" borderId="38" xfId="0" applyNumberFormat="1" applyFont="1" applyFill="1" applyBorder="1" applyAlignment="1">
      <alignment horizontal="center" vertical="center"/>
    </xf>
    <xf numFmtId="1" fontId="3" fillId="3" borderId="37" xfId="0" applyNumberFormat="1" applyFont="1" applyFill="1" applyBorder="1" applyAlignment="1">
      <alignment horizontal="center" vertical="center" wrapText="1"/>
    </xf>
    <xf numFmtId="1" fontId="3" fillId="3" borderId="36" xfId="0" applyNumberFormat="1" applyFont="1" applyFill="1" applyBorder="1" applyAlignment="1">
      <alignment horizontal="center" vertical="center" wrapText="1"/>
    </xf>
    <xf numFmtId="1" fontId="3" fillId="4" borderId="36" xfId="0" applyNumberFormat="1" applyFont="1" applyFill="1" applyBorder="1" applyAlignment="1">
      <alignment horizontal="center" vertical="center" wrapText="1"/>
    </xf>
    <xf numFmtId="1" fontId="3" fillId="4" borderId="37" xfId="0" applyNumberFormat="1" applyFont="1" applyFill="1" applyBorder="1" applyAlignment="1">
      <alignment horizontal="center" vertical="center" wrapText="1"/>
    </xf>
    <xf numFmtId="1" fontId="3" fillId="4" borderId="38" xfId="0" applyNumberFormat="1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/>
    </xf>
    <xf numFmtId="49" fontId="3" fillId="4" borderId="36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49" fontId="3" fillId="4" borderId="38" xfId="0" applyNumberFormat="1" applyFont="1" applyFill="1" applyBorder="1" applyAlignment="1">
      <alignment horizontal="center" vertical="center"/>
    </xf>
    <xf numFmtId="49" fontId="3" fillId="3" borderId="37" xfId="0" applyNumberFormat="1" applyFont="1" applyFill="1" applyBorder="1" applyAlignment="1">
      <alignment horizontal="center" vertical="center"/>
    </xf>
    <xf numFmtId="49" fontId="3" fillId="3" borderId="36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165" fontId="10" fillId="0" borderId="10" xfId="0" applyNumberFormat="1" applyFont="1" applyFill="1" applyBorder="1" applyAlignment="1">
      <alignment horizontal="center" vertical="center"/>
    </xf>
    <xf numFmtId="165" fontId="10" fillId="0" borderId="13" xfId="0" applyNumberFormat="1" applyFont="1" applyFill="1" applyBorder="1" applyAlignment="1">
      <alignment horizontal="center" vertical="center"/>
    </xf>
    <xf numFmtId="165" fontId="10" fillId="0" borderId="24" xfId="0" applyNumberFormat="1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VZA!$BS$2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1">
                    <a:solidFill>
                      <a:srgbClr val="C00000"/>
                    </a:solidFill>
                  </a:defRPr>
                </a:pPr>
                <a:endParaRPr lang="es-V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VZA!$BR$3:$BR$21</c:f>
              <c:strCache>
                <c:ptCount val="19"/>
                <c:pt idx="0">
                  <c:v> </c:v>
                </c:pt>
                <c:pt idx="1">
                  <c:v>8:00</c:v>
                </c:pt>
                <c:pt idx="2">
                  <c:v>8:30</c:v>
                </c:pt>
                <c:pt idx="3">
                  <c:v>9:00</c:v>
                </c:pt>
                <c:pt idx="4">
                  <c:v>9:30</c:v>
                </c:pt>
                <c:pt idx="5">
                  <c:v>10:00</c:v>
                </c:pt>
                <c:pt idx="6">
                  <c:v>10:30</c:v>
                </c:pt>
                <c:pt idx="7">
                  <c:v>11:00</c:v>
                </c:pt>
                <c:pt idx="8">
                  <c:v>11:30</c:v>
                </c:pt>
                <c:pt idx="9">
                  <c:v>12:00</c:v>
                </c:pt>
                <c:pt idx="10">
                  <c:v>12:30</c:v>
                </c:pt>
                <c:pt idx="11">
                  <c:v>1:00</c:v>
                </c:pt>
                <c:pt idx="12">
                  <c:v>1:30</c:v>
                </c:pt>
                <c:pt idx="13">
                  <c:v>2:00</c:v>
                </c:pt>
                <c:pt idx="14">
                  <c:v>2:30</c:v>
                </c:pt>
                <c:pt idx="15">
                  <c:v>3:00</c:v>
                </c:pt>
                <c:pt idx="16">
                  <c:v>3:30</c:v>
                </c:pt>
                <c:pt idx="17">
                  <c:v>4:00</c:v>
                </c:pt>
                <c:pt idx="18">
                  <c:v>4:30</c:v>
                </c:pt>
              </c:strCache>
            </c:strRef>
          </c:cat>
          <c:val>
            <c:numRef>
              <c:f>VZA!$BU$3:$BU$23</c:f>
              <c:numCache>
                <c:formatCode>0.0%</c:formatCode>
                <c:ptCount val="21"/>
                <c:pt idx="1">
                  <c:v>0.52191618004575258</c:v>
                </c:pt>
                <c:pt idx="2">
                  <c:v>0.53701287438407252</c:v>
                </c:pt>
                <c:pt idx="3">
                  <c:v>0.53560518830165416</c:v>
                </c:pt>
                <c:pt idx="4">
                  <c:v>0.52213304251216086</c:v>
                </c:pt>
                <c:pt idx="5">
                  <c:v>0.52024327748524968</c:v>
                </c:pt>
                <c:pt idx="6">
                  <c:v>0.51433996601648668</c:v>
                </c:pt>
                <c:pt idx="7">
                  <c:v>0.51163563858225292</c:v>
                </c:pt>
                <c:pt idx="8">
                  <c:v>0.50961049661917968</c:v>
                </c:pt>
                <c:pt idx="9">
                  <c:v>0.51288183795538556</c:v>
                </c:pt>
                <c:pt idx="10">
                  <c:v>0.5134098720247261</c:v>
                </c:pt>
                <c:pt idx="11">
                  <c:v>0.51220751973563605</c:v>
                </c:pt>
                <c:pt idx="12">
                  <c:v>0.51474026803896222</c:v>
                </c:pt>
                <c:pt idx="13">
                  <c:v>0.51432023399865967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VZA!$BV$2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700" b="1">
                    <a:solidFill>
                      <a:schemeClr val="accent1">
                        <a:lumMod val="50000"/>
                      </a:schemeClr>
                    </a:solidFill>
                  </a:defRPr>
                </a:pPr>
                <a:endParaRPr lang="es-V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VZA!$BR$3:$BR$21</c:f>
              <c:strCache>
                <c:ptCount val="19"/>
                <c:pt idx="0">
                  <c:v> </c:v>
                </c:pt>
                <c:pt idx="1">
                  <c:v>8:00</c:v>
                </c:pt>
                <c:pt idx="2">
                  <c:v>8:30</c:v>
                </c:pt>
                <c:pt idx="3">
                  <c:v>9:00</c:v>
                </c:pt>
                <c:pt idx="4">
                  <c:v>9:30</c:v>
                </c:pt>
                <c:pt idx="5">
                  <c:v>10:00</c:v>
                </c:pt>
                <c:pt idx="6">
                  <c:v>10:30</c:v>
                </c:pt>
                <c:pt idx="7">
                  <c:v>11:00</c:v>
                </c:pt>
                <c:pt idx="8">
                  <c:v>11:30</c:v>
                </c:pt>
                <c:pt idx="9">
                  <c:v>12:00</c:v>
                </c:pt>
                <c:pt idx="10">
                  <c:v>12:30</c:v>
                </c:pt>
                <c:pt idx="11">
                  <c:v>1:00</c:v>
                </c:pt>
                <c:pt idx="12">
                  <c:v>1:30</c:v>
                </c:pt>
                <c:pt idx="13">
                  <c:v>2:00</c:v>
                </c:pt>
                <c:pt idx="14">
                  <c:v>2:30</c:v>
                </c:pt>
                <c:pt idx="15">
                  <c:v>3:00</c:v>
                </c:pt>
                <c:pt idx="16">
                  <c:v>3:30</c:v>
                </c:pt>
                <c:pt idx="17">
                  <c:v>4:00</c:v>
                </c:pt>
                <c:pt idx="18">
                  <c:v>4:30</c:v>
                </c:pt>
              </c:strCache>
            </c:strRef>
          </c:cat>
          <c:val>
            <c:numRef>
              <c:f>VZA!$BX$3:$BX$23</c:f>
              <c:numCache>
                <c:formatCode>0.0%</c:formatCode>
                <c:ptCount val="21"/>
                <c:pt idx="1">
                  <c:v>0.46413339038699464</c:v>
                </c:pt>
                <c:pt idx="2">
                  <c:v>0.44945762208675288</c:v>
                </c:pt>
                <c:pt idx="3">
                  <c:v>0.45128949107383109</c:v>
                </c:pt>
                <c:pt idx="4">
                  <c:v>0.46455869806809935</c:v>
                </c:pt>
                <c:pt idx="5">
                  <c:v>0.46553788196349943</c:v>
                </c:pt>
                <c:pt idx="6">
                  <c:v>0.47141042124270482</c:v>
                </c:pt>
                <c:pt idx="7">
                  <c:v>0.47444758197434928</c:v>
                </c:pt>
                <c:pt idx="8">
                  <c:v>0.47579166942455858</c:v>
                </c:pt>
                <c:pt idx="9">
                  <c:v>0.47178369054066555</c:v>
                </c:pt>
                <c:pt idx="10">
                  <c:v>0.4704069322208661</c:v>
                </c:pt>
                <c:pt idx="11">
                  <c:v>0.47236381665049232</c:v>
                </c:pt>
                <c:pt idx="12">
                  <c:v>0.46956775818569663</c:v>
                </c:pt>
                <c:pt idx="13">
                  <c:v>0.47028081195384858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VZA!$BY$2</c:f>
              <c:strCache>
                <c:ptCount val="1"/>
                <c:pt idx="0">
                  <c:v>Otros Candidatos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800" b="1">
                    <a:solidFill>
                      <a:srgbClr val="00B050"/>
                    </a:solidFill>
                  </a:defRPr>
                </a:pPr>
                <a:endParaRPr lang="es-V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VZA!$BR$3:$BR$21</c:f>
              <c:strCache>
                <c:ptCount val="19"/>
                <c:pt idx="0">
                  <c:v> </c:v>
                </c:pt>
                <c:pt idx="1">
                  <c:v>8:00</c:v>
                </c:pt>
                <c:pt idx="2">
                  <c:v>8:30</c:v>
                </c:pt>
                <c:pt idx="3">
                  <c:v>9:00</c:v>
                </c:pt>
                <c:pt idx="4">
                  <c:v>9:30</c:v>
                </c:pt>
                <c:pt idx="5">
                  <c:v>10:00</c:v>
                </c:pt>
                <c:pt idx="6">
                  <c:v>10:30</c:v>
                </c:pt>
                <c:pt idx="7">
                  <c:v>11:00</c:v>
                </c:pt>
                <c:pt idx="8">
                  <c:v>11:30</c:v>
                </c:pt>
                <c:pt idx="9">
                  <c:v>12:00</c:v>
                </c:pt>
                <c:pt idx="10">
                  <c:v>12:30</c:v>
                </c:pt>
                <c:pt idx="11">
                  <c:v>1:00</c:v>
                </c:pt>
                <c:pt idx="12">
                  <c:v>1:30</c:v>
                </c:pt>
                <c:pt idx="13">
                  <c:v>2:00</c:v>
                </c:pt>
                <c:pt idx="14">
                  <c:v>2:30</c:v>
                </c:pt>
                <c:pt idx="15">
                  <c:v>3:00</c:v>
                </c:pt>
                <c:pt idx="16">
                  <c:v>3:30</c:v>
                </c:pt>
                <c:pt idx="17">
                  <c:v>4:00</c:v>
                </c:pt>
                <c:pt idx="18">
                  <c:v>4:30</c:v>
                </c:pt>
              </c:strCache>
            </c:strRef>
          </c:cat>
          <c:val>
            <c:numRef>
              <c:f>VZA!$CA$3:$CA$23</c:f>
              <c:numCache>
                <c:formatCode>0.0%</c:formatCode>
                <c:ptCount val="21"/>
                <c:pt idx="1">
                  <c:v>1.3950429567252745E-2</c:v>
                </c:pt>
                <c:pt idx="2">
                  <c:v>1.3529503529174517E-2</c:v>
                </c:pt>
                <c:pt idx="3">
                  <c:v>1.3105320624514697E-2</c:v>
                </c:pt>
                <c:pt idx="4">
                  <c:v>1.3308259419739756E-2</c:v>
                </c:pt>
                <c:pt idx="5">
                  <c:v>1.421884055125085E-2</c:v>
                </c:pt>
                <c:pt idx="6">
                  <c:v>1.4249612740808612E-2</c:v>
                </c:pt>
                <c:pt idx="7">
                  <c:v>1.391677944339768E-2</c:v>
                </c:pt>
                <c:pt idx="8">
                  <c:v>1.4597833956261816E-2</c:v>
                </c:pt>
                <c:pt idx="9">
                  <c:v>1.5334471503948907E-2</c:v>
                </c:pt>
                <c:pt idx="10">
                  <c:v>1.618319575440777E-2</c:v>
                </c:pt>
                <c:pt idx="11">
                  <c:v>1.542866361387177E-2</c:v>
                </c:pt>
                <c:pt idx="12">
                  <c:v>1.5691973775341254E-2</c:v>
                </c:pt>
                <c:pt idx="13">
                  <c:v>1.5398954047491885E-2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36864"/>
        <c:axId val="140838400"/>
      </c:lineChart>
      <c:catAx>
        <c:axId val="14083686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000" b="1" i="0" baseline="0"/>
            </a:pPr>
            <a:endParaRPr lang="es-VE"/>
          </a:p>
        </c:txPr>
        <c:crossAx val="140838400"/>
        <c:crosses val="autoZero"/>
        <c:auto val="1"/>
        <c:lblAlgn val="ctr"/>
        <c:lblOffset val="100"/>
        <c:noMultiLvlLbl val="0"/>
      </c:catAx>
      <c:valAx>
        <c:axId val="140838400"/>
        <c:scaling>
          <c:orientation val="minMax"/>
          <c:max val="0.8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105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836864"/>
        <c:crosses val="autoZero"/>
        <c:crossBetween val="between"/>
        <c:majorUnit val="0.1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16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VZA!$CD$2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VZA!$CC$3:$CC$23</c:f>
              <c:strCache>
                <c:ptCount val="21"/>
                <c:pt idx="0">
                  <c:v> </c:v>
                </c:pt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VZA!$CF$3:$CF$23</c:f>
              <c:numCache>
                <c:formatCode>0.0%</c:formatCode>
                <c:ptCount val="21"/>
                <c:pt idx="1">
                  <c:v>0.38709677419354838</c:v>
                </c:pt>
                <c:pt idx="2">
                  <c:v>0.5268817204301075</c:v>
                </c:pt>
                <c:pt idx="3">
                  <c:v>#N/A</c:v>
                </c:pt>
                <c:pt idx="4">
                  <c:v>0.50811722538477755</c:v>
                </c:pt>
                <c:pt idx="5">
                  <c:v>0.50965934761001175</c:v>
                </c:pt>
                <c:pt idx="6">
                  <c:v>0.60772747808800942</c:v>
                </c:pt>
                <c:pt idx="7">
                  <c:v>0.5064395650733412</c:v>
                </c:pt>
                <c:pt idx="8">
                  <c:v>0.54123391292000667</c:v>
                </c:pt>
                <c:pt idx="9">
                  <c:v>0.58357967380500586</c:v>
                </c:pt>
                <c:pt idx="10">
                  <c:v>0.56250853159771563</c:v>
                </c:pt>
                <c:pt idx="11">
                  <c:v>0.58690283972826662</c:v>
                </c:pt>
                <c:pt idx="12">
                  <c:v>#N/A</c:v>
                </c:pt>
                <c:pt idx="13">
                  <c:v>0.60930561187418175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VZA!$CG$2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VZA!$CC$3:$CC$23</c:f>
              <c:strCache>
                <c:ptCount val="21"/>
                <c:pt idx="0">
                  <c:v> </c:v>
                </c:pt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VZA!$CI$3:$CI$23</c:f>
              <c:numCache>
                <c:formatCode>0.0%</c:formatCode>
                <c:ptCount val="21"/>
                <c:pt idx="1">
                  <c:v>0.61290322580645162</c:v>
                </c:pt>
                <c:pt idx="2">
                  <c:v>0.4731182795698925</c:v>
                </c:pt>
                <c:pt idx="3">
                  <c:v>#N/A</c:v>
                </c:pt>
                <c:pt idx="4">
                  <c:v>0.4918827746152224</c:v>
                </c:pt>
                <c:pt idx="5">
                  <c:v>0.48319779524713108</c:v>
                </c:pt>
                <c:pt idx="6">
                  <c:v>0.38655823619770485</c:v>
                </c:pt>
                <c:pt idx="7">
                  <c:v>0.48879853016475411</c:v>
                </c:pt>
                <c:pt idx="8">
                  <c:v>0.45468445442693206</c:v>
                </c:pt>
                <c:pt idx="9">
                  <c:v>0.41284889762356558</c:v>
                </c:pt>
                <c:pt idx="10">
                  <c:v>0.4309498618606778</c:v>
                </c:pt>
                <c:pt idx="11">
                  <c:v>0.40720971438428749</c:v>
                </c:pt>
                <c:pt idx="12">
                  <c:v>#N/A</c:v>
                </c:pt>
                <c:pt idx="13">
                  <c:v>0.3853421645917765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VZA!$CJ$2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VZA!$CC$3:$CC$23</c:f>
              <c:strCache>
                <c:ptCount val="21"/>
                <c:pt idx="0">
                  <c:v> </c:v>
                </c:pt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VZA!$CL$3:$CL$23</c:f>
              <c:numCache>
                <c:formatCode>0.0%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#N/A</c:v>
                </c:pt>
                <c:pt idx="4">
                  <c:v>0</c:v>
                </c:pt>
                <c:pt idx="5">
                  <c:v>7.1428571428571426E-3</c:v>
                </c:pt>
                <c:pt idx="6">
                  <c:v>5.7142857142857143E-3</c:v>
                </c:pt>
                <c:pt idx="7">
                  <c:v>4.7619047619047615E-3</c:v>
                </c:pt>
                <c:pt idx="8">
                  <c:v>4.081632653061224E-3</c:v>
                </c:pt>
                <c:pt idx="9">
                  <c:v>3.5714285714285713E-3</c:v>
                </c:pt>
                <c:pt idx="10">
                  <c:v>6.541606541606541E-3</c:v>
                </c:pt>
                <c:pt idx="11">
                  <c:v>5.8874458874458874E-3</c:v>
                </c:pt>
                <c:pt idx="12">
                  <c:v>#N/A</c:v>
                </c:pt>
                <c:pt idx="13">
                  <c:v>5.3522235340417159E-3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26048"/>
        <c:axId val="146786944"/>
      </c:lineChart>
      <c:catAx>
        <c:axId val="14662604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6786944"/>
        <c:crosses val="autoZero"/>
        <c:auto val="1"/>
        <c:lblAlgn val="ctr"/>
        <c:lblOffset val="100"/>
        <c:noMultiLvlLbl val="0"/>
      </c:catAx>
      <c:valAx>
        <c:axId val="14678694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662604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VZA!$CO$2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VZA!$CN$3:$CN$23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VZA!$CQ$3:$CQ$23</c:f>
              <c:numCache>
                <c:formatCode>0.0%</c:formatCode>
                <c:ptCount val="21"/>
                <c:pt idx="1">
                  <c:v>0.61948413440130268</c:v>
                </c:pt>
                <c:pt idx="2">
                  <c:v>0.66496469246375645</c:v>
                </c:pt>
                <c:pt idx="3">
                  <c:v>0.66968445803387155</c:v>
                </c:pt>
                <c:pt idx="4">
                  <c:v>0.65410428294180556</c:v>
                </c:pt>
                <c:pt idx="5">
                  <c:v>0.64591524026693703</c:v>
                </c:pt>
                <c:pt idx="6">
                  <c:v>0.64420419459326539</c:v>
                </c:pt>
                <c:pt idx="7">
                  <c:v>0.64956032090755489</c:v>
                </c:pt>
                <c:pt idx="8">
                  <c:v>0.6559084727682023</c:v>
                </c:pt>
                <c:pt idx="9">
                  <c:v>0.6611012836920902</c:v>
                </c:pt>
                <c:pt idx="10">
                  <c:v>0.66021260643556667</c:v>
                </c:pt>
                <c:pt idx="11">
                  <c:v>0.65894126659098051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VZA!$CR$2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VZA!$CN$3:$CN$23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VZA!$CT$3:$CT$23</c:f>
              <c:numCache>
                <c:formatCode>0.0%</c:formatCode>
                <c:ptCount val="21"/>
                <c:pt idx="1">
                  <c:v>0.37110950864263209</c:v>
                </c:pt>
                <c:pt idx="2">
                  <c:v>0.32804397902763094</c:v>
                </c:pt>
                <c:pt idx="3">
                  <c:v>0.32048734036586224</c:v>
                </c:pt>
                <c:pt idx="4">
                  <c:v>0.33867868398629253</c:v>
                </c:pt>
                <c:pt idx="5">
                  <c:v>0.34703512364059025</c:v>
                </c:pt>
                <c:pt idx="6">
                  <c:v>0.34920471478178861</c:v>
                </c:pt>
                <c:pt idx="7">
                  <c:v>0.34337779853259243</c:v>
                </c:pt>
                <c:pt idx="8">
                  <c:v>0.33463259469459766</c:v>
                </c:pt>
                <c:pt idx="9">
                  <c:v>0.33009483091456882</c:v>
                </c:pt>
                <c:pt idx="10">
                  <c:v>0.33105392871402473</c:v>
                </c:pt>
                <c:pt idx="11">
                  <c:v>0.33239457148110019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VZA!$CU$2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VZA!$CN$3:$CN$23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VZA!$CW$3:$CW$23</c:f>
              <c:numCache>
                <c:formatCode>0.0%</c:formatCode>
                <c:ptCount val="21"/>
                <c:pt idx="1">
                  <c:v>9.4063569560653235E-3</c:v>
                </c:pt>
                <c:pt idx="2">
                  <c:v>6.991328508612631E-3</c:v>
                </c:pt>
                <c:pt idx="3">
                  <c:v>9.8282016002661891E-3</c:v>
                </c:pt>
                <c:pt idx="4">
                  <c:v>7.2170330719019508E-3</c:v>
                </c:pt>
                <c:pt idx="5">
                  <c:v>7.0496360924728416E-3</c:v>
                </c:pt>
                <c:pt idx="6">
                  <c:v>6.5910906249458832E-3</c:v>
                </c:pt>
                <c:pt idx="7">
                  <c:v>7.061880559852754E-3</c:v>
                </c:pt>
                <c:pt idx="8">
                  <c:v>9.458932537199944E-3</c:v>
                </c:pt>
                <c:pt idx="9">
                  <c:v>8.8038853933411331E-3</c:v>
                </c:pt>
                <c:pt idx="10">
                  <c:v>8.7334648504085784E-3</c:v>
                </c:pt>
                <c:pt idx="11">
                  <c:v>8.6641619279192502E-3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28832"/>
        <c:axId val="152859392"/>
      </c:lineChart>
      <c:catAx>
        <c:axId val="14872883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52859392"/>
        <c:crosses val="autoZero"/>
        <c:auto val="1"/>
        <c:lblAlgn val="ctr"/>
        <c:lblOffset val="100"/>
        <c:noMultiLvlLbl val="0"/>
      </c:catAx>
      <c:valAx>
        <c:axId val="15285939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8728832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VZA!$CZ$2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VZA!$CY$3:$CY$23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VZA!$DB$3:$DB$23</c:f>
              <c:numCache>
                <c:formatCode>0.0%</c:formatCode>
                <c:ptCount val="21"/>
                <c:pt idx="1">
                  <c:v>0.62246852374849815</c:v>
                </c:pt>
                <c:pt idx="2">
                  <c:v>0.62891753328402078</c:v>
                </c:pt>
                <c:pt idx="3">
                  <c:v>0.64626456776578789</c:v>
                </c:pt>
                <c:pt idx="4">
                  <c:v>0.63075814241795591</c:v>
                </c:pt>
                <c:pt idx="5">
                  <c:v>0.60546270807863978</c:v>
                </c:pt>
                <c:pt idx="6">
                  <c:v>0.60887700247811749</c:v>
                </c:pt>
                <c:pt idx="7">
                  <c:v>0.59915602125886913</c:v>
                </c:pt>
                <c:pt idx="8">
                  <c:v>0.60374699920432517</c:v>
                </c:pt>
                <c:pt idx="9">
                  <c:v>0.61187064077246889</c:v>
                </c:pt>
                <c:pt idx="10">
                  <c:v>0.60799741595896584</c:v>
                </c:pt>
                <c:pt idx="11">
                  <c:v>0.60913887866219996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VZA!$DC$2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VZA!$CY$3:$CY$23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VZA!$DE$3:$DE$23</c:f>
              <c:numCache>
                <c:formatCode>0.0%</c:formatCode>
                <c:ptCount val="21"/>
                <c:pt idx="1">
                  <c:v>0.33411729841491528</c:v>
                </c:pt>
                <c:pt idx="2">
                  <c:v>0.32958054147689797</c:v>
                </c:pt>
                <c:pt idx="3">
                  <c:v>0.32402062233060619</c:v>
                </c:pt>
                <c:pt idx="4">
                  <c:v>0.34437918099104764</c:v>
                </c:pt>
                <c:pt idx="5">
                  <c:v>0.37227026094295484</c:v>
                </c:pt>
                <c:pt idx="6">
                  <c:v>0.37277376906676829</c:v>
                </c:pt>
                <c:pt idx="7">
                  <c:v>0.38486182444196909</c:v>
                </c:pt>
                <c:pt idx="8">
                  <c:v>0.38212532387486059</c:v>
                </c:pt>
                <c:pt idx="9">
                  <c:v>0.3747864059217596</c:v>
                </c:pt>
                <c:pt idx="10">
                  <c:v>0.37892438076438517</c:v>
                </c:pt>
                <c:pt idx="11">
                  <c:v>0.37803736619344419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VZA!$DF$2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VZA!$CY$3:$CY$23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VZA!$DH$3:$DH$23</c:f>
              <c:numCache>
                <c:formatCode>0.0%</c:formatCode>
                <c:ptCount val="21"/>
                <c:pt idx="1">
                  <c:v>4.3414177836586701E-2</c:v>
                </c:pt>
                <c:pt idx="2">
                  <c:v>4.1501925239081264E-2</c:v>
                </c:pt>
                <c:pt idx="3">
                  <c:v>2.9714809903605931E-2</c:v>
                </c:pt>
                <c:pt idx="4">
                  <c:v>2.4862676590996485E-2</c:v>
                </c:pt>
                <c:pt idx="5">
                  <c:v>2.2267030978405326E-2</c:v>
                </c:pt>
                <c:pt idx="6">
                  <c:v>1.8349228455114198E-2</c:v>
                </c:pt>
                <c:pt idx="7">
                  <c:v>1.5982154299161735E-2</c:v>
                </c:pt>
                <c:pt idx="8">
                  <c:v>1.4127676920814212E-2</c:v>
                </c:pt>
                <c:pt idx="9">
                  <c:v>1.3342953305771468E-2</c:v>
                </c:pt>
                <c:pt idx="10">
                  <c:v>1.3078203276649023E-2</c:v>
                </c:pt>
                <c:pt idx="11">
                  <c:v>1.2823755144355943E-2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83296"/>
        <c:axId val="158122752"/>
      </c:lineChart>
      <c:catAx>
        <c:axId val="15378329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58122752"/>
        <c:crosses val="autoZero"/>
        <c:auto val="1"/>
        <c:lblAlgn val="ctr"/>
        <c:lblOffset val="100"/>
        <c:noMultiLvlLbl val="0"/>
      </c:catAx>
      <c:valAx>
        <c:axId val="15812275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53783296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VZA!$DK$2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VZA!$DJ$3:$DJ$23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VZA!$DM$3:$DM$23</c:f>
              <c:numCache>
                <c:formatCode>0.0%</c:formatCode>
                <c:ptCount val="21"/>
                <c:pt idx="1">
                  <c:v>0.51552034935708269</c:v>
                </c:pt>
                <c:pt idx="2">
                  <c:v>0.54453039806972647</c:v>
                </c:pt>
                <c:pt idx="3">
                  <c:v>0.50402740344811636</c:v>
                </c:pt>
                <c:pt idx="4">
                  <c:v>0.51657492128844096</c:v>
                </c:pt>
                <c:pt idx="5">
                  <c:v>0.52634795802185563</c:v>
                </c:pt>
                <c:pt idx="6">
                  <c:v>0.51036996474808449</c:v>
                </c:pt>
                <c:pt idx="7">
                  <c:v>0.50642181278019804</c:v>
                </c:pt>
                <c:pt idx="8">
                  <c:v>0.49855733620009884</c:v>
                </c:pt>
                <c:pt idx="9">
                  <c:v>0.50162709218870905</c:v>
                </c:pt>
                <c:pt idx="10">
                  <c:v>0.49947571678875718</c:v>
                </c:pt>
                <c:pt idx="11">
                  <c:v>#N/A</c:v>
                </c:pt>
                <c:pt idx="12">
                  <c:v>0.49165405481879532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VZA!$DN$2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VZA!$DJ$3:$DJ$23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VZA!$DP$3:$DP$23</c:f>
              <c:numCache>
                <c:formatCode>0.0%</c:formatCode>
                <c:ptCount val="21"/>
                <c:pt idx="1">
                  <c:v>0.47865713504406349</c:v>
                </c:pt>
                <c:pt idx="2">
                  <c:v>0.43776621673858573</c:v>
                </c:pt>
                <c:pt idx="3">
                  <c:v>0.47096906959525542</c:v>
                </c:pt>
                <c:pt idx="4">
                  <c:v>0.46213585607989766</c:v>
                </c:pt>
                <c:pt idx="5">
                  <c:v>0.45507975605332485</c:v>
                </c:pt>
                <c:pt idx="6">
                  <c:v>0.47302749513050252</c:v>
                </c:pt>
                <c:pt idx="7">
                  <c:v>0.47703595065250959</c:v>
                </c:pt>
                <c:pt idx="8">
                  <c:v>0.48422978703304387</c:v>
                </c:pt>
                <c:pt idx="9">
                  <c:v>0.47441814269896787</c:v>
                </c:pt>
                <c:pt idx="10">
                  <c:v>0.47723680600939078</c:v>
                </c:pt>
                <c:pt idx="11">
                  <c:v>#N/A</c:v>
                </c:pt>
                <c:pt idx="12">
                  <c:v>0.48552134422633236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VZA!$DQ$2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VZA!$DJ$3:$DJ$23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VZA!$DS$3:$DS$23</c:f>
              <c:numCache>
                <c:formatCode>0.0%</c:formatCode>
                <c:ptCount val="21"/>
                <c:pt idx="1">
                  <c:v>5.8225155988537863E-3</c:v>
                </c:pt>
                <c:pt idx="2">
                  <c:v>1.7703385191687734E-2</c:v>
                </c:pt>
                <c:pt idx="3">
                  <c:v>2.5003526956628209E-2</c:v>
                </c:pt>
                <c:pt idx="4">
                  <c:v>2.1289222631661432E-2</c:v>
                </c:pt>
                <c:pt idx="5">
                  <c:v>1.8572285924819586E-2</c:v>
                </c:pt>
                <c:pt idx="6">
                  <c:v>1.6602540121413021E-2</c:v>
                </c:pt>
                <c:pt idx="7">
                  <c:v>1.6542236567292364E-2</c:v>
                </c:pt>
                <c:pt idx="8">
                  <c:v>1.7212876766857323E-2</c:v>
                </c:pt>
                <c:pt idx="9">
                  <c:v>2.3954765112323067E-2</c:v>
                </c:pt>
                <c:pt idx="10">
                  <c:v>2.3287477201851977E-2</c:v>
                </c:pt>
                <c:pt idx="11">
                  <c:v>#N/A</c:v>
                </c:pt>
                <c:pt idx="12">
                  <c:v>2.2824600954872227E-2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37728"/>
        <c:axId val="234551552"/>
      </c:lineChart>
      <c:catAx>
        <c:axId val="23453772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234551552"/>
        <c:crosses val="autoZero"/>
        <c:auto val="1"/>
        <c:lblAlgn val="ctr"/>
        <c:lblOffset val="100"/>
        <c:noMultiLvlLbl val="0"/>
      </c:catAx>
      <c:valAx>
        <c:axId val="23455155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23453772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VZA!$DV$2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VZA!$DU$3:$DU$23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VZA!$DX$3:$DX$23</c:f>
              <c:numCache>
                <c:formatCode>0.0%</c:formatCode>
                <c:ptCount val="21"/>
                <c:pt idx="1">
                  <c:v>0.41914825341145134</c:v>
                </c:pt>
                <c:pt idx="2">
                  <c:v>0.39939037632299262</c:v>
                </c:pt>
                <c:pt idx="3">
                  <c:v>0.38417564860275644</c:v>
                </c:pt>
                <c:pt idx="4">
                  <c:v>0.39730366685458723</c:v>
                </c:pt>
                <c:pt idx="5">
                  <c:v>0.39693172064877347</c:v>
                </c:pt>
                <c:pt idx="6">
                  <c:v>0.37893599184283522</c:v>
                </c:pt>
                <c:pt idx="7">
                  <c:v>0.37668399762386962</c:v>
                </c:pt>
                <c:pt idx="8">
                  <c:v>0.36475099569748298</c:v>
                </c:pt>
                <c:pt idx="9">
                  <c:v>0.37581338571064349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VZA!$DY$2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VZA!$DU$3:$DU$23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VZA!$EA$3:$EA$23</c:f>
              <c:numCache>
                <c:formatCode>0.0%</c:formatCode>
                <c:ptCount val="21"/>
                <c:pt idx="1">
                  <c:v>0.57576051438840548</c:v>
                </c:pt>
                <c:pt idx="2">
                  <c:v>0.5980640075769359</c:v>
                </c:pt>
                <c:pt idx="3">
                  <c:v>0.60941290554609395</c:v>
                </c:pt>
                <c:pt idx="4">
                  <c:v>0.59788774875705064</c:v>
                </c:pt>
                <c:pt idx="5">
                  <c:v>0.59922141184053679</c:v>
                </c:pt>
                <c:pt idx="6">
                  <c:v>0.61390841276267161</c:v>
                </c:pt>
                <c:pt idx="7">
                  <c:v>0.61686091592148329</c:v>
                </c:pt>
                <c:pt idx="8">
                  <c:v>0.6089883657934515</c:v>
                </c:pt>
                <c:pt idx="9">
                  <c:v>0.60076278811202877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VZA!$EB$2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VZA!$DU$3:$DU$23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VZA!$ED$3:$ED$23</c:f>
              <c:numCache>
                <c:formatCode>0.0%</c:formatCode>
                <c:ptCount val="21"/>
                <c:pt idx="1">
                  <c:v>5.0912322001430881E-3</c:v>
                </c:pt>
                <c:pt idx="2">
                  <c:v>2.5456161000715445E-3</c:v>
                </c:pt>
                <c:pt idx="3">
                  <c:v>6.4114458511495302E-3</c:v>
                </c:pt>
                <c:pt idx="4">
                  <c:v>4.8085843883621474E-3</c:v>
                </c:pt>
                <c:pt idx="5">
                  <c:v>3.8468675106897179E-3</c:v>
                </c:pt>
                <c:pt idx="6">
                  <c:v>7.1555953944931455E-3</c:v>
                </c:pt>
                <c:pt idx="7">
                  <c:v>6.4550864546471564E-3</c:v>
                </c:pt>
                <c:pt idx="8">
                  <c:v>2.6260638509065563E-2</c:v>
                </c:pt>
                <c:pt idx="9">
                  <c:v>2.3423826177327804E-2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02336"/>
        <c:axId val="139904128"/>
      </c:lineChart>
      <c:catAx>
        <c:axId val="13990233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39904128"/>
        <c:crosses val="autoZero"/>
        <c:auto val="1"/>
        <c:lblAlgn val="ctr"/>
        <c:lblOffset val="100"/>
        <c:noMultiLvlLbl val="0"/>
      </c:catAx>
      <c:valAx>
        <c:axId val="13990412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39902336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VZA!$EG$2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VZA!$EF$3:$EF$23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VZA!$EI$3:$EI$23</c:f>
              <c:numCache>
                <c:formatCode>0.0%</c:formatCode>
                <c:ptCount val="21"/>
                <c:pt idx="1">
                  <c:v>0.65011673337423737</c:v>
                </c:pt>
                <c:pt idx="2">
                  <c:v>0.5695412892335302</c:v>
                </c:pt>
                <c:pt idx="3">
                  <c:v>0.56943285438379265</c:v>
                </c:pt>
                <c:pt idx="4">
                  <c:v>0.56343273482395451</c:v>
                </c:pt>
                <c:pt idx="5">
                  <c:v>0.5613350236841782</c:v>
                </c:pt>
                <c:pt idx="6">
                  <c:v>0.56578421857584527</c:v>
                </c:pt>
                <c:pt idx="7">
                  <c:v>0.56878460025437039</c:v>
                </c:pt>
                <c:pt idx="8">
                  <c:v>0.56930080133426508</c:v>
                </c:pt>
                <c:pt idx="9">
                  <c:v>0.57114883623982926</c:v>
                </c:pt>
                <c:pt idx="10">
                  <c:v>0.58000036389045062</c:v>
                </c:pt>
                <c:pt idx="11">
                  <c:v>0.5785120597605522</c:v>
                </c:pt>
                <c:pt idx="12">
                  <c:v>#N/A</c:v>
                </c:pt>
                <c:pt idx="13">
                  <c:v>0.58079087610450875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VZA!$EJ$2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VZA!$EF$3:$EF$23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VZA!$EL$3:$EL$23</c:f>
              <c:numCache>
                <c:formatCode>0.0%</c:formatCode>
                <c:ptCount val="21"/>
                <c:pt idx="1">
                  <c:v>0.34988326662576263</c:v>
                </c:pt>
                <c:pt idx="2">
                  <c:v>0.42400634357145495</c:v>
                </c:pt>
                <c:pt idx="3">
                  <c:v>0.42613327173379578</c:v>
                </c:pt>
                <c:pt idx="4">
                  <c:v>0.43326723302396342</c:v>
                </c:pt>
                <c:pt idx="5">
                  <c:v>0.43387430358549584</c:v>
                </c:pt>
                <c:pt idx="6">
                  <c:v>0.42873877681449069</c:v>
                </c:pt>
                <c:pt idx="7">
                  <c:v>0.42232062704171652</c:v>
                </c:pt>
                <c:pt idx="8">
                  <c:v>0.42226029869920612</c:v>
                </c:pt>
                <c:pt idx="9">
                  <c:v>0.42102233070271344</c:v>
                </c:pt>
                <c:pt idx="10">
                  <c:v>0.41250788315795933</c:v>
                </c:pt>
                <c:pt idx="11">
                  <c:v>0.41404466550184588</c:v>
                </c:pt>
                <c:pt idx="12">
                  <c:v>#N/A</c:v>
                </c:pt>
                <c:pt idx="13">
                  <c:v>0.41207119290855904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VZA!$EM$2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VZA!$EF$3:$EF$23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VZA!$EO$3:$EO$23</c:f>
              <c:numCache>
                <c:formatCode>0.0%</c:formatCode>
                <c:ptCount val="21"/>
                <c:pt idx="1">
                  <c:v>0</c:v>
                </c:pt>
                <c:pt idx="2">
                  <c:v>6.4523671950147818E-3</c:v>
                </c:pt>
                <c:pt idx="3">
                  <c:v>4.4338738824116503E-3</c:v>
                </c:pt>
                <c:pt idx="4">
                  <c:v>3.3000321520820332E-3</c:v>
                </c:pt>
                <c:pt idx="5">
                  <c:v>4.7906727303260654E-3</c:v>
                </c:pt>
                <c:pt idx="6">
                  <c:v>5.477004609664147E-3</c:v>
                </c:pt>
                <c:pt idx="7">
                  <c:v>8.8947727039130602E-3</c:v>
                </c:pt>
                <c:pt idx="8">
                  <c:v>8.4388999665288272E-3</c:v>
                </c:pt>
                <c:pt idx="9">
                  <c:v>7.8288330574573968E-3</c:v>
                </c:pt>
                <c:pt idx="10">
                  <c:v>7.4917529515899622E-3</c:v>
                </c:pt>
                <c:pt idx="11">
                  <c:v>7.4432747376018274E-3</c:v>
                </c:pt>
                <c:pt idx="12">
                  <c:v>#N/A</c:v>
                </c:pt>
                <c:pt idx="13">
                  <c:v>7.137930986932166E-3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38048"/>
        <c:axId val="139943936"/>
      </c:lineChart>
      <c:catAx>
        <c:axId val="13993804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39943936"/>
        <c:crosses val="autoZero"/>
        <c:auto val="1"/>
        <c:lblAlgn val="ctr"/>
        <c:lblOffset val="100"/>
        <c:noMultiLvlLbl val="0"/>
      </c:catAx>
      <c:valAx>
        <c:axId val="139943936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3993804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VZA!$ER$2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VZA!$EQ$3:$EQ$23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VZA!$ET$3:$ET$23</c:f>
              <c:numCache>
                <c:formatCode>0.0%</c:formatCode>
                <c:ptCount val="21"/>
                <c:pt idx="1">
                  <c:v>0.65433184139613321</c:v>
                </c:pt>
                <c:pt idx="2">
                  <c:v>0.5876843484792762</c:v>
                </c:pt>
                <c:pt idx="3">
                  <c:v>0.55494611377019731</c:v>
                </c:pt>
                <c:pt idx="4">
                  <c:v>0.52147732039723393</c:v>
                </c:pt>
                <c:pt idx="5">
                  <c:v>0.55128964230048849</c:v>
                </c:pt>
                <c:pt idx="6">
                  <c:v>0.53928762879396419</c:v>
                </c:pt>
                <c:pt idx="7">
                  <c:v>0.54126947408900716</c:v>
                </c:pt>
                <c:pt idx="8">
                  <c:v>0.53387573117156883</c:v>
                </c:pt>
                <c:pt idx="9">
                  <c:v>0.54137375377341301</c:v>
                </c:pt>
                <c:pt idx="10">
                  <c:v>0.55008106176845106</c:v>
                </c:pt>
                <c:pt idx="11">
                  <c:v>0.55154902683576823</c:v>
                </c:pt>
                <c:pt idx="12">
                  <c:v>0.55698708214051984</c:v>
                </c:pt>
                <c:pt idx="13">
                  <c:v>0.56014856108132927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VZA!$EU$2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VZA!$EQ$3:$EQ$23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VZA!$EW$3:$EW$23</c:f>
              <c:numCache>
                <c:formatCode>0.0%</c:formatCode>
                <c:ptCount val="21"/>
                <c:pt idx="1">
                  <c:v>0.32960412220991386</c:v>
                </c:pt>
                <c:pt idx="2">
                  <c:v>0.38085422936687247</c:v>
                </c:pt>
                <c:pt idx="3">
                  <c:v>0.42156490756019033</c:v>
                </c:pt>
                <c:pt idx="4">
                  <c:v>0.45787500169021572</c:v>
                </c:pt>
                <c:pt idx="5">
                  <c:v>0.42929705440915539</c:v>
                </c:pt>
                <c:pt idx="6">
                  <c:v>0.44021582698331135</c:v>
                </c:pt>
                <c:pt idx="7">
                  <c:v>0.43739452451904737</c:v>
                </c:pt>
                <c:pt idx="8">
                  <c:v>0.44584320549277345</c:v>
                </c:pt>
                <c:pt idx="9">
                  <c:v>0.43508202954922331</c:v>
                </c:pt>
                <c:pt idx="10">
                  <c:v>0.42862591508597558</c:v>
                </c:pt>
                <c:pt idx="11">
                  <c:v>0.42732531583312583</c:v>
                </c:pt>
                <c:pt idx="12">
                  <c:v>0.42322291515296157</c:v>
                </c:pt>
                <c:pt idx="13">
                  <c:v>0.42070127577362143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VZA!$EX$2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VZA!$EQ$3:$EQ$23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VZA!$EZ$3:$EZ$23</c:f>
              <c:numCache>
                <c:formatCode>0.0%</c:formatCode>
                <c:ptCount val="21"/>
                <c:pt idx="1">
                  <c:v>1.6064036393952968E-2</c:v>
                </c:pt>
                <c:pt idx="2">
                  <c:v>3.1461422153851289E-2</c:v>
                </c:pt>
                <c:pt idx="3">
                  <c:v>2.3488978669612338E-2</c:v>
                </c:pt>
                <c:pt idx="4">
                  <c:v>2.0647677912550337E-2</c:v>
                </c:pt>
                <c:pt idx="5">
                  <c:v>1.9413303290356183E-2</c:v>
                </c:pt>
                <c:pt idx="6">
                  <c:v>2.0496544222724612E-2</c:v>
                </c:pt>
                <c:pt idx="7">
                  <c:v>2.1336001391945567E-2</c:v>
                </c:pt>
                <c:pt idx="8">
                  <c:v>2.0281063335657757E-2</c:v>
                </c:pt>
                <c:pt idx="9">
                  <c:v>2.3544216677363727E-2</c:v>
                </c:pt>
                <c:pt idx="10">
                  <c:v>2.1293023145573256E-2</c:v>
                </c:pt>
                <c:pt idx="11">
                  <c:v>2.1125657331105829E-2</c:v>
                </c:pt>
                <c:pt idx="12">
                  <c:v>1.9790002706518497E-2</c:v>
                </c:pt>
                <c:pt idx="13">
                  <c:v>1.9150163145049248E-2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57376"/>
        <c:axId val="139958912"/>
      </c:lineChart>
      <c:catAx>
        <c:axId val="13995737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39958912"/>
        <c:crosses val="autoZero"/>
        <c:auto val="1"/>
        <c:lblAlgn val="ctr"/>
        <c:lblOffset val="100"/>
        <c:noMultiLvlLbl val="0"/>
      </c:catAx>
      <c:valAx>
        <c:axId val="13995891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39957376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VZA!$FC$2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VZA!$FB$3:$FB$23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VZA!$FE$3:$FE$23</c:f>
              <c:numCache>
                <c:formatCode>0.0%</c:formatCode>
                <c:ptCount val="21"/>
                <c:pt idx="1">
                  <c:v>0.2105263157894737</c:v>
                </c:pt>
                <c:pt idx="2">
                  <c:v>0.41246547969824554</c:v>
                </c:pt>
                <c:pt idx="3">
                  <c:v>0.44571445927622977</c:v>
                </c:pt>
                <c:pt idx="4">
                  <c:v>0.41579881635474714</c:v>
                </c:pt>
                <c:pt idx="5">
                  <c:v>0.41261072082418909</c:v>
                </c:pt>
                <c:pt idx="6">
                  <c:v>0.45330676516543189</c:v>
                </c:pt>
                <c:pt idx="7">
                  <c:v>0.45083641253534029</c:v>
                </c:pt>
                <c:pt idx="8">
                  <c:v>0.46649041321410117</c:v>
                </c:pt>
                <c:pt idx="9">
                  <c:v>0.47182037820104095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VZA!$FF$2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VZA!$FB$3:$FB$23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VZA!$FH$3:$FH$23</c:f>
              <c:numCache>
                <c:formatCode>0.0%</c:formatCode>
                <c:ptCount val="21"/>
                <c:pt idx="1">
                  <c:v>0.78947368421052633</c:v>
                </c:pt>
                <c:pt idx="2">
                  <c:v>0.57025959126842107</c:v>
                </c:pt>
                <c:pt idx="3">
                  <c:v>0.54384437166131372</c:v>
                </c:pt>
                <c:pt idx="4">
                  <c:v>0.57671962981428881</c:v>
                </c:pt>
                <c:pt idx="5">
                  <c:v>0.580881492475259</c:v>
                </c:pt>
                <c:pt idx="6">
                  <c:v>0.5414726503033398</c:v>
                </c:pt>
                <c:pt idx="7">
                  <c:v>0.54480508854329091</c:v>
                </c:pt>
                <c:pt idx="8">
                  <c:v>0.52976880987041675</c:v>
                </c:pt>
                <c:pt idx="9">
                  <c:v>0.52162678888034431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VZA!$FI$2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VZA!$FB$3:$FB$23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VZA!$FK$3:$FK$23</c:f>
              <c:numCache>
                <c:formatCode>0.0%</c:formatCode>
                <c:ptCount val="21"/>
                <c:pt idx="1">
                  <c:v>0</c:v>
                </c:pt>
                <c:pt idx="2">
                  <c:v>1.7274929033333507E-2</c:v>
                </c:pt>
                <c:pt idx="3">
                  <c:v>1.0441169062456483E-2</c:v>
                </c:pt>
                <c:pt idx="4">
                  <c:v>7.4815538309640894E-3</c:v>
                </c:pt>
                <c:pt idx="5">
                  <c:v>6.5077867005518689E-3</c:v>
                </c:pt>
                <c:pt idx="6">
                  <c:v>5.2205845312282414E-3</c:v>
                </c:pt>
                <c:pt idx="7">
                  <c:v>4.3584989213687761E-3</c:v>
                </c:pt>
                <c:pt idx="8">
                  <c:v>3.7407769154820447E-3</c:v>
                </c:pt>
                <c:pt idx="9">
                  <c:v>6.5528329186147318E-3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15968"/>
        <c:axId val="140117504"/>
      </c:lineChart>
      <c:catAx>
        <c:axId val="14011596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117504"/>
        <c:crosses val="autoZero"/>
        <c:auto val="1"/>
        <c:lblAlgn val="ctr"/>
        <c:lblOffset val="100"/>
        <c:noMultiLvlLbl val="0"/>
      </c:catAx>
      <c:valAx>
        <c:axId val="14011750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11596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VZA!$FN$2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VZA!$FM$3:$FM$23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VZA!$FP$3:$FP$23</c:f>
              <c:numCache>
                <c:formatCode>0.0%</c:formatCode>
                <c:ptCount val="2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0.30000000000000004</c:v>
                </c:pt>
                <c:pt idx="5">
                  <c:v>0.41249999999999998</c:v>
                </c:pt>
                <c:pt idx="6">
                  <c:v>0.44166666666666665</c:v>
                </c:pt>
                <c:pt idx="7">
                  <c:v>0.50624999999999998</c:v>
                </c:pt>
                <c:pt idx="8">
                  <c:v>0.44500000000000001</c:v>
                </c:pt>
                <c:pt idx="9">
                  <c:v>0.48749999999999999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VZA!$FQ$2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VZA!$FM$3:$FM$23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VZA!$FS$3:$FS$23</c:f>
              <c:numCache>
                <c:formatCode>0.0%</c:formatCode>
                <c:ptCount val="2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0.60000000000000009</c:v>
                </c:pt>
                <c:pt idx="5">
                  <c:v>0.52500000000000002</c:v>
                </c:pt>
                <c:pt idx="6">
                  <c:v>0.51666666666666672</c:v>
                </c:pt>
                <c:pt idx="7">
                  <c:v>0.46250000000000002</c:v>
                </c:pt>
                <c:pt idx="8">
                  <c:v>0.53</c:v>
                </c:pt>
                <c:pt idx="9">
                  <c:v>0.4916666666666667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VZA!$FT$2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VZA!$FM$3:$FM$23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VZA!$FV$3:$FV$23</c:f>
              <c:numCache>
                <c:formatCode>0.0%</c:formatCode>
                <c:ptCount val="2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0.10000000000000002</c:v>
                </c:pt>
                <c:pt idx="5">
                  <c:v>6.25E-2</c:v>
                </c:pt>
                <c:pt idx="6">
                  <c:v>4.1666666666666664E-2</c:v>
                </c:pt>
                <c:pt idx="7">
                  <c:v>3.125E-2</c:v>
                </c:pt>
                <c:pt idx="8">
                  <c:v>2.5000000000000001E-2</c:v>
                </c:pt>
                <c:pt idx="9">
                  <c:v>2.0833333333333332E-2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26848"/>
        <c:axId val="140132736"/>
      </c:lineChart>
      <c:catAx>
        <c:axId val="14012684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132736"/>
        <c:crosses val="autoZero"/>
        <c:auto val="1"/>
        <c:lblAlgn val="ctr"/>
        <c:lblOffset val="100"/>
        <c:noMultiLvlLbl val="0"/>
      </c:catAx>
      <c:valAx>
        <c:axId val="140132736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12684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VZA!$FY$2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VZA!$FX$3:$FX$23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VZA!$GA$3:$GA$23</c:f>
              <c:numCache>
                <c:formatCode>0.0%</c:formatCode>
                <c:ptCount val="21"/>
                <c:pt idx="1">
                  <c:v>0.40351170040642098</c:v>
                </c:pt>
                <c:pt idx="2">
                  <c:v>0.45806476985154904</c:v>
                </c:pt>
                <c:pt idx="3">
                  <c:v>0.4549864384665856</c:v>
                </c:pt>
                <c:pt idx="4">
                  <c:v>0.44029075022527192</c:v>
                </c:pt>
                <c:pt idx="5">
                  <c:v>0.41669641010080866</c:v>
                </c:pt>
                <c:pt idx="6">
                  <c:v>0.4002503246216052</c:v>
                </c:pt>
                <c:pt idx="7">
                  <c:v>0.39746385153704195</c:v>
                </c:pt>
                <c:pt idx="8">
                  <c:v>0.39347452036173608</c:v>
                </c:pt>
                <c:pt idx="9">
                  <c:v>0.38825525043366976</c:v>
                </c:pt>
                <c:pt idx="10">
                  <c:v>0.382263053509108</c:v>
                </c:pt>
                <c:pt idx="11">
                  <c:v>0.38402589873420401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VZA!$GB$2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VZA!$FX$3:$FX$23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VZA!$GD$3:$GD$23</c:f>
              <c:numCache>
                <c:formatCode>0.0%</c:formatCode>
                <c:ptCount val="21"/>
                <c:pt idx="1">
                  <c:v>0.5618127660890605</c:v>
                </c:pt>
                <c:pt idx="2">
                  <c:v>0.50905809370373079</c:v>
                </c:pt>
                <c:pt idx="3">
                  <c:v>0.51617079728995863</c:v>
                </c:pt>
                <c:pt idx="4">
                  <c:v>0.52457472548145734</c:v>
                </c:pt>
                <c:pt idx="5">
                  <c:v>0.54588497969505423</c:v>
                </c:pt>
                <c:pt idx="6">
                  <c:v>0.56441985581642307</c:v>
                </c:pt>
                <c:pt idx="7">
                  <c:v>0.56941857737560164</c:v>
                </c:pt>
                <c:pt idx="8">
                  <c:v>0.57325603717962048</c:v>
                </c:pt>
                <c:pt idx="9">
                  <c:v>0.5758289712849759</c:v>
                </c:pt>
                <c:pt idx="10">
                  <c:v>0.58034574545323192</c:v>
                </c:pt>
                <c:pt idx="11">
                  <c:v>0.57955600137344232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VZA!$GE$2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VZA!$FX$3:$FX$23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VZA!$GG$3:$GG$23</c:f>
              <c:numCache>
                <c:formatCode>0.0%</c:formatCode>
                <c:ptCount val="21"/>
                <c:pt idx="1">
                  <c:v>3.4675533504518713E-2</c:v>
                </c:pt>
                <c:pt idx="2">
                  <c:v>3.2877136444720172E-2</c:v>
                </c:pt>
                <c:pt idx="3">
                  <c:v>2.8842764243455853E-2</c:v>
                </c:pt>
                <c:pt idx="4">
                  <c:v>3.5134524293270686E-2</c:v>
                </c:pt>
                <c:pt idx="5">
                  <c:v>3.7418610204137115E-2</c:v>
                </c:pt>
                <c:pt idx="6">
                  <c:v>3.5329819561971822E-2</c:v>
                </c:pt>
                <c:pt idx="7">
                  <c:v>3.3117571087356461E-2</c:v>
                </c:pt>
                <c:pt idx="8">
                  <c:v>3.3269442458643508E-2</c:v>
                </c:pt>
                <c:pt idx="9">
                  <c:v>3.5915778281354463E-2</c:v>
                </c:pt>
                <c:pt idx="10">
                  <c:v>3.7391201037660061E-2</c:v>
                </c:pt>
                <c:pt idx="11">
                  <c:v>3.6418099892353679E-2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54368"/>
        <c:axId val="140155904"/>
      </c:lineChart>
      <c:catAx>
        <c:axId val="14015436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155904"/>
        <c:crosses val="autoZero"/>
        <c:auto val="1"/>
        <c:lblAlgn val="ctr"/>
        <c:lblOffset val="100"/>
        <c:noMultiLvlLbl val="0"/>
      </c:catAx>
      <c:valAx>
        <c:axId val="14015590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15436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VZA!$GJ$2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VZA!$GI$3:$GI$23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VZA!$GL$3:$GL$23</c:f>
              <c:numCache>
                <c:formatCode>0.0%</c:formatCode>
                <c:ptCount val="21"/>
                <c:pt idx="1">
                  <c:v>0.88318573874163353</c:v>
                </c:pt>
                <c:pt idx="2">
                  <c:v>0.83743401116688443</c:v>
                </c:pt>
                <c:pt idx="3">
                  <c:v>0.81591871458714293</c:v>
                </c:pt>
                <c:pt idx="4">
                  <c:v>0.80446472395608026</c:v>
                </c:pt>
                <c:pt idx="5">
                  <c:v>0.76039277547948791</c:v>
                </c:pt>
                <c:pt idx="6">
                  <c:v>0.73036031483250319</c:v>
                </c:pt>
                <c:pt idx="7">
                  <c:v>0.70350357239323669</c:v>
                </c:pt>
                <c:pt idx="8">
                  <c:v>0.69116001501173918</c:v>
                </c:pt>
                <c:pt idx="9">
                  <c:v>0.68538977790440636</c:v>
                </c:pt>
                <c:pt idx="10">
                  <c:v>0.66910323424929796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VZA!$GM$2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VZA!$GI$3:$GI$23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VZA!$GO$3:$GO$23</c:f>
              <c:numCache>
                <c:formatCode>0.0%</c:formatCode>
                <c:ptCount val="21"/>
                <c:pt idx="1">
                  <c:v>0.11681426125836654</c:v>
                </c:pt>
                <c:pt idx="2">
                  <c:v>0.16256598883311552</c:v>
                </c:pt>
                <c:pt idx="3">
                  <c:v>0.18408128541285709</c:v>
                </c:pt>
                <c:pt idx="4">
                  <c:v>0.18837711330592757</c:v>
                </c:pt>
                <c:pt idx="5">
                  <c:v>0.23291449230469441</c:v>
                </c:pt>
                <c:pt idx="6">
                  <c:v>0.26421304867695489</c:v>
                </c:pt>
                <c:pt idx="7">
                  <c:v>0.29193306411497871</c:v>
                </c:pt>
                <c:pt idx="8">
                  <c:v>0.30351384792587921</c:v>
                </c:pt>
                <c:pt idx="9">
                  <c:v>0.30992686331005742</c:v>
                </c:pt>
                <c:pt idx="10">
                  <c:v>0.32554609478186358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VZA!$GP$2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VZA!$GI$3:$GI$23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VZA!$GR$3:$GR$23</c:f>
              <c:numCache>
                <c:formatCode>0.0%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7.158162737992131E-3</c:v>
                </c:pt>
                <c:pt idx="5">
                  <c:v>6.692732215817552E-3</c:v>
                </c:pt>
                <c:pt idx="6">
                  <c:v>5.4266364905418089E-3</c:v>
                </c:pt>
                <c:pt idx="7">
                  <c:v>4.5633634917845904E-3</c:v>
                </c:pt>
                <c:pt idx="8">
                  <c:v>5.3261370623816622E-3</c:v>
                </c:pt>
                <c:pt idx="9">
                  <c:v>4.6833587855361651E-3</c:v>
                </c:pt>
                <c:pt idx="10">
                  <c:v>5.350670968838395E-3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77792"/>
        <c:axId val="140179328"/>
      </c:lineChart>
      <c:catAx>
        <c:axId val="14017779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179328"/>
        <c:crosses val="autoZero"/>
        <c:auto val="1"/>
        <c:lblAlgn val="ctr"/>
        <c:lblOffset val="100"/>
        <c:noMultiLvlLbl val="0"/>
      </c:catAx>
      <c:valAx>
        <c:axId val="14017932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177792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VZA!$GU$2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VZA!$GT$3:$GT$23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VZA!$GW$3:$GW$23</c:f>
              <c:numCache>
                <c:formatCode>0.0%</c:formatCode>
                <c:ptCount val="21"/>
                <c:pt idx="1">
                  <c:v>0.61195183283906751</c:v>
                </c:pt>
                <c:pt idx="2">
                  <c:v>0.67546792401088729</c:v>
                </c:pt>
                <c:pt idx="3">
                  <c:v>0.71244332079799255</c:v>
                </c:pt>
                <c:pt idx="4">
                  <c:v>0.66608312936439973</c:v>
                </c:pt>
                <c:pt idx="5">
                  <c:v>0.66128689665027129</c:v>
                </c:pt>
                <c:pt idx="6">
                  <c:v>0.63676941677842047</c:v>
                </c:pt>
                <c:pt idx="7">
                  <c:v>0.64155876510135046</c:v>
                </c:pt>
                <c:pt idx="8">
                  <c:v>0.62211167163856795</c:v>
                </c:pt>
                <c:pt idx="9">
                  <c:v>0.60462741007596188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VZA!$GX$2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VZA!$GT$3:$GT$23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VZA!$GZ$3:$GZ$23</c:f>
              <c:numCache>
                <c:formatCode>0.0%</c:formatCode>
                <c:ptCount val="21"/>
                <c:pt idx="1">
                  <c:v>0.37121000579125424</c:v>
                </c:pt>
                <c:pt idx="2">
                  <c:v>0.31045000080468038</c:v>
                </c:pt>
                <c:pt idx="3">
                  <c:v>0.27775865195284583</c:v>
                </c:pt>
                <c:pt idx="4">
                  <c:v>0.32729973205058072</c:v>
                </c:pt>
                <c:pt idx="5">
                  <c:v>0.3343640931217009</c:v>
                </c:pt>
                <c:pt idx="6">
                  <c:v>0.35999173811154023</c:v>
                </c:pt>
                <c:pt idx="7">
                  <c:v>0.35376866689186653</c:v>
                </c:pt>
                <c:pt idx="8">
                  <c:v>0.37062819180818662</c:v>
                </c:pt>
                <c:pt idx="9">
                  <c:v>0.38916199363965398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VZA!$HA$2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VZA!$GT$3:$GT$23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VZA!$HC$3:$HC$23</c:f>
              <c:numCache>
                <c:formatCode>0.0%</c:formatCode>
                <c:ptCount val="21"/>
                <c:pt idx="1">
                  <c:v>1.6838161369678337E-2</c:v>
                </c:pt>
                <c:pt idx="2">
                  <c:v>1.4082075184432262E-2</c:v>
                </c:pt>
                <c:pt idx="3">
                  <c:v>9.79802724916168E-3</c:v>
                </c:pt>
                <c:pt idx="4">
                  <c:v>6.6171385850196281E-3</c:v>
                </c:pt>
                <c:pt idx="5">
                  <c:v>4.3490102280278504E-3</c:v>
                </c:pt>
                <c:pt idx="6">
                  <c:v>3.2388451100393689E-3</c:v>
                </c:pt>
                <c:pt idx="7">
                  <c:v>4.6725680067829876E-3</c:v>
                </c:pt>
                <c:pt idx="8">
                  <c:v>7.2601365532452842E-3</c:v>
                </c:pt>
                <c:pt idx="9">
                  <c:v>6.2105962843841227E-3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27936"/>
        <c:axId val="140337920"/>
      </c:lineChart>
      <c:catAx>
        <c:axId val="14032793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337920"/>
        <c:crosses val="autoZero"/>
        <c:auto val="1"/>
        <c:lblAlgn val="ctr"/>
        <c:lblOffset val="100"/>
        <c:noMultiLvlLbl val="0"/>
      </c:catAx>
      <c:valAx>
        <c:axId val="140337920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327936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VZA!$HF$2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VZA!$HE$3:$HE$23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VZA!$HH$3:$HH$23</c:f>
              <c:numCache>
                <c:formatCode>0.0%</c:formatCode>
                <c:ptCount val="21"/>
                <c:pt idx="1">
                  <c:v>0.47995167032801944</c:v>
                </c:pt>
                <c:pt idx="2">
                  <c:v>0.50385536269619513</c:v>
                </c:pt>
                <c:pt idx="3">
                  <c:v>0.4996885751710895</c:v>
                </c:pt>
                <c:pt idx="4">
                  <c:v>0.53554082637079814</c:v>
                </c:pt>
                <c:pt idx="5">
                  <c:v>0.53910259678050454</c:v>
                </c:pt>
                <c:pt idx="6">
                  <c:v>0.52200193278808416</c:v>
                </c:pt>
                <c:pt idx="7">
                  <c:v>0.51161372475247446</c:v>
                </c:pt>
                <c:pt idx="8">
                  <c:v>0.5000036257480146</c:v>
                </c:pt>
                <c:pt idx="9">
                  <c:v>0.50240111525042597</c:v>
                </c:pt>
                <c:pt idx="10">
                  <c:v>#N/A</c:v>
                </c:pt>
                <c:pt idx="11">
                  <c:v>#N/A</c:v>
                </c:pt>
                <c:pt idx="12">
                  <c:v>0.5088078624881297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VZA!$HI$2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VZA!$HE$3:$HE$23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VZA!$HK$3:$HK$23</c:f>
              <c:numCache>
                <c:formatCode>0.0%</c:formatCode>
                <c:ptCount val="21"/>
                <c:pt idx="1">
                  <c:v>0.51943647116919367</c:v>
                </c:pt>
                <c:pt idx="2">
                  <c:v>0.49583870805241143</c:v>
                </c:pt>
                <c:pt idx="3">
                  <c:v>0.498300825849679</c:v>
                </c:pt>
                <c:pt idx="4">
                  <c:v>0.46289215376837056</c:v>
                </c:pt>
                <c:pt idx="5">
                  <c:v>0.45592960141605865</c:v>
                </c:pt>
                <c:pt idx="6">
                  <c:v>0.46953508375321329</c:v>
                </c:pt>
                <c:pt idx="7">
                  <c:v>0.48097756160276606</c:v>
                </c:pt>
                <c:pt idx="8">
                  <c:v>0.49238458618657893</c:v>
                </c:pt>
                <c:pt idx="9">
                  <c:v>0.49012819174787009</c:v>
                </c:pt>
                <c:pt idx="10">
                  <c:v>#N/A</c:v>
                </c:pt>
                <c:pt idx="11">
                  <c:v>#N/A</c:v>
                </c:pt>
                <c:pt idx="12">
                  <c:v>0.48373867881665517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VZA!$HL$2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VZA!$HE$3:$HE$23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VZA!$HN$3:$HN$23</c:f>
              <c:numCache>
                <c:formatCode>0.0%</c:formatCode>
                <c:ptCount val="21"/>
                <c:pt idx="1">
                  <c:v>6.1185850278688717E-4</c:v>
                </c:pt>
                <c:pt idx="2">
                  <c:v>3.0592925139344358E-4</c:v>
                </c:pt>
                <c:pt idx="3">
                  <c:v>2.01059897923143E-3</c:v>
                </c:pt>
                <c:pt idx="4">
                  <c:v>1.5670198608312741E-3</c:v>
                </c:pt>
                <c:pt idx="5">
                  <c:v>4.9678018034367364E-3</c:v>
                </c:pt>
                <c:pt idx="6">
                  <c:v>8.4629834587025866E-3</c:v>
                </c:pt>
                <c:pt idx="7">
                  <c:v>7.4087136447595183E-3</c:v>
                </c:pt>
                <c:pt idx="8">
                  <c:v>7.6117880654064515E-3</c:v>
                </c:pt>
                <c:pt idx="9">
                  <c:v>7.4706930017040176E-3</c:v>
                </c:pt>
                <c:pt idx="10">
                  <c:v>#N/A</c:v>
                </c:pt>
                <c:pt idx="11">
                  <c:v>#N/A</c:v>
                </c:pt>
                <c:pt idx="12">
                  <c:v>7.4534586952151941E-3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55456"/>
        <c:axId val="140356992"/>
      </c:lineChart>
      <c:catAx>
        <c:axId val="14035545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356992"/>
        <c:crosses val="autoZero"/>
        <c:auto val="1"/>
        <c:lblAlgn val="ctr"/>
        <c:lblOffset val="100"/>
        <c:noMultiLvlLbl val="0"/>
      </c:catAx>
      <c:valAx>
        <c:axId val="14035699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355456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VZA!$HQ$2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VZA!$HP$3:$HP$23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VZA!$HS$3:$HS$23</c:f>
              <c:numCache>
                <c:formatCode>0.0%</c:formatCode>
                <c:ptCount val="21"/>
                <c:pt idx="1">
                  <c:v>0.61440784722493003</c:v>
                </c:pt>
                <c:pt idx="2">
                  <c:v>0.5809462060459295</c:v>
                </c:pt>
                <c:pt idx="3">
                  <c:v>0.58701762183737838</c:v>
                </c:pt>
                <c:pt idx="4">
                  <c:v>0.54399200027277617</c:v>
                </c:pt>
                <c:pt idx="5">
                  <c:v>0.53687257218237572</c:v>
                </c:pt>
                <c:pt idx="6">
                  <c:v>0.54364821381632233</c:v>
                </c:pt>
                <c:pt idx="7">
                  <c:v>0.54975095078906533</c:v>
                </c:pt>
                <c:pt idx="8">
                  <c:v>0.53805919403073998</c:v>
                </c:pt>
                <c:pt idx="9">
                  <c:v>#N/A</c:v>
                </c:pt>
                <c:pt idx="10">
                  <c:v>#N/A</c:v>
                </c:pt>
                <c:pt idx="11">
                  <c:v>0.53192779733309492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VZA!$HT$2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VZA!$HP$3:$HP$23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VZA!$HV$3:$HV$23</c:f>
              <c:numCache>
                <c:formatCode>0.0%</c:formatCode>
                <c:ptCount val="21"/>
                <c:pt idx="1">
                  <c:v>0.37147287498750509</c:v>
                </c:pt>
                <c:pt idx="2">
                  <c:v>0.40664001370543251</c:v>
                </c:pt>
                <c:pt idx="3">
                  <c:v>0.40296860882713553</c:v>
                </c:pt>
                <c:pt idx="4">
                  <c:v>0.44849767272560942</c:v>
                </c:pt>
                <c:pt idx="5">
                  <c:v>0.45383885389430217</c:v>
                </c:pt>
                <c:pt idx="6">
                  <c:v>0.44861130791424247</c:v>
                </c:pt>
                <c:pt idx="7">
                  <c:v>0.44361435355141893</c:v>
                </c:pt>
                <c:pt idx="8">
                  <c:v>0.45169326791896186</c:v>
                </c:pt>
                <c:pt idx="9">
                  <c:v>#N/A</c:v>
                </c:pt>
                <c:pt idx="10">
                  <c:v>#N/A</c:v>
                </c:pt>
                <c:pt idx="11">
                  <c:v>0.45839853440650541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VZA!$HW$2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VZA!$HP$3:$HP$23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VZA!$HY$3:$HY$23</c:f>
              <c:numCache>
                <c:formatCode>0.0%</c:formatCode>
                <c:ptCount val="21"/>
                <c:pt idx="1">
                  <c:v>1.4119277787564973E-2</c:v>
                </c:pt>
                <c:pt idx="2">
                  <c:v>1.2413780248637908E-2</c:v>
                </c:pt>
                <c:pt idx="3">
                  <c:v>1.0013769335486091E-2</c:v>
                </c:pt>
                <c:pt idx="4">
                  <c:v>7.5103270016145677E-3</c:v>
                </c:pt>
                <c:pt idx="5">
                  <c:v>9.2885739233220365E-3</c:v>
                </c:pt>
                <c:pt idx="6">
                  <c:v>7.7404782694350293E-3</c:v>
                </c:pt>
                <c:pt idx="7">
                  <c:v>6.6346956595157401E-3</c:v>
                </c:pt>
                <c:pt idx="8">
                  <c:v>1.0247538050298157E-2</c:v>
                </c:pt>
                <c:pt idx="9">
                  <c:v>#N/A</c:v>
                </c:pt>
                <c:pt idx="10">
                  <c:v>#N/A</c:v>
                </c:pt>
                <c:pt idx="11">
                  <c:v>9.6736682603996687E-3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95648"/>
        <c:axId val="140397184"/>
      </c:lineChart>
      <c:catAx>
        <c:axId val="14039564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397184"/>
        <c:crosses val="autoZero"/>
        <c:auto val="1"/>
        <c:lblAlgn val="ctr"/>
        <c:lblOffset val="100"/>
        <c:noMultiLvlLbl val="0"/>
      </c:catAx>
      <c:valAx>
        <c:axId val="14039718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39564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VZA!$IB$2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VZA!$IA$3:$IA$23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VZA!$ID$3:$ID$23</c:f>
              <c:numCache>
                <c:formatCode>0.0%</c:formatCode>
                <c:ptCount val="21"/>
                <c:pt idx="1">
                  <c:v>0.37598950898023958</c:v>
                </c:pt>
                <c:pt idx="2">
                  <c:v>0.34641328645096409</c:v>
                </c:pt>
                <c:pt idx="3">
                  <c:v>0.35349686826283</c:v>
                </c:pt>
                <c:pt idx="4">
                  <c:v>0.34044129460527472</c:v>
                </c:pt>
                <c:pt idx="5">
                  <c:v>0.3448937991077568</c:v>
                </c:pt>
                <c:pt idx="6">
                  <c:v>0.33927815159260316</c:v>
                </c:pt>
                <c:pt idx="7">
                  <c:v>0.35476067639312747</c:v>
                </c:pt>
                <c:pt idx="8">
                  <c:v>0.37635765326593701</c:v>
                </c:pt>
                <c:pt idx="9">
                  <c:v>0.38050660367419098</c:v>
                </c:pt>
                <c:pt idx="10">
                  <c:v>0.38836073577747704</c:v>
                </c:pt>
                <c:pt idx="11">
                  <c:v>0.38840213254569067</c:v>
                </c:pt>
                <c:pt idx="12">
                  <c:v>#N/A</c:v>
                </c:pt>
                <c:pt idx="13">
                  <c:v>0.38388442838588321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VZA!$IE$2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VZA!$IA$3:$IA$23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VZA!$IG$3:$IG$23</c:f>
              <c:numCache>
                <c:formatCode>0.0%</c:formatCode>
                <c:ptCount val="21"/>
                <c:pt idx="1">
                  <c:v>0.59301686253361396</c:v>
                </c:pt>
                <c:pt idx="2">
                  <c:v>0.63676832347588219</c:v>
                </c:pt>
                <c:pt idx="3">
                  <c:v>0.63004485655344922</c:v>
                </c:pt>
                <c:pt idx="4">
                  <c:v>0.63962698151861375</c:v>
                </c:pt>
                <c:pt idx="5">
                  <c:v>0.63202949569247868</c:v>
                </c:pt>
                <c:pt idx="6">
                  <c:v>0.63702098763465664</c:v>
                </c:pt>
                <c:pt idx="7">
                  <c:v>0.62297105727237756</c:v>
                </c:pt>
                <c:pt idx="8">
                  <c:v>0.60293115263320574</c:v>
                </c:pt>
                <c:pt idx="9">
                  <c:v>0.59839404921044514</c:v>
                </c:pt>
                <c:pt idx="10">
                  <c:v>0.59166910483000779</c:v>
                </c:pt>
                <c:pt idx="11">
                  <c:v>0.59293835230463143</c:v>
                </c:pt>
                <c:pt idx="12">
                  <c:v>#N/A</c:v>
                </c:pt>
                <c:pt idx="13">
                  <c:v>0.59800965923816418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VZA!$IH$2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VZA!$IA$3:$IA$23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VZA!$IJ$3:$IJ$23</c:f>
              <c:numCache>
                <c:formatCode>0.0%</c:formatCode>
                <c:ptCount val="21"/>
                <c:pt idx="1">
                  <c:v>3.0993628486146389E-2</c:v>
                </c:pt>
                <c:pt idx="2">
                  <c:v>1.6818390073153666E-2</c:v>
                </c:pt>
                <c:pt idx="3">
                  <c:v>1.6458275183720911E-2</c:v>
                </c:pt>
                <c:pt idx="4">
                  <c:v>1.9931723876111571E-2</c:v>
                </c:pt>
                <c:pt idx="5">
                  <c:v>2.3076705199764413E-2</c:v>
                </c:pt>
                <c:pt idx="6">
                  <c:v>2.3700860772740077E-2</c:v>
                </c:pt>
                <c:pt idx="7">
                  <c:v>2.2268266334495E-2</c:v>
                </c:pt>
                <c:pt idx="8">
                  <c:v>2.0711194100857169E-2</c:v>
                </c:pt>
                <c:pt idx="9">
                  <c:v>2.1099347115363772E-2</c:v>
                </c:pt>
                <c:pt idx="10">
                  <c:v>1.9970159392515192E-2</c:v>
                </c:pt>
                <c:pt idx="11">
                  <c:v>1.8659515149677917E-2</c:v>
                </c:pt>
                <c:pt idx="12">
                  <c:v>#N/A</c:v>
                </c:pt>
                <c:pt idx="13">
                  <c:v>1.81059123759525E-2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31360"/>
        <c:axId val="140432896"/>
      </c:lineChart>
      <c:catAx>
        <c:axId val="14043136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432896"/>
        <c:crosses val="autoZero"/>
        <c:auto val="1"/>
        <c:lblAlgn val="ctr"/>
        <c:lblOffset val="100"/>
        <c:noMultiLvlLbl val="0"/>
      </c:catAx>
      <c:valAx>
        <c:axId val="140432896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431360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VZA!$IM$2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VZA!$IL$3:$IL$23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VZA!$IO$3:$IO$22</c:f>
              <c:numCache>
                <c:formatCode>0.0%</c:formatCode>
                <c:ptCount val="20"/>
                <c:pt idx="1">
                  <c:v>0.41154419905446876</c:v>
                </c:pt>
                <c:pt idx="2">
                  <c:v>0.34435342865962959</c:v>
                </c:pt>
                <c:pt idx="3">
                  <c:v>0.35558961223672308</c:v>
                </c:pt>
                <c:pt idx="4">
                  <c:v>0.33426620560055015</c:v>
                </c:pt>
                <c:pt idx="5">
                  <c:v>0.35377134542549343</c:v>
                </c:pt>
                <c:pt idx="6">
                  <c:v>0.34448896519321737</c:v>
                </c:pt>
                <c:pt idx="7">
                  <c:v>0.35999726131168092</c:v>
                </c:pt>
                <c:pt idx="8">
                  <c:v>0.36655380422700262</c:v>
                </c:pt>
                <c:pt idx="9">
                  <c:v>0.39378855286583891</c:v>
                </c:pt>
                <c:pt idx="10">
                  <c:v>#N/A</c:v>
                </c:pt>
                <c:pt idx="11">
                  <c:v>#N/A</c:v>
                </c:pt>
                <c:pt idx="12">
                  <c:v>0.39667654028223204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VZA!$IP$2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VZA!$IL$3:$IL$23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VZA!$IR$3:$IR$23</c:f>
              <c:numCache>
                <c:formatCode>0.0%</c:formatCode>
                <c:ptCount val="21"/>
                <c:pt idx="1">
                  <c:v>0.58334280851889364</c:v>
                </c:pt>
                <c:pt idx="2">
                  <c:v>0.6518118270203922</c:v>
                </c:pt>
                <c:pt idx="3">
                  <c:v>0.6418538915499582</c:v>
                </c:pt>
                <c:pt idx="4">
                  <c:v>0.66317729818613114</c:v>
                </c:pt>
                <c:pt idx="5">
                  <c:v>0.64065147043007564</c:v>
                </c:pt>
                <c:pt idx="6">
                  <c:v>0.6461447269101197</c:v>
                </c:pt>
                <c:pt idx="7">
                  <c:v>0.63197447477689361</c:v>
                </c:pt>
                <c:pt idx="8">
                  <c:v>0.62642146485050021</c:v>
                </c:pt>
                <c:pt idx="9">
                  <c:v>0.59996724186971906</c:v>
                </c:pt>
                <c:pt idx="10">
                  <c:v>#N/A</c:v>
                </c:pt>
                <c:pt idx="11">
                  <c:v>#N/A</c:v>
                </c:pt>
                <c:pt idx="12">
                  <c:v>0.59764561340942168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VZA!$IS$2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VZA!$IL$3:$IL$23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VZA!$IU$3:$IU$23</c:f>
              <c:numCache>
                <c:formatCode>0.0%</c:formatCode>
                <c:ptCount val="21"/>
                <c:pt idx="1">
                  <c:v>5.1129924266376013E-3</c:v>
                </c:pt>
                <c:pt idx="2">
                  <c:v>3.8347443199782004E-3</c:v>
                </c:pt>
                <c:pt idx="3">
                  <c:v>2.5564962133188002E-3</c:v>
                </c:pt>
                <c:pt idx="4">
                  <c:v>2.5564962133188002E-3</c:v>
                </c:pt>
                <c:pt idx="5">
                  <c:v>5.5771841444309644E-3</c:v>
                </c:pt>
                <c:pt idx="6">
                  <c:v>9.3663078966629721E-3</c:v>
                </c:pt>
                <c:pt idx="7">
                  <c:v>8.0282639114254047E-3</c:v>
                </c:pt>
                <c:pt idx="8">
                  <c:v>7.0247309224972286E-3</c:v>
                </c:pt>
                <c:pt idx="9">
                  <c:v>6.2442052644419805E-3</c:v>
                </c:pt>
                <c:pt idx="10">
                  <c:v>#N/A</c:v>
                </c:pt>
                <c:pt idx="11">
                  <c:v>#N/A</c:v>
                </c:pt>
                <c:pt idx="12">
                  <c:v>5.6778463083461544E-3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23776"/>
        <c:axId val="140525568"/>
      </c:lineChart>
      <c:catAx>
        <c:axId val="14052377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525568"/>
        <c:crosses val="autoZero"/>
        <c:auto val="1"/>
        <c:lblAlgn val="ctr"/>
        <c:lblOffset val="100"/>
        <c:noMultiLvlLbl val="0"/>
      </c:catAx>
      <c:valAx>
        <c:axId val="14052556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523776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VZA!$IX$2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VZA!$IW$3:$IW$23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VZA!$IZ$3:$IZ$23</c:f>
              <c:numCache>
                <c:formatCode>0.0%</c:formatCode>
                <c:ptCount val="21"/>
                <c:pt idx="1">
                  <c:v>0.47250723515384491</c:v>
                </c:pt>
                <c:pt idx="2">
                  <c:v>0.58455632053564577</c:v>
                </c:pt>
                <c:pt idx="3">
                  <c:v>0.63424898818674524</c:v>
                </c:pt>
                <c:pt idx="4">
                  <c:v>0.60859705058245328</c:v>
                </c:pt>
                <c:pt idx="5">
                  <c:v>0.59030953508434281</c:v>
                </c:pt>
                <c:pt idx="6">
                  <c:v>0.59640982799209963</c:v>
                </c:pt>
                <c:pt idx="7">
                  <c:v>0.57942169704911706</c:v>
                </c:pt>
                <c:pt idx="8">
                  <c:v>0.56341602750934905</c:v>
                </c:pt>
                <c:pt idx="9">
                  <c:v>0.55868486241281834</c:v>
                </c:pt>
                <c:pt idx="10">
                  <c:v>#N/A</c:v>
                </c:pt>
                <c:pt idx="11">
                  <c:v>0.53904633941330427</c:v>
                </c:pt>
                <c:pt idx="12">
                  <c:v>0.54543421469192221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VZA!$JA$2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VZA!$IW$3:$IW$23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VZA!$JC$3:$JC$23</c:f>
              <c:numCache>
                <c:formatCode>0.0%</c:formatCode>
                <c:ptCount val="21"/>
                <c:pt idx="1">
                  <c:v>0.42514738926957518</c:v>
                </c:pt>
                <c:pt idx="2">
                  <c:v>0.34784218025310071</c:v>
                </c:pt>
                <c:pt idx="3">
                  <c:v>0.31881689563391102</c:v>
                </c:pt>
                <c:pt idx="4">
                  <c:v>0.35048658267034455</c:v>
                </c:pt>
                <c:pt idx="5">
                  <c:v>0.37526012574696693</c:v>
                </c:pt>
                <c:pt idx="6">
                  <c:v>0.37075206144435474</c:v>
                </c:pt>
                <c:pt idx="7">
                  <c:v>0.39065026262999769</c:v>
                </c:pt>
                <c:pt idx="8">
                  <c:v>0.41028032075124926</c:v>
                </c:pt>
                <c:pt idx="9">
                  <c:v>0.41785284959205649</c:v>
                </c:pt>
                <c:pt idx="10">
                  <c:v>#N/A</c:v>
                </c:pt>
                <c:pt idx="11">
                  <c:v>0.43831610351487432</c:v>
                </c:pt>
                <c:pt idx="12">
                  <c:v>0.42744690726969681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VZA!$JD$2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VZA!$IW$3:$IW$23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VZA!$JF$3:$JF$23</c:f>
              <c:numCache>
                <c:formatCode>0.0%</c:formatCode>
                <c:ptCount val="21"/>
                <c:pt idx="1">
                  <c:v>0.10234537557658001</c:v>
                </c:pt>
                <c:pt idx="2">
                  <c:v>6.7601499211253635E-2</c:v>
                </c:pt>
                <c:pt idx="3">
                  <c:v>4.6934116179343684E-2</c:v>
                </c:pt>
                <c:pt idx="4">
                  <c:v>4.0916366747202178E-2</c:v>
                </c:pt>
                <c:pt idx="5">
                  <c:v>3.4430339168690156E-2</c:v>
                </c:pt>
                <c:pt idx="6">
                  <c:v>3.2838110563545568E-2</c:v>
                </c:pt>
                <c:pt idx="7">
                  <c:v>2.992804032088545E-2</c:v>
                </c:pt>
                <c:pt idx="8">
                  <c:v>2.6303651739401798E-2</c:v>
                </c:pt>
                <c:pt idx="9">
                  <c:v>2.3462287995125179E-2</c:v>
                </c:pt>
                <c:pt idx="10">
                  <c:v>#N/A</c:v>
                </c:pt>
                <c:pt idx="11">
                  <c:v>2.2637557071821544E-2</c:v>
                </c:pt>
                <c:pt idx="12">
                  <c:v>2.7118878038381068E-2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44256"/>
        <c:axId val="140546048"/>
      </c:lineChart>
      <c:catAx>
        <c:axId val="14054425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546048"/>
        <c:crosses val="autoZero"/>
        <c:auto val="1"/>
        <c:lblAlgn val="ctr"/>
        <c:lblOffset val="100"/>
        <c:noMultiLvlLbl val="0"/>
      </c:catAx>
      <c:valAx>
        <c:axId val="14054604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544256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VZA!$JI$2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VZA!$JH$3:$JH$23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VZA!$JK$3:$JK$23</c:f>
              <c:numCache>
                <c:formatCode>0.0%</c:formatCode>
                <c:ptCount val="21"/>
                <c:pt idx="1">
                  <c:v>0.57579438865608001</c:v>
                </c:pt>
                <c:pt idx="2">
                  <c:v>0.77404870646944846</c:v>
                </c:pt>
                <c:pt idx="3">
                  <c:v>0.7712763698303996</c:v>
                </c:pt>
                <c:pt idx="4">
                  <c:v>0.80139851557886677</c:v>
                </c:pt>
                <c:pt idx="5">
                  <c:v>0.77708607674596253</c:v>
                </c:pt>
                <c:pt idx="6">
                  <c:v>0.77317737086624416</c:v>
                </c:pt>
                <c:pt idx="7">
                  <c:v>0.75959642400246397</c:v>
                </c:pt>
                <c:pt idx="8">
                  <c:v>0.75546880994330379</c:v>
                </c:pt>
                <c:pt idx="9">
                  <c:v>0.75007744749637772</c:v>
                </c:pt>
                <c:pt idx="10">
                  <c:v>0.74723949042794979</c:v>
                </c:pt>
                <c:pt idx="11">
                  <c:v>0.74374279350746364</c:v>
                </c:pt>
                <c:pt idx="12">
                  <c:v>0.74903047817928148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VZA!$JL$2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VZA!$JH$3:$JH$23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VZA!$JN$3:$JN$23</c:f>
              <c:numCache>
                <c:formatCode>0.0%</c:formatCode>
                <c:ptCount val="21"/>
                <c:pt idx="1">
                  <c:v>0.41779335303913318</c:v>
                </c:pt>
                <c:pt idx="2">
                  <c:v>0.21938669643824746</c:v>
                </c:pt>
                <c:pt idx="3">
                  <c:v>0.2246457001669844</c:v>
                </c:pt>
                <c:pt idx="4">
                  <c:v>0.19570598577648768</c:v>
                </c:pt>
                <c:pt idx="5">
                  <c:v>0.21952401558309395</c:v>
                </c:pt>
                <c:pt idx="6">
                  <c:v>0.22228301335955444</c:v>
                </c:pt>
                <c:pt idx="7">
                  <c:v>0.23630679046707384</c:v>
                </c:pt>
                <c:pt idx="8">
                  <c:v>0.24098439966559032</c:v>
                </c:pt>
                <c:pt idx="9">
                  <c:v>0.24659039277394898</c:v>
                </c:pt>
                <c:pt idx="10">
                  <c:v>0.23820043477070266</c:v>
                </c:pt>
                <c:pt idx="11">
                  <c:v>0.24241212760996397</c:v>
                </c:pt>
                <c:pt idx="12">
                  <c:v>0.23754704672796223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VZA!$JO$2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VZA!$JH$3:$JH$23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VZA!$JQ$3:$JQ$23</c:f>
              <c:numCache>
                <c:formatCode>0.0%</c:formatCode>
                <c:ptCount val="21"/>
                <c:pt idx="1">
                  <c:v>6.4122583047867589E-3</c:v>
                </c:pt>
                <c:pt idx="2">
                  <c:v>6.5645970923041844E-3</c:v>
                </c:pt>
                <c:pt idx="3">
                  <c:v>4.0779300026160571E-3</c:v>
                </c:pt>
                <c:pt idx="4">
                  <c:v>2.8954986446455841E-3</c:v>
                </c:pt>
                <c:pt idx="5">
                  <c:v>3.3899076709434468E-3</c:v>
                </c:pt>
                <c:pt idx="6">
                  <c:v>4.5396157742014116E-3</c:v>
                </c:pt>
                <c:pt idx="7">
                  <c:v>4.0967855304620887E-3</c:v>
                </c:pt>
                <c:pt idx="8">
                  <c:v>3.5467903911058909E-3</c:v>
                </c:pt>
                <c:pt idx="9">
                  <c:v>3.3321597296732852E-3</c:v>
                </c:pt>
                <c:pt idx="10">
                  <c:v>1.4560074801347642E-2</c:v>
                </c:pt>
                <c:pt idx="11">
                  <c:v>1.3845078882572382E-2</c:v>
                </c:pt>
                <c:pt idx="12">
                  <c:v>1.3422475092756372E-2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75872"/>
        <c:axId val="140577408"/>
      </c:lineChart>
      <c:catAx>
        <c:axId val="14057587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577408"/>
        <c:crosses val="autoZero"/>
        <c:auto val="1"/>
        <c:lblAlgn val="ctr"/>
        <c:lblOffset val="100"/>
        <c:noMultiLvlLbl val="0"/>
      </c:catAx>
      <c:valAx>
        <c:axId val="14057740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575872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VZA!$JT$2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VZA!$JS$3:$JS$23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VZA!$JV$3:$JV$23</c:f>
              <c:numCache>
                <c:formatCode>0.0%</c:formatCode>
                <c:ptCount val="21"/>
                <c:pt idx="1">
                  <c:v>0.50428590880169932</c:v>
                </c:pt>
                <c:pt idx="2">
                  <c:v>0.55328841665340389</c:v>
                </c:pt>
                <c:pt idx="3">
                  <c:v>0.60664200762542564</c:v>
                </c:pt>
                <c:pt idx="4">
                  <c:v>0.58547219615600132</c:v>
                </c:pt>
                <c:pt idx="5">
                  <c:v>0.58736321861546215</c:v>
                </c:pt>
                <c:pt idx="6">
                  <c:v>0.58694539183440464</c:v>
                </c:pt>
                <c:pt idx="7">
                  <c:v>0.57130865151568733</c:v>
                </c:pt>
                <c:pt idx="8">
                  <c:v>0.57085733605803379</c:v>
                </c:pt>
                <c:pt idx="9">
                  <c:v>0.57204038594267603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VZA!$JW$2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VZA!$JS$3:$JS$23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VZA!$JY$3:$JY$23</c:f>
              <c:numCache>
                <c:formatCode>0.0%</c:formatCode>
                <c:ptCount val="21"/>
                <c:pt idx="1">
                  <c:v>0.48542481833238793</c:v>
                </c:pt>
                <c:pt idx="2">
                  <c:v>0.43775764398904732</c:v>
                </c:pt>
                <c:pt idx="3">
                  <c:v>0.3790934613478491</c:v>
                </c:pt>
                <c:pt idx="4">
                  <c:v>0.39393371463422794</c:v>
                </c:pt>
                <c:pt idx="5">
                  <c:v>0.39100431582679168</c:v>
                </c:pt>
                <c:pt idx="6">
                  <c:v>0.39249614264843152</c:v>
                </c:pt>
                <c:pt idx="7">
                  <c:v>0.4117546642497959</c:v>
                </c:pt>
                <c:pt idx="8">
                  <c:v>0.41307652974852083</c:v>
                </c:pt>
                <c:pt idx="9">
                  <c:v>0.41243340238252002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VZA!$JZ$2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VZA!$JS$3:$JS$23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VZA!$KB$3:$KB$23</c:f>
              <c:numCache>
                <c:formatCode>0.0%</c:formatCode>
                <c:ptCount val="21"/>
                <c:pt idx="1">
                  <c:v>1.0289272865912677E-2</c:v>
                </c:pt>
                <c:pt idx="2">
                  <c:v>8.9539393575487937E-3</c:v>
                </c:pt>
                <c:pt idx="3">
                  <c:v>1.4264531026725149E-2</c:v>
                </c:pt>
                <c:pt idx="4">
                  <c:v>2.0594089209770756E-2</c:v>
                </c:pt>
                <c:pt idx="5">
                  <c:v>2.1632465557746245E-2</c:v>
                </c:pt>
                <c:pt idx="6">
                  <c:v>2.0558465517163938E-2</c:v>
                </c:pt>
                <c:pt idx="7">
                  <c:v>1.6936684234516899E-2</c:v>
                </c:pt>
                <c:pt idx="8">
                  <c:v>1.6066134193445311E-2</c:v>
                </c:pt>
                <c:pt idx="9">
                  <c:v>1.5526211674803957E-2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07488"/>
        <c:axId val="140609024"/>
      </c:lineChart>
      <c:catAx>
        <c:axId val="1406074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609024"/>
        <c:crosses val="autoZero"/>
        <c:auto val="1"/>
        <c:lblAlgn val="ctr"/>
        <c:lblOffset val="100"/>
        <c:noMultiLvlLbl val="0"/>
      </c:catAx>
      <c:valAx>
        <c:axId val="14060902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60748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VZA!$KE$2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VZA!$KD$3:$KD$23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VZA!$KG$3:$KG$23</c:f>
              <c:numCache>
                <c:formatCode>0.0%</c:formatCode>
                <c:ptCount val="21"/>
                <c:pt idx="1">
                  <c:v>0.37588199380757914</c:v>
                </c:pt>
                <c:pt idx="2">
                  <c:v>0.31789105878172935</c:v>
                </c:pt>
                <c:pt idx="3">
                  <c:v>0.32857000156013594</c:v>
                </c:pt>
                <c:pt idx="4">
                  <c:v>0.3046435335911411</c:v>
                </c:pt>
                <c:pt idx="5">
                  <c:v>0.31048129781841516</c:v>
                </c:pt>
                <c:pt idx="6">
                  <c:v>0.31051476798471683</c:v>
                </c:pt>
                <c:pt idx="7">
                  <c:v>0.31547520066228513</c:v>
                </c:pt>
                <c:pt idx="8">
                  <c:v>0.31367530134524496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VZA!$KH$2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VZA!$KD$3:$KD$23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VZA!$KJ$3:$KJ$23</c:f>
              <c:numCache>
                <c:formatCode>0.0%</c:formatCode>
                <c:ptCount val="21"/>
                <c:pt idx="1">
                  <c:v>0.61173022811371836</c:v>
                </c:pt>
                <c:pt idx="2">
                  <c:v>0.66897506143660901</c:v>
                </c:pt>
                <c:pt idx="3">
                  <c:v>0.65026337850974592</c:v>
                </c:pt>
                <c:pt idx="4">
                  <c:v>0.67566332107553329</c:v>
                </c:pt>
                <c:pt idx="5">
                  <c:v>0.66187126102835181</c:v>
                </c:pt>
                <c:pt idx="6">
                  <c:v>0.66229618658860001</c:v>
                </c:pt>
                <c:pt idx="7">
                  <c:v>0.6604564578910751</c:v>
                </c:pt>
                <c:pt idx="8">
                  <c:v>0.66293797553373923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VZA!$KK$2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VZA!$KD$3:$KD$23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VZA!$KM$3:$KM$23</c:f>
              <c:numCache>
                <c:formatCode>0.0%</c:formatCode>
                <c:ptCount val="21"/>
                <c:pt idx="1">
                  <c:v>1.2387778078702541E-2</c:v>
                </c:pt>
                <c:pt idx="2">
                  <c:v>1.3133879781661721E-2</c:v>
                </c:pt>
                <c:pt idx="3">
                  <c:v>2.1166619930118116E-2</c:v>
                </c:pt>
                <c:pt idx="4">
                  <c:v>1.9693145333325487E-2</c:v>
                </c:pt>
                <c:pt idx="5">
                  <c:v>2.7647441153232932E-2</c:v>
                </c:pt>
                <c:pt idx="6">
                  <c:v>2.7189045426683042E-2</c:v>
                </c:pt>
                <c:pt idx="7">
                  <c:v>2.4068341446639729E-2</c:v>
                </c:pt>
                <c:pt idx="8">
                  <c:v>2.3386723121015876E-2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35520"/>
        <c:axId val="140637312"/>
      </c:lineChart>
      <c:catAx>
        <c:axId val="14063552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637312"/>
        <c:crosses val="autoZero"/>
        <c:auto val="1"/>
        <c:lblAlgn val="ctr"/>
        <c:lblOffset val="100"/>
        <c:noMultiLvlLbl val="0"/>
      </c:catAx>
      <c:valAx>
        <c:axId val="14063731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635520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VZA!$KP$2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VZA!$KO$3:$KO$23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VZA!$KR$3:$KR$23</c:f>
              <c:numCache>
                <c:formatCode>0.0%</c:formatCode>
                <c:ptCount val="21"/>
                <c:pt idx="1">
                  <c:v>0.70885837690437659</c:v>
                </c:pt>
                <c:pt idx="2">
                  <c:v>0.68675886229288141</c:v>
                </c:pt>
                <c:pt idx="3">
                  <c:v>0.69045645755729812</c:v>
                </c:pt>
                <c:pt idx="4">
                  <c:v>#N/A</c:v>
                </c:pt>
                <c:pt idx="5">
                  <c:v>0.67704122753868801</c:v>
                </c:pt>
                <c:pt idx="6">
                  <c:v>0.69215815512027168</c:v>
                </c:pt>
                <c:pt idx="7">
                  <c:v>0.67708077680848533</c:v>
                </c:pt>
                <c:pt idx="8">
                  <c:v>0.68464775263903788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VZA!$KS$2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VZA!$KO$3:$KO$23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VZA!$KU$3:$KU$23</c:f>
              <c:numCache>
                <c:formatCode>0.0%</c:formatCode>
                <c:ptCount val="21"/>
                <c:pt idx="1">
                  <c:v>0.27872201088846965</c:v>
                </c:pt>
                <c:pt idx="2">
                  <c:v>0.30745990559378555</c:v>
                </c:pt>
                <c:pt idx="3">
                  <c:v>0.30577605949941877</c:v>
                </c:pt>
                <c:pt idx="4">
                  <c:v>#N/A</c:v>
                </c:pt>
                <c:pt idx="5">
                  <c:v>0.31659949179321761</c:v>
                </c:pt>
                <c:pt idx="6">
                  <c:v>0.30123008271431856</c:v>
                </c:pt>
                <c:pt idx="7">
                  <c:v>0.3168359503691302</c:v>
                </c:pt>
                <c:pt idx="8">
                  <c:v>0.30505878374072065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VZA!$KV$2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VZA!$KO$3:$KO$23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VZA!$KX$3:$KX$23</c:f>
              <c:numCache>
                <c:formatCode>0.0%</c:formatCode>
                <c:ptCount val="21"/>
                <c:pt idx="1">
                  <c:v>1.2419612207153728E-2</c:v>
                </c:pt>
                <c:pt idx="2">
                  <c:v>5.7812321133330511E-3</c:v>
                </c:pt>
                <c:pt idx="3">
                  <c:v>3.7674829432830259E-3</c:v>
                </c:pt>
                <c:pt idx="4">
                  <c:v>#N/A</c:v>
                </c:pt>
                <c:pt idx="5">
                  <c:v>6.3592806680943213E-3</c:v>
                </c:pt>
                <c:pt idx="6">
                  <c:v>6.6117621654095474E-3</c:v>
                </c:pt>
                <c:pt idx="7">
                  <c:v>6.0832728223845847E-3</c:v>
                </c:pt>
                <c:pt idx="8">
                  <c:v>1.0293463620241389E-2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15904"/>
        <c:axId val="140717440"/>
      </c:lineChart>
      <c:catAx>
        <c:axId val="14071590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717440"/>
        <c:crosses val="autoZero"/>
        <c:auto val="1"/>
        <c:lblAlgn val="ctr"/>
        <c:lblOffset val="100"/>
        <c:noMultiLvlLbl val="0"/>
      </c:catAx>
      <c:valAx>
        <c:axId val="140717440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715904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VZA!$LA$2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VZA!$KZ$3:$KZ$23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VZA!$LC$3:$LC$23</c:f>
              <c:numCache>
                <c:formatCode>0.0%</c:formatCode>
                <c:ptCount val="21"/>
                <c:pt idx="1">
                  <c:v>0.68965517241379304</c:v>
                </c:pt>
                <c:pt idx="2">
                  <c:v>0.64042608245447152</c:v>
                </c:pt>
                <c:pt idx="3">
                  <c:v>0.59671785076292572</c:v>
                </c:pt>
                <c:pt idx="4">
                  <c:v>0.57979551530159101</c:v>
                </c:pt>
                <c:pt idx="5">
                  <c:v>0.59365362047864945</c:v>
                </c:pt>
                <c:pt idx="6">
                  <c:v>0.58991268952335629</c:v>
                </c:pt>
                <c:pt idx="7">
                  <c:v>#N/A</c:v>
                </c:pt>
                <c:pt idx="8">
                  <c:v>0.60938711497302023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VZA!$LD$2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VZA!$KZ$3:$KZ$23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VZA!$LF$3:$LF$23</c:f>
              <c:numCache>
                <c:formatCode>0.0%</c:formatCode>
                <c:ptCount val="21"/>
                <c:pt idx="1">
                  <c:v>0.31034482758620691</c:v>
                </c:pt>
                <c:pt idx="2">
                  <c:v>0.35957391754552859</c:v>
                </c:pt>
                <c:pt idx="3">
                  <c:v>0.40328214923707439</c:v>
                </c:pt>
                <c:pt idx="4">
                  <c:v>0.42020448469840893</c:v>
                </c:pt>
                <c:pt idx="5">
                  <c:v>0.40634637952135055</c:v>
                </c:pt>
                <c:pt idx="6">
                  <c:v>0.41008731047664382</c:v>
                </c:pt>
                <c:pt idx="7">
                  <c:v>#N/A</c:v>
                </c:pt>
                <c:pt idx="8">
                  <c:v>0.39061288502697977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VZA!$LG$2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VZA!$KZ$3:$KZ$23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VZA!$LI$3:$LI$23</c:f>
              <c:numCache>
                <c:formatCode>0.0%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#N/A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59808"/>
        <c:axId val="140761344"/>
      </c:lineChart>
      <c:catAx>
        <c:axId val="14075980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761344"/>
        <c:crosses val="autoZero"/>
        <c:auto val="1"/>
        <c:lblAlgn val="ctr"/>
        <c:lblOffset val="100"/>
        <c:noMultiLvlLbl val="0"/>
      </c:catAx>
      <c:valAx>
        <c:axId val="14076134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75980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VZA!$LL$2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VZA!$LK$3:$LK$23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VZA!$LN$3:$LN$23</c:f>
              <c:numCache>
                <c:formatCode>0.0%</c:formatCode>
                <c:ptCount val="21"/>
                <c:pt idx="1">
                  <c:v>0.54784384853263179</c:v>
                </c:pt>
                <c:pt idx="2">
                  <c:v>0.59434667530817609</c:v>
                </c:pt>
                <c:pt idx="3">
                  <c:v>0.60127820528536002</c:v>
                </c:pt>
                <c:pt idx="4">
                  <c:v>0.65970030245789713</c:v>
                </c:pt>
                <c:pt idx="5">
                  <c:v>0.64983873635652634</c:v>
                </c:pt>
                <c:pt idx="6">
                  <c:v>0.6336698258727157</c:v>
                </c:pt>
                <c:pt idx="7">
                  <c:v>0.63270887840592704</c:v>
                </c:pt>
                <c:pt idx="8">
                  <c:v>0.62596368043227746</c:v>
                </c:pt>
                <c:pt idx="9">
                  <c:v>0.6225949374885712</c:v>
                </c:pt>
                <c:pt idx="10">
                  <c:v>#N/A</c:v>
                </c:pt>
                <c:pt idx="11">
                  <c:v>#N/A</c:v>
                </c:pt>
                <c:pt idx="12">
                  <c:v>0.62187874049127922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VZA!$LO$2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VZA!$LK$3:$LK$23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VZA!$LQ$3:$LQ$23</c:f>
              <c:numCache>
                <c:formatCode>0.0%</c:formatCode>
                <c:ptCount val="21"/>
                <c:pt idx="1">
                  <c:v>0.44272205663095016</c:v>
                </c:pt>
                <c:pt idx="2">
                  <c:v>0.40027412698747211</c:v>
                </c:pt>
                <c:pt idx="3">
                  <c:v>0.39510275870521855</c:v>
                </c:pt>
                <c:pt idx="4">
                  <c:v>0.33756233529311874</c:v>
                </c:pt>
                <c:pt idx="5">
                  <c:v>0.34596860277000713</c:v>
                </c:pt>
                <c:pt idx="6">
                  <c:v>0.36290731476126176</c:v>
                </c:pt>
                <c:pt idx="7">
                  <c:v>0.36411009277525497</c:v>
                </c:pt>
                <c:pt idx="8">
                  <c:v>0.36932534436139369</c:v>
                </c:pt>
                <c:pt idx="9">
                  <c:v>0.37047750684770986</c:v>
                </c:pt>
                <c:pt idx="10">
                  <c:v>#N/A</c:v>
                </c:pt>
                <c:pt idx="11">
                  <c:v>#N/A</c:v>
                </c:pt>
                <c:pt idx="12">
                  <c:v>0.37141328819071806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VZA!$LR$2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VZA!$LK$3:$LK$23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VZA!$LT$3:$LT$23</c:f>
              <c:numCache>
                <c:formatCode>0.0%</c:formatCode>
                <c:ptCount val="21"/>
                <c:pt idx="1">
                  <c:v>9.4340948364179684E-3</c:v>
                </c:pt>
                <c:pt idx="2">
                  <c:v>5.37919770435181E-3</c:v>
                </c:pt>
                <c:pt idx="3">
                  <c:v>3.6190360094213361E-3</c:v>
                </c:pt>
                <c:pt idx="4">
                  <c:v>2.737362248984152E-3</c:v>
                </c:pt>
                <c:pt idx="5">
                  <c:v>4.1926608734665196E-3</c:v>
                </c:pt>
                <c:pt idx="6">
                  <c:v>3.422859366022562E-3</c:v>
                </c:pt>
                <c:pt idx="7">
                  <c:v>3.1810288188180063E-3</c:v>
                </c:pt>
                <c:pt idx="8">
                  <c:v>4.7109752063288803E-3</c:v>
                </c:pt>
                <c:pt idx="9">
                  <c:v>6.9275556637189619E-3</c:v>
                </c:pt>
                <c:pt idx="10">
                  <c:v>#N/A</c:v>
                </c:pt>
                <c:pt idx="11">
                  <c:v>#N/A</c:v>
                </c:pt>
                <c:pt idx="12">
                  <c:v>6.7079713180026772E-3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91168"/>
        <c:axId val="140805248"/>
      </c:lineChart>
      <c:catAx>
        <c:axId val="14079116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805248"/>
        <c:crosses val="autoZero"/>
        <c:auto val="1"/>
        <c:lblAlgn val="ctr"/>
        <c:lblOffset val="100"/>
        <c:noMultiLvlLbl val="0"/>
      </c:catAx>
      <c:valAx>
        <c:axId val="14080524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791168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V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VZA!$LW$2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VZA!$LV$3:$LV$23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VZA!$LY$3:$LY$23</c:f>
              <c:numCache>
                <c:formatCode>0.0%</c:formatCode>
                <c:ptCount val="21"/>
                <c:pt idx="1">
                  <c:v>0.48783171934385539</c:v>
                </c:pt>
                <c:pt idx="2">
                  <c:v>0.55632810314096159</c:v>
                </c:pt>
                <c:pt idx="3">
                  <c:v>0.5487654858211134</c:v>
                </c:pt>
                <c:pt idx="4">
                  <c:v>0.51040383054543026</c:v>
                </c:pt>
                <c:pt idx="5">
                  <c:v>0.51348318796225456</c:v>
                </c:pt>
                <c:pt idx="6">
                  <c:v>0.51252239649551856</c:v>
                </c:pt>
                <c:pt idx="7">
                  <c:v>0.50775024318688011</c:v>
                </c:pt>
                <c:pt idx="8">
                  <c:v>0.50319563923502908</c:v>
                </c:pt>
                <c:pt idx="9">
                  <c:v>0.50478354306568851</c:v>
                </c:pt>
                <c:pt idx="10">
                  <c:v>#N/A</c:v>
                </c:pt>
                <c:pt idx="11">
                  <c:v>#N/A</c:v>
                </c:pt>
                <c:pt idx="12">
                  <c:v>0.50673610444843165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VZA!$LZ$2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VZA!$LV$3:$LV$23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VZA!$MB$3:$MB$23</c:f>
              <c:numCache>
                <c:formatCode>0.0%</c:formatCode>
                <c:ptCount val="21"/>
                <c:pt idx="1">
                  <c:v>0.51065046686841842</c:v>
                </c:pt>
                <c:pt idx="2">
                  <c:v>0.43650518006851596</c:v>
                </c:pt>
                <c:pt idx="3">
                  <c:v>0.4447304469235398</c:v>
                </c:pt>
                <c:pt idx="4">
                  <c:v>0.48363218686129111</c:v>
                </c:pt>
                <c:pt idx="5">
                  <c:v>0.48176339938890833</c:v>
                </c:pt>
                <c:pt idx="6">
                  <c:v>0.48014782299867115</c:v>
                </c:pt>
                <c:pt idx="7">
                  <c:v>0.48290648617880627</c:v>
                </c:pt>
                <c:pt idx="8">
                  <c:v>0.48826691996122618</c:v>
                </c:pt>
                <c:pt idx="9">
                  <c:v>0.48661378831879193</c:v>
                </c:pt>
                <c:pt idx="10">
                  <c:v>#N/A</c:v>
                </c:pt>
                <c:pt idx="11">
                  <c:v>#N/A</c:v>
                </c:pt>
                <c:pt idx="12">
                  <c:v>0.48417360936407211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VZA!$MC$2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VZA!$LV$3:$LV$23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VZA!$ME$3:$ME$23</c:f>
              <c:numCache>
                <c:formatCode>0.0%</c:formatCode>
                <c:ptCount val="21"/>
                <c:pt idx="1">
                  <c:v>1.5178137877262538E-3</c:v>
                </c:pt>
                <c:pt idx="2">
                  <c:v>7.166716790522506E-3</c:v>
                </c:pt>
                <c:pt idx="3">
                  <c:v>6.5040672553467113E-3</c:v>
                </c:pt>
                <c:pt idx="4">
                  <c:v>5.9639825932786437E-3</c:v>
                </c:pt>
                <c:pt idx="5">
                  <c:v>4.7534126488371535E-3</c:v>
                </c:pt>
                <c:pt idx="6">
                  <c:v>7.3297805058104137E-3</c:v>
                </c:pt>
                <c:pt idx="7">
                  <c:v>9.3432706343135469E-3</c:v>
                </c:pt>
                <c:pt idx="8">
                  <c:v>8.5374408037447638E-3</c:v>
                </c:pt>
                <c:pt idx="9">
                  <c:v>8.6026686155195198E-3</c:v>
                </c:pt>
                <c:pt idx="10">
                  <c:v>#N/A</c:v>
                </c:pt>
                <c:pt idx="11">
                  <c:v>#N/A</c:v>
                </c:pt>
                <c:pt idx="12">
                  <c:v>9.090286187496124E-3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42880"/>
        <c:axId val="140844416"/>
      </c:lineChart>
      <c:catAx>
        <c:axId val="14084288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844416"/>
        <c:crosses val="autoZero"/>
        <c:auto val="1"/>
        <c:lblAlgn val="ctr"/>
        <c:lblOffset val="100"/>
        <c:noMultiLvlLbl val="0"/>
      </c:catAx>
      <c:valAx>
        <c:axId val="140844416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842880"/>
        <c:crosses val="autoZero"/>
        <c:crossBetween val="between"/>
        <c:majorUnit val="0.125"/>
        <c:minorUnit val="5.000000000000001E-2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21" Type="http://schemas.openxmlformats.org/officeDocument/2006/relationships/chart" Target="../charts/chart22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20" Type="http://schemas.openxmlformats.org/officeDocument/2006/relationships/chart" Target="../charts/chart21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24" Type="http://schemas.openxmlformats.org/officeDocument/2006/relationships/chart" Target="../charts/chart25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23" Type="http://schemas.openxmlformats.org/officeDocument/2006/relationships/chart" Target="../charts/chart24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Relationship Id="rId22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468162</xdr:colOff>
      <xdr:row>1</xdr:row>
      <xdr:rowOff>10423</xdr:rowOff>
    </xdr:from>
    <xdr:to>
      <xdr:col>2</xdr:col>
      <xdr:colOff>533399</xdr:colOff>
      <xdr:row>2</xdr:row>
      <xdr:rowOff>9525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8162" y="200923"/>
          <a:ext cx="1589237" cy="589652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</xdr:row>
      <xdr:rowOff>523875</xdr:rowOff>
    </xdr:from>
    <xdr:to>
      <xdr:col>14</xdr:col>
      <xdr:colOff>0</xdr:colOff>
      <xdr:row>13</xdr:row>
      <xdr:rowOff>247649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171449</xdr:rowOff>
    </xdr:from>
    <xdr:to>
      <xdr:col>7</xdr:col>
      <xdr:colOff>0</xdr:colOff>
      <xdr:row>11</xdr:row>
      <xdr:rowOff>66675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</xdr:row>
      <xdr:rowOff>228600</xdr:rowOff>
    </xdr:from>
    <xdr:to>
      <xdr:col>14</xdr:col>
      <xdr:colOff>38100</xdr:colOff>
      <xdr:row>12</xdr:row>
      <xdr:rowOff>0</xdr:rowOff>
    </xdr:to>
    <xdr:cxnSp macro="">
      <xdr:nvCxnSpPr>
        <xdr:cNvPr id="3" name="2 Conector recto"/>
        <xdr:cNvCxnSpPr/>
      </xdr:nvCxnSpPr>
      <xdr:spPr>
        <a:xfrm flipH="1">
          <a:off x="238125" y="347662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228600</xdr:rowOff>
    </xdr:from>
    <xdr:to>
      <xdr:col>14</xdr:col>
      <xdr:colOff>38100</xdr:colOff>
      <xdr:row>23</xdr:row>
      <xdr:rowOff>0</xdr:rowOff>
    </xdr:to>
    <xdr:cxnSp macro="">
      <xdr:nvCxnSpPr>
        <xdr:cNvPr id="6" name="5 Conector recto"/>
        <xdr:cNvCxnSpPr/>
      </xdr:nvCxnSpPr>
      <xdr:spPr>
        <a:xfrm flipH="1">
          <a:off x="238125" y="672465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228600</xdr:rowOff>
    </xdr:from>
    <xdr:to>
      <xdr:col>14</xdr:col>
      <xdr:colOff>38100</xdr:colOff>
      <xdr:row>34</xdr:row>
      <xdr:rowOff>0</xdr:rowOff>
    </xdr:to>
    <xdr:cxnSp macro="">
      <xdr:nvCxnSpPr>
        <xdr:cNvPr id="9" name="8 Conector recto"/>
        <xdr:cNvCxnSpPr/>
      </xdr:nvCxnSpPr>
      <xdr:spPr>
        <a:xfrm flipH="1">
          <a:off x="238125" y="997267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132273</xdr:colOff>
      <xdr:row>1</xdr:row>
      <xdr:rowOff>0</xdr:rowOff>
    </xdr:from>
    <xdr:to>
      <xdr:col>7</xdr:col>
      <xdr:colOff>179897</xdr:colOff>
      <xdr:row>45</xdr:row>
      <xdr:rowOff>0</xdr:rowOff>
    </xdr:to>
    <xdr:grpSp>
      <xdr:nvGrpSpPr>
        <xdr:cNvPr id="10" name="9 Grupo"/>
        <xdr:cNvGrpSpPr/>
      </xdr:nvGrpSpPr>
      <xdr:grpSpPr>
        <a:xfrm>
          <a:off x="5799648" y="190500"/>
          <a:ext cx="47624" cy="8686800"/>
          <a:chOff x="5777543" y="3774057"/>
          <a:chExt cx="47624" cy="11066612"/>
        </a:xfrm>
      </xdr:grpSpPr>
      <xdr:cxnSp macro="">
        <xdr:nvCxnSpPr>
          <xdr:cNvPr id="11" name="10 Conector recto"/>
          <xdr:cNvCxnSpPr/>
        </xdr:nvCxnSpPr>
        <xdr:spPr>
          <a:xfrm flipH="1" flipV="1">
            <a:off x="5795515" y="3774057"/>
            <a:ext cx="19049" cy="5502754"/>
          </a:xfrm>
          <a:prstGeom prst="line">
            <a:avLst/>
          </a:prstGeom>
          <a:ln w="38100">
            <a:solidFill>
              <a:srgbClr val="000099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11 Conector recto"/>
          <xdr:cNvCxnSpPr/>
        </xdr:nvCxnSpPr>
        <xdr:spPr>
          <a:xfrm flipH="1" flipV="1">
            <a:off x="5814565" y="9305387"/>
            <a:ext cx="28574" cy="5535282"/>
          </a:xfrm>
          <a:prstGeom prst="line">
            <a:avLst/>
          </a:prstGeom>
          <a:ln w="38100">
            <a:solidFill>
              <a:srgbClr val="000099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44</xdr:row>
      <xdr:rowOff>228600</xdr:rowOff>
    </xdr:from>
    <xdr:to>
      <xdr:col>14</xdr:col>
      <xdr:colOff>38100</xdr:colOff>
      <xdr:row>45</xdr:row>
      <xdr:rowOff>0</xdr:rowOff>
    </xdr:to>
    <xdr:cxnSp macro="">
      <xdr:nvCxnSpPr>
        <xdr:cNvPr id="15" name="14 Conector recto"/>
        <xdr:cNvCxnSpPr/>
      </xdr:nvCxnSpPr>
      <xdr:spPr>
        <a:xfrm flipH="1">
          <a:off x="238125" y="1322070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228600</xdr:rowOff>
    </xdr:from>
    <xdr:to>
      <xdr:col>14</xdr:col>
      <xdr:colOff>38100</xdr:colOff>
      <xdr:row>56</xdr:row>
      <xdr:rowOff>0</xdr:rowOff>
    </xdr:to>
    <xdr:cxnSp macro="">
      <xdr:nvCxnSpPr>
        <xdr:cNvPr id="18" name="17 Conector recto"/>
        <xdr:cNvCxnSpPr/>
      </xdr:nvCxnSpPr>
      <xdr:spPr>
        <a:xfrm flipH="1">
          <a:off x="238125" y="1646872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200026</xdr:colOff>
      <xdr:row>45</xdr:row>
      <xdr:rowOff>0</xdr:rowOff>
    </xdr:from>
    <xdr:to>
      <xdr:col>7</xdr:col>
      <xdr:colOff>219075</xdr:colOff>
      <xdr:row>66</xdr:row>
      <xdr:rowOff>219075</xdr:rowOff>
    </xdr:to>
    <xdr:cxnSp macro="">
      <xdr:nvCxnSpPr>
        <xdr:cNvPr id="19" name="18 Conector recto"/>
        <xdr:cNvCxnSpPr/>
      </xdr:nvCxnSpPr>
      <xdr:spPr>
        <a:xfrm flipH="1" flipV="1">
          <a:off x="5867401" y="13287375"/>
          <a:ext cx="19049" cy="6419850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</xdr:row>
      <xdr:rowOff>228600</xdr:rowOff>
    </xdr:from>
    <xdr:to>
      <xdr:col>14</xdr:col>
      <xdr:colOff>38100</xdr:colOff>
      <xdr:row>67</xdr:row>
      <xdr:rowOff>0</xdr:rowOff>
    </xdr:to>
    <xdr:cxnSp macro="">
      <xdr:nvCxnSpPr>
        <xdr:cNvPr id="22" name="21 Conector recto"/>
        <xdr:cNvCxnSpPr/>
      </xdr:nvCxnSpPr>
      <xdr:spPr>
        <a:xfrm flipH="1">
          <a:off x="238125" y="1971675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228600</xdr:rowOff>
    </xdr:from>
    <xdr:to>
      <xdr:col>14</xdr:col>
      <xdr:colOff>38100</xdr:colOff>
      <xdr:row>78</xdr:row>
      <xdr:rowOff>0</xdr:rowOff>
    </xdr:to>
    <xdr:cxnSp macro="">
      <xdr:nvCxnSpPr>
        <xdr:cNvPr id="25" name="24 Conector recto"/>
        <xdr:cNvCxnSpPr/>
      </xdr:nvCxnSpPr>
      <xdr:spPr>
        <a:xfrm flipH="1">
          <a:off x="238125" y="2296477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219076</xdr:colOff>
      <xdr:row>66</xdr:row>
      <xdr:rowOff>247651</xdr:rowOff>
    </xdr:from>
    <xdr:to>
      <xdr:col>7</xdr:col>
      <xdr:colOff>247650</xdr:colOff>
      <xdr:row>88</xdr:row>
      <xdr:rowOff>247650</xdr:rowOff>
    </xdr:to>
    <xdr:cxnSp macro="">
      <xdr:nvCxnSpPr>
        <xdr:cNvPr id="26" name="25 Conector recto"/>
        <xdr:cNvCxnSpPr/>
      </xdr:nvCxnSpPr>
      <xdr:spPr>
        <a:xfrm flipH="1" flipV="1">
          <a:off x="5886451" y="19735801"/>
          <a:ext cx="28574" cy="6496049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228600</xdr:rowOff>
    </xdr:from>
    <xdr:to>
      <xdr:col>14</xdr:col>
      <xdr:colOff>38100</xdr:colOff>
      <xdr:row>89</xdr:row>
      <xdr:rowOff>0</xdr:rowOff>
    </xdr:to>
    <xdr:cxnSp macro="">
      <xdr:nvCxnSpPr>
        <xdr:cNvPr id="29" name="28 Conector recto"/>
        <xdr:cNvCxnSpPr/>
      </xdr:nvCxnSpPr>
      <xdr:spPr>
        <a:xfrm flipH="1">
          <a:off x="238125" y="2621280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99</xdr:row>
      <xdr:rowOff>228600</xdr:rowOff>
    </xdr:from>
    <xdr:to>
      <xdr:col>14</xdr:col>
      <xdr:colOff>38100</xdr:colOff>
      <xdr:row>100</xdr:row>
      <xdr:rowOff>0</xdr:rowOff>
    </xdr:to>
    <xdr:cxnSp macro="">
      <xdr:nvCxnSpPr>
        <xdr:cNvPr id="32" name="31 Conector recto"/>
        <xdr:cNvCxnSpPr/>
      </xdr:nvCxnSpPr>
      <xdr:spPr>
        <a:xfrm flipH="1">
          <a:off x="238125" y="2946082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247651</xdr:colOff>
      <xdr:row>89</xdr:row>
      <xdr:rowOff>0</xdr:rowOff>
    </xdr:from>
    <xdr:to>
      <xdr:col>7</xdr:col>
      <xdr:colOff>266700</xdr:colOff>
      <xdr:row>110</xdr:row>
      <xdr:rowOff>219075</xdr:rowOff>
    </xdr:to>
    <xdr:cxnSp macro="">
      <xdr:nvCxnSpPr>
        <xdr:cNvPr id="33" name="32 Conector recto"/>
        <xdr:cNvCxnSpPr/>
      </xdr:nvCxnSpPr>
      <xdr:spPr>
        <a:xfrm flipH="1" flipV="1">
          <a:off x="5915026" y="26279475"/>
          <a:ext cx="19049" cy="6419850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</xdr:row>
      <xdr:rowOff>228600</xdr:rowOff>
    </xdr:from>
    <xdr:to>
      <xdr:col>14</xdr:col>
      <xdr:colOff>38100</xdr:colOff>
      <xdr:row>111</xdr:row>
      <xdr:rowOff>0</xdr:rowOff>
    </xdr:to>
    <xdr:cxnSp macro="">
      <xdr:nvCxnSpPr>
        <xdr:cNvPr id="36" name="35 Conector recto"/>
        <xdr:cNvCxnSpPr/>
      </xdr:nvCxnSpPr>
      <xdr:spPr>
        <a:xfrm flipH="1">
          <a:off x="238125" y="3270885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</xdr:row>
      <xdr:rowOff>228600</xdr:rowOff>
    </xdr:from>
    <xdr:to>
      <xdr:col>14</xdr:col>
      <xdr:colOff>38100</xdr:colOff>
      <xdr:row>122</xdr:row>
      <xdr:rowOff>0</xdr:rowOff>
    </xdr:to>
    <xdr:cxnSp macro="">
      <xdr:nvCxnSpPr>
        <xdr:cNvPr id="39" name="38 Conector recto"/>
        <xdr:cNvCxnSpPr/>
      </xdr:nvCxnSpPr>
      <xdr:spPr>
        <a:xfrm flipH="1">
          <a:off x="238125" y="3595687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266701</xdr:colOff>
      <xdr:row>110</xdr:row>
      <xdr:rowOff>247651</xdr:rowOff>
    </xdr:from>
    <xdr:to>
      <xdr:col>7</xdr:col>
      <xdr:colOff>295275</xdr:colOff>
      <xdr:row>132</xdr:row>
      <xdr:rowOff>247650</xdr:rowOff>
    </xdr:to>
    <xdr:cxnSp macro="">
      <xdr:nvCxnSpPr>
        <xdr:cNvPr id="40" name="39 Conector recto"/>
        <xdr:cNvCxnSpPr/>
      </xdr:nvCxnSpPr>
      <xdr:spPr>
        <a:xfrm flipH="1" flipV="1">
          <a:off x="5934076" y="32727901"/>
          <a:ext cx="28574" cy="6496049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132</xdr:row>
      <xdr:rowOff>228600</xdr:rowOff>
    </xdr:from>
    <xdr:to>
      <xdr:col>14</xdr:col>
      <xdr:colOff>38100</xdr:colOff>
      <xdr:row>133</xdr:row>
      <xdr:rowOff>0</xdr:rowOff>
    </xdr:to>
    <xdr:cxnSp macro="">
      <xdr:nvCxnSpPr>
        <xdr:cNvPr id="43" name="42 Conector recto"/>
        <xdr:cNvCxnSpPr/>
      </xdr:nvCxnSpPr>
      <xdr:spPr>
        <a:xfrm flipH="1">
          <a:off x="238125" y="3920490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13</xdr:col>
      <xdr:colOff>904874</xdr:colOff>
      <xdr:row>11</xdr:row>
      <xdr:rowOff>85726</xdr:rowOff>
    </xdr:to>
    <xdr:graphicFrame macro="">
      <xdr:nvGraphicFramePr>
        <xdr:cNvPr id="47" name="4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6</xdr:col>
      <xdr:colOff>904874</xdr:colOff>
      <xdr:row>22</xdr:row>
      <xdr:rowOff>85726</xdr:rowOff>
    </xdr:to>
    <xdr:graphicFrame macro="">
      <xdr:nvGraphicFramePr>
        <xdr:cNvPr id="48" name="4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13</xdr:col>
      <xdr:colOff>904874</xdr:colOff>
      <xdr:row>22</xdr:row>
      <xdr:rowOff>85726</xdr:rowOff>
    </xdr:to>
    <xdr:graphicFrame macro="">
      <xdr:nvGraphicFramePr>
        <xdr:cNvPr id="49" name="48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6</xdr:col>
      <xdr:colOff>904874</xdr:colOff>
      <xdr:row>33</xdr:row>
      <xdr:rowOff>85726</xdr:rowOff>
    </xdr:to>
    <xdr:graphicFrame macro="">
      <xdr:nvGraphicFramePr>
        <xdr:cNvPr id="27" name="2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13</xdr:col>
      <xdr:colOff>904874</xdr:colOff>
      <xdr:row>33</xdr:row>
      <xdr:rowOff>85726</xdr:rowOff>
    </xdr:to>
    <xdr:graphicFrame macro="">
      <xdr:nvGraphicFramePr>
        <xdr:cNvPr id="30" name="2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6</xdr:col>
      <xdr:colOff>904874</xdr:colOff>
      <xdr:row>44</xdr:row>
      <xdr:rowOff>85726</xdr:rowOff>
    </xdr:to>
    <xdr:graphicFrame macro="">
      <xdr:nvGraphicFramePr>
        <xdr:cNvPr id="31" name="30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13</xdr:col>
      <xdr:colOff>904874</xdr:colOff>
      <xdr:row>44</xdr:row>
      <xdr:rowOff>85726</xdr:rowOff>
    </xdr:to>
    <xdr:graphicFrame macro="">
      <xdr:nvGraphicFramePr>
        <xdr:cNvPr id="34" name="3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6</xdr:col>
      <xdr:colOff>904874</xdr:colOff>
      <xdr:row>55</xdr:row>
      <xdr:rowOff>85726</xdr:rowOff>
    </xdr:to>
    <xdr:graphicFrame macro="">
      <xdr:nvGraphicFramePr>
        <xdr:cNvPr id="35" name="3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13</xdr:col>
      <xdr:colOff>904874</xdr:colOff>
      <xdr:row>55</xdr:row>
      <xdr:rowOff>85726</xdr:rowOff>
    </xdr:to>
    <xdr:graphicFrame macro="">
      <xdr:nvGraphicFramePr>
        <xdr:cNvPr id="38" name="3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6</xdr:col>
      <xdr:colOff>904874</xdr:colOff>
      <xdr:row>66</xdr:row>
      <xdr:rowOff>85726</xdr:rowOff>
    </xdr:to>
    <xdr:graphicFrame macro="">
      <xdr:nvGraphicFramePr>
        <xdr:cNvPr id="44" name="4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13</xdr:col>
      <xdr:colOff>904874</xdr:colOff>
      <xdr:row>66</xdr:row>
      <xdr:rowOff>85726</xdr:rowOff>
    </xdr:to>
    <xdr:graphicFrame macro="">
      <xdr:nvGraphicFramePr>
        <xdr:cNvPr id="46" name="4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69</xdr:row>
      <xdr:rowOff>0</xdr:rowOff>
    </xdr:from>
    <xdr:to>
      <xdr:col>6</xdr:col>
      <xdr:colOff>904874</xdr:colOff>
      <xdr:row>77</xdr:row>
      <xdr:rowOff>85726</xdr:rowOff>
    </xdr:to>
    <xdr:graphicFrame macro="">
      <xdr:nvGraphicFramePr>
        <xdr:cNvPr id="50" name="4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69</xdr:row>
      <xdr:rowOff>0</xdr:rowOff>
    </xdr:from>
    <xdr:to>
      <xdr:col>13</xdr:col>
      <xdr:colOff>904874</xdr:colOff>
      <xdr:row>77</xdr:row>
      <xdr:rowOff>85726</xdr:rowOff>
    </xdr:to>
    <xdr:graphicFrame macro="">
      <xdr:nvGraphicFramePr>
        <xdr:cNvPr id="51" name="50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80</xdr:row>
      <xdr:rowOff>0</xdr:rowOff>
    </xdr:from>
    <xdr:to>
      <xdr:col>6</xdr:col>
      <xdr:colOff>904874</xdr:colOff>
      <xdr:row>88</xdr:row>
      <xdr:rowOff>85726</xdr:rowOff>
    </xdr:to>
    <xdr:graphicFrame macro="">
      <xdr:nvGraphicFramePr>
        <xdr:cNvPr id="52" name="5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80</xdr:row>
      <xdr:rowOff>0</xdr:rowOff>
    </xdr:from>
    <xdr:to>
      <xdr:col>13</xdr:col>
      <xdr:colOff>904874</xdr:colOff>
      <xdr:row>88</xdr:row>
      <xdr:rowOff>85726</xdr:rowOff>
    </xdr:to>
    <xdr:graphicFrame macro="">
      <xdr:nvGraphicFramePr>
        <xdr:cNvPr id="53" name="5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6</xdr:col>
      <xdr:colOff>904874</xdr:colOff>
      <xdr:row>99</xdr:row>
      <xdr:rowOff>85726</xdr:rowOff>
    </xdr:to>
    <xdr:graphicFrame macro="">
      <xdr:nvGraphicFramePr>
        <xdr:cNvPr id="55" name="5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0</xdr:colOff>
      <xdr:row>91</xdr:row>
      <xdr:rowOff>0</xdr:rowOff>
    </xdr:from>
    <xdr:to>
      <xdr:col>13</xdr:col>
      <xdr:colOff>904874</xdr:colOff>
      <xdr:row>99</xdr:row>
      <xdr:rowOff>85726</xdr:rowOff>
    </xdr:to>
    <xdr:graphicFrame macro="">
      <xdr:nvGraphicFramePr>
        <xdr:cNvPr id="56" name="5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6</xdr:col>
      <xdr:colOff>904874</xdr:colOff>
      <xdr:row>110</xdr:row>
      <xdr:rowOff>85726</xdr:rowOff>
    </xdr:to>
    <xdr:graphicFrame macro="">
      <xdr:nvGraphicFramePr>
        <xdr:cNvPr id="57" name="5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0</xdr:colOff>
      <xdr:row>102</xdr:row>
      <xdr:rowOff>0</xdr:rowOff>
    </xdr:from>
    <xdr:to>
      <xdr:col>13</xdr:col>
      <xdr:colOff>904874</xdr:colOff>
      <xdr:row>110</xdr:row>
      <xdr:rowOff>85726</xdr:rowOff>
    </xdr:to>
    <xdr:graphicFrame macro="">
      <xdr:nvGraphicFramePr>
        <xdr:cNvPr id="58" name="5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113</xdr:row>
      <xdr:rowOff>0</xdr:rowOff>
    </xdr:from>
    <xdr:to>
      <xdr:col>6</xdr:col>
      <xdr:colOff>904874</xdr:colOff>
      <xdr:row>121</xdr:row>
      <xdr:rowOff>85726</xdr:rowOff>
    </xdr:to>
    <xdr:graphicFrame macro="">
      <xdr:nvGraphicFramePr>
        <xdr:cNvPr id="59" name="58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0</xdr:colOff>
      <xdr:row>113</xdr:row>
      <xdr:rowOff>0</xdr:rowOff>
    </xdr:from>
    <xdr:to>
      <xdr:col>13</xdr:col>
      <xdr:colOff>904874</xdr:colOff>
      <xdr:row>121</xdr:row>
      <xdr:rowOff>85726</xdr:rowOff>
    </xdr:to>
    <xdr:graphicFrame macro="">
      <xdr:nvGraphicFramePr>
        <xdr:cNvPr id="60" name="5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124</xdr:row>
      <xdr:rowOff>0</xdr:rowOff>
    </xdr:from>
    <xdr:to>
      <xdr:col>6</xdr:col>
      <xdr:colOff>904874</xdr:colOff>
      <xdr:row>132</xdr:row>
      <xdr:rowOff>85726</xdr:rowOff>
    </xdr:to>
    <xdr:graphicFrame macro="">
      <xdr:nvGraphicFramePr>
        <xdr:cNvPr id="61" name="60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0</xdr:colOff>
      <xdr:row>124</xdr:row>
      <xdr:rowOff>0</xdr:rowOff>
    </xdr:from>
    <xdr:to>
      <xdr:col>13</xdr:col>
      <xdr:colOff>904874</xdr:colOff>
      <xdr:row>132</xdr:row>
      <xdr:rowOff>85726</xdr:rowOff>
    </xdr:to>
    <xdr:graphicFrame macro="">
      <xdr:nvGraphicFramePr>
        <xdr:cNvPr id="62" name="6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47625</xdr:rowOff>
    </xdr:from>
    <xdr:to>
      <xdr:col>3</xdr:col>
      <xdr:colOff>1461456</xdr:colOff>
      <xdr:row>0</xdr:row>
      <xdr:rowOff>523875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8625" y="47625"/>
          <a:ext cx="1356681" cy="4762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0</xdr:row>
      <xdr:rowOff>200025</xdr:rowOff>
    </xdr:from>
    <xdr:to>
      <xdr:col>4</xdr:col>
      <xdr:colOff>1962269</xdr:colOff>
      <xdr:row>0</xdr:row>
      <xdr:rowOff>828675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200025"/>
          <a:ext cx="1790819" cy="628650"/>
        </a:xfrm>
        <a:prstGeom prst="rect">
          <a:avLst/>
        </a:prstGeom>
        <a:noFill/>
      </xdr:spPr>
    </xdr:pic>
    <xdr:clientData/>
  </xdr:twoCellAnchor>
</xdr:wsDr>
</file>

<file path=xl/queryTables/queryTable1.xml><?xml version="1.0" encoding="utf-8"?>
<queryTable xmlns="http://schemas.openxmlformats.org/spreadsheetml/2006/main" name="Transcripcion.accdb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cod" tableColumnId="1"/>
      <queryTableField id="2" name="centro" tableColumnId="2"/>
      <queryTableField id="3" name="turno" tableColumnId="3"/>
      <queryTableField id="4" name="chavez" tableColumnId="4"/>
      <queryTableField id="5" name="capriles" tableColumnId="5"/>
      <queryTableField id="6" name="otro" tableColumnId="6"/>
      <queryTableField id="7" name="totalv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Transcripcion.accdb" displayName="Tabla_Transcripcion.accdb" ref="A2:G2043" tableType="queryTable" totalsRowShown="0">
  <autoFilter ref="A2:G2043"/>
  <tableColumns count="7">
    <tableColumn id="1" uniqueName="1" name="cod" queryTableFieldId="1"/>
    <tableColumn id="2" uniqueName="2" name="centro" queryTableFieldId="2"/>
    <tableColumn id="3" uniqueName="3" name="turno" queryTableFieldId="3"/>
    <tableColumn id="4" uniqueName="4" name="chavez" queryTableFieldId="4"/>
    <tableColumn id="5" uniqueName="5" name="capriles" queryTableFieldId="5"/>
    <tableColumn id="6" uniqueName="6" name="otro" queryTableFieldId="6"/>
    <tableColumn id="7" uniqueName="7" name="totalv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H2043"/>
  <sheetViews>
    <sheetView tabSelected="1" topLeftCell="A1801" workbookViewId="0">
      <selection activeCell="K10" sqref="K10"/>
    </sheetView>
  </sheetViews>
  <sheetFormatPr baseColWidth="10" defaultRowHeight="15" x14ac:dyDescent="0.25"/>
  <cols>
    <col min="1" max="1" width="6.28515625" bestFit="1" customWidth="1"/>
    <col min="2" max="2" width="8.85546875" bestFit="1" customWidth="1"/>
    <col min="3" max="3" width="8" bestFit="1" customWidth="1"/>
    <col min="4" max="4" width="9.140625" bestFit="1" customWidth="1"/>
    <col min="5" max="5" width="10" bestFit="1" customWidth="1"/>
    <col min="6" max="6" width="6.85546875" bestFit="1" customWidth="1"/>
    <col min="7" max="7" width="11.140625" bestFit="1" customWidth="1"/>
  </cols>
  <sheetData>
    <row r="2" spans="1:7" x14ac:dyDescent="0.25">
      <c r="A2" t="s">
        <v>255</v>
      </c>
      <c r="B2" t="s">
        <v>253</v>
      </c>
      <c r="C2" t="s">
        <v>254</v>
      </c>
      <c r="D2" t="s">
        <v>256</v>
      </c>
      <c r="E2" t="s">
        <v>257</v>
      </c>
      <c r="F2" t="s">
        <v>258</v>
      </c>
      <c r="G2" t="s">
        <v>259</v>
      </c>
    </row>
    <row r="3" spans="1:7" x14ac:dyDescent="0.25">
      <c r="A3">
        <v>2111</v>
      </c>
      <c r="B3">
        <v>111</v>
      </c>
      <c r="C3">
        <v>11</v>
      </c>
      <c r="D3">
        <v>0</v>
      </c>
      <c r="E3">
        <v>1</v>
      </c>
      <c r="F3">
        <v>0</v>
      </c>
      <c r="G3">
        <v>1</v>
      </c>
    </row>
    <row r="4" spans="1:7" x14ac:dyDescent="0.25">
      <c r="A4">
        <v>3111</v>
      </c>
      <c r="B4">
        <v>111</v>
      </c>
      <c r="C4">
        <v>11</v>
      </c>
      <c r="D4">
        <v>7</v>
      </c>
      <c r="E4">
        <v>3</v>
      </c>
      <c r="F4">
        <v>0</v>
      </c>
      <c r="G4">
        <v>10</v>
      </c>
    </row>
    <row r="5" spans="1:7" x14ac:dyDescent="0.25">
      <c r="A5">
        <v>1112</v>
      </c>
      <c r="B5">
        <v>112</v>
      </c>
      <c r="C5">
        <v>11</v>
      </c>
      <c r="D5">
        <v>7</v>
      </c>
      <c r="E5">
        <v>10</v>
      </c>
      <c r="F5">
        <v>0</v>
      </c>
      <c r="G5">
        <v>17</v>
      </c>
    </row>
    <row r="6" spans="1:7" x14ac:dyDescent="0.25">
      <c r="A6">
        <v>2110</v>
      </c>
      <c r="B6">
        <v>110</v>
      </c>
      <c r="C6">
        <v>11</v>
      </c>
      <c r="D6">
        <v>7</v>
      </c>
      <c r="E6">
        <v>1</v>
      </c>
      <c r="F6">
        <v>0</v>
      </c>
      <c r="G6">
        <v>8</v>
      </c>
    </row>
    <row r="7" spans="1:7" x14ac:dyDescent="0.25">
      <c r="A7">
        <v>2112</v>
      </c>
      <c r="B7">
        <v>112</v>
      </c>
      <c r="C7">
        <v>11</v>
      </c>
      <c r="D7">
        <v>4</v>
      </c>
      <c r="E7">
        <v>3</v>
      </c>
      <c r="F7">
        <v>0</v>
      </c>
      <c r="G7">
        <v>7</v>
      </c>
    </row>
    <row r="8" spans="1:7" x14ac:dyDescent="0.25">
      <c r="A8">
        <v>1044</v>
      </c>
      <c r="B8">
        <v>44</v>
      </c>
      <c r="C8">
        <v>1</v>
      </c>
      <c r="D8">
        <v>9</v>
      </c>
      <c r="E8">
        <v>11</v>
      </c>
      <c r="F8">
        <v>0</v>
      </c>
      <c r="G8">
        <v>20</v>
      </c>
    </row>
    <row r="9" spans="1:7" x14ac:dyDescent="0.25">
      <c r="A9">
        <v>2052</v>
      </c>
      <c r="B9">
        <v>52</v>
      </c>
      <c r="C9">
        <v>1</v>
      </c>
      <c r="D9">
        <v>8</v>
      </c>
      <c r="E9">
        <v>1</v>
      </c>
      <c r="F9">
        <v>1</v>
      </c>
      <c r="G9">
        <v>10</v>
      </c>
    </row>
    <row r="10" spans="1:7" x14ac:dyDescent="0.25">
      <c r="A10">
        <v>3058</v>
      </c>
      <c r="B10">
        <v>58</v>
      </c>
      <c r="C10">
        <v>1</v>
      </c>
      <c r="D10">
        <v>18</v>
      </c>
      <c r="E10">
        <v>1</v>
      </c>
      <c r="F10">
        <v>0</v>
      </c>
      <c r="G10">
        <v>19</v>
      </c>
    </row>
    <row r="11" spans="1:7" x14ac:dyDescent="0.25">
      <c r="A11">
        <v>5048</v>
      </c>
      <c r="B11">
        <v>48</v>
      </c>
      <c r="C11">
        <v>1</v>
      </c>
      <c r="D11">
        <v>13</v>
      </c>
      <c r="E11">
        <v>3</v>
      </c>
      <c r="F11">
        <v>0</v>
      </c>
      <c r="G11">
        <v>16</v>
      </c>
    </row>
    <row r="12" spans="1:7" x14ac:dyDescent="0.25">
      <c r="A12">
        <v>1060</v>
      </c>
      <c r="B12">
        <v>60</v>
      </c>
      <c r="C12">
        <v>2</v>
      </c>
      <c r="D12">
        <v>8</v>
      </c>
      <c r="E12">
        <v>10</v>
      </c>
      <c r="F12">
        <v>0</v>
      </c>
      <c r="G12">
        <v>18</v>
      </c>
    </row>
    <row r="13" spans="1:7" x14ac:dyDescent="0.25">
      <c r="A13">
        <v>2040</v>
      </c>
      <c r="B13">
        <v>40</v>
      </c>
      <c r="C13">
        <v>1</v>
      </c>
      <c r="D13">
        <v>18</v>
      </c>
      <c r="E13">
        <v>3</v>
      </c>
      <c r="F13">
        <v>0</v>
      </c>
      <c r="G13">
        <v>21</v>
      </c>
    </row>
    <row r="14" spans="1:7" x14ac:dyDescent="0.25">
      <c r="A14">
        <v>3097</v>
      </c>
      <c r="B14">
        <v>97</v>
      </c>
      <c r="C14">
        <v>1</v>
      </c>
      <c r="D14">
        <v>8</v>
      </c>
      <c r="E14">
        <v>2</v>
      </c>
      <c r="F14">
        <v>0</v>
      </c>
      <c r="G14">
        <v>10</v>
      </c>
    </row>
    <row r="15" spans="1:7" x14ac:dyDescent="0.25">
      <c r="A15">
        <v>2138</v>
      </c>
      <c r="B15">
        <v>138</v>
      </c>
      <c r="C15">
        <v>1</v>
      </c>
      <c r="D15">
        <v>12</v>
      </c>
      <c r="E15">
        <v>8</v>
      </c>
      <c r="F15">
        <v>0</v>
      </c>
      <c r="G15">
        <v>20</v>
      </c>
    </row>
    <row r="16" spans="1:7" x14ac:dyDescent="0.25">
      <c r="A16">
        <v>3038</v>
      </c>
      <c r="B16">
        <v>38</v>
      </c>
      <c r="C16">
        <v>1</v>
      </c>
      <c r="D16">
        <v>8</v>
      </c>
      <c r="E16">
        <v>10</v>
      </c>
      <c r="F16">
        <v>0</v>
      </c>
      <c r="G16">
        <v>18</v>
      </c>
    </row>
    <row r="17" spans="1:8" x14ac:dyDescent="0.25">
      <c r="A17">
        <v>1047</v>
      </c>
      <c r="B17">
        <v>47</v>
      </c>
      <c r="C17">
        <v>2</v>
      </c>
      <c r="D17">
        <v>16</v>
      </c>
      <c r="E17">
        <v>4</v>
      </c>
      <c r="F17">
        <v>0</v>
      </c>
      <c r="G17">
        <v>20</v>
      </c>
    </row>
    <row r="18" spans="1:8" x14ac:dyDescent="0.25">
      <c r="A18">
        <v>2153</v>
      </c>
      <c r="B18">
        <v>153</v>
      </c>
      <c r="C18">
        <v>1</v>
      </c>
      <c r="D18">
        <v>3</v>
      </c>
      <c r="E18">
        <v>0</v>
      </c>
      <c r="F18">
        <v>0</v>
      </c>
      <c r="G18">
        <v>3</v>
      </c>
    </row>
    <row r="19" spans="1:8" x14ac:dyDescent="0.25">
      <c r="A19">
        <v>1035</v>
      </c>
      <c r="B19">
        <v>35</v>
      </c>
      <c r="C19">
        <v>1</v>
      </c>
      <c r="D19">
        <v>12</v>
      </c>
      <c r="E19">
        <v>8</v>
      </c>
      <c r="F19">
        <v>0</v>
      </c>
      <c r="G19">
        <v>20</v>
      </c>
    </row>
    <row r="20" spans="1:8" x14ac:dyDescent="0.25">
      <c r="A20">
        <v>2045</v>
      </c>
      <c r="B20">
        <v>45</v>
      </c>
      <c r="C20">
        <v>1</v>
      </c>
      <c r="D20">
        <v>5</v>
      </c>
      <c r="E20">
        <v>8</v>
      </c>
      <c r="F20">
        <v>0</v>
      </c>
      <c r="G20">
        <v>13</v>
      </c>
    </row>
    <row r="21" spans="1:8" x14ac:dyDescent="0.25">
      <c r="A21">
        <v>2100</v>
      </c>
      <c r="B21">
        <v>100</v>
      </c>
      <c r="C21">
        <v>1</v>
      </c>
      <c r="D21">
        <v>9</v>
      </c>
      <c r="E21">
        <v>11</v>
      </c>
      <c r="F21">
        <v>0</v>
      </c>
      <c r="G21">
        <v>20</v>
      </c>
    </row>
    <row r="22" spans="1:8" x14ac:dyDescent="0.25">
      <c r="A22">
        <v>1048</v>
      </c>
      <c r="B22">
        <v>48</v>
      </c>
      <c r="C22">
        <v>1</v>
      </c>
      <c r="D22">
        <v>18</v>
      </c>
      <c r="E22">
        <v>2</v>
      </c>
      <c r="F22">
        <v>0</v>
      </c>
      <c r="G22">
        <v>20</v>
      </c>
    </row>
    <row r="23" spans="1:8" x14ac:dyDescent="0.25">
      <c r="A23">
        <v>1047</v>
      </c>
      <c r="B23">
        <v>47</v>
      </c>
      <c r="C23">
        <v>1</v>
      </c>
      <c r="D23">
        <v>5</v>
      </c>
      <c r="E23">
        <v>5</v>
      </c>
      <c r="F23">
        <v>0</v>
      </c>
      <c r="G23">
        <v>10</v>
      </c>
    </row>
    <row r="24" spans="1:8" x14ac:dyDescent="0.25">
      <c r="A24">
        <v>3100</v>
      </c>
      <c r="B24">
        <v>100</v>
      </c>
      <c r="C24">
        <v>1</v>
      </c>
      <c r="D24">
        <v>12</v>
      </c>
      <c r="E24">
        <v>10</v>
      </c>
      <c r="F24">
        <v>0</v>
      </c>
      <c r="G24">
        <v>22</v>
      </c>
    </row>
    <row r="25" spans="1:8" x14ac:dyDescent="0.25">
      <c r="A25">
        <v>2062</v>
      </c>
      <c r="B25">
        <v>62</v>
      </c>
      <c r="C25">
        <v>2</v>
      </c>
      <c r="D25">
        <v>8</v>
      </c>
      <c r="E25">
        <v>4</v>
      </c>
      <c r="F25">
        <v>1</v>
      </c>
      <c r="G25">
        <v>13</v>
      </c>
    </row>
    <row r="26" spans="1:8" x14ac:dyDescent="0.25">
      <c r="A26">
        <v>2003</v>
      </c>
      <c r="B26">
        <v>3</v>
      </c>
      <c r="C26">
        <v>2</v>
      </c>
      <c r="D26">
        <v>3</v>
      </c>
      <c r="E26">
        <v>1</v>
      </c>
      <c r="F26">
        <v>0</v>
      </c>
      <c r="G26">
        <v>4</v>
      </c>
    </row>
    <row r="27" spans="1:8" x14ac:dyDescent="0.25">
      <c r="A27">
        <v>1046</v>
      </c>
      <c r="B27">
        <v>46</v>
      </c>
      <c r="C27">
        <v>2</v>
      </c>
      <c r="D27">
        <v>10</v>
      </c>
      <c r="E27">
        <v>5</v>
      </c>
      <c r="F27">
        <v>0</v>
      </c>
      <c r="G27">
        <v>15</v>
      </c>
    </row>
    <row r="28" spans="1:8" x14ac:dyDescent="0.25">
      <c r="A28">
        <v>3098</v>
      </c>
      <c r="B28">
        <v>98</v>
      </c>
      <c r="C28">
        <v>1</v>
      </c>
      <c r="D28">
        <v>1</v>
      </c>
      <c r="E28">
        <v>19</v>
      </c>
      <c r="F28">
        <v>0</v>
      </c>
      <c r="G28">
        <v>20</v>
      </c>
    </row>
    <row r="29" spans="1:8" x14ac:dyDescent="0.25">
      <c r="A29">
        <v>1044</v>
      </c>
      <c r="B29">
        <v>44</v>
      </c>
      <c r="C29">
        <v>2</v>
      </c>
      <c r="D29">
        <v>7</v>
      </c>
      <c r="E29">
        <v>8</v>
      </c>
      <c r="F29">
        <v>0</v>
      </c>
      <c r="G29">
        <v>15</v>
      </c>
    </row>
    <row r="30" spans="1:8" x14ac:dyDescent="0.25">
      <c r="A30">
        <v>2105</v>
      </c>
      <c r="B30">
        <v>105</v>
      </c>
      <c r="C30">
        <v>1</v>
      </c>
      <c r="D30">
        <v>17</v>
      </c>
      <c r="E30">
        <v>3</v>
      </c>
      <c r="F30">
        <v>0</v>
      </c>
      <c r="G30">
        <v>20</v>
      </c>
    </row>
    <row r="31" spans="1:8" x14ac:dyDescent="0.25">
      <c r="A31">
        <v>1058</v>
      </c>
      <c r="B31">
        <v>58</v>
      </c>
      <c r="C31">
        <v>1</v>
      </c>
      <c r="D31">
        <v>4</v>
      </c>
      <c r="E31">
        <v>3</v>
      </c>
      <c r="F31">
        <v>0</v>
      </c>
      <c r="G31">
        <v>7</v>
      </c>
      <c r="H31" t="s">
        <v>175</v>
      </c>
    </row>
    <row r="32" spans="1:8" x14ac:dyDescent="0.25">
      <c r="A32">
        <v>1103</v>
      </c>
      <c r="B32">
        <v>103</v>
      </c>
      <c r="C32">
        <v>1</v>
      </c>
      <c r="D32">
        <v>5</v>
      </c>
      <c r="E32">
        <v>17</v>
      </c>
      <c r="F32">
        <v>0</v>
      </c>
      <c r="G32">
        <v>22</v>
      </c>
    </row>
    <row r="33" spans="1:7" x14ac:dyDescent="0.25">
      <c r="A33">
        <v>1037</v>
      </c>
      <c r="B33">
        <v>37</v>
      </c>
      <c r="C33">
        <v>1</v>
      </c>
      <c r="D33">
        <v>14</v>
      </c>
      <c r="E33">
        <v>9</v>
      </c>
      <c r="F33">
        <v>0</v>
      </c>
      <c r="G33">
        <v>23</v>
      </c>
    </row>
    <row r="34" spans="1:7" x14ac:dyDescent="0.25">
      <c r="A34">
        <v>1075</v>
      </c>
      <c r="B34">
        <v>75</v>
      </c>
      <c r="C34">
        <v>1</v>
      </c>
      <c r="D34">
        <v>0</v>
      </c>
      <c r="E34">
        <v>25</v>
      </c>
      <c r="F34">
        <v>0</v>
      </c>
      <c r="G34">
        <v>25</v>
      </c>
    </row>
    <row r="35" spans="1:7" x14ac:dyDescent="0.25">
      <c r="A35">
        <v>1065</v>
      </c>
      <c r="B35">
        <v>65</v>
      </c>
      <c r="C35">
        <v>1</v>
      </c>
      <c r="D35">
        <v>11</v>
      </c>
      <c r="E35">
        <v>13</v>
      </c>
      <c r="F35">
        <v>0</v>
      </c>
      <c r="G35">
        <v>24</v>
      </c>
    </row>
    <row r="36" spans="1:7" x14ac:dyDescent="0.25">
      <c r="A36">
        <v>2079</v>
      </c>
      <c r="B36">
        <v>79</v>
      </c>
      <c r="C36">
        <v>1</v>
      </c>
      <c r="D36">
        <v>10</v>
      </c>
      <c r="E36">
        <v>3</v>
      </c>
      <c r="F36">
        <v>0</v>
      </c>
      <c r="G36">
        <v>13</v>
      </c>
    </row>
    <row r="37" spans="1:7" x14ac:dyDescent="0.25">
      <c r="A37">
        <v>1078</v>
      </c>
      <c r="B37">
        <v>78</v>
      </c>
      <c r="C37">
        <v>1</v>
      </c>
      <c r="D37">
        <v>6</v>
      </c>
      <c r="E37">
        <v>14</v>
      </c>
      <c r="F37">
        <v>0</v>
      </c>
      <c r="G37">
        <v>20</v>
      </c>
    </row>
    <row r="38" spans="1:7" x14ac:dyDescent="0.25">
      <c r="A38">
        <v>1062</v>
      </c>
      <c r="B38">
        <v>62</v>
      </c>
      <c r="C38">
        <v>1</v>
      </c>
      <c r="D38">
        <v>4</v>
      </c>
      <c r="E38">
        <v>15</v>
      </c>
      <c r="F38">
        <v>0</v>
      </c>
      <c r="G38">
        <v>19</v>
      </c>
    </row>
    <row r="39" spans="1:7" x14ac:dyDescent="0.25">
      <c r="A39">
        <v>2078</v>
      </c>
      <c r="B39">
        <v>78</v>
      </c>
      <c r="C39">
        <v>1</v>
      </c>
      <c r="D39">
        <v>5</v>
      </c>
      <c r="E39">
        <v>8</v>
      </c>
      <c r="F39">
        <v>0</v>
      </c>
      <c r="G39">
        <v>13</v>
      </c>
    </row>
    <row r="40" spans="1:7" x14ac:dyDescent="0.25">
      <c r="A40">
        <v>1057</v>
      </c>
      <c r="B40">
        <v>57</v>
      </c>
      <c r="C40">
        <v>1</v>
      </c>
      <c r="D40">
        <v>11</v>
      </c>
      <c r="E40">
        <v>9</v>
      </c>
      <c r="F40">
        <v>0</v>
      </c>
      <c r="G40">
        <v>20</v>
      </c>
    </row>
    <row r="41" spans="1:7" x14ac:dyDescent="0.25">
      <c r="A41">
        <v>2037</v>
      </c>
      <c r="B41">
        <v>37</v>
      </c>
      <c r="C41">
        <v>1</v>
      </c>
      <c r="D41">
        <v>0</v>
      </c>
      <c r="E41">
        <v>9</v>
      </c>
      <c r="F41">
        <v>0</v>
      </c>
      <c r="G41">
        <v>9</v>
      </c>
    </row>
    <row r="42" spans="1:7" x14ac:dyDescent="0.25">
      <c r="A42">
        <v>3064</v>
      </c>
      <c r="B42">
        <v>64</v>
      </c>
      <c r="C42">
        <v>1</v>
      </c>
      <c r="D42">
        <v>19</v>
      </c>
      <c r="E42">
        <v>1</v>
      </c>
      <c r="F42">
        <v>0</v>
      </c>
      <c r="G42">
        <v>20</v>
      </c>
    </row>
    <row r="43" spans="1:7" x14ac:dyDescent="0.25">
      <c r="A43">
        <v>1079</v>
      </c>
      <c r="B43">
        <v>79</v>
      </c>
      <c r="C43">
        <v>1</v>
      </c>
      <c r="D43">
        <v>19</v>
      </c>
      <c r="E43">
        <v>3</v>
      </c>
      <c r="F43">
        <v>0</v>
      </c>
      <c r="G43">
        <v>22</v>
      </c>
    </row>
    <row r="44" spans="1:7" x14ac:dyDescent="0.25">
      <c r="A44">
        <v>1062</v>
      </c>
      <c r="B44">
        <v>62</v>
      </c>
      <c r="C44">
        <v>2</v>
      </c>
      <c r="D44">
        <v>4</v>
      </c>
      <c r="E44">
        <v>3</v>
      </c>
      <c r="F44">
        <v>0</v>
      </c>
      <c r="G44">
        <v>7</v>
      </c>
    </row>
    <row r="45" spans="1:7" x14ac:dyDescent="0.25">
      <c r="A45">
        <v>3079</v>
      </c>
      <c r="B45">
        <v>79</v>
      </c>
      <c r="C45">
        <v>1</v>
      </c>
      <c r="D45">
        <v>7</v>
      </c>
      <c r="E45">
        <v>12</v>
      </c>
      <c r="F45">
        <v>0</v>
      </c>
      <c r="G45">
        <v>19</v>
      </c>
    </row>
    <row r="46" spans="1:7" x14ac:dyDescent="0.25">
      <c r="A46">
        <v>3092</v>
      </c>
      <c r="B46">
        <v>92</v>
      </c>
      <c r="C46">
        <v>1</v>
      </c>
      <c r="D46">
        <v>2</v>
      </c>
      <c r="E46">
        <v>8</v>
      </c>
      <c r="F46">
        <v>0</v>
      </c>
      <c r="G46">
        <v>10</v>
      </c>
    </row>
    <row r="47" spans="1:7" x14ac:dyDescent="0.25">
      <c r="A47">
        <v>2076</v>
      </c>
      <c r="B47">
        <v>76</v>
      </c>
      <c r="C47">
        <v>1</v>
      </c>
      <c r="D47">
        <v>14</v>
      </c>
      <c r="E47">
        <v>6</v>
      </c>
      <c r="F47">
        <v>0</v>
      </c>
      <c r="G47">
        <v>20</v>
      </c>
    </row>
    <row r="48" spans="1:7" x14ac:dyDescent="0.25">
      <c r="A48">
        <v>2077</v>
      </c>
      <c r="B48">
        <v>77</v>
      </c>
      <c r="C48">
        <v>1</v>
      </c>
      <c r="D48">
        <v>17</v>
      </c>
      <c r="E48">
        <v>3</v>
      </c>
      <c r="F48">
        <v>0</v>
      </c>
      <c r="G48">
        <v>20</v>
      </c>
    </row>
    <row r="49" spans="1:7" x14ac:dyDescent="0.25">
      <c r="A49">
        <v>2094</v>
      </c>
      <c r="B49">
        <v>94</v>
      </c>
      <c r="C49">
        <v>1</v>
      </c>
      <c r="D49">
        <v>1</v>
      </c>
      <c r="E49">
        <v>0</v>
      </c>
      <c r="F49">
        <v>0</v>
      </c>
      <c r="G49">
        <v>1</v>
      </c>
    </row>
    <row r="50" spans="1:7" x14ac:dyDescent="0.25">
      <c r="A50">
        <v>1076</v>
      </c>
      <c r="B50">
        <v>76</v>
      </c>
      <c r="C50">
        <v>1</v>
      </c>
      <c r="D50">
        <v>12</v>
      </c>
      <c r="E50">
        <v>8</v>
      </c>
      <c r="F50">
        <v>0</v>
      </c>
      <c r="G50">
        <v>20</v>
      </c>
    </row>
    <row r="51" spans="1:7" x14ac:dyDescent="0.25">
      <c r="A51">
        <v>5145</v>
      </c>
      <c r="B51">
        <v>145</v>
      </c>
      <c r="C51">
        <v>1</v>
      </c>
      <c r="D51">
        <v>14</v>
      </c>
      <c r="E51">
        <v>1</v>
      </c>
      <c r="F51">
        <v>0</v>
      </c>
      <c r="G51">
        <v>15</v>
      </c>
    </row>
    <row r="52" spans="1:7" x14ac:dyDescent="0.25">
      <c r="A52">
        <v>1094</v>
      </c>
      <c r="B52">
        <v>94</v>
      </c>
      <c r="C52">
        <v>1</v>
      </c>
      <c r="D52">
        <v>14</v>
      </c>
      <c r="E52">
        <v>7</v>
      </c>
      <c r="F52">
        <v>0</v>
      </c>
      <c r="G52">
        <v>21</v>
      </c>
    </row>
    <row r="53" spans="1:7" x14ac:dyDescent="0.25">
      <c r="A53">
        <v>2066</v>
      </c>
      <c r="B53">
        <v>66</v>
      </c>
      <c r="C53">
        <v>1</v>
      </c>
      <c r="D53">
        <v>14</v>
      </c>
      <c r="E53">
        <v>2</v>
      </c>
      <c r="F53">
        <v>0</v>
      </c>
      <c r="G53">
        <v>16</v>
      </c>
    </row>
    <row r="54" spans="1:7" x14ac:dyDescent="0.25">
      <c r="A54">
        <v>1015</v>
      </c>
      <c r="B54">
        <v>15</v>
      </c>
      <c r="C54">
        <v>1</v>
      </c>
      <c r="D54">
        <v>1</v>
      </c>
      <c r="E54">
        <v>10</v>
      </c>
      <c r="F54">
        <v>0</v>
      </c>
      <c r="G54">
        <v>11</v>
      </c>
    </row>
    <row r="55" spans="1:7" x14ac:dyDescent="0.25">
      <c r="A55">
        <v>3137</v>
      </c>
      <c r="B55">
        <v>137</v>
      </c>
      <c r="C55">
        <v>1</v>
      </c>
      <c r="D55">
        <v>0</v>
      </c>
      <c r="E55">
        <v>8</v>
      </c>
      <c r="F55">
        <v>0</v>
      </c>
      <c r="G55">
        <v>8</v>
      </c>
    </row>
    <row r="56" spans="1:7" x14ac:dyDescent="0.25">
      <c r="A56">
        <v>2056</v>
      </c>
      <c r="B56">
        <v>56</v>
      </c>
      <c r="C56">
        <v>2</v>
      </c>
      <c r="D56">
        <v>10</v>
      </c>
      <c r="E56">
        <v>0</v>
      </c>
      <c r="F56">
        <v>0</v>
      </c>
      <c r="G56">
        <v>10</v>
      </c>
    </row>
    <row r="57" spans="1:7" x14ac:dyDescent="0.25">
      <c r="A57">
        <v>5061</v>
      </c>
      <c r="B57">
        <v>61</v>
      </c>
      <c r="C57">
        <v>2</v>
      </c>
      <c r="D57">
        <v>10</v>
      </c>
      <c r="E57">
        <v>6</v>
      </c>
      <c r="F57">
        <v>4</v>
      </c>
      <c r="G57">
        <v>20</v>
      </c>
    </row>
    <row r="58" spans="1:7" x14ac:dyDescent="0.25">
      <c r="A58">
        <v>2055</v>
      </c>
      <c r="B58">
        <v>55</v>
      </c>
      <c r="C58">
        <v>2</v>
      </c>
      <c r="D58">
        <v>7</v>
      </c>
      <c r="E58">
        <v>5</v>
      </c>
      <c r="F58">
        <v>0</v>
      </c>
      <c r="G58">
        <v>12</v>
      </c>
    </row>
    <row r="59" spans="1:7" x14ac:dyDescent="0.25">
      <c r="A59">
        <v>2075</v>
      </c>
      <c r="B59">
        <v>75</v>
      </c>
      <c r="C59">
        <v>1</v>
      </c>
      <c r="D59">
        <v>11</v>
      </c>
      <c r="E59">
        <v>9</v>
      </c>
      <c r="F59">
        <v>0</v>
      </c>
      <c r="G59">
        <v>20</v>
      </c>
    </row>
    <row r="60" spans="1:7" x14ac:dyDescent="0.25">
      <c r="A60">
        <v>3061</v>
      </c>
      <c r="B60">
        <v>61</v>
      </c>
      <c r="C60">
        <v>2</v>
      </c>
      <c r="D60">
        <v>4</v>
      </c>
      <c r="E60">
        <v>14</v>
      </c>
      <c r="F60">
        <v>2</v>
      </c>
      <c r="G60">
        <v>20</v>
      </c>
    </row>
    <row r="61" spans="1:7" x14ac:dyDescent="0.25">
      <c r="A61">
        <v>5145</v>
      </c>
      <c r="B61">
        <v>145</v>
      </c>
      <c r="C61">
        <v>2</v>
      </c>
      <c r="D61">
        <v>21</v>
      </c>
      <c r="E61">
        <v>2</v>
      </c>
      <c r="F61">
        <v>0</v>
      </c>
      <c r="G61">
        <v>23</v>
      </c>
    </row>
    <row r="62" spans="1:7" x14ac:dyDescent="0.25">
      <c r="A62">
        <v>1063</v>
      </c>
      <c r="B62">
        <v>63</v>
      </c>
      <c r="C62">
        <v>2</v>
      </c>
      <c r="D62">
        <v>5</v>
      </c>
      <c r="E62">
        <v>5</v>
      </c>
      <c r="F62">
        <v>0</v>
      </c>
      <c r="G62">
        <v>10</v>
      </c>
    </row>
    <row r="63" spans="1:7" x14ac:dyDescent="0.25">
      <c r="A63">
        <v>3053</v>
      </c>
      <c r="B63">
        <v>53</v>
      </c>
      <c r="C63">
        <v>2</v>
      </c>
      <c r="D63">
        <v>3</v>
      </c>
      <c r="E63">
        <v>1</v>
      </c>
      <c r="F63">
        <v>0</v>
      </c>
      <c r="G63">
        <v>4</v>
      </c>
    </row>
    <row r="64" spans="1:7" x14ac:dyDescent="0.25">
      <c r="A64">
        <v>1146</v>
      </c>
      <c r="B64">
        <v>146</v>
      </c>
      <c r="C64">
        <v>3</v>
      </c>
      <c r="D64">
        <v>5</v>
      </c>
      <c r="E64">
        <v>10</v>
      </c>
      <c r="F64">
        <v>0</v>
      </c>
      <c r="G64">
        <v>15</v>
      </c>
    </row>
    <row r="65" spans="1:7" x14ac:dyDescent="0.25">
      <c r="A65">
        <v>2063</v>
      </c>
      <c r="B65">
        <v>63</v>
      </c>
      <c r="C65">
        <v>2</v>
      </c>
      <c r="D65">
        <v>4</v>
      </c>
      <c r="E65">
        <v>7</v>
      </c>
      <c r="F65">
        <v>0</v>
      </c>
      <c r="G65">
        <v>11</v>
      </c>
    </row>
    <row r="66" spans="1:7" x14ac:dyDescent="0.25">
      <c r="A66">
        <v>1054</v>
      </c>
      <c r="B66">
        <v>54</v>
      </c>
      <c r="C66">
        <v>2</v>
      </c>
      <c r="D66">
        <v>14</v>
      </c>
      <c r="E66">
        <v>8</v>
      </c>
      <c r="F66">
        <v>0</v>
      </c>
      <c r="G66">
        <v>22</v>
      </c>
    </row>
    <row r="67" spans="1:7" x14ac:dyDescent="0.25">
      <c r="A67">
        <v>1123</v>
      </c>
      <c r="B67">
        <v>123</v>
      </c>
      <c r="C67">
        <v>1</v>
      </c>
      <c r="D67">
        <v>10</v>
      </c>
      <c r="E67">
        <v>8</v>
      </c>
      <c r="F67">
        <v>2</v>
      </c>
      <c r="G67">
        <v>20</v>
      </c>
    </row>
    <row r="68" spans="1:7" x14ac:dyDescent="0.25">
      <c r="A68">
        <v>1146</v>
      </c>
      <c r="B68">
        <v>146</v>
      </c>
      <c r="C68">
        <v>2</v>
      </c>
      <c r="D68">
        <v>12</v>
      </c>
      <c r="E68">
        <v>13</v>
      </c>
      <c r="F68">
        <v>0</v>
      </c>
      <c r="G68">
        <v>25</v>
      </c>
    </row>
    <row r="69" spans="1:7" x14ac:dyDescent="0.25">
      <c r="A69">
        <v>1106</v>
      </c>
      <c r="B69">
        <v>106</v>
      </c>
      <c r="C69">
        <v>1</v>
      </c>
      <c r="D69">
        <v>13</v>
      </c>
      <c r="E69">
        <v>10</v>
      </c>
      <c r="F69">
        <v>0</v>
      </c>
      <c r="G69">
        <v>23</v>
      </c>
    </row>
    <row r="70" spans="1:7" x14ac:dyDescent="0.25">
      <c r="A70">
        <v>1125</v>
      </c>
      <c r="B70">
        <v>125</v>
      </c>
      <c r="C70">
        <v>1</v>
      </c>
      <c r="D70">
        <v>9</v>
      </c>
      <c r="E70">
        <v>12</v>
      </c>
      <c r="F70">
        <v>0</v>
      </c>
      <c r="G70">
        <v>21</v>
      </c>
    </row>
    <row r="71" spans="1:7" x14ac:dyDescent="0.25">
      <c r="A71">
        <v>2125</v>
      </c>
      <c r="B71">
        <v>125</v>
      </c>
      <c r="C71">
        <v>1</v>
      </c>
      <c r="D71">
        <v>1</v>
      </c>
      <c r="E71">
        <v>22</v>
      </c>
      <c r="F71">
        <v>0</v>
      </c>
      <c r="G71">
        <v>23</v>
      </c>
    </row>
    <row r="72" spans="1:7" x14ac:dyDescent="0.25">
      <c r="A72">
        <v>1151</v>
      </c>
      <c r="B72">
        <v>151</v>
      </c>
      <c r="C72">
        <v>1</v>
      </c>
      <c r="D72">
        <v>9</v>
      </c>
      <c r="E72">
        <v>4</v>
      </c>
      <c r="F72">
        <v>0</v>
      </c>
      <c r="G72">
        <v>13</v>
      </c>
    </row>
    <row r="73" spans="1:7" x14ac:dyDescent="0.25">
      <c r="A73">
        <v>1122</v>
      </c>
      <c r="B73">
        <v>122</v>
      </c>
      <c r="C73">
        <v>1</v>
      </c>
      <c r="D73">
        <v>7</v>
      </c>
      <c r="E73">
        <v>5</v>
      </c>
      <c r="F73">
        <v>0</v>
      </c>
      <c r="G73">
        <v>12</v>
      </c>
    </row>
    <row r="74" spans="1:7" x14ac:dyDescent="0.25">
      <c r="A74">
        <v>2149</v>
      </c>
      <c r="B74">
        <v>149</v>
      </c>
      <c r="C74">
        <v>1</v>
      </c>
      <c r="D74">
        <v>9</v>
      </c>
      <c r="E74">
        <v>3</v>
      </c>
      <c r="F74">
        <v>0</v>
      </c>
      <c r="G74">
        <v>12</v>
      </c>
    </row>
    <row r="75" spans="1:7" x14ac:dyDescent="0.25">
      <c r="A75">
        <v>1126</v>
      </c>
      <c r="B75">
        <v>126</v>
      </c>
      <c r="C75">
        <v>1</v>
      </c>
      <c r="D75">
        <v>9</v>
      </c>
      <c r="E75">
        <v>6</v>
      </c>
      <c r="F75">
        <v>0</v>
      </c>
      <c r="G75">
        <v>15</v>
      </c>
    </row>
    <row r="76" spans="1:7" x14ac:dyDescent="0.25">
      <c r="A76">
        <v>2140</v>
      </c>
      <c r="B76">
        <v>140</v>
      </c>
      <c r="C76">
        <v>1</v>
      </c>
      <c r="D76">
        <v>10</v>
      </c>
      <c r="E76">
        <v>1</v>
      </c>
      <c r="F76">
        <v>0</v>
      </c>
      <c r="G76">
        <v>11</v>
      </c>
    </row>
    <row r="77" spans="1:7" x14ac:dyDescent="0.25">
      <c r="A77">
        <v>4148</v>
      </c>
      <c r="B77">
        <v>148</v>
      </c>
      <c r="C77">
        <v>1</v>
      </c>
      <c r="D77">
        <v>11</v>
      </c>
      <c r="E77">
        <v>5</v>
      </c>
      <c r="F77">
        <v>0</v>
      </c>
      <c r="G77">
        <v>16</v>
      </c>
    </row>
    <row r="78" spans="1:7" x14ac:dyDescent="0.25">
      <c r="A78">
        <v>2126</v>
      </c>
      <c r="B78">
        <v>126</v>
      </c>
      <c r="C78">
        <v>1</v>
      </c>
      <c r="D78">
        <v>4</v>
      </c>
      <c r="E78">
        <v>3</v>
      </c>
      <c r="F78">
        <v>0</v>
      </c>
      <c r="G78">
        <v>7</v>
      </c>
    </row>
    <row r="79" spans="1:7" x14ac:dyDescent="0.25">
      <c r="A79">
        <v>3148</v>
      </c>
      <c r="B79">
        <v>148</v>
      </c>
      <c r="C79">
        <v>1</v>
      </c>
      <c r="D79">
        <v>12</v>
      </c>
      <c r="E79">
        <v>5</v>
      </c>
      <c r="F79">
        <v>0</v>
      </c>
      <c r="G79">
        <v>17</v>
      </c>
    </row>
    <row r="80" spans="1:7" x14ac:dyDescent="0.25">
      <c r="A80">
        <v>2101</v>
      </c>
      <c r="B80">
        <v>101</v>
      </c>
      <c r="C80">
        <v>1</v>
      </c>
      <c r="D80">
        <v>10</v>
      </c>
      <c r="E80">
        <v>10</v>
      </c>
      <c r="F80">
        <v>0</v>
      </c>
      <c r="G80">
        <v>20</v>
      </c>
    </row>
    <row r="81" spans="1:7" x14ac:dyDescent="0.25">
      <c r="A81">
        <v>2148</v>
      </c>
      <c r="B81">
        <v>148</v>
      </c>
      <c r="C81">
        <v>1</v>
      </c>
      <c r="D81">
        <v>6</v>
      </c>
      <c r="E81">
        <v>1</v>
      </c>
      <c r="F81">
        <v>0</v>
      </c>
      <c r="G81">
        <v>7</v>
      </c>
    </row>
    <row r="82" spans="1:7" x14ac:dyDescent="0.25">
      <c r="A82">
        <v>2127</v>
      </c>
      <c r="B82">
        <v>127</v>
      </c>
      <c r="C82">
        <v>1</v>
      </c>
      <c r="D82">
        <v>20</v>
      </c>
      <c r="E82">
        <v>0</v>
      </c>
      <c r="F82">
        <v>0</v>
      </c>
      <c r="G82">
        <v>20</v>
      </c>
    </row>
    <row r="83" spans="1:7" x14ac:dyDescent="0.25">
      <c r="A83">
        <v>1101</v>
      </c>
      <c r="B83">
        <v>101</v>
      </c>
      <c r="C83">
        <v>1</v>
      </c>
      <c r="D83">
        <v>6</v>
      </c>
      <c r="E83">
        <v>12</v>
      </c>
      <c r="F83">
        <v>2</v>
      </c>
      <c r="G83">
        <v>20</v>
      </c>
    </row>
    <row r="84" spans="1:7" x14ac:dyDescent="0.25">
      <c r="A84">
        <v>1147</v>
      </c>
      <c r="B84">
        <v>147</v>
      </c>
      <c r="C84">
        <v>1</v>
      </c>
      <c r="D84">
        <v>4</v>
      </c>
      <c r="E84">
        <v>4</v>
      </c>
      <c r="F84">
        <v>0</v>
      </c>
      <c r="G84">
        <v>8</v>
      </c>
    </row>
    <row r="85" spans="1:7" x14ac:dyDescent="0.25">
      <c r="A85">
        <v>3083</v>
      </c>
      <c r="B85">
        <v>83</v>
      </c>
      <c r="C85">
        <v>1</v>
      </c>
      <c r="D85">
        <v>2</v>
      </c>
      <c r="E85">
        <v>13</v>
      </c>
      <c r="F85">
        <v>0</v>
      </c>
      <c r="G85">
        <v>15</v>
      </c>
    </row>
    <row r="86" spans="1:7" x14ac:dyDescent="0.25">
      <c r="A86">
        <v>1145</v>
      </c>
      <c r="B86">
        <v>145</v>
      </c>
      <c r="C86">
        <v>1</v>
      </c>
      <c r="D86">
        <v>1</v>
      </c>
      <c r="E86">
        <v>21</v>
      </c>
      <c r="F86">
        <v>0</v>
      </c>
      <c r="G86">
        <v>22</v>
      </c>
    </row>
    <row r="87" spans="1:7" x14ac:dyDescent="0.25">
      <c r="A87">
        <v>1146</v>
      </c>
      <c r="B87">
        <v>146</v>
      </c>
      <c r="C87">
        <v>1</v>
      </c>
      <c r="D87">
        <v>10</v>
      </c>
      <c r="E87">
        <v>14</v>
      </c>
      <c r="F87">
        <v>0</v>
      </c>
      <c r="G87">
        <v>24</v>
      </c>
    </row>
    <row r="88" spans="1:7" x14ac:dyDescent="0.25">
      <c r="A88">
        <v>2083</v>
      </c>
      <c r="B88">
        <v>83</v>
      </c>
      <c r="C88">
        <v>1</v>
      </c>
      <c r="D88">
        <v>12</v>
      </c>
      <c r="E88">
        <v>2</v>
      </c>
      <c r="F88">
        <v>0</v>
      </c>
      <c r="G88">
        <v>14</v>
      </c>
    </row>
    <row r="89" spans="1:7" x14ac:dyDescent="0.25">
      <c r="A89">
        <v>1144</v>
      </c>
      <c r="B89">
        <v>144</v>
      </c>
      <c r="C89">
        <v>1</v>
      </c>
      <c r="D89">
        <v>7</v>
      </c>
      <c r="E89">
        <v>8</v>
      </c>
      <c r="F89">
        <v>0</v>
      </c>
      <c r="G89">
        <v>15</v>
      </c>
    </row>
    <row r="90" spans="1:7" x14ac:dyDescent="0.25">
      <c r="A90">
        <v>1053</v>
      </c>
      <c r="B90">
        <v>53</v>
      </c>
      <c r="C90">
        <v>1</v>
      </c>
      <c r="D90">
        <v>0</v>
      </c>
      <c r="E90">
        <v>0</v>
      </c>
      <c r="F90">
        <v>0</v>
      </c>
      <c r="G90">
        <v>0</v>
      </c>
    </row>
    <row r="91" spans="1:7" x14ac:dyDescent="0.25">
      <c r="A91">
        <v>1083</v>
      </c>
      <c r="B91">
        <v>83</v>
      </c>
      <c r="C91">
        <v>1</v>
      </c>
      <c r="D91">
        <v>9</v>
      </c>
      <c r="E91">
        <v>5</v>
      </c>
      <c r="F91">
        <v>0</v>
      </c>
      <c r="G91">
        <v>14</v>
      </c>
    </row>
    <row r="92" spans="1:7" x14ac:dyDescent="0.25">
      <c r="A92">
        <v>2053</v>
      </c>
      <c r="B92">
        <v>53</v>
      </c>
      <c r="C92">
        <v>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2143</v>
      </c>
      <c r="B93">
        <v>143</v>
      </c>
      <c r="C93">
        <v>1</v>
      </c>
      <c r="D93">
        <v>8</v>
      </c>
      <c r="E93">
        <v>6</v>
      </c>
      <c r="F93">
        <v>0</v>
      </c>
      <c r="G93">
        <v>14</v>
      </c>
    </row>
    <row r="94" spans="1:7" x14ac:dyDescent="0.25">
      <c r="A94">
        <v>1084</v>
      </c>
      <c r="B94">
        <v>84</v>
      </c>
      <c r="C94">
        <v>1</v>
      </c>
      <c r="D94">
        <v>7</v>
      </c>
      <c r="E94">
        <v>7</v>
      </c>
      <c r="F94">
        <v>0</v>
      </c>
      <c r="G94">
        <v>14</v>
      </c>
    </row>
    <row r="95" spans="1:7" x14ac:dyDescent="0.25">
      <c r="A95">
        <v>2141</v>
      </c>
      <c r="B95">
        <v>141</v>
      </c>
      <c r="C95">
        <v>1</v>
      </c>
      <c r="D95">
        <v>7</v>
      </c>
      <c r="E95">
        <v>14</v>
      </c>
      <c r="F95">
        <v>1</v>
      </c>
      <c r="G95">
        <v>22</v>
      </c>
    </row>
    <row r="96" spans="1:7" x14ac:dyDescent="0.25">
      <c r="A96">
        <v>2102</v>
      </c>
      <c r="B96">
        <v>102</v>
      </c>
      <c r="C96">
        <v>1</v>
      </c>
      <c r="D96">
        <v>7</v>
      </c>
      <c r="E96">
        <v>13</v>
      </c>
      <c r="F96">
        <v>0</v>
      </c>
      <c r="G96">
        <v>20</v>
      </c>
    </row>
    <row r="97" spans="1:7" x14ac:dyDescent="0.25">
      <c r="A97">
        <v>4033</v>
      </c>
      <c r="B97">
        <v>33</v>
      </c>
      <c r="C97">
        <v>1</v>
      </c>
      <c r="D97">
        <v>12</v>
      </c>
      <c r="E97">
        <v>7</v>
      </c>
      <c r="F97">
        <v>0</v>
      </c>
      <c r="G97">
        <v>19</v>
      </c>
    </row>
    <row r="98" spans="1:7" x14ac:dyDescent="0.25">
      <c r="A98">
        <v>3026</v>
      </c>
      <c r="B98">
        <v>26</v>
      </c>
      <c r="C98">
        <v>1</v>
      </c>
      <c r="D98">
        <v>15</v>
      </c>
      <c r="E98">
        <v>5</v>
      </c>
      <c r="F98">
        <v>0</v>
      </c>
      <c r="G98">
        <v>20</v>
      </c>
    </row>
    <row r="99" spans="1:7" x14ac:dyDescent="0.25">
      <c r="A99">
        <v>2082</v>
      </c>
      <c r="B99">
        <v>82</v>
      </c>
      <c r="C99">
        <v>1</v>
      </c>
      <c r="D99">
        <v>9</v>
      </c>
      <c r="E99">
        <v>4</v>
      </c>
      <c r="F99">
        <v>0</v>
      </c>
      <c r="G99">
        <v>13</v>
      </c>
    </row>
    <row r="100" spans="1:7" x14ac:dyDescent="0.25">
      <c r="A100">
        <v>2081</v>
      </c>
      <c r="B100">
        <v>81</v>
      </c>
      <c r="C100">
        <v>1</v>
      </c>
      <c r="D100">
        <v>5</v>
      </c>
      <c r="E100">
        <v>6</v>
      </c>
      <c r="F100">
        <v>1</v>
      </c>
      <c r="G100">
        <v>12</v>
      </c>
    </row>
    <row r="101" spans="1:7" x14ac:dyDescent="0.25">
      <c r="A101">
        <v>1102</v>
      </c>
      <c r="B101">
        <v>102</v>
      </c>
      <c r="C101">
        <v>1</v>
      </c>
      <c r="D101">
        <v>6</v>
      </c>
      <c r="E101">
        <v>4</v>
      </c>
      <c r="F101">
        <v>0</v>
      </c>
      <c r="G101">
        <v>10</v>
      </c>
    </row>
    <row r="102" spans="1:7" x14ac:dyDescent="0.25">
      <c r="A102">
        <v>2023</v>
      </c>
      <c r="B102">
        <v>23</v>
      </c>
      <c r="C102">
        <v>1</v>
      </c>
      <c r="D102">
        <v>12</v>
      </c>
      <c r="E102">
        <v>9</v>
      </c>
      <c r="F102">
        <v>4</v>
      </c>
      <c r="G102">
        <v>25</v>
      </c>
    </row>
    <row r="103" spans="1:7" x14ac:dyDescent="0.25">
      <c r="A103">
        <v>2080</v>
      </c>
      <c r="B103">
        <v>80</v>
      </c>
      <c r="C103">
        <v>1</v>
      </c>
      <c r="D103">
        <v>15</v>
      </c>
      <c r="E103">
        <v>0</v>
      </c>
      <c r="F103">
        <v>0</v>
      </c>
      <c r="G103">
        <v>15</v>
      </c>
    </row>
    <row r="104" spans="1:7" x14ac:dyDescent="0.25">
      <c r="A104">
        <v>1082</v>
      </c>
      <c r="B104">
        <v>82</v>
      </c>
      <c r="C104">
        <v>1</v>
      </c>
      <c r="D104">
        <v>9</v>
      </c>
      <c r="E104">
        <v>7</v>
      </c>
      <c r="F104">
        <v>1</v>
      </c>
      <c r="G104">
        <v>17</v>
      </c>
    </row>
    <row r="105" spans="1:7" x14ac:dyDescent="0.25">
      <c r="A105">
        <v>3102</v>
      </c>
      <c r="B105">
        <v>102</v>
      </c>
      <c r="C105">
        <v>1</v>
      </c>
      <c r="D105">
        <v>1</v>
      </c>
      <c r="E105">
        <v>19</v>
      </c>
      <c r="F105">
        <v>0</v>
      </c>
      <c r="G105">
        <v>20</v>
      </c>
    </row>
    <row r="106" spans="1:7" x14ac:dyDescent="0.25">
      <c r="A106">
        <v>2081</v>
      </c>
      <c r="B106">
        <v>81</v>
      </c>
      <c r="C106">
        <v>2</v>
      </c>
      <c r="D106">
        <v>12</v>
      </c>
      <c r="E106">
        <v>6</v>
      </c>
      <c r="F106">
        <v>1</v>
      </c>
      <c r="G106">
        <v>19</v>
      </c>
    </row>
    <row r="107" spans="1:7" x14ac:dyDescent="0.25">
      <c r="A107">
        <v>5021</v>
      </c>
      <c r="B107">
        <v>21</v>
      </c>
      <c r="C107">
        <v>1</v>
      </c>
      <c r="D107">
        <v>14</v>
      </c>
      <c r="E107">
        <v>5</v>
      </c>
      <c r="F107">
        <v>1</v>
      </c>
      <c r="G107">
        <v>20</v>
      </c>
    </row>
    <row r="108" spans="1:7" x14ac:dyDescent="0.25">
      <c r="A108">
        <v>3142</v>
      </c>
      <c r="B108">
        <v>142</v>
      </c>
      <c r="C108">
        <v>2</v>
      </c>
      <c r="D108">
        <v>13</v>
      </c>
      <c r="E108">
        <v>12</v>
      </c>
      <c r="F108">
        <v>0</v>
      </c>
      <c r="G108">
        <v>25</v>
      </c>
    </row>
    <row r="109" spans="1:7" x14ac:dyDescent="0.25">
      <c r="A109">
        <v>2095</v>
      </c>
      <c r="B109">
        <v>95</v>
      </c>
      <c r="C109">
        <v>1</v>
      </c>
      <c r="D109">
        <v>1</v>
      </c>
      <c r="E109">
        <v>19</v>
      </c>
      <c r="F109">
        <v>0</v>
      </c>
      <c r="G109">
        <v>20</v>
      </c>
    </row>
    <row r="110" spans="1:7" x14ac:dyDescent="0.25">
      <c r="A110">
        <v>2021</v>
      </c>
      <c r="B110">
        <v>21</v>
      </c>
      <c r="C110">
        <v>1</v>
      </c>
      <c r="D110">
        <v>10</v>
      </c>
      <c r="E110">
        <v>10</v>
      </c>
      <c r="F110">
        <v>0</v>
      </c>
      <c r="G110">
        <v>20</v>
      </c>
    </row>
    <row r="111" spans="1:7" x14ac:dyDescent="0.25">
      <c r="A111">
        <v>3083</v>
      </c>
      <c r="B111">
        <v>83</v>
      </c>
      <c r="C111">
        <v>2</v>
      </c>
      <c r="D111">
        <v>1</v>
      </c>
      <c r="E111">
        <v>13</v>
      </c>
      <c r="F111">
        <v>0</v>
      </c>
      <c r="G111">
        <v>14</v>
      </c>
    </row>
    <row r="112" spans="1:7" x14ac:dyDescent="0.25">
      <c r="A112">
        <v>1021</v>
      </c>
      <c r="B112">
        <v>21</v>
      </c>
      <c r="C112">
        <v>1</v>
      </c>
      <c r="D112">
        <v>10</v>
      </c>
      <c r="E112">
        <v>10</v>
      </c>
      <c r="F112">
        <v>0</v>
      </c>
      <c r="G112">
        <v>20</v>
      </c>
    </row>
    <row r="113" spans="1:7" x14ac:dyDescent="0.25">
      <c r="A113">
        <v>1141</v>
      </c>
      <c r="B113">
        <v>141</v>
      </c>
      <c r="C113">
        <v>2</v>
      </c>
      <c r="D113">
        <v>13</v>
      </c>
      <c r="E113">
        <v>4</v>
      </c>
      <c r="F113">
        <v>0</v>
      </c>
      <c r="G113">
        <v>17</v>
      </c>
    </row>
    <row r="114" spans="1:7" x14ac:dyDescent="0.25">
      <c r="A114">
        <v>2083</v>
      </c>
      <c r="B114">
        <v>83</v>
      </c>
      <c r="C114">
        <v>2</v>
      </c>
      <c r="D114">
        <v>16</v>
      </c>
      <c r="E114">
        <v>1</v>
      </c>
      <c r="F114">
        <v>0</v>
      </c>
      <c r="G114">
        <v>17</v>
      </c>
    </row>
    <row r="115" spans="1:7" x14ac:dyDescent="0.25">
      <c r="A115">
        <v>1142</v>
      </c>
      <c r="B115">
        <v>142</v>
      </c>
      <c r="C115">
        <v>2</v>
      </c>
      <c r="D115">
        <v>12</v>
      </c>
      <c r="E115">
        <v>8</v>
      </c>
      <c r="F115">
        <v>0</v>
      </c>
      <c r="G115">
        <v>20</v>
      </c>
    </row>
    <row r="116" spans="1:7" x14ac:dyDescent="0.25">
      <c r="A116">
        <v>1082</v>
      </c>
      <c r="B116">
        <v>82</v>
      </c>
      <c r="C116">
        <v>2</v>
      </c>
      <c r="D116">
        <v>3</v>
      </c>
      <c r="E116">
        <v>7</v>
      </c>
      <c r="F116">
        <v>0</v>
      </c>
      <c r="G116">
        <v>10</v>
      </c>
    </row>
    <row r="117" spans="1:7" x14ac:dyDescent="0.25">
      <c r="A117">
        <v>1084</v>
      </c>
      <c r="B117">
        <v>84</v>
      </c>
      <c r="C117">
        <v>2</v>
      </c>
      <c r="D117">
        <v>8</v>
      </c>
      <c r="E117">
        <v>3</v>
      </c>
      <c r="F117">
        <v>0</v>
      </c>
      <c r="G117">
        <v>11</v>
      </c>
    </row>
    <row r="118" spans="1:7" x14ac:dyDescent="0.25">
      <c r="A118">
        <v>2047</v>
      </c>
      <c r="B118">
        <v>47</v>
      </c>
      <c r="C118">
        <v>1</v>
      </c>
      <c r="D118">
        <v>11</v>
      </c>
      <c r="E118">
        <v>9</v>
      </c>
      <c r="F118">
        <v>0</v>
      </c>
      <c r="G118">
        <v>20</v>
      </c>
    </row>
    <row r="119" spans="1:7" x14ac:dyDescent="0.25">
      <c r="A119">
        <v>1045</v>
      </c>
      <c r="B119">
        <v>45</v>
      </c>
      <c r="C119">
        <v>2</v>
      </c>
      <c r="D119">
        <v>9</v>
      </c>
      <c r="E119">
        <v>11</v>
      </c>
      <c r="F119">
        <v>0</v>
      </c>
      <c r="G119">
        <v>20</v>
      </c>
    </row>
    <row r="120" spans="1:7" x14ac:dyDescent="0.25">
      <c r="A120">
        <v>5046</v>
      </c>
      <c r="B120">
        <v>46</v>
      </c>
      <c r="C120">
        <v>1</v>
      </c>
      <c r="D120">
        <v>14</v>
      </c>
      <c r="E120">
        <v>5</v>
      </c>
      <c r="F120">
        <v>0</v>
      </c>
      <c r="G120">
        <v>19</v>
      </c>
    </row>
    <row r="121" spans="1:7" x14ac:dyDescent="0.25">
      <c r="A121">
        <v>2044</v>
      </c>
      <c r="B121">
        <v>44</v>
      </c>
      <c r="C121">
        <v>1</v>
      </c>
      <c r="D121">
        <v>13</v>
      </c>
      <c r="E121">
        <v>5</v>
      </c>
      <c r="F121">
        <v>0</v>
      </c>
      <c r="G121">
        <v>18</v>
      </c>
    </row>
    <row r="122" spans="1:7" x14ac:dyDescent="0.25">
      <c r="A122">
        <v>4046</v>
      </c>
      <c r="B122">
        <v>46</v>
      </c>
      <c r="C122">
        <v>2</v>
      </c>
      <c r="D122">
        <v>10</v>
      </c>
      <c r="E122">
        <v>10</v>
      </c>
      <c r="F122">
        <v>0</v>
      </c>
      <c r="G122">
        <v>20</v>
      </c>
    </row>
    <row r="123" spans="1:7" x14ac:dyDescent="0.25">
      <c r="A123">
        <v>2025</v>
      </c>
      <c r="B123">
        <v>25</v>
      </c>
      <c r="C123">
        <v>1</v>
      </c>
      <c r="D123">
        <v>20</v>
      </c>
      <c r="E123">
        <v>4</v>
      </c>
      <c r="F123">
        <v>0</v>
      </c>
      <c r="G123">
        <v>24</v>
      </c>
    </row>
    <row r="124" spans="1:7" x14ac:dyDescent="0.25">
      <c r="A124">
        <v>4048</v>
      </c>
      <c r="B124">
        <v>48</v>
      </c>
      <c r="C124">
        <v>2</v>
      </c>
      <c r="D124">
        <v>10</v>
      </c>
      <c r="E124">
        <v>10</v>
      </c>
      <c r="F124">
        <v>0</v>
      </c>
      <c r="G124">
        <v>20</v>
      </c>
    </row>
    <row r="125" spans="1:7" x14ac:dyDescent="0.25">
      <c r="A125">
        <v>4046</v>
      </c>
      <c r="B125">
        <v>46</v>
      </c>
      <c r="C125">
        <v>1</v>
      </c>
      <c r="D125">
        <v>12</v>
      </c>
      <c r="E125">
        <v>8</v>
      </c>
      <c r="F125">
        <v>0</v>
      </c>
      <c r="G125">
        <v>20</v>
      </c>
    </row>
    <row r="126" spans="1:7" x14ac:dyDescent="0.25">
      <c r="A126">
        <v>2027</v>
      </c>
      <c r="B126">
        <v>27</v>
      </c>
      <c r="C126">
        <v>2</v>
      </c>
      <c r="D126">
        <v>17</v>
      </c>
      <c r="E126">
        <v>1</v>
      </c>
      <c r="F126">
        <v>0</v>
      </c>
      <c r="G126">
        <v>18</v>
      </c>
    </row>
    <row r="127" spans="1:7" x14ac:dyDescent="0.25">
      <c r="A127">
        <v>2024</v>
      </c>
      <c r="B127">
        <v>24</v>
      </c>
      <c r="C127">
        <v>1</v>
      </c>
      <c r="D127">
        <v>8</v>
      </c>
      <c r="E127">
        <v>12</v>
      </c>
      <c r="F127">
        <v>0</v>
      </c>
      <c r="G127">
        <v>20</v>
      </c>
    </row>
    <row r="128" spans="1:7" x14ac:dyDescent="0.25">
      <c r="A128">
        <v>4048</v>
      </c>
      <c r="B128">
        <v>48</v>
      </c>
      <c r="C128">
        <v>1</v>
      </c>
      <c r="D128">
        <v>19</v>
      </c>
      <c r="E128">
        <v>1</v>
      </c>
      <c r="F128">
        <v>0</v>
      </c>
      <c r="G128">
        <v>20</v>
      </c>
    </row>
    <row r="129" spans="1:7" x14ac:dyDescent="0.25">
      <c r="A129">
        <v>3046</v>
      </c>
      <c r="B129">
        <v>46</v>
      </c>
      <c r="C129">
        <v>1</v>
      </c>
      <c r="D129">
        <v>11</v>
      </c>
      <c r="E129">
        <v>9</v>
      </c>
      <c r="F129">
        <v>0</v>
      </c>
      <c r="G129">
        <v>20</v>
      </c>
    </row>
    <row r="130" spans="1:7" x14ac:dyDescent="0.25">
      <c r="A130">
        <v>1110</v>
      </c>
      <c r="B130">
        <v>110</v>
      </c>
      <c r="C130">
        <v>2</v>
      </c>
      <c r="D130">
        <v>7</v>
      </c>
      <c r="E130">
        <v>0</v>
      </c>
      <c r="F130">
        <v>0</v>
      </c>
      <c r="G130">
        <v>7</v>
      </c>
    </row>
    <row r="131" spans="1:7" x14ac:dyDescent="0.25">
      <c r="A131">
        <v>1008</v>
      </c>
      <c r="B131">
        <v>8</v>
      </c>
      <c r="C131">
        <v>2</v>
      </c>
      <c r="D131">
        <v>10</v>
      </c>
      <c r="E131">
        <v>8</v>
      </c>
      <c r="F131">
        <v>0</v>
      </c>
      <c r="G131">
        <v>18</v>
      </c>
    </row>
    <row r="132" spans="1:7" x14ac:dyDescent="0.25">
      <c r="A132">
        <v>2012</v>
      </c>
      <c r="B132">
        <v>12</v>
      </c>
      <c r="C132">
        <v>2</v>
      </c>
      <c r="D132">
        <v>11</v>
      </c>
      <c r="E132">
        <v>12</v>
      </c>
      <c r="F132">
        <v>0</v>
      </c>
      <c r="G132">
        <v>23</v>
      </c>
    </row>
    <row r="133" spans="1:7" x14ac:dyDescent="0.25">
      <c r="A133">
        <v>1009</v>
      </c>
      <c r="B133">
        <v>9</v>
      </c>
      <c r="C133">
        <v>2</v>
      </c>
      <c r="D133">
        <v>21</v>
      </c>
      <c r="E133">
        <v>0</v>
      </c>
      <c r="F133">
        <v>0</v>
      </c>
      <c r="G133">
        <v>21</v>
      </c>
    </row>
    <row r="134" spans="1:7" x14ac:dyDescent="0.25">
      <c r="A134">
        <v>2008</v>
      </c>
      <c r="B134">
        <v>8</v>
      </c>
      <c r="C134">
        <v>2</v>
      </c>
      <c r="D134">
        <v>1</v>
      </c>
      <c r="E134">
        <v>2</v>
      </c>
      <c r="F134">
        <v>0</v>
      </c>
      <c r="G134">
        <v>3</v>
      </c>
    </row>
    <row r="135" spans="1:7" x14ac:dyDescent="0.25">
      <c r="A135">
        <v>1048</v>
      </c>
      <c r="B135">
        <v>48</v>
      </c>
      <c r="C135">
        <v>2</v>
      </c>
      <c r="D135">
        <v>8</v>
      </c>
      <c r="E135">
        <v>12</v>
      </c>
      <c r="F135">
        <v>0</v>
      </c>
      <c r="G135">
        <v>20</v>
      </c>
    </row>
    <row r="136" spans="1:7" x14ac:dyDescent="0.25">
      <c r="A136">
        <v>1007</v>
      </c>
      <c r="B136">
        <v>7</v>
      </c>
      <c r="C136">
        <v>1</v>
      </c>
      <c r="D136">
        <v>9</v>
      </c>
      <c r="E136">
        <v>4</v>
      </c>
      <c r="F136">
        <v>2</v>
      </c>
      <c r="G136">
        <v>15</v>
      </c>
    </row>
    <row r="137" spans="1:7" x14ac:dyDescent="0.25">
      <c r="A137">
        <v>1134</v>
      </c>
      <c r="B137">
        <v>134</v>
      </c>
      <c r="C137">
        <v>2</v>
      </c>
      <c r="D137">
        <v>7</v>
      </c>
      <c r="E137">
        <v>13</v>
      </c>
      <c r="F137">
        <v>0</v>
      </c>
      <c r="G137">
        <v>20</v>
      </c>
    </row>
    <row r="138" spans="1:7" x14ac:dyDescent="0.25">
      <c r="A138">
        <v>2153</v>
      </c>
      <c r="B138">
        <v>153</v>
      </c>
      <c r="C138">
        <v>2</v>
      </c>
      <c r="D138">
        <v>2</v>
      </c>
      <c r="E138">
        <v>1</v>
      </c>
      <c r="F138">
        <v>0</v>
      </c>
      <c r="G138">
        <v>3</v>
      </c>
    </row>
    <row r="139" spans="1:7" x14ac:dyDescent="0.25">
      <c r="A139">
        <v>3098</v>
      </c>
      <c r="B139">
        <v>98</v>
      </c>
      <c r="C139">
        <v>2</v>
      </c>
      <c r="D139">
        <v>0</v>
      </c>
      <c r="E139">
        <v>20</v>
      </c>
      <c r="F139">
        <v>0</v>
      </c>
      <c r="G139">
        <v>20</v>
      </c>
    </row>
    <row r="140" spans="1:7" x14ac:dyDescent="0.25">
      <c r="A140">
        <v>1073</v>
      </c>
      <c r="B140">
        <v>73</v>
      </c>
      <c r="C140">
        <v>1</v>
      </c>
      <c r="D140">
        <v>13</v>
      </c>
      <c r="E140">
        <v>7</v>
      </c>
      <c r="F140">
        <v>0</v>
      </c>
      <c r="G140">
        <v>20</v>
      </c>
    </row>
    <row r="141" spans="1:7" x14ac:dyDescent="0.25">
      <c r="A141">
        <v>2072</v>
      </c>
      <c r="B141">
        <v>72</v>
      </c>
      <c r="C141">
        <v>1</v>
      </c>
      <c r="D141">
        <v>15</v>
      </c>
      <c r="E141">
        <v>5</v>
      </c>
      <c r="F141">
        <v>0</v>
      </c>
      <c r="G141">
        <v>20</v>
      </c>
    </row>
    <row r="142" spans="1:7" x14ac:dyDescent="0.25">
      <c r="A142">
        <v>1072</v>
      </c>
      <c r="B142">
        <v>72</v>
      </c>
      <c r="C142">
        <v>1</v>
      </c>
      <c r="D142">
        <v>13</v>
      </c>
      <c r="E142">
        <v>12</v>
      </c>
      <c r="F142">
        <v>0</v>
      </c>
      <c r="G142">
        <v>25</v>
      </c>
    </row>
    <row r="143" spans="1:7" x14ac:dyDescent="0.25">
      <c r="A143">
        <v>3097</v>
      </c>
      <c r="B143">
        <v>97</v>
      </c>
      <c r="C143">
        <v>2</v>
      </c>
      <c r="D143">
        <v>7</v>
      </c>
      <c r="E143">
        <v>11</v>
      </c>
      <c r="F143">
        <v>0</v>
      </c>
      <c r="G143">
        <v>18</v>
      </c>
    </row>
    <row r="144" spans="1:7" x14ac:dyDescent="0.25">
      <c r="A144">
        <v>2070</v>
      </c>
      <c r="B144">
        <v>70</v>
      </c>
      <c r="C144">
        <v>1</v>
      </c>
      <c r="D144">
        <v>7</v>
      </c>
      <c r="E144">
        <v>6</v>
      </c>
      <c r="F144">
        <v>0</v>
      </c>
      <c r="G144">
        <v>13</v>
      </c>
    </row>
    <row r="145" spans="1:7" x14ac:dyDescent="0.25">
      <c r="A145">
        <v>1069</v>
      </c>
      <c r="B145">
        <v>69</v>
      </c>
      <c r="C145">
        <v>1</v>
      </c>
      <c r="D145">
        <v>3</v>
      </c>
      <c r="E145">
        <v>1</v>
      </c>
      <c r="F145">
        <v>0</v>
      </c>
      <c r="G145">
        <v>4</v>
      </c>
    </row>
    <row r="146" spans="1:7" x14ac:dyDescent="0.25">
      <c r="A146">
        <v>1009</v>
      </c>
      <c r="B146">
        <v>9</v>
      </c>
      <c r="C146">
        <v>1</v>
      </c>
      <c r="D146">
        <v>20</v>
      </c>
      <c r="E146">
        <v>3</v>
      </c>
      <c r="F146">
        <v>0</v>
      </c>
      <c r="G146">
        <v>23</v>
      </c>
    </row>
    <row r="147" spans="1:7" x14ac:dyDescent="0.25">
      <c r="A147">
        <v>2115</v>
      </c>
      <c r="B147">
        <v>115</v>
      </c>
      <c r="C147">
        <v>1</v>
      </c>
      <c r="D147">
        <v>1</v>
      </c>
      <c r="E147">
        <v>2</v>
      </c>
      <c r="F147">
        <v>0</v>
      </c>
      <c r="G147">
        <v>3</v>
      </c>
    </row>
    <row r="148" spans="1:7" x14ac:dyDescent="0.25">
      <c r="A148">
        <v>2069</v>
      </c>
      <c r="B148">
        <v>69</v>
      </c>
      <c r="C148">
        <v>1</v>
      </c>
      <c r="D148">
        <v>6</v>
      </c>
      <c r="E148">
        <v>2</v>
      </c>
      <c r="F148">
        <v>0</v>
      </c>
      <c r="G148">
        <v>8</v>
      </c>
    </row>
    <row r="149" spans="1:7" x14ac:dyDescent="0.25">
      <c r="A149">
        <v>1113</v>
      </c>
      <c r="B149">
        <v>113</v>
      </c>
      <c r="C149">
        <v>1</v>
      </c>
      <c r="D149">
        <v>8</v>
      </c>
      <c r="E149">
        <v>1</v>
      </c>
      <c r="F149">
        <v>0</v>
      </c>
      <c r="G149">
        <v>9</v>
      </c>
    </row>
    <row r="150" spans="1:7" x14ac:dyDescent="0.25">
      <c r="A150">
        <v>2008</v>
      </c>
      <c r="B150">
        <v>8</v>
      </c>
      <c r="C150">
        <v>1</v>
      </c>
      <c r="D150">
        <v>4</v>
      </c>
      <c r="E150">
        <v>5</v>
      </c>
      <c r="F150">
        <v>0</v>
      </c>
      <c r="G150">
        <v>9</v>
      </c>
    </row>
    <row r="151" spans="1:7" x14ac:dyDescent="0.25">
      <c r="A151">
        <v>3067</v>
      </c>
      <c r="B151">
        <v>67</v>
      </c>
      <c r="C151">
        <v>1</v>
      </c>
      <c r="D151">
        <v>12</v>
      </c>
      <c r="E151">
        <v>2</v>
      </c>
      <c r="F151">
        <v>0</v>
      </c>
      <c r="G151">
        <v>14</v>
      </c>
    </row>
    <row r="152" spans="1:7" x14ac:dyDescent="0.25">
      <c r="A152">
        <v>2113</v>
      </c>
      <c r="B152">
        <v>113</v>
      </c>
      <c r="C152">
        <v>1</v>
      </c>
      <c r="D152">
        <v>6</v>
      </c>
      <c r="E152">
        <v>0</v>
      </c>
      <c r="F152">
        <v>0</v>
      </c>
      <c r="G152">
        <v>6</v>
      </c>
    </row>
    <row r="153" spans="1:7" x14ac:dyDescent="0.25">
      <c r="A153">
        <v>2007</v>
      </c>
      <c r="B153">
        <v>7</v>
      </c>
      <c r="C153">
        <v>1</v>
      </c>
      <c r="D153">
        <v>6</v>
      </c>
      <c r="E153">
        <v>9</v>
      </c>
      <c r="F153">
        <v>0</v>
      </c>
      <c r="G153">
        <v>15</v>
      </c>
    </row>
    <row r="154" spans="1:7" x14ac:dyDescent="0.25">
      <c r="A154">
        <v>3008</v>
      </c>
      <c r="B154">
        <v>8</v>
      </c>
      <c r="C154">
        <v>1</v>
      </c>
      <c r="D154">
        <v>6</v>
      </c>
      <c r="E154">
        <v>10</v>
      </c>
      <c r="F154">
        <v>1</v>
      </c>
      <c r="G154">
        <v>17</v>
      </c>
    </row>
    <row r="155" spans="1:7" x14ac:dyDescent="0.25">
      <c r="A155">
        <v>1115</v>
      </c>
      <c r="B155">
        <v>115</v>
      </c>
      <c r="C155">
        <v>1</v>
      </c>
      <c r="D155">
        <v>3</v>
      </c>
      <c r="E155">
        <v>2</v>
      </c>
      <c r="F155">
        <v>0</v>
      </c>
      <c r="G155">
        <v>5</v>
      </c>
    </row>
    <row r="156" spans="1:7" x14ac:dyDescent="0.25">
      <c r="A156">
        <v>1137</v>
      </c>
      <c r="B156">
        <v>137</v>
      </c>
      <c r="C156">
        <v>2</v>
      </c>
      <c r="D156">
        <v>2</v>
      </c>
      <c r="E156">
        <v>0</v>
      </c>
      <c r="F156">
        <v>0</v>
      </c>
      <c r="G156">
        <v>2</v>
      </c>
    </row>
    <row r="157" spans="1:7" x14ac:dyDescent="0.25">
      <c r="A157">
        <v>1110</v>
      </c>
      <c r="B157">
        <v>110</v>
      </c>
      <c r="C157">
        <v>1</v>
      </c>
      <c r="D157">
        <v>8</v>
      </c>
      <c r="E157">
        <v>7</v>
      </c>
      <c r="F157">
        <v>0</v>
      </c>
      <c r="G157">
        <v>15</v>
      </c>
    </row>
    <row r="158" spans="1:7" x14ac:dyDescent="0.25">
      <c r="A158">
        <v>2009</v>
      </c>
      <c r="B158">
        <v>9</v>
      </c>
      <c r="C158">
        <v>1</v>
      </c>
      <c r="D158">
        <v>6</v>
      </c>
      <c r="E158">
        <v>1</v>
      </c>
      <c r="F158">
        <v>1</v>
      </c>
      <c r="G158">
        <v>8</v>
      </c>
    </row>
    <row r="159" spans="1:7" x14ac:dyDescent="0.25">
      <c r="A159">
        <v>2137</v>
      </c>
      <c r="B159">
        <v>137</v>
      </c>
      <c r="C159">
        <v>1</v>
      </c>
      <c r="D159">
        <v>10</v>
      </c>
      <c r="E159">
        <v>4</v>
      </c>
      <c r="F159">
        <v>0</v>
      </c>
      <c r="G159">
        <v>14</v>
      </c>
    </row>
    <row r="160" spans="1:7" x14ac:dyDescent="0.25">
      <c r="A160">
        <v>2109</v>
      </c>
      <c r="B160">
        <v>109</v>
      </c>
      <c r="C160">
        <v>1</v>
      </c>
      <c r="D160">
        <v>4</v>
      </c>
      <c r="E160">
        <v>7</v>
      </c>
      <c r="F160">
        <v>0</v>
      </c>
      <c r="G160">
        <v>11</v>
      </c>
    </row>
    <row r="161" spans="1:7" x14ac:dyDescent="0.25">
      <c r="A161">
        <v>2074</v>
      </c>
      <c r="B161">
        <v>74</v>
      </c>
      <c r="C161">
        <v>1</v>
      </c>
      <c r="D161">
        <v>15</v>
      </c>
      <c r="E161">
        <v>5</v>
      </c>
      <c r="F161">
        <v>0</v>
      </c>
      <c r="G161">
        <v>20</v>
      </c>
    </row>
    <row r="162" spans="1:7" x14ac:dyDescent="0.25">
      <c r="A162">
        <v>1100</v>
      </c>
      <c r="B162">
        <v>100</v>
      </c>
      <c r="C162">
        <v>1</v>
      </c>
      <c r="D162">
        <v>2</v>
      </c>
      <c r="E162">
        <v>1</v>
      </c>
      <c r="F162">
        <v>0</v>
      </c>
      <c r="G162">
        <v>3</v>
      </c>
    </row>
    <row r="163" spans="1:7" x14ac:dyDescent="0.25">
      <c r="A163">
        <v>2118</v>
      </c>
      <c r="B163">
        <v>118</v>
      </c>
      <c r="C163">
        <v>1</v>
      </c>
      <c r="D163">
        <v>4</v>
      </c>
      <c r="E163">
        <v>6</v>
      </c>
      <c r="F163">
        <v>0</v>
      </c>
      <c r="G163">
        <v>10</v>
      </c>
    </row>
    <row r="164" spans="1:7" x14ac:dyDescent="0.25">
      <c r="A164">
        <v>2073</v>
      </c>
      <c r="B164">
        <v>73</v>
      </c>
      <c r="C164">
        <v>1</v>
      </c>
      <c r="D164">
        <v>11</v>
      </c>
      <c r="E164">
        <v>9</v>
      </c>
      <c r="F164">
        <v>0</v>
      </c>
      <c r="G164">
        <v>20</v>
      </c>
    </row>
    <row r="165" spans="1:7" x14ac:dyDescent="0.25">
      <c r="A165">
        <v>3026</v>
      </c>
      <c r="B165">
        <v>26</v>
      </c>
      <c r="C165">
        <v>2</v>
      </c>
      <c r="D165">
        <v>20</v>
      </c>
      <c r="E165">
        <v>0</v>
      </c>
      <c r="F165">
        <v>0</v>
      </c>
      <c r="G165">
        <v>20</v>
      </c>
    </row>
    <row r="166" spans="1:7" x14ac:dyDescent="0.25">
      <c r="A166">
        <v>2119</v>
      </c>
      <c r="B166">
        <v>119</v>
      </c>
      <c r="C166">
        <v>1</v>
      </c>
      <c r="D166">
        <v>5</v>
      </c>
      <c r="E166">
        <v>15</v>
      </c>
      <c r="F166">
        <v>0</v>
      </c>
      <c r="G166">
        <v>20</v>
      </c>
    </row>
    <row r="167" spans="1:7" x14ac:dyDescent="0.25">
      <c r="A167">
        <v>2120</v>
      </c>
      <c r="B167">
        <v>120</v>
      </c>
      <c r="C167">
        <v>1</v>
      </c>
      <c r="D167">
        <v>16</v>
      </c>
      <c r="E167">
        <v>5</v>
      </c>
      <c r="F167">
        <v>0</v>
      </c>
      <c r="G167">
        <v>21</v>
      </c>
    </row>
    <row r="168" spans="1:7" x14ac:dyDescent="0.25">
      <c r="A168">
        <v>2121</v>
      </c>
      <c r="B168">
        <v>121</v>
      </c>
      <c r="C168">
        <v>1</v>
      </c>
      <c r="D168">
        <v>3</v>
      </c>
      <c r="E168">
        <v>12</v>
      </c>
      <c r="F168">
        <v>0</v>
      </c>
      <c r="G168">
        <v>15</v>
      </c>
    </row>
    <row r="169" spans="1:7" x14ac:dyDescent="0.25">
      <c r="A169">
        <v>2088</v>
      </c>
      <c r="B169">
        <v>88</v>
      </c>
      <c r="C169">
        <v>1</v>
      </c>
      <c r="D169">
        <v>3</v>
      </c>
      <c r="E169">
        <v>16</v>
      </c>
      <c r="F169">
        <v>1</v>
      </c>
      <c r="G169">
        <v>20</v>
      </c>
    </row>
    <row r="170" spans="1:7" x14ac:dyDescent="0.25">
      <c r="A170">
        <v>1087</v>
      </c>
      <c r="B170">
        <v>87</v>
      </c>
      <c r="C170">
        <v>1</v>
      </c>
      <c r="D170">
        <v>13</v>
      </c>
      <c r="E170">
        <v>7</v>
      </c>
      <c r="F170">
        <v>0</v>
      </c>
      <c r="G170">
        <v>20</v>
      </c>
    </row>
    <row r="171" spans="1:7" x14ac:dyDescent="0.25">
      <c r="A171">
        <v>2087</v>
      </c>
      <c r="B171">
        <v>87</v>
      </c>
      <c r="C171">
        <v>1</v>
      </c>
      <c r="D171">
        <v>5</v>
      </c>
      <c r="E171">
        <v>3</v>
      </c>
      <c r="F171">
        <v>0</v>
      </c>
      <c r="G171">
        <v>8</v>
      </c>
    </row>
    <row r="172" spans="1:7" x14ac:dyDescent="0.25">
      <c r="A172">
        <v>2090</v>
      </c>
      <c r="B172">
        <v>90</v>
      </c>
      <c r="C172">
        <v>1</v>
      </c>
      <c r="D172">
        <v>15</v>
      </c>
      <c r="E172">
        <v>0</v>
      </c>
      <c r="F172">
        <v>0</v>
      </c>
      <c r="G172">
        <v>15</v>
      </c>
    </row>
    <row r="173" spans="1:7" x14ac:dyDescent="0.25">
      <c r="A173">
        <v>5086</v>
      </c>
      <c r="B173">
        <v>86</v>
      </c>
      <c r="C173">
        <v>1</v>
      </c>
      <c r="D173">
        <v>3</v>
      </c>
      <c r="E173">
        <v>17</v>
      </c>
      <c r="F173">
        <v>0</v>
      </c>
      <c r="G173">
        <v>20</v>
      </c>
    </row>
    <row r="174" spans="1:7" x14ac:dyDescent="0.25">
      <c r="A174">
        <v>2131</v>
      </c>
      <c r="B174">
        <v>131</v>
      </c>
      <c r="C174">
        <v>1</v>
      </c>
      <c r="D174">
        <v>12</v>
      </c>
      <c r="E174">
        <v>3</v>
      </c>
      <c r="F174">
        <v>0</v>
      </c>
      <c r="G174">
        <v>15</v>
      </c>
    </row>
    <row r="175" spans="1:7" x14ac:dyDescent="0.25">
      <c r="A175">
        <v>1129</v>
      </c>
      <c r="B175">
        <v>129</v>
      </c>
      <c r="C175">
        <v>1</v>
      </c>
      <c r="D175">
        <v>11</v>
      </c>
      <c r="E175">
        <v>4</v>
      </c>
      <c r="F175">
        <v>0</v>
      </c>
      <c r="G175">
        <v>15</v>
      </c>
    </row>
    <row r="176" spans="1:7" x14ac:dyDescent="0.25">
      <c r="A176">
        <v>5118</v>
      </c>
      <c r="B176">
        <v>118</v>
      </c>
      <c r="C176">
        <v>1</v>
      </c>
      <c r="D176">
        <v>12</v>
      </c>
      <c r="E176">
        <v>7</v>
      </c>
      <c r="F176">
        <v>0</v>
      </c>
      <c r="G176">
        <v>19</v>
      </c>
    </row>
    <row r="177" spans="1:7" x14ac:dyDescent="0.25">
      <c r="A177">
        <v>2019</v>
      </c>
      <c r="B177">
        <v>19</v>
      </c>
      <c r="C177">
        <v>1</v>
      </c>
      <c r="D177">
        <v>2</v>
      </c>
      <c r="E177">
        <v>15</v>
      </c>
      <c r="F177">
        <v>1</v>
      </c>
      <c r="G177">
        <v>18</v>
      </c>
    </row>
    <row r="178" spans="1:7" x14ac:dyDescent="0.25">
      <c r="A178">
        <v>1121</v>
      </c>
      <c r="B178">
        <v>121</v>
      </c>
      <c r="C178">
        <v>1</v>
      </c>
      <c r="D178">
        <v>6</v>
      </c>
      <c r="E178">
        <v>19</v>
      </c>
      <c r="F178">
        <v>0</v>
      </c>
      <c r="G178">
        <v>25</v>
      </c>
    </row>
    <row r="179" spans="1:7" x14ac:dyDescent="0.25">
      <c r="A179">
        <v>1132</v>
      </c>
      <c r="B179">
        <v>132</v>
      </c>
      <c r="C179">
        <v>1</v>
      </c>
      <c r="D179">
        <v>3</v>
      </c>
      <c r="E179">
        <v>13</v>
      </c>
      <c r="F179">
        <v>1</v>
      </c>
      <c r="G179">
        <v>17</v>
      </c>
    </row>
    <row r="180" spans="1:7" x14ac:dyDescent="0.25">
      <c r="A180">
        <v>2155</v>
      </c>
      <c r="B180">
        <v>155</v>
      </c>
      <c r="C180">
        <v>1</v>
      </c>
      <c r="D180">
        <v>16</v>
      </c>
      <c r="E180">
        <v>8</v>
      </c>
      <c r="F180">
        <v>0</v>
      </c>
      <c r="G180">
        <v>24</v>
      </c>
    </row>
    <row r="181" spans="1:7" x14ac:dyDescent="0.25">
      <c r="A181">
        <v>1131</v>
      </c>
      <c r="B181">
        <v>131</v>
      </c>
      <c r="C181">
        <v>1</v>
      </c>
      <c r="D181">
        <v>17</v>
      </c>
      <c r="E181">
        <v>0</v>
      </c>
      <c r="F181">
        <v>0</v>
      </c>
      <c r="G181">
        <v>17</v>
      </c>
    </row>
    <row r="182" spans="1:7" x14ac:dyDescent="0.25">
      <c r="A182">
        <v>1130</v>
      </c>
      <c r="B182">
        <v>130</v>
      </c>
      <c r="C182">
        <v>1</v>
      </c>
      <c r="D182">
        <v>6</v>
      </c>
      <c r="E182">
        <v>7</v>
      </c>
      <c r="F182">
        <v>0</v>
      </c>
      <c r="G182">
        <v>13</v>
      </c>
    </row>
    <row r="183" spans="1:7" x14ac:dyDescent="0.25">
      <c r="A183">
        <v>1131</v>
      </c>
      <c r="B183">
        <v>131</v>
      </c>
      <c r="C183">
        <v>2</v>
      </c>
      <c r="D183">
        <v>17</v>
      </c>
      <c r="E183">
        <v>0</v>
      </c>
      <c r="F183">
        <v>0</v>
      </c>
      <c r="G183">
        <v>17</v>
      </c>
    </row>
    <row r="184" spans="1:7" x14ac:dyDescent="0.25">
      <c r="A184">
        <v>2130</v>
      </c>
      <c r="B184">
        <v>130</v>
      </c>
      <c r="C184">
        <v>1</v>
      </c>
      <c r="D184">
        <v>16</v>
      </c>
      <c r="E184">
        <v>3</v>
      </c>
      <c r="F184">
        <v>1</v>
      </c>
      <c r="G184">
        <v>20</v>
      </c>
    </row>
    <row r="185" spans="1:7" x14ac:dyDescent="0.25">
      <c r="A185">
        <v>1155</v>
      </c>
      <c r="B185">
        <v>155</v>
      </c>
      <c r="C185">
        <v>1</v>
      </c>
      <c r="D185">
        <v>4</v>
      </c>
      <c r="E185">
        <v>1</v>
      </c>
      <c r="F185">
        <v>0</v>
      </c>
      <c r="G185">
        <v>5</v>
      </c>
    </row>
    <row r="186" spans="1:7" x14ac:dyDescent="0.25">
      <c r="A186">
        <v>2129</v>
      </c>
      <c r="B186">
        <v>129</v>
      </c>
      <c r="C186">
        <v>1</v>
      </c>
      <c r="D186">
        <v>5</v>
      </c>
      <c r="E186">
        <v>1</v>
      </c>
      <c r="F186">
        <v>0</v>
      </c>
      <c r="G186">
        <v>6</v>
      </c>
    </row>
    <row r="187" spans="1:7" x14ac:dyDescent="0.25">
      <c r="A187">
        <v>1116</v>
      </c>
      <c r="B187">
        <v>116</v>
      </c>
      <c r="C187">
        <v>1</v>
      </c>
      <c r="D187">
        <v>3</v>
      </c>
      <c r="E187">
        <v>0</v>
      </c>
      <c r="F187">
        <v>0</v>
      </c>
      <c r="G187">
        <v>3</v>
      </c>
    </row>
    <row r="188" spans="1:7" x14ac:dyDescent="0.25">
      <c r="A188">
        <v>1118</v>
      </c>
      <c r="B188">
        <v>118</v>
      </c>
      <c r="C188">
        <v>1</v>
      </c>
      <c r="D188">
        <v>1</v>
      </c>
      <c r="E188">
        <v>6</v>
      </c>
      <c r="F188">
        <v>1</v>
      </c>
      <c r="G188">
        <v>8</v>
      </c>
    </row>
    <row r="189" spans="1:7" x14ac:dyDescent="0.25">
      <c r="A189">
        <v>1156</v>
      </c>
      <c r="B189">
        <v>156</v>
      </c>
      <c r="C189">
        <v>2</v>
      </c>
      <c r="D189">
        <v>5</v>
      </c>
      <c r="E189">
        <v>4</v>
      </c>
      <c r="F189">
        <v>0</v>
      </c>
      <c r="G189">
        <v>9</v>
      </c>
    </row>
    <row r="190" spans="1:7" x14ac:dyDescent="0.25">
      <c r="A190">
        <v>1132</v>
      </c>
      <c r="B190">
        <v>132</v>
      </c>
      <c r="C190">
        <v>2</v>
      </c>
      <c r="D190">
        <v>6</v>
      </c>
      <c r="E190">
        <v>7</v>
      </c>
      <c r="F190">
        <v>0</v>
      </c>
      <c r="G190">
        <v>13</v>
      </c>
    </row>
    <row r="191" spans="1:7" x14ac:dyDescent="0.25">
      <c r="A191">
        <v>2130</v>
      </c>
      <c r="B191">
        <v>130</v>
      </c>
      <c r="C191">
        <v>2</v>
      </c>
      <c r="D191">
        <v>14</v>
      </c>
      <c r="E191">
        <v>6</v>
      </c>
      <c r="F191">
        <v>0</v>
      </c>
      <c r="G191">
        <v>20</v>
      </c>
    </row>
    <row r="192" spans="1:7" x14ac:dyDescent="0.25">
      <c r="A192">
        <v>1139</v>
      </c>
      <c r="B192">
        <v>139</v>
      </c>
      <c r="C192">
        <v>1</v>
      </c>
      <c r="D192">
        <v>12</v>
      </c>
      <c r="E192">
        <v>9</v>
      </c>
      <c r="F192">
        <v>0</v>
      </c>
      <c r="G192">
        <v>21</v>
      </c>
    </row>
    <row r="193" spans="1:7" x14ac:dyDescent="0.25">
      <c r="A193">
        <v>1130</v>
      </c>
      <c r="B193">
        <v>130</v>
      </c>
      <c r="C193">
        <v>2</v>
      </c>
      <c r="D193">
        <v>8</v>
      </c>
      <c r="E193">
        <v>7</v>
      </c>
      <c r="F193">
        <v>0</v>
      </c>
      <c r="G193">
        <v>15</v>
      </c>
    </row>
    <row r="194" spans="1:7" x14ac:dyDescent="0.25">
      <c r="A194">
        <v>2134</v>
      </c>
      <c r="B194">
        <v>134</v>
      </c>
      <c r="C194">
        <v>1</v>
      </c>
      <c r="D194">
        <v>6</v>
      </c>
      <c r="E194">
        <v>2</v>
      </c>
      <c r="F194">
        <v>0</v>
      </c>
      <c r="G194">
        <v>8</v>
      </c>
    </row>
    <row r="195" spans="1:7" x14ac:dyDescent="0.25">
      <c r="A195">
        <v>1119</v>
      </c>
      <c r="B195">
        <v>119</v>
      </c>
      <c r="C195">
        <v>1</v>
      </c>
      <c r="D195">
        <v>4</v>
      </c>
      <c r="E195">
        <v>14</v>
      </c>
      <c r="F195">
        <v>0</v>
      </c>
      <c r="G195">
        <v>18</v>
      </c>
    </row>
    <row r="196" spans="1:7" x14ac:dyDescent="0.25">
      <c r="A196">
        <v>2138</v>
      </c>
      <c r="B196">
        <v>138</v>
      </c>
      <c r="C196">
        <v>2</v>
      </c>
      <c r="D196">
        <v>11</v>
      </c>
      <c r="E196">
        <v>6</v>
      </c>
      <c r="F196">
        <v>0</v>
      </c>
      <c r="G196">
        <v>17</v>
      </c>
    </row>
    <row r="197" spans="1:7" x14ac:dyDescent="0.25">
      <c r="A197">
        <v>1095</v>
      </c>
      <c r="B197">
        <v>95</v>
      </c>
      <c r="C197">
        <v>1</v>
      </c>
      <c r="D197">
        <v>4</v>
      </c>
      <c r="E197">
        <v>12</v>
      </c>
      <c r="F197">
        <v>3</v>
      </c>
      <c r="G197">
        <v>19</v>
      </c>
    </row>
    <row r="198" spans="1:7" x14ac:dyDescent="0.25">
      <c r="A198">
        <v>3137</v>
      </c>
      <c r="B198">
        <v>137</v>
      </c>
      <c r="C198">
        <v>2</v>
      </c>
      <c r="D198">
        <v>5</v>
      </c>
      <c r="E198">
        <v>8</v>
      </c>
      <c r="F198">
        <v>0</v>
      </c>
      <c r="G198">
        <v>13</v>
      </c>
    </row>
    <row r="199" spans="1:7" x14ac:dyDescent="0.25">
      <c r="A199">
        <v>1120</v>
      </c>
      <c r="B199">
        <v>120</v>
      </c>
      <c r="C199">
        <v>1</v>
      </c>
      <c r="D199">
        <v>17</v>
      </c>
      <c r="E199">
        <v>5</v>
      </c>
      <c r="F199">
        <v>0</v>
      </c>
      <c r="G199">
        <v>22</v>
      </c>
    </row>
    <row r="200" spans="1:7" x14ac:dyDescent="0.25">
      <c r="A200">
        <v>3102</v>
      </c>
      <c r="B200">
        <v>102</v>
      </c>
      <c r="C200">
        <v>2</v>
      </c>
      <c r="D200">
        <v>5</v>
      </c>
      <c r="E200">
        <v>15</v>
      </c>
      <c r="F200">
        <v>0</v>
      </c>
      <c r="G200">
        <v>20</v>
      </c>
    </row>
    <row r="201" spans="1:7" x14ac:dyDescent="0.25">
      <c r="A201">
        <v>1138</v>
      </c>
      <c r="B201">
        <v>138</v>
      </c>
      <c r="C201">
        <v>3</v>
      </c>
      <c r="D201">
        <v>12</v>
      </c>
      <c r="E201">
        <v>5</v>
      </c>
      <c r="F201">
        <v>0</v>
      </c>
      <c r="G201">
        <v>17</v>
      </c>
    </row>
    <row r="202" spans="1:7" x14ac:dyDescent="0.25">
      <c r="A202">
        <v>5048</v>
      </c>
      <c r="B202">
        <v>48</v>
      </c>
      <c r="C202">
        <v>3</v>
      </c>
      <c r="D202">
        <v>12</v>
      </c>
      <c r="E202">
        <v>8</v>
      </c>
      <c r="F202">
        <v>0</v>
      </c>
      <c r="G202">
        <v>20</v>
      </c>
    </row>
    <row r="203" spans="1:7" x14ac:dyDescent="0.25">
      <c r="A203">
        <v>2102</v>
      </c>
      <c r="B203">
        <v>102</v>
      </c>
      <c r="C203">
        <v>2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>
        <v>1102</v>
      </c>
      <c r="B204">
        <v>102</v>
      </c>
      <c r="C204">
        <v>2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>
        <v>1101</v>
      </c>
      <c r="B205">
        <v>101</v>
      </c>
      <c r="C205">
        <v>2</v>
      </c>
      <c r="D205">
        <v>10</v>
      </c>
      <c r="E205">
        <v>9</v>
      </c>
      <c r="F205">
        <v>1</v>
      </c>
      <c r="G205">
        <v>20</v>
      </c>
    </row>
    <row r="206" spans="1:7" x14ac:dyDescent="0.25">
      <c r="A206">
        <v>2052</v>
      </c>
      <c r="B206">
        <v>52</v>
      </c>
      <c r="C206">
        <v>2</v>
      </c>
      <c r="D206">
        <v>6</v>
      </c>
      <c r="E206">
        <v>2</v>
      </c>
      <c r="F206">
        <v>0</v>
      </c>
      <c r="G206">
        <v>8</v>
      </c>
    </row>
    <row r="207" spans="1:7" x14ac:dyDescent="0.25">
      <c r="A207">
        <v>1128</v>
      </c>
      <c r="B207">
        <v>128</v>
      </c>
      <c r="C207">
        <v>2</v>
      </c>
      <c r="D207">
        <v>3</v>
      </c>
      <c r="E207">
        <v>1</v>
      </c>
      <c r="F207">
        <v>0</v>
      </c>
      <c r="G207">
        <v>4</v>
      </c>
    </row>
    <row r="208" spans="1:7" x14ac:dyDescent="0.25">
      <c r="A208">
        <v>2101</v>
      </c>
      <c r="B208">
        <v>101</v>
      </c>
      <c r="C208">
        <v>2</v>
      </c>
      <c r="D208">
        <v>5</v>
      </c>
      <c r="E208">
        <v>15</v>
      </c>
      <c r="F208">
        <v>0</v>
      </c>
      <c r="G208">
        <v>20</v>
      </c>
    </row>
    <row r="209" spans="1:7" x14ac:dyDescent="0.25">
      <c r="A209">
        <v>2095</v>
      </c>
      <c r="B209">
        <v>95</v>
      </c>
      <c r="C209">
        <v>3</v>
      </c>
      <c r="D209">
        <v>0</v>
      </c>
      <c r="E209">
        <v>17</v>
      </c>
      <c r="F209">
        <v>3</v>
      </c>
      <c r="G209">
        <v>20</v>
      </c>
    </row>
    <row r="210" spans="1:7" x14ac:dyDescent="0.25">
      <c r="A210">
        <v>2129</v>
      </c>
      <c r="B210">
        <v>129</v>
      </c>
      <c r="C210">
        <v>2</v>
      </c>
      <c r="D210">
        <v>7</v>
      </c>
      <c r="E210">
        <v>4</v>
      </c>
      <c r="F210">
        <v>0</v>
      </c>
      <c r="G210">
        <v>11</v>
      </c>
    </row>
    <row r="211" spans="1:7" x14ac:dyDescent="0.25">
      <c r="A211">
        <v>1083</v>
      </c>
      <c r="B211">
        <v>83</v>
      </c>
      <c r="C211">
        <v>2</v>
      </c>
      <c r="D211">
        <v>9</v>
      </c>
      <c r="E211">
        <v>6</v>
      </c>
      <c r="F211">
        <v>0</v>
      </c>
      <c r="G211">
        <v>15</v>
      </c>
    </row>
    <row r="212" spans="1:7" x14ac:dyDescent="0.25">
      <c r="A212">
        <v>1067</v>
      </c>
      <c r="B212">
        <v>67</v>
      </c>
      <c r="C212">
        <v>1</v>
      </c>
      <c r="D212">
        <v>17</v>
      </c>
      <c r="E212">
        <v>2</v>
      </c>
      <c r="F212">
        <v>0</v>
      </c>
      <c r="G212">
        <v>19</v>
      </c>
    </row>
    <row r="213" spans="1:7" x14ac:dyDescent="0.25">
      <c r="A213">
        <v>1095</v>
      </c>
      <c r="B213">
        <v>95</v>
      </c>
      <c r="C213">
        <v>2</v>
      </c>
      <c r="D213">
        <v>2</v>
      </c>
      <c r="E213">
        <v>18</v>
      </c>
      <c r="F213">
        <v>0</v>
      </c>
      <c r="G213">
        <v>20</v>
      </c>
    </row>
    <row r="214" spans="1:7" x14ac:dyDescent="0.25">
      <c r="A214">
        <v>2094</v>
      </c>
      <c r="B214">
        <v>94</v>
      </c>
      <c r="C214">
        <v>2</v>
      </c>
      <c r="D214">
        <v>17</v>
      </c>
      <c r="E214">
        <v>3</v>
      </c>
      <c r="F214">
        <v>0</v>
      </c>
      <c r="G214">
        <v>20</v>
      </c>
    </row>
    <row r="215" spans="1:7" x14ac:dyDescent="0.25">
      <c r="A215">
        <v>2096</v>
      </c>
      <c r="B215">
        <v>96</v>
      </c>
      <c r="C215">
        <v>2</v>
      </c>
      <c r="D215">
        <v>3</v>
      </c>
      <c r="E215">
        <v>0</v>
      </c>
      <c r="F215">
        <v>0</v>
      </c>
      <c r="G215">
        <v>3</v>
      </c>
    </row>
    <row r="216" spans="1:7" x14ac:dyDescent="0.25">
      <c r="A216">
        <v>4118</v>
      </c>
      <c r="B216">
        <v>118</v>
      </c>
      <c r="C216">
        <v>1</v>
      </c>
      <c r="D216">
        <v>10</v>
      </c>
      <c r="E216">
        <v>15</v>
      </c>
      <c r="F216">
        <v>0</v>
      </c>
      <c r="G216">
        <v>25</v>
      </c>
    </row>
    <row r="217" spans="1:7" x14ac:dyDescent="0.25">
      <c r="A217">
        <v>4118</v>
      </c>
      <c r="B217">
        <v>118</v>
      </c>
      <c r="C217">
        <v>2</v>
      </c>
      <c r="D217">
        <v>13</v>
      </c>
      <c r="E217">
        <v>12</v>
      </c>
      <c r="F217">
        <v>0</v>
      </c>
      <c r="G217">
        <v>25</v>
      </c>
    </row>
    <row r="218" spans="1:7" x14ac:dyDescent="0.25">
      <c r="A218">
        <v>2012</v>
      </c>
      <c r="B218">
        <v>12</v>
      </c>
      <c r="C218">
        <v>1</v>
      </c>
      <c r="D218">
        <v>14</v>
      </c>
      <c r="E218">
        <v>11</v>
      </c>
      <c r="F218">
        <v>0</v>
      </c>
      <c r="G218">
        <v>25</v>
      </c>
    </row>
    <row r="219" spans="1:7" x14ac:dyDescent="0.25">
      <c r="A219">
        <v>2112</v>
      </c>
      <c r="B219">
        <v>112</v>
      </c>
      <c r="C219">
        <v>1</v>
      </c>
      <c r="D219">
        <v>19</v>
      </c>
      <c r="E219">
        <v>13</v>
      </c>
      <c r="F219">
        <v>0</v>
      </c>
      <c r="G219">
        <v>32</v>
      </c>
    </row>
    <row r="220" spans="1:7" x14ac:dyDescent="0.25">
      <c r="A220">
        <v>2112</v>
      </c>
      <c r="B220">
        <v>112</v>
      </c>
      <c r="C220">
        <v>2</v>
      </c>
      <c r="D220">
        <v>19</v>
      </c>
      <c r="E220">
        <v>12</v>
      </c>
      <c r="F220">
        <v>0</v>
      </c>
      <c r="G220">
        <v>31</v>
      </c>
    </row>
    <row r="221" spans="1:7" x14ac:dyDescent="0.25">
      <c r="A221">
        <v>1112</v>
      </c>
      <c r="B221">
        <v>112</v>
      </c>
      <c r="C221">
        <v>1</v>
      </c>
      <c r="D221">
        <v>19</v>
      </c>
      <c r="E221">
        <v>11</v>
      </c>
      <c r="F221">
        <v>3</v>
      </c>
      <c r="G221">
        <v>33</v>
      </c>
    </row>
    <row r="222" spans="1:7" x14ac:dyDescent="0.25">
      <c r="A222">
        <v>2037</v>
      </c>
      <c r="B222">
        <v>37</v>
      </c>
      <c r="C222">
        <v>2</v>
      </c>
      <c r="D222">
        <v>0</v>
      </c>
      <c r="E222">
        <v>11</v>
      </c>
      <c r="F222">
        <v>0</v>
      </c>
      <c r="G222">
        <v>11</v>
      </c>
    </row>
    <row r="223" spans="1:7" x14ac:dyDescent="0.25">
      <c r="A223">
        <v>1038</v>
      </c>
      <c r="B223">
        <v>38</v>
      </c>
      <c r="C223">
        <v>2</v>
      </c>
      <c r="D223">
        <v>1</v>
      </c>
      <c r="E223">
        <v>0</v>
      </c>
      <c r="F223">
        <v>0</v>
      </c>
      <c r="G223">
        <v>1</v>
      </c>
    </row>
    <row r="224" spans="1:7" x14ac:dyDescent="0.25">
      <c r="A224">
        <v>2076</v>
      </c>
      <c r="B224">
        <v>76</v>
      </c>
      <c r="C224">
        <v>2</v>
      </c>
      <c r="D224">
        <v>7</v>
      </c>
      <c r="E224">
        <v>13</v>
      </c>
      <c r="F224">
        <v>0</v>
      </c>
      <c r="G224">
        <v>20</v>
      </c>
    </row>
    <row r="225" spans="1:7" x14ac:dyDescent="0.25">
      <c r="A225">
        <v>3038</v>
      </c>
      <c r="B225">
        <v>38</v>
      </c>
      <c r="C225">
        <v>2</v>
      </c>
      <c r="D225">
        <v>17</v>
      </c>
      <c r="E225">
        <v>3</v>
      </c>
      <c r="F225">
        <v>0</v>
      </c>
      <c r="G225">
        <v>20</v>
      </c>
    </row>
    <row r="226" spans="1:7" x14ac:dyDescent="0.25">
      <c r="A226">
        <v>3079</v>
      </c>
      <c r="B226">
        <v>79</v>
      </c>
      <c r="C226">
        <v>2</v>
      </c>
      <c r="D226">
        <v>9</v>
      </c>
      <c r="E226">
        <v>11</v>
      </c>
      <c r="F226">
        <v>0</v>
      </c>
      <c r="G226">
        <v>20</v>
      </c>
    </row>
    <row r="227" spans="1:7" x14ac:dyDescent="0.25">
      <c r="A227">
        <v>1076</v>
      </c>
      <c r="B227">
        <v>76</v>
      </c>
      <c r="C227">
        <v>2</v>
      </c>
      <c r="D227">
        <v>16</v>
      </c>
      <c r="E227">
        <v>4</v>
      </c>
      <c r="F227">
        <v>0</v>
      </c>
      <c r="G227">
        <v>20</v>
      </c>
    </row>
    <row r="228" spans="1:7" x14ac:dyDescent="0.25">
      <c r="A228">
        <v>2075</v>
      </c>
      <c r="B228">
        <v>75</v>
      </c>
      <c r="C228">
        <v>2</v>
      </c>
      <c r="D228">
        <v>16</v>
      </c>
      <c r="E228">
        <v>4</v>
      </c>
      <c r="F228">
        <v>0</v>
      </c>
      <c r="G228">
        <v>20</v>
      </c>
    </row>
    <row r="229" spans="1:7" x14ac:dyDescent="0.25">
      <c r="A229">
        <v>1036</v>
      </c>
      <c r="B229">
        <v>36</v>
      </c>
      <c r="C229">
        <v>2</v>
      </c>
      <c r="D229">
        <v>12</v>
      </c>
      <c r="E229">
        <v>8</v>
      </c>
      <c r="F229">
        <v>0</v>
      </c>
      <c r="G229">
        <v>20</v>
      </c>
    </row>
    <row r="230" spans="1:7" x14ac:dyDescent="0.25">
      <c r="A230">
        <v>2079</v>
      </c>
      <c r="B230">
        <v>79</v>
      </c>
      <c r="C230">
        <v>2</v>
      </c>
      <c r="D230">
        <v>16</v>
      </c>
      <c r="E230">
        <v>8</v>
      </c>
      <c r="F230">
        <v>0</v>
      </c>
      <c r="G230">
        <v>24</v>
      </c>
    </row>
    <row r="231" spans="1:7" x14ac:dyDescent="0.25">
      <c r="A231">
        <v>1030</v>
      </c>
      <c r="B231">
        <v>30</v>
      </c>
      <c r="C231">
        <v>1</v>
      </c>
      <c r="D231">
        <v>1</v>
      </c>
      <c r="E231">
        <v>6</v>
      </c>
      <c r="F231">
        <v>0</v>
      </c>
      <c r="G231">
        <v>7</v>
      </c>
    </row>
    <row r="232" spans="1:7" x14ac:dyDescent="0.25">
      <c r="A232">
        <v>1037</v>
      </c>
      <c r="B232">
        <v>37</v>
      </c>
      <c r="C232">
        <v>2</v>
      </c>
      <c r="D232">
        <v>10</v>
      </c>
      <c r="E232">
        <v>8</v>
      </c>
      <c r="F232">
        <v>3</v>
      </c>
      <c r="G232">
        <v>21</v>
      </c>
    </row>
    <row r="233" spans="1:7" x14ac:dyDescent="0.25">
      <c r="A233">
        <v>2078</v>
      </c>
      <c r="B233">
        <v>78</v>
      </c>
      <c r="C233">
        <v>2</v>
      </c>
      <c r="D233">
        <v>6</v>
      </c>
      <c r="E233">
        <v>9</v>
      </c>
      <c r="F233">
        <v>0</v>
      </c>
      <c r="G233">
        <v>15</v>
      </c>
    </row>
    <row r="234" spans="1:7" x14ac:dyDescent="0.25">
      <c r="A234">
        <v>2038</v>
      </c>
      <c r="B234">
        <v>38</v>
      </c>
      <c r="C234">
        <v>2</v>
      </c>
      <c r="D234">
        <v>11</v>
      </c>
      <c r="E234">
        <v>8</v>
      </c>
      <c r="F234">
        <v>0</v>
      </c>
      <c r="G234">
        <v>19</v>
      </c>
    </row>
    <row r="235" spans="1:7" x14ac:dyDescent="0.25">
      <c r="A235">
        <v>1079</v>
      </c>
      <c r="B235">
        <v>79</v>
      </c>
      <c r="C235">
        <v>2</v>
      </c>
      <c r="D235">
        <v>23</v>
      </c>
      <c r="E235">
        <v>1</v>
      </c>
      <c r="F235">
        <v>0</v>
      </c>
      <c r="G235">
        <v>24</v>
      </c>
    </row>
    <row r="236" spans="1:7" x14ac:dyDescent="0.25">
      <c r="A236">
        <v>1036</v>
      </c>
      <c r="B236">
        <v>36</v>
      </c>
      <c r="C236">
        <v>3</v>
      </c>
      <c r="D236">
        <v>10</v>
      </c>
      <c r="E236">
        <v>10</v>
      </c>
      <c r="F236">
        <v>0</v>
      </c>
      <c r="G236">
        <v>20</v>
      </c>
    </row>
    <row r="237" spans="1:7" x14ac:dyDescent="0.25">
      <c r="A237">
        <v>2077</v>
      </c>
      <c r="B237">
        <v>77</v>
      </c>
      <c r="C237">
        <v>2</v>
      </c>
      <c r="D237">
        <v>14</v>
      </c>
      <c r="E237">
        <v>6</v>
      </c>
      <c r="F237">
        <v>0</v>
      </c>
      <c r="G237">
        <v>20</v>
      </c>
    </row>
    <row r="238" spans="1:7" x14ac:dyDescent="0.25">
      <c r="A238">
        <v>2040</v>
      </c>
      <c r="B238">
        <v>40</v>
      </c>
      <c r="C238">
        <v>2</v>
      </c>
      <c r="D238">
        <v>15</v>
      </c>
      <c r="E238">
        <v>5</v>
      </c>
      <c r="F238">
        <v>0</v>
      </c>
      <c r="G238">
        <v>20</v>
      </c>
    </row>
    <row r="239" spans="1:7" x14ac:dyDescent="0.25">
      <c r="A239">
        <v>1078</v>
      </c>
      <c r="B239">
        <v>78</v>
      </c>
      <c r="C239">
        <v>2</v>
      </c>
      <c r="D239">
        <v>9</v>
      </c>
      <c r="E239">
        <v>11</v>
      </c>
      <c r="F239">
        <v>0</v>
      </c>
      <c r="G239">
        <v>20</v>
      </c>
    </row>
    <row r="240" spans="1:7" x14ac:dyDescent="0.25">
      <c r="A240">
        <v>4061</v>
      </c>
      <c r="B240">
        <v>61</v>
      </c>
      <c r="C240">
        <v>3</v>
      </c>
      <c r="D240">
        <v>6</v>
      </c>
      <c r="E240">
        <v>5</v>
      </c>
      <c r="F240">
        <v>0</v>
      </c>
      <c r="G240">
        <v>11</v>
      </c>
    </row>
    <row r="241" spans="1:7" x14ac:dyDescent="0.25">
      <c r="A241">
        <v>1035</v>
      </c>
      <c r="B241">
        <v>35</v>
      </c>
      <c r="C241">
        <v>2</v>
      </c>
      <c r="D241">
        <v>11</v>
      </c>
      <c r="E241">
        <v>9</v>
      </c>
      <c r="F241">
        <v>0</v>
      </c>
      <c r="G241">
        <v>20</v>
      </c>
    </row>
    <row r="242" spans="1:7" x14ac:dyDescent="0.25">
      <c r="A242">
        <v>2065</v>
      </c>
      <c r="B242">
        <v>65</v>
      </c>
      <c r="C242">
        <v>2</v>
      </c>
      <c r="D242">
        <v>12</v>
      </c>
      <c r="E242">
        <v>1</v>
      </c>
      <c r="F242">
        <v>0</v>
      </c>
      <c r="G242">
        <v>13</v>
      </c>
    </row>
    <row r="243" spans="1:7" x14ac:dyDescent="0.25">
      <c r="A243">
        <v>5061</v>
      </c>
      <c r="B243">
        <v>61</v>
      </c>
      <c r="C243">
        <v>3</v>
      </c>
      <c r="D243">
        <v>11</v>
      </c>
      <c r="E243">
        <v>9</v>
      </c>
      <c r="F243">
        <v>0</v>
      </c>
      <c r="G243">
        <v>20</v>
      </c>
    </row>
    <row r="244" spans="1:7" x14ac:dyDescent="0.25">
      <c r="A244">
        <v>4102</v>
      </c>
      <c r="B244">
        <v>102</v>
      </c>
      <c r="C244">
        <v>1</v>
      </c>
      <c r="D244">
        <v>15</v>
      </c>
      <c r="E244">
        <v>5</v>
      </c>
      <c r="F244">
        <v>0</v>
      </c>
      <c r="G244">
        <v>20</v>
      </c>
    </row>
    <row r="245" spans="1:7" x14ac:dyDescent="0.25">
      <c r="A245">
        <v>1062</v>
      </c>
      <c r="B245">
        <v>62</v>
      </c>
      <c r="C245">
        <v>3</v>
      </c>
      <c r="D245">
        <v>8</v>
      </c>
      <c r="E245">
        <v>10</v>
      </c>
      <c r="F245">
        <v>0</v>
      </c>
      <c r="G245">
        <v>18</v>
      </c>
    </row>
    <row r="246" spans="1:7" x14ac:dyDescent="0.25">
      <c r="A246">
        <v>2062</v>
      </c>
      <c r="B246">
        <v>62</v>
      </c>
      <c r="C246">
        <v>3</v>
      </c>
      <c r="D246">
        <v>6</v>
      </c>
      <c r="E246">
        <v>8</v>
      </c>
      <c r="F246">
        <v>0</v>
      </c>
      <c r="G246">
        <v>14</v>
      </c>
    </row>
    <row r="247" spans="1:7" x14ac:dyDescent="0.25">
      <c r="A247">
        <v>1063</v>
      </c>
      <c r="B247">
        <v>63</v>
      </c>
      <c r="C247">
        <v>3</v>
      </c>
      <c r="D247">
        <v>9</v>
      </c>
      <c r="E247">
        <v>7</v>
      </c>
      <c r="F247">
        <v>0</v>
      </c>
      <c r="G247">
        <v>16</v>
      </c>
    </row>
    <row r="248" spans="1:7" x14ac:dyDescent="0.25">
      <c r="A248">
        <v>1064</v>
      </c>
      <c r="B248">
        <v>64</v>
      </c>
      <c r="C248">
        <v>3</v>
      </c>
      <c r="D248">
        <v>15</v>
      </c>
      <c r="E248">
        <v>5</v>
      </c>
      <c r="F248">
        <v>0</v>
      </c>
      <c r="G248">
        <v>20</v>
      </c>
    </row>
    <row r="249" spans="1:7" x14ac:dyDescent="0.25">
      <c r="A249">
        <v>3064</v>
      </c>
      <c r="B249">
        <v>64</v>
      </c>
      <c r="C249">
        <v>3</v>
      </c>
      <c r="D249">
        <v>19</v>
      </c>
      <c r="E249">
        <v>1</v>
      </c>
      <c r="F249">
        <v>0</v>
      </c>
      <c r="G249">
        <v>20</v>
      </c>
    </row>
    <row r="250" spans="1:7" x14ac:dyDescent="0.25">
      <c r="A250">
        <v>2064</v>
      </c>
      <c r="B250">
        <v>64</v>
      </c>
      <c r="C250">
        <v>3</v>
      </c>
      <c r="D250">
        <v>18</v>
      </c>
      <c r="E250">
        <v>2</v>
      </c>
      <c r="F250">
        <v>0</v>
      </c>
      <c r="G250">
        <v>20</v>
      </c>
    </row>
    <row r="251" spans="1:7" x14ac:dyDescent="0.25">
      <c r="A251">
        <v>1112</v>
      </c>
      <c r="B251">
        <v>112</v>
      </c>
      <c r="C251">
        <v>2</v>
      </c>
      <c r="D251">
        <v>18</v>
      </c>
      <c r="E251">
        <v>11</v>
      </c>
      <c r="F251">
        <v>0</v>
      </c>
      <c r="G251">
        <v>29</v>
      </c>
    </row>
    <row r="252" spans="1:7" x14ac:dyDescent="0.25">
      <c r="A252">
        <v>1028</v>
      </c>
      <c r="B252">
        <v>28</v>
      </c>
      <c r="C252">
        <v>1</v>
      </c>
      <c r="D252">
        <v>6</v>
      </c>
      <c r="E252">
        <v>4</v>
      </c>
      <c r="F252">
        <v>0</v>
      </c>
      <c r="G252">
        <v>10</v>
      </c>
    </row>
    <row r="253" spans="1:7" x14ac:dyDescent="0.25">
      <c r="A253">
        <v>5102</v>
      </c>
      <c r="B253">
        <v>102</v>
      </c>
      <c r="C253">
        <v>1</v>
      </c>
      <c r="D253">
        <v>7</v>
      </c>
      <c r="E253">
        <v>9</v>
      </c>
      <c r="F253">
        <v>0</v>
      </c>
      <c r="G253">
        <v>16</v>
      </c>
    </row>
    <row r="254" spans="1:7" x14ac:dyDescent="0.25">
      <c r="A254">
        <v>1109</v>
      </c>
      <c r="B254">
        <v>109</v>
      </c>
      <c r="C254">
        <v>1</v>
      </c>
      <c r="D254">
        <v>2</v>
      </c>
      <c r="E254">
        <v>0</v>
      </c>
      <c r="F254">
        <v>0</v>
      </c>
      <c r="G254">
        <v>2</v>
      </c>
    </row>
    <row r="255" spans="1:7" x14ac:dyDescent="0.25">
      <c r="A255">
        <v>2065</v>
      </c>
      <c r="B255">
        <v>65</v>
      </c>
      <c r="C255">
        <v>1</v>
      </c>
      <c r="D255">
        <v>15</v>
      </c>
      <c r="E255">
        <v>3</v>
      </c>
      <c r="F255">
        <v>0</v>
      </c>
      <c r="G255">
        <v>18</v>
      </c>
    </row>
    <row r="256" spans="1:7" x14ac:dyDescent="0.25">
      <c r="A256">
        <v>2102</v>
      </c>
      <c r="B256">
        <v>102</v>
      </c>
      <c r="C256">
        <v>3</v>
      </c>
      <c r="D256">
        <v>10</v>
      </c>
      <c r="E256">
        <v>10</v>
      </c>
      <c r="F256">
        <v>0</v>
      </c>
      <c r="G256">
        <v>20</v>
      </c>
    </row>
    <row r="257" spans="1:7" x14ac:dyDescent="0.25">
      <c r="A257">
        <v>2080</v>
      </c>
      <c r="B257">
        <v>80</v>
      </c>
      <c r="C257">
        <v>3</v>
      </c>
      <c r="D257">
        <v>11</v>
      </c>
      <c r="E257">
        <v>4</v>
      </c>
      <c r="F257">
        <v>0</v>
      </c>
      <c r="G257">
        <v>15</v>
      </c>
    </row>
    <row r="258" spans="1:7" x14ac:dyDescent="0.25">
      <c r="A258">
        <v>1084</v>
      </c>
      <c r="B258">
        <v>84</v>
      </c>
      <c r="C258">
        <v>3</v>
      </c>
      <c r="D258">
        <v>8</v>
      </c>
      <c r="E258">
        <v>6</v>
      </c>
      <c r="F258">
        <v>0</v>
      </c>
      <c r="G258">
        <v>14</v>
      </c>
    </row>
    <row r="259" spans="1:7" x14ac:dyDescent="0.25">
      <c r="A259">
        <v>1083</v>
      </c>
      <c r="B259">
        <v>83</v>
      </c>
      <c r="C259">
        <v>3</v>
      </c>
      <c r="D259">
        <v>5</v>
      </c>
      <c r="E259">
        <v>3</v>
      </c>
      <c r="F259">
        <v>0</v>
      </c>
      <c r="G259">
        <v>8</v>
      </c>
    </row>
    <row r="260" spans="1:7" x14ac:dyDescent="0.25">
      <c r="A260">
        <v>2009</v>
      </c>
      <c r="B260">
        <v>9</v>
      </c>
      <c r="C260">
        <v>3</v>
      </c>
      <c r="D260">
        <v>4</v>
      </c>
      <c r="E260">
        <v>2</v>
      </c>
      <c r="F260">
        <v>0</v>
      </c>
      <c r="G260">
        <v>6</v>
      </c>
    </row>
    <row r="261" spans="1:7" x14ac:dyDescent="0.25">
      <c r="A261">
        <v>1082</v>
      </c>
      <c r="B261">
        <v>82</v>
      </c>
      <c r="C261">
        <v>3</v>
      </c>
      <c r="D261">
        <v>5</v>
      </c>
      <c r="E261">
        <v>9</v>
      </c>
      <c r="F261">
        <v>0</v>
      </c>
      <c r="G261">
        <v>14</v>
      </c>
    </row>
    <row r="262" spans="1:7" x14ac:dyDescent="0.25">
      <c r="A262">
        <v>1101</v>
      </c>
      <c r="B262">
        <v>101</v>
      </c>
      <c r="C262">
        <v>3</v>
      </c>
      <c r="D262">
        <v>10</v>
      </c>
      <c r="E262">
        <v>10</v>
      </c>
      <c r="F262">
        <v>0</v>
      </c>
      <c r="G262">
        <v>20</v>
      </c>
    </row>
    <row r="263" spans="1:7" x14ac:dyDescent="0.25">
      <c r="A263">
        <v>2008</v>
      </c>
      <c r="B263">
        <v>8</v>
      </c>
      <c r="C263">
        <v>3</v>
      </c>
      <c r="D263">
        <v>2</v>
      </c>
      <c r="E263">
        <v>2</v>
      </c>
      <c r="F263">
        <v>0</v>
      </c>
      <c r="G263">
        <v>4</v>
      </c>
    </row>
    <row r="264" spans="1:7" x14ac:dyDescent="0.25">
      <c r="A264">
        <v>3102</v>
      </c>
      <c r="B264">
        <v>102</v>
      </c>
      <c r="C264">
        <v>3</v>
      </c>
      <c r="D264">
        <v>3</v>
      </c>
      <c r="E264">
        <v>17</v>
      </c>
      <c r="F264">
        <v>0</v>
      </c>
      <c r="G264">
        <v>20</v>
      </c>
    </row>
    <row r="265" spans="1:7" x14ac:dyDescent="0.25">
      <c r="A265">
        <v>3008</v>
      </c>
      <c r="B265">
        <v>8</v>
      </c>
      <c r="C265">
        <v>3</v>
      </c>
      <c r="D265">
        <v>12</v>
      </c>
      <c r="E265">
        <v>11</v>
      </c>
      <c r="F265">
        <v>0</v>
      </c>
      <c r="G265">
        <v>23</v>
      </c>
    </row>
    <row r="266" spans="1:7" x14ac:dyDescent="0.25">
      <c r="A266">
        <v>2082</v>
      </c>
      <c r="B266">
        <v>82</v>
      </c>
      <c r="C266">
        <v>3</v>
      </c>
      <c r="D266">
        <v>4</v>
      </c>
      <c r="E266">
        <v>8</v>
      </c>
      <c r="F266">
        <v>0</v>
      </c>
      <c r="G266">
        <v>12</v>
      </c>
    </row>
    <row r="267" spans="1:7" x14ac:dyDescent="0.25">
      <c r="A267">
        <v>2081</v>
      </c>
      <c r="B267">
        <v>81</v>
      </c>
      <c r="C267">
        <v>3</v>
      </c>
      <c r="D267">
        <v>16</v>
      </c>
      <c r="E267">
        <v>4</v>
      </c>
      <c r="F267">
        <v>0</v>
      </c>
      <c r="G267">
        <v>20</v>
      </c>
    </row>
    <row r="268" spans="1:7" x14ac:dyDescent="0.25">
      <c r="A268">
        <v>1007</v>
      </c>
      <c r="B268">
        <v>7</v>
      </c>
      <c r="C268">
        <v>3</v>
      </c>
      <c r="D268">
        <v>5</v>
      </c>
      <c r="E268">
        <v>4</v>
      </c>
      <c r="F268">
        <v>0</v>
      </c>
      <c r="G268">
        <v>9</v>
      </c>
    </row>
    <row r="269" spans="1:7" x14ac:dyDescent="0.25">
      <c r="A269">
        <v>1011</v>
      </c>
      <c r="B269">
        <v>11</v>
      </c>
      <c r="C269">
        <v>2</v>
      </c>
      <c r="D269">
        <v>9</v>
      </c>
      <c r="E269">
        <v>7</v>
      </c>
      <c r="F269">
        <v>0</v>
      </c>
      <c r="G269">
        <v>16</v>
      </c>
    </row>
    <row r="270" spans="1:7" x14ac:dyDescent="0.25">
      <c r="A270">
        <v>2101</v>
      </c>
      <c r="B270">
        <v>101</v>
      </c>
      <c r="C270">
        <v>3</v>
      </c>
      <c r="D270">
        <v>12</v>
      </c>
      <c r="E270">
        <v>8</v>
      </c>
      <c r="F270">
        <v>0</v>
      </c>
      <c r="G270">
        <v>20</v>
      </c>
    </row>
    <row r="271" spans="1:7" x14ac:dyDescent="0.25">
      <c r="A271">
        <v>1102</v>
      </c>
      <c r="B271">
        <v>102</v>
      </c>
      <c r="C271">
        <v>3</v>
      </c>
      <c r="D271">
        <v>3</v>
      </c>
      <c r="E271">
        <v>4</v>
      </c>
      <c r="F271">
        <v>0</v>
      </c>
      <c r="G271">
        <v>7</v>
      </c>
    </row>
    <row r="272" spans="1:7" x14ac:dyDescent="0.25">
      <c r="A272">
        <v>3083</v>
      </c>
      <c r="B272">
        <v>83</v>
      </c>
      <c r="C272">
        <v>3</v>
      </c>
      <c r="D272">
        <v>10</v>
      </c>
      <c r="E272">
        <v>5</v>
      </c>
      <c r="F272">
        <v>0</v>
      </c>
      <c r="G272">
        <v>15</v>
      </c>
    </row>
    <row r="273" spans="1:7" x14ac:dyDescent="0.25">
      <c r="A273">
        <v>1081</v>
      </c>
      <c r="B273">
        <v>81</v>
      </c>
      <c r="C273">
        <v>3</v>
      </c>
      <c r="D273">
        <v>5</v>
      </c>
      <c r="E273">
        <v>3</v>
      </c>
      <c r="F273">
        <v>0</v>
      </c>
      <c r="G273">
        <v>8</v>
      </c>
    </row>
    <row r="274" spans="1:7" x14ac:dyDescent="0.25">
      <c r="A274">
        <v>1011</v>
      </c>
      <c r="B274">
        <v>11</v>
      </c>
      <c r="C274">
        <v>1</v>
      </c>
      <c r="D274">
        <v>9</v>
      </c>
      <c r="E274">
        <v>6</v>
      </c>
      <c r="F274">
        <v>0</v>
      </c>
      <c r="G274">
        <v>15</v>
      </c>
    </row>
    <row r="275" spans="1:7" x14ac:dyDescent="0.25">
      <c r="A275">
        <v>2087</v>
      </c>
      <c r="B275">
        <v>87</v>
      </c>
      <c r="C275">
        <v>3</v>
      </c>
      <c r="D275">
        <v>10</v>
      </c>
      <c r="E275">
        <v>6</v>
      </c>
      <c r="F275">
        <v>1</v>
      </c>
      <c r="G275">
        <v>17</v>
      </c>
    </row>
    <row r="276" spans="1:7" x14ac:dyDescent="0.25">
      <c r="A276">
        <v>5086</v>
      </c>
      <c r="B276">
        <v>86</v>
      </c>
      <c r="C276">
        <v>3</v>
      </c>
      <c r="D276">
        <v>2</v>
      </c>
      <c r="E276">
        <v>17</v>
      </c>
      <c r="F276">
        <v>1</v>
      </c>
      <c r="G276">
        <v>20</v>
      </c>
    </row>
    <row r="277" spans="1:7" x14ac:dyDescent="0.25">
      <c r="A277">
        <v>1087</v>
      </c>
      <c r="B277">
        <v>87</v>
      </c>
      <c r="C277">
        <v>3</v>
      </c>
      <c r="D277">
        <v>2</v>
      </c>
      <c r="E277">
        <v>8</v>
      </c>
      <c r="F277">
        <v>0</v>
      </c>
      <c r="G277">
        <v>10</v>
      </c>
    </row>
    <row r="278" spans="1:7" x14ac:dyDescent="0.25">
      <c r="A278">
        <v>5086</v>
      </c>
      <c r="B278">
        <v>86</v>
      </c>
      <c r="C278">
        <v>4</v>
      </c>
      <c r="D278">
        <v>4</v>
      </c>
      <c r="E278">
        <v>14</v>
      </c>
      <c r="F278">
        <v>2</v>
      </c>
      <c r="G278">
        <v>20</v>
      </c>
    </row>
    <row r="279" spans="1:7" x14ac:dyDescent="0.25">
      <c r="A279">
        <v>1087</v>
      </c>
      <c r="B279">
        <v>87</v>
      </c>
      <c r="C279">
        <v>4</v>
      </c>
      <c r="D279">
        <v>10</v>
      </c>
      <c r="E279">
        <v>9</v>
      </c>
      <c r="F279">
        <v>1</v>
      </c>
      <c r="G279">
        <v>20</v>
      </c>
    </row>
    <row r="280" spans="1:7" x14ac:dyDescent="0.25">
      <c r="A280">
        <v>1029</v>
      </c>
      <c r="B280">
        <v>29</v>
      </c>
      <c r="C280">
        <v>3</v>
      </c>
      <c r="D280">
        <v>5</v>
      </c>
      <c r="E280">
        <v>5</v>
      </c>
      <c r="F280">
        <v>0</v>
      </c>
      <c r="G280">
        <v>10</v>
      </c>
    </row>
    <row r="281" spans="1:7" x14ac:dyDescent="0.25">
      <c r="A281">
        <v>1029</v>
      </c>
      <c r="B281">
        <v>29</v>
      </c>
      <c r="C281">
        <v>1</v>
      </c>
      <c r="D281">
        <v>15</v>
      </c>
      <c r="E281">
        <v>4</v>
      </c>
      <c r="F281">
        <v>0</v>
      </c>
      <c r="G281">
        <v>19</v>
      </c>
    </row>
    <row r="282" spans="1:7" x14ac:dyDescent="0.25">
      <c r="A282">
        <v>2146</v>
      </c>
      <c r="B282">
        <v>146</v>
      </c>
      <c r="C282">
        <v>3</v>
      </c>
      <c r="D282">
        <v>10</v>
      </c>
      <c r="E282">
        <v>5</v>
      </c>
      <c r="F282">
        <v>0</v>
      </c>
      <c r="G282">
        <v>15</v>
      </c>
    </row>
    <row r="283" spans="1:7" x14ac:dyDescent="0.25">
      <c r="A283">
        <v>2030</v>
      </c>
      <c r="B283">
        <v>30</v>
      </c>
      <c r="C283">
        <v>2</v>
      </c>
      <c r="D283">
        <v>5</v>
      </c>
      <c r="E283">
        <v>2</v>
      </c>
      <c r="F283">
        <v>1</v>
      </c>
      <c r="G283">
        <v>8</v>
      </c>
    </row>
    <row r="284" spans="1:7" x14ac:dyDescent="0.25">
      <c r="A284">
        <v>2150</v>
      </c>
      <c r="B284">
        <v>150</v>
      </c>
      <c r="C284">
        <v>2</v>
      </c>
      <c r="D284">
        <v>2</v>
      </c>
      <c r="E284">
        <v>5</v>
      </c>
      <c r="F284">
        <v>0</v>
      </c>
      <c r="G284">
        <v>7</v>
      </c>
    </row>
    <row r="285" spans="1:7" x14ac:dyDescent="0.25">
      <c r="A285">
        <v>2030</v>
      </c>
      <c r="B285">
        <v>30</v>
      </c>
      <c r="C285">
        <v>1</v>
      </c>
      <c r="D285">
        <v>12</v>
      </c>
      <c r="E285">
        <v>7</v>
      </c>
      <c r="F285">
        <v>0</v>
      </c>
      <c r="G285">
        <v>19</v>
      </c>
    </row>
    <row r="286" spans="1:7" x14ac:dyDescent="0.25">
      <c r="A286">
        <v>1150</v>
      </c>
      <c r="B286">
        <v>150</v>
      </c>
      <c r="C286">
        <v>2</v>
      </c>
      <c r="D286">
        <v>9</v>
      </c>
      <c r="E286">
        <v>12</v>
      </c>
      <c r="F286">
        <v>0</v>
      </c>
      <c r="G286">
        <v>21</v>
      </c>
    </row>
    <row r="287" spans="1:7" x14ac:dyDescent="0.25">
      <c r="A287">
        <v>5042</v>
      </c>
      <c r="B287">
        <v>42</v>
      </c>
      <c r="C287">
        <v>3</v>
      </c>
      <c r="D287">
        <v>10</v>
      </c>
      <c r="E287">
        <v>10</v>
      </c>
      <c r="F287">
        <v>0</v>
      </c>
      <c r="G287">
        <v>20</v>
      </c>
    </row>
    <row r="288" spans="1:7" x14ac:dyDescent="0.25">
      <c r="A288">
        <v>5042</v>
      </c>
      <c r="B288">
        <v>42</v>
      </c>
      <c r="C288">
        <v>1</v>
      </c>
      <c r="D288">
        <v>8</v>
      </c>
      <c r="E288">
        <v>11</v>
      </c>
      <c r="F288">
        <v>1</v>
      </c>
      <c r="G288">
        <v>20</v>
      </c>
    </row>
    <row r="289" spans="1:7" x14ac:dyDescent="0.25">
      <c r="A289">
        <v>2149</v>
      </c>
      <c r="B289">
        <v>149</v>
      </c>
      <c r="C289">
        <v>2</v>
      </c>
      <c r="D289">
        <v>5</v>
      </c>
      <c r="E289">
        <v>4</v>
      </c>
      <c r="F289">
        <v>0</v>
      </c>
      <c r="G289">
        <v>9</v>
      </c>
    </row>
    <row r="290" spans="1:7" x14ac:dyDescent="0.25">
      <c r="A290">
        <v>5042</v>
      </c>
      <c r="B290">
        <v>42</v>
      </c>
      <c r="C290">
        <v>2</v>
      </c>
      <c r="D290">
        <v>7</v>
      </c>
      <c r="E290">
        <v>13</v>
      </c>
      <c r="F290">
        <v>0</v>
      </c>
      <c r="G290">
        <v>20</v>
      </c>
    </row>
    <row r="291" spans="1:7" x14ac:dyDescent="0.25">
      <c r="A291">
        <v>1149</v>
      </c>
      <c r="B291">
        <v>149</v>
      </c>
      <c r="C291">
        <v>3</v>
      </c>
      <c r="D291">
        <v>7</v>
      </c>
      <c r="E291">
        <v>10</v>
      </c>
      <c r="F291">
        <v>0</v>
      </c>
      <c r="G291">
        <v>17</v>
      </c>
    </row>
    <row r="292" spans="1:7" x14ac:dyDescent="0.25">
      <c r="A292">
        <v>1149</v>
      </c>
      <c r="B292">
        <v>149</v>
      </c>
      <c r="C292">
        <v>2</v>
      </c>
      <c r="D292">
        <v>12</v>
      </c>
      <c r="E292">
        <v>3</v>
      </c>
      <c r="F292">
        <v>0</v>
      </c>
      <c r="G292">
        <v>15</v>
      </c>
    </row>
    <row r="293" spans="1:7" x14ac:dyDescent="0.25">
      <c r="A293">
        <v>5148</v>
      </c>
      <c r="B293">
        <v>148</v>
      </c>
      <c r="C293">
        <v>2</v>
      </c>
      <c r="D293">
        <v>6</v>
      </c>
      <c r="E293">
        <v>3</v>
      </c>
      <c r="F293">
        <v>0</v>
      </c>
      <c r="G293">
        <v>9</v>
      </c>
    </row>
    <row r="294" spans="1:7" x14ac:dyDescent="0.25">
      <c r="A294">
        <v>1048</v>
      </c>
      <c r="B294">
        <v>48</v>
      </c>
      <c r="C294">
        <v>4</v>
      </c>
      <c r="D294">
        <v>14</v>
      </c>
      <c r="E294">
        <v>6</v>
      </c>
      <c r="F294">
        <v>0</v>
      </c>
      <c r="G294">
        <v>20</v>
      </c>
    </row>
    <row r="295" spans="1:7" x14ac:dyDescent="0.25">
      <c r="A295">
        <v>4148</v>
      </c>
      <c r="B295">
        <v>148</v>
      </c>
      <c r="C295">
        <v>2</v>
      </c>
      <c r="D295">
        <v>5</v>
      </c>
      <c r="E295">
        <v>10</v>
      </c>
      <c r="F295">
        <v>0</v>
      </c>
      <c r="G295">
        <v>15</v>
      </c>
    </row>
    <row r="296" spans="1:7" x14ac:dyDescent="0.25">
      <c r="A296">
        <v>1048</v>
      </c>
      <c r="B296">
        <v>48</v>
      </c>
      <c r="C296">
        <v>3</v>
      </c>
      <c r="D296">
        <v>16</v>
      </c>
      <c r="E296">
        <v>4</v>
      </c>
      <c r="F296">
        <v>0</v>
      </c>
      <c r="G296">
        <v>20</v>
      </c>
    </row>
    <row r="297" spans="1:7" x14ac:dyDescent="0.25">
      <c r="A297">
        <v>2041</v>
      </c>
      <c r="B297">
        <v>41</v>
      </c>
      <c r="C297">
        <v>1</v>
      </c>
      <c r="D297">
        <v>5</v>
      </c>
      <c r="E297">
        <v>6</v>
      </c>
      <c r="F297">
        <v>0</v>
      </c>
      <c r="G297">
        <v>11</v>
      </c>
    </row>
    <row r="298" spans="1:7" x14ac:dyDescent="0.25">
      <c r="A298">
        <v>3148</v>
      </c>
      <c r="B298">
        <v>148</v>
      </c>
      <c r="C298">
        <v>2</v>
      </c>
      <c r="D298">
        <v>7</v>
      </c>
      <c r="E298">
        <v>11</v>
      </c>
      <c r="F298">
        <v>0</v>
      </c>
      <c r="G298">
        <v>18</v>
      </c>
    </row>
    <row r="299" spans="1:7" x14ac:dyDescent="0.25">
      <c r="A299">
        <v>1047</v>
      </c>
      <c r="B299">
        <v>47</v>
      </c>
      <c r="C299">
        <v>4</v>
      </c>
      <c r="D299">
        <v>5</v>
      </c>
      <c r="E299">
        <v>1</v>
      </c>
      <c r="F299">
        <v>0</v>
      </c>
      <c r="G299">
        <v>6</v>
      </c>
    </row>
    <row r="300" spans="1:7" x14ac:dyDescent="0.25">
      <c r="A300">
        <v>2041</v>
      </c>
      <c r="B300">
        <v>41</v>
      </c>
      <c r="C300">
        <v>2</v>
      </c>
      <c r="D300">
        <v>2</v>
      </c>
      <c r="E300">
        <v>3</v>
      </c>
      <c r="F300">
        <v>0</v>
      </c>
      <c r="G300">
        <v>5</v>
      </c>
    </row>
    <row r="301" spans="1:7" x14ac:dyDescent="0.25">
      <c r="A301">
        <v>2031</v>
      </c>
      <c r="B301">
        <v>31</v>
      </c>
      <c r="C301">
        <v>1</v>
      </c>
      <c r="D301">
        <v>13</v>
      </c>
      <c r="E301">
        <v>5</v>
      </c>
      <c r="F301">
        <v>2</v>
      </c>
      <c r="G301">
        <v>20</v>
      </c>
    </row>
    <row r="302" spans="1:7" x14ac:dyDescent="0.25">
      <c r="A302">
        <v>1042</v>
      </c>
      <c r="B302">
        <v>42</v>
      </c>
      <c r="C302">
        <v>1</v>
      </c>
      <c r="D302">
        <v>16</v>
      </c>
      <c r="E302">
        <v>5</v>
      </c>
      <c r="F302">
        <v>0</v>
      </c>
      <c r="G302">
        <v>21</v>
      </c>
    </row>
    <row r="303" spans="1:7" x14ac:dyDescent="0.25">
      <c r="A303">
        <v>2148</v>
      </c>
      <c r="B303">
        <v>148</v>
      </c>
      <c r="C303">
        <v>2</v>
      </c>
      <c r="D303">
        <v>2</v>
      </c>
      <c r="E303">
        <v>0</v>
      </c>
      <c r="F303">
        <v>0</v>
      </c>
      <c r="G303">
        <v>2</v>
      </c>
    </row>
    <row r="304" spans="1:7" x14ac:dyDescent="0.25">
      <c r="A304">
        <v>2019</v>
      </c>
      <c r="B304">
        <v>19</v>
      </c>
      <c r="C304">
        <v>3</v>
      </c>
      <c r="D304">
        <v>0</v>
      </c>
      <c r="E304">
        <v>7</v>
      </c>
      <c r="F304">
        <v>0</v>
      </c>
      <c r="G304">
        <v>7</v>
      </c>
    </row>
    <row r="305" spans="1:7" x14ac:dyDescent="0.25">
      <c r="A305">
        <v>2147</v>
      </c>
      <c r="B305">
        <v>147</v>
      </c>
      <c r="C305">
        <v>2</v>
      </c>
      <c r="D305">
        <v>12</v>
      </c>
      <c r="E305">
        <v>5</v>
      </c>
      <c r="F305">
        <v>0</v>
      </c>
      <c r="G305">
        <v>17</v>
      </c>
    </row>
    <row r="306" spans="1:7" x14ac:dyDescent="0.25">
      <c r="A306">
        <v>1047</v>
      </c>
      <c r="B306">
        <v>47</v>
      </c>
      <c r="C306">
        <v>3</v>
      </c>
      <c r="D306">
        <v>18</v>
      </c>
      <c r="E306">
        <v>2</v>
      </c>
      <c r="F306">
        <v>0</v>
      </c>
      <c r="G306">
        <v>20</v>
      </c>
    </row>
    <row r="307" spans="1:7" x14ac:dyDescent="0.25">
      <c r="A307">
        <v>1147</v>
      </c>
      <c r="B307">
        <v>147</v>
      </c>
      <c r="C307">
        <v>2</v>
      </c>
      <c r="D307">
        <v>7</v>
      </c>
      <c r="E307">
        <v>1</v>
      </c>
      <c r="F307">
        <v>0</v>
      </c>
      <c r="G307">
        <v>8</v>
      </c>
    </row>
    <row r="308" spans="1:7" x14ac:dyDescent="0.25">
      <c r="A308">
        <v>2146</v>
      </c>
      <c r="B308">
        <v>146</v>
      </c>
      <c r="C308">
        <v>2</v>
      </c>
      <c r="D308">
        <v>8</v>
      </c>
      <c r="E308">
        <v>8</v>
      </c>
      <c r="F308">
        <v>1</v>
      </c>
      <c r="G308">
        <v>17</v>
      </c>
    </row>
    <row r="309" spans="1:7" x14ac:dyDescent="0.25">
      <c r="A309">
        <v>1087</v>
      </c>
      <c r="B309">
        <v>87</v>
      </c>
      <c r="C309">
        <v>2</v>
      </c>
      <c r="D309">
        <v>10</v>
      </c>
      <c r="E309">
        <v>10</v>
      </c>
      <c r="F309">
        <v>0</v>
      </c>
      <c r="G309">
        <v>20</v>
      </c>
    </row>
    <row r="310" spans="1:7" x14ac:dyDescent="0.25">
      <c r="A310">
        <v>2088</v>
      </c>
      <c r="B310">
        <v>88</v>
      </c>
      <c r="C310">
        <v>2</v>
      </c>
      <c r="D310">
        <v>7</v>
      </c>
      <c r="E310">
        <v>12</v>
      </c>
      <c r="F310">
        <v>1</v>
      </c>
      <c r="G310">
        <v>20</v>
      </c>
    </row>
    <row r="311" spans="1:7" x14ac:dyDescent="0.25">
      <c r="A311">
        <v>5086</v>
      </c>
      <c r="B311">
        <v>86</v>
      </c>
      <c r="C311">
        <v>2</v>
      </c>
      <c r="D311">
        <v>3</v>
      </c>
      <c r="E311">
        <v>15</v>
      </c>
      <c r="F311">
        <v>0</v>
      </c>
      <c r="G311">
        <v>18</v>
      </c>
    </row>
    <row r="312" spans="1:7" x14ac:dyDescent="0.25">
      <c r="A312">
        <v>1004</v>
      </c>
      <c r="B312">
        <v>4</v>
      </c>
      <c r="C312">
        <v>3</v>
      </c>
      <c r="D312">
        <v>8</v>
      </c>
      <c r="E312">
        <v>5</v>
      </c>
      <c r="F312">
        <v>0</v>
      </c>
      <c r="G312">
        <v>13</v>
      </c>
    </row>
    <row r="313" spans="1:7" x14ac:dyDescent="0.25">
      <c r="A313">
        <v>2004</v>
      </c>
      <c r="B313">
        <v>4</v>
      </c>
      <c r="C313">
        <v>3</v>
      </c>
      <c r="D313">
        <v>7</v>
      </c>
      <c r="E313">
        <v>2</v>
      </c>
      <c r="F313">
        <v>0</v>
      </c>
      <c r="G313">
        <v>9</v>
      </c>
    </row>
    <row r="314" spans="1:7" x14ac:dyDescent="0.25">
      <c r="A314">
        <v>2087</v>
      </c>
      <c r="B314">
        <v>87</v>
      </c>
      <c r="C314">
        <v>2</v>
      </c>
      <c r="D314">
        <v>8</v>
      </c>
      <c r="E314">
        <v>6</v>
      </c>
      <c r="F314">
        <v>0</v>
      </c>
      <c r="G314">
        <v>14</v>
      </c>
    </row>
    <row r="315" spans="1:7" x14ac:dyDescent="0.25">
      <c r="A315">
        <v>1001</v>
      </c>
      <c r="B315">
        <v>1</v>
      </c>
      <c r="C315">
        <v>3</v>
      </c>
      <c r="D315">
        <v>0</v>
      </c>
      <c r="E315">
        <v>15</v>
      </c>
      <c r="F315">
        <v>0</v>
      </c>
      <c r="G315">
        <v>15</v>
      </c>
    </row>
    <row r="316" spans="1:7" x14ac:dyDescent="0.25">
      <c r="A316">
        <v>2151</v>
      </c>
      <c r="B316">
        <v>151</v>
      </c>
      <c r="C316">
        <v>3</v>
      </c>
      <c r="D316">
        <v>8</v>
      </c>
      <c r="E316">
        <v>1</v>
      </c>
      <c r="F316">
        <v>0</v>
      </c>
      <c r="G316">
        <v>9</v>
      </c>
    </row>
    <row r="317" spans="1:7" x14ac:dyDescent="0.25">
      <c r="A317">
        <v>2006</v>
      </c>
      <c r="B317">
        <v>6</v>
      </c>
      <c r="C317">
        <v>3</v>
      </c>
      <c r="D317">
        <v>2</v>
      </c>
      <c r="E317">
        <v>0</v>
      </c>
      <c r="F317">
        <v>0</v>
      </c>
      <c r="G317">
        <v>2</v>
      </c>
    </row>
    <row r="318" spans="1:7" x14ac:dyDescent="0.25">
      <c r="A318">
        <v>1004</v>
      </c>
      <c r="B318">
        <v>4</v>
      </c>
      <c r="C318">
        <v>2</v>
      </c>
      <c r="D318">
        <v>2</v>
      </c>
      <c r="E318">
        <v>6</v>
      </c>
      <c r="F318">
        <v>0</v>
      </c>
      <c r="G318">
        <v>8</v>
      </c>
    </row>
    <row r="319" spans="1:7" x14ac:dyDescent="0.25">
      <c r="A319">
        <v>1044</v>
      </c>
      <c r="B319">
        <v>44</v>
      </c>
      <c r="C319">
        <v>3</v>
      </c>
      <c r="D319">
        <v>4</v>
      </c>
      <c r="E319">
        <v>16</v>
      </c>
      <c r="F319">
        <v>1</v>
      </c>
      <c r="G319">
        <v>21</v>
      </c>
    </row>
    <row r="320" spans="1:7" x14ac:dyDescent="0.25">
      <c r="A320">
        <v>2151</v>
      </c>
      <c r="B320">
        <v>151</v>
      </c>
      <c r="C320">
        <v>2</v>
      </c>
      <c r="D320">
        <v>11</v>
      </c>
      <c r="E320">
        <v>2</v>
      </c>
      <c r="F320">
        <v>0</v>
      </c>
      <c r="G320">
        <v>13</v>
      </c>
    </row>
    <row r="321" spans="1:7" x14ac:dyDescent="0.25">
      <c r="A321">
        <v>1152</v>
      </c>
      <c r="B321">
        <v>152</v>
      </c>
      <c r="C321">
        <v>2</v>
      </c>
      <c r="D321">
        <v>12</v>
      </c>
      <c r="E321">
        <v>8</v>
      </c>
      <c r="F321">
        <v>0</v>
      </c>
      <c r="G321">
        <v>20</v>
      </c>
    </row>
    <row r="322" spans="1:7" x14ac:dyDescent="0.25">
      <c r="A322">
        <v>2044</v>
      </c>
      <c r="B322">
        <v>44</v>
      </c>
      <c r="C322">
        <v>2</v>
      </c>
      <c r="D322">
        <v>2</v>
      </c>
      <c r="E322">
        <v>18</v>
      </c>
      <c r="F322">
        <v>0</v>
      </c>
      <c r="G322">
        <v>20</v>
      </c>
    </row>
    <row r="323" spans="1:7" x14ac:dyDescent="0.25">
      <c r="A323">
        <v>2048</v>
      </c>
      <c r="B323">
        <v>48</v>
      </c>
      <c r="C323">
        <v>4</v>
      </c>
      <c r="D323">
        <v>10</v>
      </c>
      <c r="E323">
        <v>4</v>
      </c>
      <c r="F323">
        <v>0</v>
      </c>
      <c r="G323">
        <v>14</v>
      </c>
    </row>
    <row r="324" spans="1:7" x14ac:dyDescent="0.25">
      <c r="A324">
        <v>2127</v>
      </c>
      <c r="B324">
        <v>127</v>
      </c>
      <c r="C324">
        <v>2</v>
      </c>
      <c r="D324">
        <v>20</v>
      </c>
      <c r="E324">
        <v>0</v>
      </c>
      <c r="F324">
        <v>0</v>
      </c>
      <c r="G324">
        <v>20</v>
      </c>
    </row>
    <row r="325" spans="1:7" x14ac:dyDescent="0.25">
      <c r="A325">
        <v>5046</v>
      </c>
      <c r="B325">
        <v>46</v>
      </c>
      <c r="C325">
        <v>3</v>
      </c>
      <c r="D325">
        <v>8</v>
      </c>
      <c r="E325">
        <v>11</v>
      </c>
      <c r="F325">
        <v>0</v>
      </c>
      <c r="G325">
        <v>19</v>
      </c>
    </row>
    <row r="326" spans="1:7" x14ac:dyDescent="0.25">
      <c r="A326">
        <v>2004</v>
      </c>
      <c r="B326">
        <v>4</v>
      </c>
      <c r="C326">
        <v>2</v>
      </c>
      <c r="D326">
        <v>6</v>
      </c>
      <c r="E326">
        <v>4</v>
      </c>
      <c r="F326">
        <v>0</v>
      </c>
      <c r="G326">
        <v>10</v>
      </c>
    </row>
    <row r="327" spans="1:7" x14ac:dyDescent="0.25">
      <c r="A327">
        <v>5046</v>
      </c>
      <c r="B327">
        <v>46</v>
      </c>
      <c r="C327">
        <v>2</v>
      </c>
      <c r="D327">
        <v>5</v>
      </c>
      <c r="E327">
        <v>14</v>
      </c>
      <c r="F327">
        <v>1</v>
      </c>
      <c r="G327">
        <v>20</v>
      </c>
    </row>
    <row r="328" spans="1:7" x14ac:dyDescent="0.25">
      <c r="A328">
        <v>2003</v>
      </c>
      <c r="B328">
        <v>3</v>
      </c>
      <c r="C328">
        <v>3</v>
      </c>
      <c r="D328">
        <v>10</v>
      </c>
      <c r="E328">
        <v>7</v>
      </c>
      <c r="F328">
        <v>0</v>
      </c>
      <c r="G328">
        <v>17</v>
      </c>
    </row>
    <row r="329" spans="1:7" x14ac:dyDescent="0.25">
      <c r="A329">
        <v>4046</v>
      </c>
      <c r="B329">
        <v>46</v>
      </c>
      <c r="C329">
        <v>4</v>
      </c>
      <c r="D329">
        <v>5</v>
      </c>
      <c r="E329">
        <v>15</v>
      </c>
      <c r="F329">
        <v>0</v>
      </c>
      <c r="G329">
        <v>20</v>
      </c>
    </row>
    <row r="330" spans="1:7" x14ac:dyDescent="0.25">
      <c r="A330">
        <v>3046</v>
      </c>
      <c r="B330">
        <v>46</v>
      </c>
      <c r="C330">
        <v>3</v>
      </c>
      <c r="D330">
        <v>12</v>
      </c>
      <c r="E330">
        <v>8</v>
      </c>
      <c r="F330">
        <v>0</v>
      </c>
      <c r="G330">
        <v>20</v>
      </c>
    </row>
    <row r="331" spans="1:7" x14ac:dyDescent="0.25">
      <c r="A331">
        <v>4048</v>
      </c>
      <c r="B331">
        <v>48</v>
      </c>
      <c r="C331">
        <v>3</v>
      </c>
      <c r="D331">
        <v>1</v>
      </c>
      <c r="E331">
        <v>10</v>
      </c>
      <c r="F331">
        <v>0</v>
      </c>
      <c r="G331">
        <v>11</v>
      </c>
    </row>
    <row r="332" spans="1:7" x14ac:dyDescent="0.25">
      <c r="A332">
        <v>4046</v>
      </c>
      <c r="B332">
        <v>46</v>
      </c>
      <c r="C332">
        <v>3</v>
      </c>
      <c r="D332">
        <v>14</v>
      </c>
      <c r="E332">
        <v>6</v>
      </c>
      <c r="F332">
        <v>0</v>
      </c>
      <c r="G332">
        <v>20</v>
      </c>
    </row>
    <row r="333" spans="1:7" x14ac:dyDescent="0.25">
      <c r="A333">
        <v>3048</v>
      </c>
      <c r="B333">
        <v>48</v>
      </c>
      <c r="C333">
        <v>3</v>
      </c>
      <c r="D333">
        <v>0</v>
      </c>
      <c r="E333">
        <v>12</v>
      </c>
      <c r="F333">
        <v>0</v>
      </c>
      <c r="G333">
        <v>12</v>
      </c>
    </row>
    <row r="334" spans="1:7" x14ac:dyDescent="0.25">
      <c r="A334">
        <v>1045</v>
      </c>
      <c r="B334">
        <v>45</v>
      </c>
      <c r="C334">
        <v>3</v>
      </c>
      <c r="D334">
        <v>8</v>
      </c>
      <c r="E334">
        <v>12</v>
      </c>
      <c r="F334">
        <v>0</v>
      </c>
      <c r="G334">
        <v>20</v>
      </c>
    </row>
    <row r="335" spans="1:7" x14ac:dyDescent="0.25">
      <c r="A335">
        <v>2109</v>
      </c>
      <c r="B335">
        <v>109</v>
      </c>
      <c r="C335">
        <v>2</v>
      </c>
      <c r="D335">
        <v>4</v>
      </c>
      <c r="E335">
        <v>1</v>
      </c>
      <c r="F335">
        <v>0</v>
      </c>
      <c r="G335">
        <v>5</v>
      </c>
    </row>
    <row r="336" spans="1:7" x14ac:dyDescent="0.25">
      <c r="A336">
        <v>2046</v>
      </c>
      <c r="B336">
        <v>46</v>
      </c>
      <c r="C336">
        <v>3</v>
      </c>
      <c r="D336">
        <v>14</v>
      </c>
      <c r="E336">
        <v>6</v>
      </c>
      <c r="F336">
        <v>0</v>
      </c>
      <c r="G336">
        <v>20</v>
      </c>
    </row>
    <row r="337" spans="1:7" x14ac:dyDescent="0.25">
      <c r="A337">
        <v>1115</v>
      </c>
      <c r="B337">
        <v>115</v>
      </c>
      <c r="C337">
        <v>2</v>
      </c>
      <c r="D337">
        <v>3</v>
      </c>
      <c r="E337">
        <v>2</v>
      </c>
      <c r="F337">
        <v>0</v>
      </c>
      <c r="G337">
        <v>5</v>
      </c>
    </row>
    <row r="338" spans="1:7" x14ac:dyDescent="0.25">
      <c r="A338">
        <v>1046</v>
      </c>
      <c r="B338">
        <v>46</v>
      </c>
      <c r="C338">
        <v>3</v>
      </c>
      <c r="D338">
        <v>7</v>
      </c>
      <c r="E338">
        <v>5</v>
      </c>
      <c r="F338">
        <v>0</v>
      </c>
      <c r="G338">
        <v>12</v>
      </c>
    </row>
    <row r="339" spans="1:7" x14ac:dyDescent="0.25">
      <c r="A339">
        <v>2125</v>
      </c>
      <c r="B339">
        <v>125</v>
      </c>
      <c r="C339">
        <v>2</v>
      </c>
      <c r="D339">
        <v>1</v>
      </c>
      <c r="E339">
        <v>20</v>
      </c>
      <c r="F339">
        <v>1</v>
      </c>
      <c r="G339">
        <v>22</v>
      </c>
    </row>
    <row r="340" spans="1:7" x14ac:dyDescent="0.25">
      <c r="A340">
        <v>2110</v>
      </c>
      <c r="B340">
        <v>110</v>
      </c>
      <c r="C340">
        <v>2</v>
      </c>
      <c r="D340">
        <v>20</v>
      </c>
      <c r="E340">
        <v>2</v>
      </c>
      <c r="F340">
        <v>0</v>
      </c>
      <c r="G340">
        <v>22</v>
      </c>
    </row>
    <row r="341" spans="1:7" x14ac:dyDescent="0.25">
      <c r="A341">
        <v>2045</v>
      </c>
      <c r="B341">
        <v>45</v>
      </c>
      <c r="C341">
        <v>3</v>
      </c>
      <c r="D341">
        <v>7</v>
      </c>
      <c r="E341">
        <v>13</v>
      </c>
      <c r="F341">
        <v>0</v>
      </c>
      <c r="G341">
        <v>20</v>
      </c>
    </row>
    <row r="342" spans="1:7" x14ac:dyDescent="0.25">
      <c r="A342">
        <v>3111</v>
      </c>
      <c r="B342">
        <v>111</v>
      </c>
      <c r="C342">
        <v>2</v>
      </c>
      <c r="D342">
        <v>13</v>
      </c>
      <c r="E342">
        <v>0</v>
      </c>
      <c r="F342">
        <v>0</v>
      </c>
      <c r="G342">
        <v>13</v>
      </c>
    </row>
    <row r="343" spans="1:7" x14ac:dyDescent="0.25">
      <c r="A343">
        <v>2045</v>
      </c>
      <c r="B343">
        <v>45</v>
      </c>
      <c r="C343">
        <v>2</v>
      </c>
      <c r="D343">
        <v>14</v>
      </c>
      <c r="E343">
        <v>4</v>
      </c>
      <c r="F343">
        <v>0</v>
      </c>
      <c r="G343">
        <v>18</v>
      </c>
    </row>
    <row r="344" spans="1:7" x14ac:dyDescent="0.25">
      <c r="A344">
        <v>1113</v>
      </c>
      <c r="B344">
        <v>113</v>
      </c>
      <c r="C344">
        <v>2</v>
      </c>
      <c r="D344">
        <v>15</v>
      </c>
      <c r="E344">
        <v>0</v>
      </c>
      <c r="F344">
        <v>0</v>
      </c>
      <c r="G344">
        <v>15</v>
      </c>
    </row>
    <row r="345" spans="1:7" x14ac:dyDescent="0.25">
      <c r="A345">
        <v>2113</v>
      </c>
      <c r="B345">
        <v>113</v>
      </c>
      <c r="C345">
        <v>2</v>
      </c>
      <c r="D345">
        <v>1</v>
      </c>
      <c r="E345">
        <v>11</v>
      </c>
      <c r="F345">
        <v>2</v>
      </c>
      <c r="G345">
        <v>14</v>
      </c>
    </row>
    <row r="346" spans="1:7" x14ac:dyDescent="0.25">
      <c r="A346">
        <v>1125</v>
      </c>
      <c r="B346">
        <v>125</v>
      </c>
      <c r="C346">
        <v>2</v>
      </c>
      <c r="D346">
        <v>4</v>
      </c>
      <c r="E346">
        <v>10</v>
      </c>
      <c r="F346">
        <v>0</v>
      </c>
      <c r="G346">
        <v>14</v>
      </c>
    </row>
    <row r="347" spans="1:7" x14ac:dyDescent="0.25">
      <c r="A347">
        <v>1115</v>
      </c>
      <c r="B347">
        <v>115</v>
      </c>
      <c r="C347">
        <v>3</v>
      </c>
      <c r="D347">
        <v>13</v>
      </c>
      <c r="E347">
        <v>1</v>
      </c>
      <c r="F347">
        <v>0</v>
      </c>
      <c r="G347">
        <v>14</v>
      </c>
    </row>
    <row r="348" spans="1:7" x14ac:dyDescent="0.25">
      <c r="A348">
        <v>2110</v>
      </c>
      <c r="B348">
        <v>110</v>
      </c>
      <c r="C348">
        <v>3</v>
      </c>
      <c r="D348">
        <v>16</v>
      </c>
      <c r="E348">
        <v>4</v>
      </c>
      <c r="F348">
        <v>0</v>
      </c>
      <c r="G348">
        <v>20</v>
      </c>
    </row>
    <row r="349" spans="1:7" x14ac:dyDescent="0.25">
      <c r="A349">
        <v>2115</v>
      </c>
      <c r="B349">
        <v>115</v>
      </c>
      <c r="C349">
        <v>3</v>
      </c>
      <c r="D349">
        <v>5</v>
      </c>
      <c r="E349">
        <v>3</v>
      </c>
      <c r="F349">
        <v>0</v>
      </c>
      <c r="G349">
        <v>8</v>
      </c>
    </row>
    <row r="350" spans="1:7" x14ac:dyDescent="0.25">
      <c r="A350">
        <v>2109</v>
      </c>
      <c r="B350">
        <v>109</v>
      </c>
      <c r="C350">
        <v>3</v>
      </c>
      <c r="D350">
        <v>2</v>
      </c>
      <c r="E350">
        <v>19</v>
      </c>
      <c r="F350">
        <v>0</v>
      </c>
      <c r="G350">
        <v>21</v>
      </c>
    </row>
    <row r="351" spans="1:7" x14ac:dyDescent="0.25">
      <c r="A351">
        <v>2124</v>
      </c>
      <c r="B351">
        <v>124</v>
      </c>
      <c r="C351">
        <v>2</v>
      </c>
      <c r="D351">
        <v>8</v>
      </c>
      <c r="E351">
        <v>12</v>
      </c>
      <c r="F351">
        <v>0</v>
      </c>
      <c r="G351">
        <v>20</v>
      </c>
    </row>
    <row r="352" spans="1:7" x14ac:dyDescent="0.25">
      <c r="A352">
        <v>1126</v>
      </c>
      <c r="B352">
        <v>126</v>
      </c>
      <c r="C352">
        <v>2</v>
      </c>
      <c r="D352">
        <v>8</v>
      </c>
      <c r="E352">
        <v>7</v>
      </c>
      <c r="F352">
        <v>0</v>
      </c>
      <c r="G352">
        <v>15</v>
      </c>
    </row>
    <row r="353" spans="1:7" x14ac:dyDescent="0.25">
      <c r="A353">
        <v>2100</v>
      </c>
      <c r="B353">
        <v>100</v>
      </c>
      <c r="C353">
        <v>2</v>
      </c>
      <c r="D353">
        <v>3</v>
      </c>
      <c r="E353">
        <v>3</v>
      </c>
      <c r="F353">
        <v>0</v>
      </c>
      <c r="G353">
        <v>6</v>
      </c>
    </row>
    <row r="354" spans="1:7" x14ac:dyDescent="0.25">
      <c r="A354">
        <v>1122</v>
      </c>
      <c r="B354">
        <v>122</v>
      </c>
      <c r="C354">
        <v>2</v>
      </c>
      <c r="D354">
        <v>11</v>
      </c>
      <c r="E354">
        <v>8</v>
      </c>
      <c r="F354">
        <v>0</v>
      </c>
      <c r="G354">
        <v>19</v>
      </c>
    </row>
    <row r="355" spans="1:7" x14ac:dyDescent="0.25">
      <c r="A355">
        <v>3092</v>
      </c>
      <c r="B355">
        <v>92</v>
      </c>
      <c r="C355">
        <v>3</v>
      </c>
      <c r="D355">
        <v>4</v>
      </c>
      <c r="E355">
        <v>16</v>
      </c>
      <c r="F355">
        <v>0</v>
      </c>
      <c r="G355">
        <v>20</v>
      </c>
    </row>
    <row r="356" spans="1:7" x14ac:dyDescent="0.25">
      <c r="A356">
        <v>3097</v>
      </c>
      <c r="B356">
        <v>97</v>
      </c>
      <c r="C356">
        <v>3</v>
      </c>
      <c r="D356">
        <v>11</v>
      </c>
      <c r="E356">
        <v>11</v>
      </c>
      <c r="F356">
        <v>0</v>
      </c>
      <c r="G356">
        <v>22</v>
      </c>
    </row>
    <row r="357" spans="1:7" x14ac:dyDescent="0.25">
      <c r="A357">
        <v>3098</v>
      </c>
      <c r="B357">
        <v>98</v>
      </c>
      <c r="C357">
        <v>3</v>
      </c>
      <c r="D357">
        <v>6</v>
      </c>
      <c r="E357">
        <v>14</v>
      </c>
      <c r="F357">
        <v>0</v>
      </c>
      <c r="G357">
        <v>20</v>
      </c>
    </row>
    <row r="358" spans="1:7" x14ac:dyDescent="0.25">
      <c r="A358">
        <v>1100</v>
      </c>
      <c r="B358">
        <v>100</v>
      </c>
      <c r="C358">
        <v>2</v>
      </c>
      <c r="D358">
        <v>6</v>
      </c>
      <c r="E358">
        <v>4</v>
      </c>
      <c r="F358">
        <v>0</v>
      </c>
      <c r="G358">
        <v>10</v>
      </c>
    </row>
    <row r="359" spans="1:7" x14ac:dyDescent="0.25">
      <c r="A359">
        <v>2113</v>
      </c>
      <c r="B359">
        <v>113</v>
      </c>
      <c r="C359">
        <v>3</v>
      </c>
      <c r="D359">
        <v>16</v>
      </c>
      <c r="E359">
        <v>0</v>
      </c>
      <c r="F359">
        <v>0</v>
      </c>
      <c r="G359">
        <v>16</v>
      </c>
    </row>
    <row r="360" spans="1:7" x14ac:dyDescent="0.25">
      <c r="A360">
        <v>3100</v>
      </c>
      <c r="B360">
        <v>100</v>
      </c>
      <c r="C360">
        <v>2</v>
      </c>
      <c r="D360">
        <v>3</v>
      </c>
      <c r="E360">
        <v>6</v>
      </c>
      <c r="F360">
        <v>0</v>
      </c>
      <c r="G360">
        <v>9</v>
      </c>
    </row>
    <row r="361" spans="1:7" x14ac:dyDescent="0.25">
      <c r="A361">
        <v>1093</v>
      </c>
      <c r="B361">
        <v>93</v>
      </c>
      <c r="C361">
        <v>3</v>
      </c>
      <c r="D361">
        <v>4</v>
      </c>
      <c r="E361">
        <v>1</v>
      </c>
      <c r="F361">
        <v>0</v>
      </c>
      <c r="G361">
        <v>5</v>
      </c>
    </row>
    <row r="362" spans="1:7" x14ac:dyDescent="0.25">
      <c r="A362">
        <v>1021</v>
      </c>
      <c r="B362">
        <v>21</v>
      </c>
      <c r="C362">
        <v>2</v>
      </c>
      <c r="D362">
        <v>13</v>
      </c>
      <c r="E362">
        <v>7</v>
      </c>
      <c r="F362">
        <v>0</v>
      </c>
      <c r="G362">
        <v>20</v>
      </c>
    </row>
    <row r="363" spans="1:7" x14ac:dyDescent="0.25">
      <c r="A363">
        <v>2021</v>
      </c>
      <c r="B363">
        <v>21</v>
      </c>
      <c r="C363">
        <v>3</v>
      </c>
      <c r="D363">
        <v>10</v>
      </c>
      <c r="E363">
        <v>1</v>
      </c>
      <c r="F363">
        <v>0</v>
      </c>
      <c r="G363">
        <v>11</v>
      </c>
    </row>
    <row r="364" spans="1:7" x14ac:dyDescent="0.25">
      <c r="A364">
        <v>5021</v>
      </c>
      <c r="B364">
        <v>21</v>
      </c>
      <c r="C364">
        <v>3</v>
      </c>
      <c r="D364">
        <v>14</v>
      </c>
      <c r="E364">
        <v>6</v>
      </c>
      <c r="F364">
        <v>0</v>
      </c>
      <c r="G364">
        <v>20</v>
      </c>
    </row>
    <row r="365" spans="1:7" x14ac:dyDescent="0.25">
      <c r="A365">
        <v>2022</v>
      </c>
      <c r="B365">
        <v>22</v>
      </c>
      <c r="C365">
        <v>1</v>
      </c>
      <c r="D365">
        <v>2</v>
      </c>
      <c r="E365">
        <v>16</v>
      </c>
      <c r="F365">
        <v>0</v>
      </c>
      <c r="G365">
        <v>18</v>
      </c>
    </row>
    <row r="366" spans="1:7" x14ac:dyDescent="0.25">
      <c r="A366">
        <v>1022</v>
      </c>
      <c r="B366">
        <v>22</v>
      </c>
      <c r="C366">
        <v>3</v>
      </c>
      <c r="D366">
        <v>2</v>
      </c>
      <c r="E366">
        <v>21</v>
      </c>
      <c r="F366">
        <v>0</v>
      </c>
      <c r="G366">
        <v>23</v>
      </c>
    </row>
    <row r="367" spans="1:7" x14ac:dyDescent="0.25">
      <c r="A367">
        <v>1144</v>
      </c>
      <c r="B367">
        <v>144</v>
      </c>
      <c r="C367">
        <v>3</v>
      </c>
      <c r="D367">
        <v>1</v>
      </c>
      <c r="E367">
        <v>0</v>
      </c>
      <c r="F367">
        <v>0</v>
      </c>
      <c r="G367">
        <v>1</v>
      </c>
    </row>
    <row r="368" spans="1:7" x14ac:dyDescent="0.25">
      <c r="A368">
        <v>3145</v>
      </c>
      <c r="B368">
        <v>145</v>
      </c>
      <c r="C368">
        <v>3</v>
      </c>
      <c r="D368">
        <v>8</v>
      </c>
      <c r="E368">
        <v>5</v>
      </c>
      <c r="F368">
        <v>0</v>
      </c>
      <c r="G368">
        <v>13</v>
      </c>
    </row>
    <row r="369" spans="1:7" x14ac:dyDescent="0.25">
      <c r="A369">
        <v>2116</v>
      </c>
      <c r="B369">
        <v>116</v>
      </c>
      <c r="C369">
        <v>1</v>
      </c>
      <c r="D369">
        <v>10</v>
      </c>
      <c r="E369">
        <v>1</v>
      </c>
      <c r="F369">
        <v>0</v>
      </c>
      <c r="G369">
        <v>11</v>
      </c>
    </row>
    <row r="370" spans="1:7" x14ac:dyDescent="0.25">
      <c r="A370">
        <v>1117</v>
      </c>
      <c r="B370">
        <v>117</v>
      </c>
      <c r="C370">
        <v>2</v>
      </c>
      <c r="D370">
        <v>10</v>
      </c>
      <c r="E370">
        <v>6</v>
      </c>
      <c r="F370">
        <v>0</v>
      </c>
      <c r="G370">
        <v>16</v>
      </c>
    </row>
    <row r="371" spans="1:7" x14ac:dyDescent="0.25">
      <c r="A371">
        <v>2121</v>
      </c>
      <c r="B371">
        <v>121</v>
      </c>
      <c r="C371">
        <v>2</v>
      </c>
      <c r="D371">
        <v>2</v>
      </c>
      <c r="E371">
        <v>14</v>
      </c>
      <c r="F371">
        <v>0</v>
      </c>
      <c r="G371">
        <v>16</v>
      </c>
    </row>
    <row r="372" spans="1:7" x14ac:dyDescent="0.25">
      <c r="A372">
        <v>1120</v>
      </c>
      <c r="B372">
        <v>120</v>
      </c>
      <c r="C372">
        <v>2</v>
      </c>
      <c r="D372">
        <v>12</v>
      </c>
      <c r="E372">
        <v>10</v>
      </c>
      <c r="F372">
        <v>0</v>
      </c>
      <c r="G372">
        <v>22</v>
      </c>
    </row>
    <row r="373" spans="1:7" x14ac:dyDescent="0.25">
      <c r="A373">
        <v>2118</v>
      </c>
      <c r="B373">
        <v>118</v>
      </c>
      <c r="C373">
        <v>2</v>
      </c>
      <c r="D373">
        <v>7</v>
      </c>
      <c r="E373">
        <v>9</v>
      </c>
      <c r="F373">
        <v>1</v>
      </c>
      <c r="G373">
        <v>17</v>
      </c>
    </row>
    <row r="374" spans="1:7" x14ac:dyDescent="0.25">
      <c r="A374">
        <v>1110</v>
      </c>
      <c r="B374">
        <v>110</v>
      </c>
      <c r="C374">
        <v>3</v>
      </c>
      <c r="D374">
        <v>28</v>
      </c>
      <c r="E374">
        <v>18</v>
      </c>
      <c r="F374">
        <v>0</v>
      </c>
      <c r="G374">
        <v>46</v>
      </c>
    </row>
    <row r="375" spans="1:7" x14ac:dyDescent="0.25">
      <c r="A375">
        <v>1118</v>
      </c>
      <c r="B375">
        <v>118</v>
      </c>
      <c r="C375">
        <v>2</v>
      </c>
      <c r="D375">
        <v>2</v>
      </c>
      <c r="E375">
        <v>4</v>
      </c>
      <c r="F375">
        <v>0</v>
      </c>
      <c r="G375">
        <v>6</v>
      </c>
    </row>
    <row r="376" spans="1:7" x14ac:dyDescent="0.25">
      <c r="A376">
        <v>2117</v>
      </c>
      <c r="B376">
        <v>117</v>
      </c>
      <c r="C376">
        <v>2</v>
      </c>
      <c r="D376">
        <v>23</v>
      </c>
      <c r="E376">
        <v>8</v>
      </c>
      <c r="F376">
        <v>0</v>
      </c>
      <c r="G376">
        <v>31</v>
      </c>
    </row>
    <row r="377" spans="1:7" x14ac:dyDescent="0.25">
      <c r="A377">
        <v>4118</v>
      </c>
      <c r="B377">
        <v>118</v>
      </c>
      <c r="C377">
        <v>3</v>
      </c>
      <c r="D377">
        <v>18</v>
      </c>
      <c r="E377">
        <v>9</v>
      </c>
      <c r="F377">
        <v>0</v>
      </c>
      <c r="G377">
        <v>27</v>
      </c>
    </row>
    <row r="378" spans="1:7" x14ac:dyDescent="0.25">
      <c r="A378">
        <v>2119</v>
      </c>
      <c r="B378">
        <v>119</v>
      </c>
      <c r="C378">
        <v>2</v>
      </c>
      <c r="D378">
        <v>8</v>
      </c>
      <c r="E378">
        <v>16</v>
      </c>
      <c r="F378">
        <v>1</v>
      </c>
      <c r="G378">
        <v>25</v>
      </c>
    </row>
    <row r="379" spans="1:7" x14ac:dyDescent="0.25">
      <c r="A379">
        <v>1121</v>
      </c>
      <c r="B379">
        <v>121</v>
      </c>
      <c r="C379">
        <v>2</v>
      </c>
      <c r="D379">
        <v>2</v>
      </c>
      <c r="E379">
        <v>23</v>
      </c>
      <c r="F379">
        <v>0</v>
      </c>
      <c r="G379">
        <v>25</v>
      </c>
    </row>
    <row r="380" spans="1:7" x14ac:dyDescent="0.25">
      <c r="A380">
        <v>2144</v>
      </c>
      <c r="B380">
        <v>144</v>
      </c>
      <c r="C380">
        <v>3</v>
      </c>
      <c r="D380">
        <v>18</v>
      </c>
      <c r="E380">
        <v>8</v>
      </c>
      <c r="F380">
        <v>0</v>
      </c>
      <c r="G380">
        <v>26</v>
      </c>
    </row>
    <row r="381" spans="1:7" x14ac:dyDescent="0.25">
      <c r="A381">
        <v>2144</v>
      </c>
      <c r="B381">
        <v>144</v>
      </c>
      <c r="C381">
        <v>4</v>
      </c>
      <c r="D381">
        <v>18</v>
      </c>
      <c r="E381">
        <v>7</v>
      </c>
      <c r="F381">
        <v>0</v>
      </c>
      <c r="G381">
        <v>25</v>
      </c>
    </row>
    <row r="382" spans="1:7" x14ac:dyDescent="0.25">
      <c r="A382">
        <v>2053</v>
      </c>
      <c r="B382">
        <v>53</v>
      </c>
      <c r="C382">
        <v>2</v>
      </c>
      <c r="D382">
        <v>5</v>
      </c>
      <c r="E382">
        <v>4</v>
      </c>
      <c r="F382">
        <v>0</v>
      </c>
      <c r="G382">
        <v>9</v>
      </c>
    </row>
    <row r="383" spans="1:7" x14ac:dyDescent="0.25">
      <c r="A383">
        <v>2054</v>
      </c>
      <c r="B383">
        <v>54</v>
      </c>
      <c r="C383">
        <v>1</v>
      </c>
      <c r="D383">
        <v>20</v>
      </c>
      <c r="E383">
        <v>2</v>
      </c>
      <c r="F383">
        <v>0</v>
      </c>
      <c r="G383">
        <v>22</v>
      </c>
    </row>
    <row r="384" spans="1:7" x14ac:dyDescent="0.25">
      <c r="A384">
        <v>2050</v>
      </c>
      <c r="B384">
        <v>50</v>
      </c>
      <c r="C384">
        <v>2</v>
      </c>
      <c r="D384">
        <v>9</v>
      </c>
      <c r="E384">
        <v>2</v>
      </c>
      <c r="F384">
        <v>0</v>
      </c>
      <c r="G384">
        <v>11</v>
      </c>
    </row>
    <row r="385" spans="1:7" x14ac:dyDescent="0.25">
      <c r="A385">
        <v>3053</v>
      </c>
      <c r="B385">
        <v>53</v>
      </c>
      <c r="C385">
        <v>3</v>
      </c>
      <c r="D385">
        <v>6</v>
      </c>
      <c r="E385">
        <v>0</v>
      </c>
      <c r="F385">
        <v>0</v>
      </c>
      <c r="G385">
        <v>6</v>
      </c>
    </row>
    <row r="386" spans="1:7" x14ac:dyDescent="0.25">
      <c r="A386">
        <v>1055</v>
      </c>
      <c r="B386">
        <v>55</v>
      </c>
      <c r="C386">
        <v>3</v>
      </c>
      <c r="D386">
        <v>16</v>
      </c>
      <c r="E386">
        <v>4</v>
      </c>
      <c r="F386">
        <v>0</v>
      </c>
      <c r="G386">
        <v>20</v>
      </c>
    </row>
    <row r="387" spans="1:7" x14ac:dyDescent="0.25">
      <c r="A387">
        <v>1054</v>
      </c>
      <c r="B387">
        <v>54</v>
      </c>
      <c r="C387">
        <v>3</v>
      </c>
      <c r="D387">
        <v>12</v>
      </c>
      <c r="E387">
        <v>11</v>
      </c>
      <c r="F387">
        <v>0</v>
      </c>
      <c r="G387">
        <v>23</v>
      </c>
    </row>
    <row r="388" spans="1:7" x14ac:dyDescent="0.25">
      <c r="A388">
        <v>2050</v>
      </c>
      <c r="B388">
        <v>50</v>
      </c>
      <c r="C388">
        <v>3</v>
      </c>
      <c r="D388">
        <v>3</v>
      </c>
      <c r="E388">
        <v>2</v>
      </c>
      <c r="F388">
        <v>0</v>
      </c>
      <c r="G388">
        <v>5</v>
      </c>
    </row>
    <row r="389" spans="1:7" x14ac:dyDescent="0.25">
      <c r="A389">
        <v>1055</v>
      </c>
      <c r="B389">
        <v>55</v>
      </c>
      <c r="C389">
        <v>4</v>
      </c>
      <c r="D389">
        <v>13</v>
      </c>
      <c r="E389">
        <v>7</v>
      </c>
      <c r="F389">
        <v>0</v>
      </c>
      <c r="G389">
        <v>20</v>
      </c>
    </row>
    <row r="390" spans="1:7" x14ac:dyDescent="0.25">
      <c r="A390">
        <v>2054</v>
      </c>
      <c r="B390">
        <v>54</v>
      </c>
      <c r="C390">
        <v>3</v>
      </c>
      <c r="D390">
        <v>17</v>
      </c>
      <c r="E390">
        <v>9</v>
      </c>
      <c r="F390">
        <v>0</v>
      </c>
      <c r="G390">
        <v>26</v>
      </c>
    </row>
    <row r="391" spans="1:7" x14ac:dyDescent="0.25">
      <c r="A391">
        <v>5048</v>
      </c>
      <c r="B391">
        <v>48</v>
      </c>
      <c r="C391">
        <v>4</v>
      </c>
      <c r="D391">
        <v>15</v>
      </c>
      <c r="E391">
        <v>5</v>
      </c>
      <c r="F391">
        <v>0</v>
      </c>
      <c r="G391">
        <v>20</v>
      </c>
    </row>
    <row r="392" spans="1:7" x14ac:dyDescent="0.25">
      <c r="A392">
        <v>1117</v>
      </c>
      <c r="B392">
        <v>117</v>
      </c>
      <c r="C392">
        <v>3</v>
      </c>
      <c r="D392">
        <v>26</v>
      </c>
      <c r="E392">
        <v>17</v>
      </c>
      <c r="F392">
        <v>0</v>
      </c>
      <c r="G392">
        <v>43</v>
      </c>
    </row>
    <row r="393" spans="1:7" x14ac:dyDescent="0.25">
      <c r="A393">
        <v>2120</v>
      </c>
      <c r="B393">
        <v>120</v>
      </c>
      <c r="C393">
        <v>3</v>
      </c>
      <c r="D393">
        <v>7</v>
      </c>
      <c r="E393">
        <v>15</v>
      </c>
      <c r="F393">
        <v>0</v>
      </c>
      <c r="G393">
        <v>22</v>
      </c>
    </row>
    <row r="394" spans="1:7" x14ac:dyDescent="0.25">
      <c r="A394">
        <v>2051</v>
      </c>
      <c r="B394">
        <v>51</v>
      </c>
      <c r="C394">
        <v>3</v>
      </c>
      <c r="D394">
        <v>21</v>
      </c>
      <c r="E394">
        <v>1</v>
      </c>
      <c r="F394">
        <v>0</v>
      </c>
      <c r="G394">
        <v>22</v>
      </c>
    </row>
    <row r="395" spans="1:7" x14ac:dyDescent="0.25">
      <c r="A395">
        <v>1121</v>
      </c>
      <c r="B395">
        <v>121</v>
      </c>
      <c r="C395">
        <v>3</v>
      </c>
      <c r="D395">
        <v>0</v>
      </c>
      <c r="E395">
        <v>19</v>
      </c>
      <c r="F395">
        <v>0</v>
      </c>
      <c r="G395">
        <v>19</v>
      </c>
    </row>
    <row r="396" spans="1:7" x14ac:dyDescent="0.25">
      <c r="A396">
        <v>2117</v>
      </c>
      <c r="B396">
        <v>117</v>
      </c>
      <c r="C396">
        <v>3</v>
      </c>
      <c r="D396">
        <v>12</v>
      </c>
      <c r="E396">
        <v>11</v>
      </c>
      <c r="F396">
        <v>0</v>
      </c>
      <c r="G396">
        <v>23</v>
      </c>
    </row>
    <row r="397" spans="1:7" x14ac:dyDescent="0.25">
      <c r="A397">
        <v>1054</v>
      </c>
      <c r="B397">
        <v>54</v>
      </c>
      <c r="C397">
        <v>4</v>
      </c>
      <c r="D397">
        <v>6</v>
      </c>
      <c r="E397">
        <v>12</v>
      </c>
      <c r="F397">
        <v>0</v>
      </c>
      <c r="G397">
        <v>18</v>
      </c>
    </row>
    <row r="398" spans="1:7" x14ac:dyDescent="0.25">
      <c r="A398">
        <v>1118</v>
      </c>
      <c r="B398">
        <v>118</v>
      </c>
      <c r="C398">
        <v>3</v>
      </c>
      <c r="D398">
        <v>3</v>
      </c>
      <c r="E398">
        <v>1</v>
      </c>
      <c r="F398">
        <v>2</v>
      </c>
      <c r="G398">
        <v>6</v>
      </c>
    </row>
    <row r="399" spans="1:7" x14ac:dyDescent="0.25">
      <c r="A399">
        <v>2052</v>
      </c>
      <c r="B399">
        <v>52</v>
      </c>
      <c r="C399">
        <v>3</v>
      </c>
      <c r="D399">
        <v>1</v>
      </c>
      <c r="E399">
        <v>2</v>
      </c>
      <c r="F399">
        <v>0</v>
      </c>
      <c r="G399">
        <v>3</v>
      </c>
    </row>
    <row r="400" spans="1:7" x14ac:dyDescent="0.25">
      <c r="A400">
        <v>1092</v>
      </c>
      <c r="B400">
        <v>92</v>
      </c>
      <c r="C400">
        <v>4</v>
      </c>
      <c r="D400">
        <v>4</v>
      </c>
      <c r="E400">
        <v>15</v>
      </c>
      <c r="F400">
        <v>1</v>
      </c>
      <c r="G400">
        <v>20</v>
      </c>
    </row>
    <row r="401" spans="1:7" x14ac:dyDescent="0.25">
      <c r="A401">
        <v>2093</v>
      </c>
      <c r="B401">
        <v>93</v>
      </c>
      <c r="C401">
        <v>3</v>
      </c>
      <c r="D401">
        <v>3</v>
      </c>
      <c r="E401">
        <v>4</v>
      </c>
      <c r="F401">
        <v>0</v>
      </c>
      <c r="G401">
        <v>7</v>
      </c>
    </row>
    <row r="402" spans="1:7" x14ac:dyDescent="0.25">
      <c r="A402">
        <v>1093</v>
      </c>
      <c r="B402">
        <v>93</v>
      </c>
      <c r="C402">
        <v>4</v>
      </c>
      <c r="D402">
        <v>5</v>
      </c>
      <c r="E402">
        <v>2</v>
      </c>
      <c r="F402">
        <v>1</v>
      </c>
      <c r="G402">
        <v>8</v>
      </c>
    </row>
    <row r="403" spans="1:7" x14ac:dyDescent="0.25">
      <c r="A403">
        <v>1094</v>
      </c>
      <c r="B403">
        <v>94</v>
      </c>
      <c r="C403">
        <v>3</v>
      </c>
      <c r="D403">
        <v>12</v>
      </c>
      <c r="E403">
        <v>8</v>
      </c>
      <c r="F403">
        <v>0</v>
      </c>
      <c r="G403">
        <v>20</v>
      </c>
    </row>
    <row r="404" spans="1:7" x14ac:dyDescent="0.25">
      <c r="A404">
        <v>2096</v>
      </c>
      <c r="B404">
        <v>96</v>
      </c>
      <c r="C404">
        <v>4</v>
      </c>
      <c r="D404">
        <v>2</v>
      </c>
      <c r="E404">
        <v>1</v>
      </c>
      <c r="F404">
        <v>0</v>
      </c>
      <c r="G404">
        <v>3</v>
      </c>
    </row>
    <row r="405" spans="1:7" x14ac:dyDescent="0.25">
      <c r="A405">
        <v>2094</v>
      </c>
      <c r="B405">
        <v>94</v>
      </c>
      <c r="C405">
        <v>3</v>
      </c>
      <c r="D405">
        <v>17</v>
      </c>
      <c r="E405">
        <v>3</v>
      </c>
      <c r="F405">
        <v>0</v>
      </c>
      <c r="G405">
        <v>20</v>
      </c>
    </row>
    <row r="406" spans="1:7" x14ac:dyDescent="0.25">
      <c r="A406">
        <v>3092</v>
      </c>
      <c r="B406">
        <v>92</v>
      </c>
      <c r="C406">
        <v>4</v>
      </c>
      <c r="D406">
        <v>5</v>
      </c>
      <c r="E406">
        <v>13</v>
      </c>
      <c r="F406">
        <v>2</v>
      </c>
      <c r="G406">
        <v>20</v>
      </c>
    </row>
    <row r="407" spans="1:7" x14ac:dyDescent="0.25">
      <c r="A407">
        <v>3118</v>
      </c>
      <c r="B407">
        <v>118</v>
      </c>
      <c r="C407">
        <v>2</v>
      </c>
      <c r="D407">
        <v>4</v>
      </c>
      <c r="E407">
        <v>4</v>
      </c>
      <c r="F407">
        <v>0</v>
      </c>
      <c r="G407">
        <v>8</v>
      </c>
    </row>
    <row r="408" spans="1:7" x14ac:dyDescent="0.25">
      <c r="A408">
        <v>1116</v>
      </c>
      <c r="B408">
        <v>116</v>
      </c>
      <c r="C408">
        <v>4</v>
      </c>
      <c r="D408">
        <v>3</v>
      </c>
      <c r="E408">
        <v>0</v>
      </c>
      <c r="F408">
        <v>0</v>
      </c>
      <c r="G408">
        <v>3</v>
      </c>
    </row>
    <row r="409" spans="1:7" x14ac:dyDescent="0.25">
      <c r="A409">
        <v>2150</v>
      </c>
      <c r="B409">
        <v>150</v>
      </c>
      <c r="C409">
        <v>3</v>
      </c>
      <c r="D409">
        <v>5</v>
      </c>
      <c r="E409">
        <v>8</v>
      </c>
      <c r="F409">
        <v>0</v>
      </c>
      <c r="G409">
        <v>13</v>
      </c>
    </row>
    <row r="410" spans="1:7" x14ac:dyDescent="0.25">
      <c r="A410">
        <v>2118</v>
      </c>
      <c r="B410">
        <v>118</v>
      </c>
      <c r="C410">
        <v>3</v>
      </c>
      <c r="D410">
        <v>10</v>
      </c>
      <c r="E410">
        <v>5</v>
      </c>
      <c r="F410">
        <v>0</v>
      </c>
      <c r="G410">
        <v>15</v>
      </c>
    </row>
    <row r="411" spans="1:7" x14ac:dyDescent="0.25">
      <c r="A411">
        <v>1150</v>
      </c>
      <c r="B411">
        <v>150</v>
      </c>
      <c r="C411">
        <v>4</v>
      </c>
      <c r="D411">
        <v>10</v>
      </c>
      <c r="E411">
        <v>13</v>
      </c>
      <c r="F411">
        <v>0</v>
      </c>
      <c r="G411">
        <v>23</v>
      </c>
    </row>
    <row r="412" spans="1:7" x14ac:dyDescent="0.25">
      <c r="A412">
        <v>1150</v>
      </c>
      <c r="B412">
        <v>150</v>
      </c>
      <c r="C412">
        <v>3</v>
      </c>
      <c r="D412">
        <v>12</v>
      </c>
      <c r="E412">
        <v>10</v>
      </c>
      <c r="F412">
        <v>0</v>
      </c>
      <c r="G412">
        <v>22</v>
      </c>
    </row>
    <row r="413" spans="1:7" x14ac:dyDescent="0.25">
      <c r="A413">
        <v>2149</v>
      </c>
      <c r="B413">
        <v>149</v>
      </c>
      <c r="C413">
        <v>4</v>
      </c>
      <c r="D413">
        <v>7</v>
      </c>
      <c r="E413">
        <v>9</v>
      </c>
      <c r="F413">
        <v>0</v>
      </c>
      <c r="G413">
        <v>16</v>
      </c>
    </row>
    <row r="414" spans="1:7" x14ac:dyDescent="0.25">
      <c r="A414">
        <v>1120</v>
      </c>
      <c r="B414">
        <v>120</v>
      </c>
      <c r="C414">
        <v>3</v>
      </c>
      <c r="D414">
        <v>16</v>
      </c>
      <c r="E414">
        <v>4</v>
      </c>
      <c r="F414">
        <v>0</v>
      </c>
      <c r="G414">
        <v>20</v>
      </c>
    </row>
    <row r="415" spans="1:7" x14ac:dyDescent="0.25">
      <c r="A415">
        <v>2149</v>
      </c>
      <c r="B415">
        <v>149</v>
      </c>
      <c r="C415">
        <v>3</v>
      </c>
      <c r="D415">
        <v>6</v>
      </c>
      <c r="E415">
        <v>3</v>
      </c>
      <c r="F415">
        <v>0</v>
      </c>
      <c r="G415">
        <v>9</v>
      </c>
    </row>
    <row r="416" spans="1:7" x14ac:dyDescent="0.25">
      <c r="A416">
        <v>4148</v>
      </c>
      <c r="B416">
        <v>148</v>
      </c>
      <c r="C416">
        <v>4</v>
      </c>
      <c r="D416">
        <v>10</v>
      </c>
      <c r="E416">
        <v>4</v>
      </c>
      <c r="F416">
        <v>0</v>
      </c>
      <c r="G416">
        <v>14</v>
      </c>
    </row>
    <row r="417" spans="1:7" x14ac:dyDescent="0.25">
      <c r="A417">
        <v>5148</v>
      </c>
      <c r="B417">
        <v>148</v>
      </c>
      <c r="C417">
        <v>4</v>
      </c>
      <c r="D417">
        <v>7</v>
      </c>
      <c r="E417">
        <v>5</v>
      </c>
      <c r="F417">
        <v>0</v>
      </c>
      <c r="G417">
        <v>12</v>
      </c>
    </row>
    <row r="418" spans="1:7" x14ac:dyDescent="0.25">
      <c r="A418">
        <v>4148</v>
      </c>
      <c r="B418">
        <v>148</v>
      </c>
      <c r="C418">
        <v>3</v>
      </c>
      <c r="D418">
        <v>6</v>
      </c>
      <c r="E418">
        <v>6</v>
      </c>
      <c r="F418">
        <v>0</v>
      </c>
      <c r="G418">
        <v>12</v>
      </c>
    </row>
    <row r="419" spans="1:7" x14ac:dyDescent="0.25">
      <c r="A419">
        <v>5148</v>
      </c>
      <c r="B419">
        <v>148</v>
      </c>
      <c r="C419">
        <v>3</v>
      </c>
      <c r="D419">
        <v>6</v>
      </c>
      <c r="E419">
        <v>2</v>
      </c>
      <c r="F419">
        <v>0</v>
      </c>
      <c r="G419">
        <v>8</v>
      </c>
    </row>
    <row r="420" spans="1:7" x14ac:dyDescent="0.25">
      <c r="A420">
        <v>3148</v>
      </c>
      <c r="B420">
        <v>148</v>
      </c>
      <c r="C420">
        <v>4</v>
      </c>
      <c r="D420">
        <v>4</v>
      </c>
      <c r="E420">
        <v>7</v>
      </c>
      <c r="F420">
        <v>0</v>
      </c>
      <c r="G420">
        <v>11</v>
      </c>
    </row>
    <row r="421" spans="1:7" x14ac:dyDescent="0.25">
      <c r="A421">
        <v>4118</v>
      </c>
      <c r="B421">
        <v>118</v>
      </c>
      <c r="C421">
        <v>4</v>
      </c>
      <c r="D421">
        <v>17</v>
      </c>
      <c r="E421">
        <v>19</v>
      </c>
      <c r="F421">
        <v>4</v>
      </c>
      <c r="G421">
        <v>40</v>
      </c>
    </row>
    <row r="422" spans="1:7" x14ac:dyDescent="0.25">
      <c r="A422">
        <v>3148</v>
      </c>
      <c r="B422">
        <v>148</v>
      </c>
      <c r="C422">
        <v>3</v>
      </c>
      <c r="D422">
        <v>6</v>
      </c>
      <c r="E422">
        <v>4</v>
      </c>
      <c r="F422">
        <v>0</v>
      </c>
      <c r="G422">
        <v>10</v>
      </c>
    </row>
    <row r="423" spans="1:7" x14ac:dyDescent="0.25">
      <c r="A423">
        <v>2148</v>
      </c>
      <c r="B423">
        <v>148</v>
      </c>
      <c r="C423">
        <v>4</v>
      </c>
      <c r="D423">
        <v>3</v>
      </c>
      <c r="E423">
        <v>1</v>
      </c>
      <c r="F423">
        <v>0</v>
      </c>
      <c r="G423">
        <v>4</v>
      </c>
    </row>
    <row r="424" spans="1:7" x14ac:dyDescent="0.25">
      <c r="A424">
        <v>1149</v>
      </c>
      <c r="B424">
        <v>149</v>
      </c>
      <c r="C424">
        <v>4</v>
      </c>
      <c r="D424">
        <v>13</v>
      </c>
      <c r="E424">
        <v>21</v>
      </c>
      <c r="F424">
        <v>0</v>
      </c>
      <c r="G424">
        <v>34</v>
      </c>
    </row>
    <row r="425" spans="1:7" x14ac:dyDescent="0.25">
      <c r="A425">
        <v>1148</v>
      </c>
      <c r="B425">
        <v>148</v>
      </c>
      <c r="C425">
        <v>3</v>
      </c>
      <c r="D425">
        <v>12</v>
      </c>
      <c r="E425">
        <v>10</v>
      </c>
      <c r="F425">
        <v>0</v>
      </c>
      <c r="G425">
        <v>22</v>
      </c>
    </row>
    <row r="426" spans="1:7" x14ac:dyDescent="0.25">
      <c r="A426">
        <v>2121</v>
      </c>
      <c r="B426">
        <v>121</v>
      </c>
      <c r="C426">
        <v>3</v>
      </c>
      <c r="D426">
        <v>8</v>
      </c>
      <c r="E426">
        <v>22</v>
      </c>
      <c r="F426">
        <v>0</v>
      </c>
      <c r="G426">
        <v>30</v>
      </c>
    </row>
    <row r="427" spans="1:7" x14ac:dyDescent="0.25">
      <c r="A427">
        <v>2147</v>
      </c>
      <c r="B427">
        <v>147</v>
      </c>
      <c r="C427">
        <v>3</v>
      </c>
      <c r="D427">
        <v>4</v>
      </c>
      <c r="E427">
        <v>2</v>
      </c>
      <c r="F427">
        <v>0</v>
      </c>
      <c r="G427">
        <v>6</v>
      </c>
    </row>
    <row r="428" spans="1:7" x14ac:dyDescent="0.25">
      <c r="A428">
        <v>1147</v>
      </c>
      <c r="B428">
        <v>147</v>
      </c>
      <c r="C428">
        <v>3</v>
      </c>
      <c r="D428">
        <v>6</v>
      </c>
      <c r="E428">
        <v>7</v>
      </c>
      <c r="F428">
        <v>0</v>
      </c>
      <c r="G428">
        <v>13</v>
      </c>
    </row>
    <row r="429" spans="1:7" x14ac:dyDescent="0.25">
      <c r="A429">
        <v>2121</v>
      </c>
      <c r="B429">
        <v>121</v>
      </c>
      <c r="C429">
        <v>4</v>
      </c>
      <c r="D429">
        <v>7</v>
      </c>
      <c r="E429">
        <v>22</v>
      </c>
      <c r="F429">
        <v>0</v>
      </c>
      <c r="G429">
        <v>29</v>
      </c>
    </row>
    <row r="430" spans="1:7" x14ac:dyDescent="0.25">
      <c r="A430">
        <v>1125</v>
      </c>
      <c r="B430">
        <v>125</v>
      </c>
      <c r="C430">
        <v>3</v>
      </c>
      <c r="D430">
        <v>10</v>
      </c>
      <c r="E430">
        <v>8</v>
      </c>
      <c r="F430">
        <v>6</v>
      </c>
      <c r="G430">
        <v>24</v>
      </c>
    </row>
    <row r="431" spans="1:7" x14ac:dyDescent="0.25">
      <c r="A431">
        <v>2049</v>
      </c>
      <c r="B431">
        <v>49</v>
      </c>
      <c r="C431">
        <v>4</v>
      </c>
      <c r="D431">
        <v>21</v>
      </c>
      <c r="E431">
        <v>19</v>
      </c>
      <c r="F431">
        <v>0</v>
      </c>
      <c r="G431">
        <v>40</v>
      </c>
    </row>
    <row r="432" spans="1:7" x14ac:dyDescent="0.25">
      <c r="A432">
        <v>2127</v>
      </c>
      <c r="B432">
        <v>127</v>
      </c>
      <c r="C432">
        <v>3</v>
      </c>
      <c r="D432">
        <v>16</v>
      </c>
      <c r="E432">
        <v>4</v>
      </c>
      <c r="F432">
        <v>0</v>
      </c>
      <c r="G432">
        <v>20</v>
      </c>
    </row>
    <row r="433" spans="1:7" x14ac:dyDescent="0.25">
      <c r="A433">
        <v>1155</v>
      </c>
      <c r="B433">
        <v>155</v>
      </c>
      <c r="C433">
        <v>2</v>
      </c>
      <c r="D433">
        <v>9</v>
      </c>
      <c r="E433">
        <v>3</v>
      </c>
      <c r="F433">
        <v>0</v>
      </c>
      <c r="G433">
        <v>12</v>
      </c>
    </row>
    <row r="434" spans="1:7" x14ac:dyDescent="0.25">
      <c r="A434">
        <v>1145</v>
      </c>
      <c r="B434">
        <v>145</v>
      </c>
      <c r="C434">
        <v>3</v>
      </c>
      <c r="D434">
        <v>6</v>
      </c>
      <c r="E434">
        <v>30</v>
      </c>
      <c r="F434">
        <v>0</v>
      </c>
      <c r="G434">
        <v>36</v>
      </c>
    </row>
    <row r="435" spans="1:7" x14ac:dyDescent="0.25">
      <c r="A435">
        <v>2126</v>
      </c>
      <c r="B435">
        <v>126</v>
      </c>
      <c r="C435">
        <v>3</v>
      </c>
      <c r="D435">
        <v>9</v>
      </c>
      <c r="E435">
        <v>7</v>
      </c>
      <c r="F435">
        <v>0</v>
      </c>
      <c r="G435">
        <v>16</v>
      </c>
    </row>
    <row r="436" spans="1:7" x14ac:dyDescent="0.25">
      <c r="A436">
        <v>1128</v>
      </c>
      <c r="B436">
        <v>128</v>
      </c>
      <c r="C436">
        <v>3</v>
      </c>
      <c r="D436">
        <v>8</v>
      </c>
      <c r="E436">
        <v>7</v>
      </c>
      <c r="F436">
        <v>0</v>
      </c>
      <c r="G436">
        <v>15</v>
      </c>
    </row>
    <row r="437" spans="1:7" x14ac:dyDescent="0.25">
      <c r="A437">
        <v>1129</v>
      </c>
      <c r="B437">
        <v>129</v>
      </c>
      <c r="C437">
        <v>3</v>
      </c>
      <c r="D437">
        <v>12</v>
      </c>
      <c r="E437">
        <v>8</v>
      </c>
      <c r="F437">
        <v>0</v>
      </c>
      <c r="G437">
        <v>20</v>
      </c>
    </row>
    <row r="438" spans="1:7" x14ac:dyDescent="0.25">
      <c r="A438">
        <v>1157</v>
      </c>
      <c r="B438">
        <v>157</v>
      </c>
      <c r="C438">
        <v>3</v>
      </c>
      <c r="D438">
        <v>9</v>
      </c>
      <c r="E438">
        <v>8</v>
      </c>
      <c r="F438">
        <v>0</v>
      </c>
      <c r="G438">
        <v>17</v>
      </c>
    </row>
    <row r="439" spans="1:7" x14ac:dyDescent="0.25">
      <c r="A439">
        <v>1145</v>
      </c>
      <c r="B439">
        <v>145</v>
      </c>
      <c r="C439">
        <v>4</v>
      </c>
      <c r="D439">
        <v>5</v>
      </c>
      <c r="E439">
        <v>30</v>
      </c>
      <c r="F439">
        <v>0</v>
      </c>
      <c r="G439">
        <v>35</v>
      </c>
    </row>
    <row r="440" spans="1:7" x14ac:dyDescent="0.25">
      <c r="A440">
        <v>2129</v>
      </c>
      <c r="B440">
        <v>129</v>
      </c>
      <c r="C440">
        <v>3</v>
      </c>
      <c r="D440">
        <v>13</v>
      </c>
      <c r="E440">
        <v>4</v>
      </c>
      <c r="F440">
        <v>0</v>
      </c>
      <c r="G440">
        <v>17</v>
      </c>
    </row>
    <row r="441" spans="1:7" x14ac:dyDescent="0.25">
      <c r="A441">
        <v>1132</v>
      </c>
      <c r="B441">
        <v>132</v>
      </c>
      <c r="C441">
        <v>3</v>
      </c>
      <c r="D441">
        <v>6</v>
      </c>
      <c r="E441">
        <v>11</v>
      </c>
      <c r="F441">
        <v>0</v>
      </c>
      <c r="G441">
        <v>17</v>
      </c>
    </row>
    <row r="442" spans="1:7" x14ac:dyDescent="0.25">
      <c r="A442">
        <v>1113</v>
      </c>
      <c r="B442">
        <v>113</v>
      </c>
      <c r="C442">
        <v>4</v>
      </c>
      <c r="D442">
        <v>9</v>
      </c>
      <c r="E442">
        <v>1</v>
      </c>
      <c r="F442">
        <v>0</v>
      </c>
      <c r="G442">
        <v>10</v>
      </c>
    </row>
    <row r="443" spans="1:7" x14ac:dyDescent="0.25">
      <c r="A443">
        <v>1138</v>
      </c>
      <c r="B443">
        <v>138</v>
      </c>
      <c r="C443">
        <v>1</v>
      </c>
      <c r="D443">
        <v>18</v>
      </c>
      <c r="E443">
        <v>9</v>
      </c>
      <c r="F443">
        <v>0</v>
      </c>
      <c r="G443">
        <v>27</v>
      </c>
    </row>
    <row r="444" spans="1:7" x14ac:dyDescent="0.25">
      <c r="A444">
        <v>2124</v>
      </c>
      <c r="B444">
        <v>124</v>
      </c>
      <c r="C444">
        <v>3</v>
      </c>
      <c r="D444">
        <v>11</v>
      </c>
      <c r="E444">
        <v>8</v>
      </c>
      <c r="F444">
        <v>1</v>
      </c>
      <c r="G444">
        <v>20</v>
      </c>
    </row>
    <row r="445" spans="1:7" x14ac:dyDescent="0.25">
      <c r="A445">
        <v>2124</v>
      </c>
      <c r="B445">
        <v>124</v>
      </c>
      <c r="C445">
        <v>4</v>
      </c>
      <c r="D445">
        <v>5</v>
      </c>
      <c r="E445">
        <v>15</v>
      </c>
      <c r="F445">
        <v>0</v>
      </c>
      <c r="G445">
        <v>20</v>
      </c>
    </row>
    <row r="446" spans="1:7" x14ac:dyDescent="0.25">
      <c r="A446">
        <v>1151</v>
      </c>
      <c r="B446">
        <v>151</v>
      </c>
      <c r="C446">
        <v>3</v>
      </c>
      <c r="D446">
        <v>14</v>
      </c>
      <c r="E446">
        <v>3</v>
      </c>
      <c r="F446">
        <v>0</v>
      </c>
      <c r="G446">
        <v>17</v>
      </c>
    </row>
    <row r="447" spans="1:7" x14ac:dyDescent="0.25">
      <c r="A447">
        <v>1126</v>
      </c>
      <c r="B447">
        <v>126</v>
      </c>
      <c r="C447">
        <v>3</v>
      </c>
      <c r="D447">
        <v>2</v>
      </c>
      <c r="E447">
        <v>1</v>
      </c>
      <c r="F447">
        <v>0</v>
      </c>
      <c r="G447">
        <v>3</v>
      </c>
    </row>
    <row r="448" spans="1:7" x14ac:dyDescent="0.25">
      <c r="A448">
        <v>1138</v>
      </c>
      <c r="B448">
        <v>138</v>
      </c>
      <c r="C448">
        <v>2</v>
      </c>
      <c r="D448">
        <v>17</v>
      </c>
      <c r="E448">
        <v>9</v>
      </c>
      <c r="F448">
        <v>0</v>
      </c>
      <c r="G448">
        <v>26</v>
      </c>
    </row>
    <row r="449" spans="1:7" x14ac:dyDescent="0.25">
      <c r="A449">
        <v>2059</v>
      </c>
      <c r="B449">
        <v>59</v>
      </c>
      <c r="C449">
        <v>2</v>
      </c>
      <c r="D449">
        <v>14</v>
      </c>
      <c r="E449">
        <v>19</v>
      </c>
      <c r="F449">
        <v>0</v>
      </c>
      <c r="G449">
        <v>33</v>
      </c>
    </row>
    <row r="450" spans="1:7" x14ac:dyDescent="0.25">
      <c r="A450">
        <v>2059</v>
      </c>
      <c r="B450">
        <v>59</v>
      </c>
      <c r="C450">
        <v>3</v>
      </c>
      <c r="D450">
        <v>13</v>
      </c>
      <c r="E450">
        <v>19</v>
      </c>
      <c r="F450">
        <v>0</v>
      </c>
      <c r="G450">
        <v>32</v>
      </c>
    </row>
    <row r="451" spans="1:7" x14ac:dyDescent="0.25">
      <c r="A451">
        <v>1059</v>
      </c>
      <c r="B451">
        <v>59</v>
      </c>
      <c r="C451">
        <v>1</v>
      </c>
      <c r="D451">
        <v>0</v>
      </c>
      <c r="E451">
        <v>25</v>
      </c>
      <c r="F451">
        <v>0</v>
      </c>
      <c r="G451">
        <v>25</v>
      </c>
    </row>
    <row r="452" spans="1:7" x14ac:dyDescent="0.25">
      <c r="A452">
        <v>2049</v>
      </c>
      <c r="B452">
        <v>49</v>
      </c>
      <c r="C452">
        <v>1</v>
      </c>
      <c r="D452">
        <v>16</v>
      </c>
      <c r="E452">
        <v>15</v>
      </c>
      <c r="F452">
        <v>0</v>
      </c>
      <c r="G452">
        <v>31</v>
      </c>
    </row>
    <row r="453" spans="1:7" x14ac:dyDescent="0.25">
      <c r="A453">
        <v>2049</v>
      </c>
      <c r="B453">
        <v>49</v>
      </c>
      <c r="C453">
        <v>2</v>
      </c>
      <c r="D453">
        <v>11</v>
      </c>
      <c r="E453">
        <v>17</v>
      </c>
      <c r="F453">
        <v>2</v>
      </c>
      <c r="G453">
        <v>30</v>
      </c>
    </row>
    <row r="454" spans="1:7" x14ac:dyDescent="0.25">
      <c r="A454">
        <v>1011</v>
      </c>
      <c r="B454">
        <v>11</v>
      </c>
      <c r="C454">
        <v>3</v>
      </c>
      <c r="D454">
        <v>6</v>
      </c>
      <c r="E454">
        <v>10</v>
      </c>
      <c r="F454">
        <v>0</v>
      </c>
      <c r="G454">
        <v>16</v>
      </c>
    </row>
    <row r="455" spans="1:7" x14ac:dyDescent="0.25">
      <c r="A455">
        <v>2048</v>
      </c>
      <c r="B455">
        <v>48</v>
      </c>
      <c r="C455">
        <v>1</v>
      </c>
      <c r="D455">
        <v>20</v>
      </c>
      <c r="E455">
        <v>18</v>
      </c>
      <c r="F455">
        <v>0</v>
      </c>
      <c r="G455">
        <v>38</v>
      </c>
    </row>
    <row r="456" spans="1:7" x14ac:dyDescent="0.25">
      <c r="A456">
        <v>1153</v>
      </c>
      <c r="B456">
        <v>153</v>
      </c>
      <c r="C456">
        <v>1</v>
      </c>
      <c r="D456">
        <v>9</v>
      </c>
      <c r="E456">
        <v>19</v>
      </c>
      <c r="F456">
        <v>0</v>
      </c>
      <c r="G456">
        <v>28</v>
      </c>
    </row>
    <row r="457" spans="1:7" x14ac:dyDescent="0.25">
      <c r="A457">
        <v>3048</v>
      </c>
      <c r="B457">
        <v>48</v>
      </c>
      <c r="C457">
        <v>1</v>
      </c>
      <c r="D457">
        <v>20</v>
      </c>
      <c r="E457">
        <v>12</v>
      </c>
      <c r="F457">
        <v>0</v>
      </c>
      <c r="G457">
        <v>32</v>
      </c>
    </row>
    <row r="458" spans="1:7" x14ac:dyDescent="0.25">
      <c r="A458">
        <v>1067</v>
      </c>
      <c r="B458">
        <v>67</v>
      </c>
      <c r="C458">
        <v>2</v>
      </c>
      <c r="D458">
        <v>11</v>
      </c>
      <c r="E458">
        <v>10</v>
      </c>
      <c r="F458">
        <v>0</v>
      </c>
      <c r="G458">
        <v>21</v>
      </c>
    </row>
    <row r="459" spans="1:7" x14ac:dyDescent="0.25">
      <c r="A459">
        <v>1046</v>
      </c>
      <c r="B459">
        <v>46</v>
      </c>
      <c r="C459">
        <v>1</v>
      </c>
      <c r="D459">
        <v>19</v>
      </c>
      <c r="E459">
        <v>8</v>
      </c>
      <c r="F459">
        <v>0</v>
      </c>
      <c r="G459">
        <v>27</v>
      </c>
    </row>
    <row r="460" spans="1:7" x14ac:dyDescent="0.25">
      <c r="A460">
        <v>2061</v>
      </c>
      <c r="B460">
        <v>61</v>
      </c>
      <c r="C460">
        <v>2</v>
      </c>
      <c r="D460">
        <v>3</v>
      </c>
      <c r="E460">
        <v>16</v>
      </c>
      <c r="F460">
        <v>0</v>
      </c>
      <c r="G460">
        <v>19</v>
      </c>
    </row>
    <row r="461" spans="1:7" x14ac:dyDescent="0.25">
      <c r="A461">
        <v>2061</v>
      </c>
      <c r="B461">
        <v>61</v>
      </c>
      <c r="C461">
        <v>3</v>
      </c>
      <c r="D461">
        <v>3</v>
      </c>
      <c r="E461">
        <v>16</v>
      </c>
      <c r="F461">
        <v>0</v>
      </c>
      <c r="G461">
        <v>19</v>
      </c>
    </row>
    <row r="462" spans="1:7" x14ac:dyDescent="0.25">
      <c r="A462">
        <v>1130</v>
      </c>
      <c r="B462">
        <v>130</v>
      </c>
      <c r="C462">
        <v>3</v>
      </c>
      <c r="D462">
        <v>13</v>
      </c>
      <c r="E462">
        <v>4</v>
      </c>
      <c r="F462">
        <v>0</v>
      </c>
      <c r="G462">
        <v>17</v>
      </c>
    </row>
    <row r="463" spans="1:7" x14ac:dyDescent="0.25">
      <c r="A463">
        <v>2155</v>
      </c>
      <c r="B463">
        <v>155</v>
      </c>
      <c r="C463">
        <v>3</v>
      </c>
      <c r="D463">
        <v>24</v>
      </c>
      <c r="E463">
        <v>21</v>
      </c>
      <c r="F463">
        <v>0</v>
      </c>
      <c r="G463">
        <v>45</v>
      </c>
    </row>
    <row r="464" spans="1:7" x14ac:dyDescent="0.25">
      <c r="A464">
        <v>2155</v>
      </c>
      <c r="B464">
        <v>155</v>
      </c>
      <c r="C464">
        <v>4</v>
      </c>
      <c r="D464">
        <v>23</v>
      </c>
      <c r="E464">
        <v>20</v>
      </c>
      <c r="F464">
        <v>0</v>
      </c>
      <c r="G464">
        <v>43</v>
      </c>
    </row>
    <row r="465" spans="1:7" x14ac:dyDescent="0.25">
      <c r="A465">
        <v>2130</v>
      </c>
      <c r="B465">
        <v>130</v>
      </c>
      <c r="C465">
        <v>3</v>
      </c>
      <c r="D465">
        <v>17</v>
      </c>
      <c r="E465">
        <v>3</v>
      </c>
      <c r="F465">
        <v>0</v>
      </c>
      <c r="G465">
        <v>20</v>
      </c>
    </row>
    <row r="466" spans="1:7" x14ac:dyDescent="0.25">
      <c r="A466">
        <v>1155</v>
      </c>
      <c r="B466">
        <v>155</v>
      </c>
      <c r="C466">
        <v>3</v>
      </c>
      <c r="D466">
        <v>12</v>
      </c>
      <c r="E466">
        <v>7</v>
      </c>
      <c r="F466">
        <v>0</v>
      </c>
      <c r="G466">
        <v>19</v>
      </c>
    </row>
    <row r="467" spans="1:7" x14ac:dyDescent="0.25">
      <c r="A467">
        <v>1061</v>
      </c>
      <c r="B467">
        <v>61</v>
      </c>
      <c r="C467">
        <v>2</v>
      </c>
      <c r="D467">
        <v>26</v>
      </c>
      <c r="E467">
        <v>9</v>
      </c>
      <c r="F467">
        <v>1</v>
      </c>
      <c r="G467">
        <v>36</v>
      </c>
    </row>
    <row r="468" spans="1:7" x14ac:dyDescent="0.25">
      <c r="A468">
        <v>1133</v>
      </c>
      <c r="B468">
        <v>133</v>
      </c>
      <c r="C468">
        <v>3</v>
      </c>
      <c r="D468">
        <v>15</v>
      </c>
      <c r="E468">
        <v>9</v>
      </c>
      <c r="F468">
        <v>0</v>
      </c>
      <c r="G468">
        <v>24</v>
      </c>
    </row>
    <row r="469" spans="1:7" x14ac:dyDescent="0.25">
      <c r="A469">
        <v>2146</v>
      </c>
      <c r="B469">
        <v>146</v>
      </c>
      <c r="C469">
        <v>1</v>
      </c>
      <c r="D469">
        <v>23</v>
      </c>
      <c r="E469">
        <v>4</v>
      </c>
      <c r="F469">
        <v>0</v>
      </c>
      <c r="G469">
        <v>27</v>
      </c>
    </row>
    <row r="470" spans="1:7" x14ac:dyDescent="0.25">
      <c r="A470">
        <v>2147</v>
      </c>
      <c r="B470">
        <v>147</v>
      </c>
      <c r="C470">
        <v>1</v>
      </c>
      <c r="D470">
        <v>11</v>
      </c>
      <c r="E470">
        <v>15</v>
      </c>
      <c r="F470">
        <v>0</v>
      </c>
      <c r="G470">
        <v>26</v>
      </c>
    </row>
    <row r="471" spans="1:7" x14ac:dyDescent="0.25">
      <c r="A471">
        <v>1148</v>
      </c>
      <c r="B471">
        <v>148</v>
      </c>
      <c r="C471">
        <v>1</v>
      </c>
      <c r="D471">
        <v>9</v>
      </c>
      <c r="E471">
        <v>29</v>
      </c>
      <c r="F471">
        <v>0</v>
      </c>
      <c r="G471">
        <v>38</v>
      </c>
    </row>
    <row r="472" spans="1:7" x14ac:dyDescent="0.25">
      <c r="A472">
        <v>1149</v>
      </c>
      <c r="B472">
        <v>149</v>
      </c>
      <c r="C472">
        <v>1</v>
      </c>
      <c r="D472">
        <v>14</v>
      </c>
      <c r="E472">
        <v>25</v>
      </c>
      <c r="F472">
        <v>0</v>
      </c>
      <c r="G472">
        <v>39</v>
      </c>
    </row>
    <row r="473" spans="1:7" x14ac:dyDescent="0.25">
      <c r="A473">
        <v>1133</v>
      </c>
      <c r="B473">
        <v>133</v>
      </c>
      <c r="C473">
        <v>1</v>
      </c>
      <c r="D473">
        <v>13</v>
      </c>
      <c r="E473">
        <v>18</v>
      </c>
      <c r="F473">
        <v>0</v>
      </c>
      <c r="G473">
        <v>31</v>
      </c>
    </row>
    <row r="474" spans="1:7" x14ac:dyDescent="0.25">
      <c r="A474">
        <v>3125</v>
      </c>
      <c r="B474">
        <v>125</v>
      </c>
      <c r="C474">
        <v>1</v>
      </c>
      <c r="D474">
        <v>12</v>
      </c>
      <c r="E474">
        <v>20</v>
      </c>
      <c r="F474">
        <v>0</v>
      </c>
      <c r="G474">
        <v>32</v>
      </c>
    </row>
    <row r="475" spans="1:7" x14ac:dyDescent="0.25">
      <c r="A475">
        <v>1032</v>
      </c>
      <c r="B475">
        <v>32</v>
      </c>
      <c r="C475">
        <v>1</v>
      </c>
      <c r="D475">
        <v>25</v>
      </c>
      <c r="E475">
        <v>15</v>
      </c>
      <c r="F475">
        <v>0</v>
      </c>
      <c r="G475">
        <v>40</v>
      </c>
    </row>
    <row r="476" spans="1:7" x14ac:dyDescent="0.25">
      <c r="A476">
        <v>3027</v>
      </c>
      <c r="B476">
        <v>27</v>
      </c>
      <c r="C476">
        <v>1</v>
      </c>
      <c r="D476">
        <v>24</v>
      </c>
      <c r="E476">
        <v>3</v>
      </c>
      <c r="F476">
        <v>0</v>
      </c>
      <c r="G476">
        <v>27</v>
      </c>
    </row>
    <row r="477" spans="1:7" x14ac:dyDescent="0.25">
      <c r="A477">
        <v>2027</v>
      </c>
      <c r="B477">
        <v>27</v>
      </c>
      <c r="C477">
        <v>1</v>
      </c>
      <c r="D477">
        <v>21</v>
      </c>
      <c r="E477">
        <v>6</v>
      </c>
      <c r="F477">
        <v>0</v>
      </c>
      <c r="G477">
        <v>27</v>
      </c>
    </row>
    <row r="478" spans="1:7" x14ac:dyDescent="0.25">
      <c r="A478">
        <v>3033</v>
      </c>
      <c r="B478">
        <v>33</v>
      </c>
      <c r="C478">
        <v>1</v>
      </c>
      <c r="D478">
        <v>14</v>
      </c>
      <c r="E478">
        <v>14</v>
      </c>
      <c r="F478">
        <v>0</v>
      </c>
      <c r="G478">
        <v>28</v>
      </c>
    </row>
    <row r="479" spans="1:7" x14ac:dyDescent="0.25">
      <c r="A479">
        <v>1143</v>
      </c>
      <c r="B479">
        <v>143</v>
      </c>
      <c r="C479">
        <v>1</v>
      </c>
      <c r="D479">
        <v>3</v>
      </c>
      <c r="E479">
        <v>16</v>
      </c>
      <c r="F479">
        <v>1</v>
      </c>
      <c r="G479">
        <v>20</v>
      </c>
    </row>
    <row r="480" spans="1:7" x14ac:dyDescent="0.25">
      <c r="A480">
        <v>1143</v>
      </c>
      <c r="B480">
        <v>143</v>
      </c>
      <c r="C480">
        <v>2</v>
      </c>
      <c r="D480">
        <v>0</v>
      </c>
      <c r="E480">
        <v>16</v>
      </c>
      <c r="F480">
        <v>0</v>
      </c>
      <c r="G480">
        <v>16</v>
      </c>
    </row>
    <row r="481" spans="1:7" x14ac:dyDescent="0.25">
      <c r="A481">
        <v>2144</v>
      </c>
      <c r="B481">
        <v>144</v>
      </c>
      <c r="C481">
        <v>1</v>
      </c>
      <c r="D481">
        <v>28</v>
      </c>
      <c r="E481">
        <v>12</v>
      </c>
      <c r="F481">
        <v>0</v>
      </c>
      <c r="G481">
        <v>40</v>
      </c>
    </row>
    <row r="482" spans="1:7" x14ac:dyDescent="0.25">
      <c r="A482">
        <v>3144</v>
      </c>
      <c r="B482">
        <v>144</v>
      </c>
      <c r="C482">
        <v>1</v>
      </c>
      <c r="D482">
        <v>23</v>
      </c>
      <c r="E482">
        <v>9</v>
      </c>
      <c r="F482">
        <v>0</v>
      </c>
      <c r="G482">
        <v>32</v>
      </c>
    </row>
    <row r="483" spans="1:7" x14ac:dyDescent="0.25">
      <c r="A483">
        <v>1026</v>
      </c>
      <c r="B483">
        <v>26</v>
      </c>
      <c r="C483">
        <v>3</v>
      </c>
      <c r="D483">
        <v>2</v>
      </c>
      <c r="E483">
        <v>5</v>
      </c>
      <c r="F483">
        <v>0</v>
      </c>
      <c r="G483">
        <v>7</v>
      </c>
    </row>
    <row r="484" spans="1:7" x14ac:dyDescent="0.25">
      <c r="A484">
        <v>3144</v>
      </c>
      <c r="B484">
        <v>144</v>
      </c>
      <c r="C484">
        <v>2</v>
      </c>
      <c r="D484">
        <v>20</v>
      </c>
      <c r="E484">
        <v>8</v>
      </c>
      <c r="F484">
        <v>0</v>
      </c>
      <c r="G484">
        <v>28</v>
      </c>
    </row>
    <row r="485" spans="1:7" x14ac:dyDescent="0.25">
      <c r="A485">
        <v>2026</v>
      </c>
      <c r="B485">
        <v>26</v>
      </c>
      <c r="C485">
        <v>4</v>
      </c>
      <c r="D485">
        <v>15</v>
      </c>
      <c r="E485">
        <v>8</v>
      </c>
      <c r="F485">
        <v>0</v>
      </c>
      <c r="G485">
        <v>23</v>
      </c>
    </row>
    <row r="486" spans="1:7" x14ac:dyDescent="0.25">
      <c r="A486">
        <v>3026</v>
      </c>
      <c r="B486">
        <v>26</v>
      </c>
      <c r="C486">
        <v>4</v>
      </c>
      <c r="D486">
        <v>20</v>
      </c>
      <c r="E486">
        <v>0</v>
      </c>
      <c r="F486">
        <v>0</v>
      </c>
      <c r="G486">
        <v>20</v>
      </c>
    </row>
    <row r="487" spans="1:7" x14ac:dyDescent="0.25">
      <c r="A487">
        <v>1141</v>
      </c>
      <c r="B487">
        <v>141</v>
      </c>
      <c r="C487">
        <v>1</v>
      </c>
      <c r="D487">
        <v>19</v>
      </c>
      <c r="E487">
        <v>14</v>
      </c>
      <c r="F487">
        <v>0</v>
      </c>
      <c r="G487">
        <v>33</v>
      </c>
    </row>
    <row r="488" spans="1:7" x14ac:dyDescent="0.25">
      <c r="A488">
        <v>2027</v>
      </c>
      <c r="B488">
        <v>27</v>
      </c>
      <c r="C488">
        <v>4</v>
      </c>
      <c r="D488">
        <v>2</v>
      </c>
      <c r="E488">
        <v>14</v>
      </c>
      <c r="F488">
        <v>0</v>
      </c>
      <c r="G488">
        <v>16</v>
      </c>
    </row>
    <row r="489" spans="1:7" x14ac:dyDescent="0.25">
      <c r="A489">
        <v>1106</v>
      </c>
      <c r="B489">
        <v>106</v>
      </c>
      <c r="C489">
        <v>4</v>
      </c>
      <c r="D489">
        <v>11</v>
      </c>
      <c r="E489">
        <v>9</v>
      </c>
      <c r="F489">
        <v>0</v>
      </c>
      <c r="G489">
        <v>20</v>
      </c>
    </row>
    <row r="490" spans="1:7" x14ac:dyDescent="0.25">
      <c r="A490">
        <v>2145</v>
      </c>
      <c r="B490">
        <v>145</v>
      </c>
      <c r="C490">
        <v>1</v>
      </c>
      <c r="D490">
        <v>20</v>
      </c>
      <c r="E490">
        <v>10</v>
      </c>
      <c r="F490">
        <v>0</v>
      </c>
      <c r="G490">
        <v>30</v>
      </c>
    </row>
    <row r="491" spans="1:7" x14ac:dyDescent="0.25">
      <c r="A491">
        <v>2054</v>
      </c>
      <c r="B491">
        <v>54</v>
      </c>
      <c r="C491">
        <v>2</v>
      </c>
      <c r="D491">
        <v>23</v>
      </c>
      <c r="E491">
        <v>10</v>
      </c>
      <c r="F491">
        <v>0</v>
      </c>
      <c r="G491">
        <v>33</v>
      </c>
    </row>
    <row r="492" spans="1:7" x14ac:dyDescent="0.25">
      <c r="A492">
        <v>2105</v>
      </c>
      <c r="B492">
        <v>105</v>
      </c>
      <c r="C492">
        <v>3</v>
      </c>
      <c r="D492">
        <v>9</v>
      </c>
      <c r="E492">
        <v>11</v>
      </c>
      <c r="F492">
        <v>0</v>
      </c>
      <c r="G492">
        <v>20</v>
      </c>
    </row>
    <row r="493" spans="1:7" x14ac:dyDescent="0.25">
      <c r="A493">
        <v>1081</v>
      </c>
      <c r="B493">
        <v>81</v>
      </c>
      <c r="C493">
        <v>1</v>
      </c>
      <c r="D493">
        <v>29</v>
      </c>
      <c r="E493">
        <v>1</v>
      </c>
      <c r="F493">
        <v>0</v>
      </c>
      <c r="G493">
        <v>30</v>
      </c>
    </row>
    <row r="494" spans="1:7" x14ac:dyDescent="0.25">
      <c r="A494">
        <v>1105</v>
      </c>
      <c r="B494">
        <v>105</v>
      </c>
      <c r="C494">
        <v>3</v>
      </c>
      <c r="D494">
        <v>14</v>
      </c>
      <c r="E494">
        <v>11</v>
      </c>
      <c r="F494">
        <v>0</v>
      </c>
      <c r="G494">
        <v>25</v>
      </c>
    </row>
    <row r="495" spans="1:7" x14ac:dyDescent="0.25">
      <c r="A495">
        <v>2108</v>
      </c>
      <c r="B495">
        <v>108</v>
      </c>
      <c r="C495">
        <v>4</v>
      </c>
      <c r="D495">
        <v>2</v>
      </c>
      <c r="E495">
        <v>0</v>
      </c>
      <c r="F495">
        <v>0</v>
      </c>
      <c r="G495">
        <v>2</v>
      </c>
    </row>
    <row r="496" spans="1:7" x14ac:dyDescent="0.25">
      <c r="A496">
        <v>1109</v>
      </c>
      <c r="B496">
        <v>109</v>
      </c>
      <c r="C496">
        <v>3</v>
      </c>
      <c r="D496">
        <v>3</v>
      </c>
      <c r="E496">
        <v>0</v>
      </c>
      <c r="F496">
        <v>0</v>
      </c>
      <c r="G496">
        <v>3</v>
      </c>
    </row>
    <row r="497" spans="1:7" x14ac:dyDescent="0.25">
      <c r="A497">
        <v>3027</v>
      </c>
      <c r="B497">
        <v>27</v>
      </c>
      <c r="C497">
        <v>4</v>
      </c>
      <c r="D497">
        <v>20</v>
      </c>
      <c r="E497">
        <v>3</v>
      </c>
      <c r="F497">
        <v>0</v>
      </c>
      <c r="G497">
        <v>23</v>
      </c>
    </row>
    <row r="498" spans="1:7" x14ac:dyDescent="0.25">
      <c r="A498">
        <v>4102</v>
      </c>
      <c r="B498">
        <v>102</v>
      </c>
      <c r="C498">
        <v>4</v>
      </c>
      <c r="D498">
        <v>8</v>
      </c>
      <c r="E498">
        <v>12</v>
      </c>
      <c r="F498">
        <v>0</v>
      </c>
      <c r="G498">
        <v>20</v>
      </c>
    </row>
    <row r="499" spans="1:7" x14ac:dyDescent="0.25">
      <c r="A499">
        <v>4033</v>
      </c>
      <c r="B499">
        <v>33</v>
      </c>
      <c r="C499">
        <v>4</v>
      </c>
      <c r="D499">
        <v>10</v>
      </c>
      <c r="E499">
        <v>7</v>
      </c>
      <c r="F499">
        <v>0</v>
      </c>
      <c r="G499">
        <v>17</v>
      </c>
    </row>
    <row r="500" spans="1:7" x14ac:dyDescent="0.25">
      <c r="A500">
        <v>2033</v>
      </c>
      <c r="B500">
        <v>33</v>
      </c>
      <c r="C500">
        <v>2</v>
      </c>
      <c r="D500">
        <v>9</v>
      </c>
      <c r="E500">
        <v>9</v>
      </c>
      <c r="F500">
        <v>2</v>
      </c>
      <c r="G500">
        <v>20</v>
      </c>
    </row>
    <row r="501" spans="1:7" x14ac:dyDescent="0.25">
      <c r="A501">
        <v>4033</v>
      </c>
      <c r="B501">
        <v>33</v>
      </c>
      <c r="C501">
        <v>2</v>
      </c>
      <c r="D501">
        <v>10</v>
      </c>
      <c r="E501">
        <v>10</v>
      </c>
      <c r="F501">
        <v>0</v>
      </c>
      <c r="G501">
        <v>20</v>
      </c>
    </row>
    <row r="502" spans="1:7" x14ac:dyDescent="0.25">
      <c r="A502">
        <v>1074</v>
      </c>
      <c r="B502">
        <v>74</v>
      </c>
      <c r="C502">
        <v>1</v>
      </c>
      <c r="D502">
        <v>8</v>
      </c>
      <c r="E502">
        <v>18</v>
      </c>
      <c r="F502">
        <v>1</v>
      </c>
      <c r="G502">
        <v>27</v>
      </c>
    </row>
    <row r="503" spans="1:7" x14ac:dyDescent="0.25">
      <c r="A503">
        <v>4033</v>
      </c>
      <c r="B503">
        <v>33</v>
      </c>
      <c r="C503">
        <v>3</v>
      </c>
      <c r="D503">
        <v>5</v>
      </c>
      <c r="E503">
        <v>10</v>
      </c>
      <c r="F503">
        <v>1</v>
      </c>
      <c r="G503">
        <v>16</v>
      </c>
    </row>
    <row r="504" spans="1:7" x14ac:dyDescent="0.25">
      <c r="A504">
        <v>2026</v>
      </c>
      <c r="B504">
        <v>26</v>
      </c>
      <c r="C504">
        <v>3</v>
      </c>
      <c r="D504">
        <v>10</v>
      </c>
      <c r="E504">
        <v>2</v>
      </c>
      <c r="F504">
        <v>0</v>
      </c>
      <c r="G504">
        <v>12</v>
      </c>
    </row>
    <row r="505" spans="1:7" x14ac:dyDescent="0.25">
      <c r="A505">
        <v>1074</v>
      </c>
      <c r="B505">
        <v>74</v>
      </c>
      <c r="C505">
        <v>2</v>
      </c>
      <c r="D505">
        <v>7</v>
      </c>
      <c r="E505">
        <v>18</v>
      </c>
      <c r="F505">
        <v>0</v>
      </c>
      <c r="G505">
        <v>25</v>
      </c>
    </row>
    <row r="506" spans="1:7" x14ac:dyDescent="0.25">
      <c r="A506">
        <v>1034</v>
      </c>
      <c r="B506">
        <v>34</v>
      </c>
      <c r="C506">
        <v>4</v>
      </c>
      <c r="D506">
        <v>20</v>
      </c>
      <c r="E506">
        <v>3</v>
      </c>
      <c r="F506">
        <v>0</v>
      </c>
      <c r="G506">
        <v>23</v>
      </c>
    </row>
    <row r="507" spans="1:7" x14ac:dyDescent="0.25">
      <c r="A507">
        <v>4021</v>
      </c>
      <c r="B507">
        <v>21</v>
      </c>
      <c r="C507">
        <v>1</v>
      </c>
      <c r="D507">
        <v>17</v>
      </c>
      <c r="E507">
        <v>16</v>
      </c>
      <c r="F507">
        <v>0</v>
      </c>
      <c r="G507">
        <v>33</v>
      </c>
    </row>
    <row r="508" spans="1:7" x14ac:dyDescent="0.25">
      <c r="A508">
        <v>1034</v>
      </c>
      <c r="B508">
        <v>34</v>
      </c>
      <c r="C508">
        <v>3</v>
      </c>
      <c r="D508">
        <v>18</v>
      </c>
      <c r="E508">
        <v>2</v>
      </c>
      <c r="F508">
        <v>0</v>
      </c>
      <c r="G508">
        <v>20</v>
      </c>
    </row>
    <row r="509" spans="1:7" x14ac:dyDescent="0.25">
      <c r="A509">
        <v>3027</v>
      </c>
      <c r="B509">
        <v>27</v>
      </c>
      <c r="C509">
        <v>3</v>
      </c>
      <c r="D509">
        <v>18</v>
      </c>
      <c r="E509">
        <v>3</v>
      </c>
      <c r="F509">
        <v>0</v>
      </c>
      <c r="G509">
        <v>21</v>
      </c>
    </row>
    <row r="510" spans="1:7" x14ac:dyDescent="0.25">
      <c r="A510">
        <v>1125</v>
      </c>
      <c r="B510">
        <v>125</v>
      </c>
      <c r="C510">
        <v>4</v>
      </c>
      <c r="D510">
        <v>6</v>
      </c>
      <c r="E510">
        <v>14</v>
      </c>
      <c r="F510">
        <v>1</v>
      </c>
      <c r="G510">
        <v>21</v>
      </c>
    </row>
    <row r="511" spans="1:7" x14ac:dyDescent="0.25">
      <c r="A511">
        <v>1034</v>
      </c>
      <c r="B511">
        <v>34</v>
      </c>
      <c r="C511">
        <v>2</v>
      </c>
      <c r="D511">
        <v>16</v>
      </c>
      <c r="E511">
        <v>4</v>
      </c>
      <c r="F511">
        <v>0</v>
      </c>
      <c r="G511">
        <v>20</v>
      </c>
    </row>
    <row r="512" spans="1:7" x14ac:dyDescent="0.25">
      <c r="A512">
        <v>1122</v>
      </c>
      <c r="B512">
        <v>122</v>
      </c>
      <c r="C512">
        <v>4</v>
      </c>
      <c r="D512">
        <v>16</v>
      </c>
      <c r="E512">
        <v>10</v>
      </c>
      <c r="F512">
        <v>0</v>
      </c>
      <c r="G512">
        <v>26</v>
      </c>
    </row>
    <row r="513" spans="1:7" x14ac:dyDescent="0.25">
      <c r="A513">
        <v>1034</v>
      </c>
      <c r="B513">
        <v>34</v>
      </c>
      <c r="C513">
        <v>1</v>
      </c>
      <c r="D513">
        <v>16</v>
      </c>
      <c r="E513">
        <v>0</v>
      </c>
      <c r="F513">
        <v>0</v>
      </c>
      <c r="G513">
        <v>16</v>
      </c>
    </row>
    <row r="514" spans="1:7" x14ac:dyDescent="0.25">
      <c r="A514">
        <v>2033</v>
      </c>
      <c r="B514">
        <v>33</v>
      </c>
      <c r="C514">
        <v>3</v>
      </c>
      <c r="D514">
        <v>2</v>
      </c>
      <c r="E514">
        <v>9</v>
      </c>
      <c r="F514">
        <v>2</v>
      </c>
      <c r="G514">
        <v>13</v>
      </c>
    </row>
    <row r="515" spans="1:7" x14ac:dyDescent="0.25">
      <c r="A515">
        <v>3125</v>
      </c>
      <c r="B515">
        <v>125</v>
      </c>
      <c r="C515">
        <v>3</v>
      </c>
      <c r="D515">
        <v>8</v>
      </c>
      <c r="E515">
        <v>17</v>
      </c>
      <c r="F515">
        <v>0</v>
      </c>
      <c r="G515">
        <v>25</v>
      </c>
    </row>
    <row r="516" spans="1:7" x14ac:dyDescent="0.25">
      <c r="A516">
        <v>2033</v>
      </c>
      <c r="B516">
        <v>33</v>
      </c>
      <c r="C516">
        <v>4</v>
      </c>
      <c r="D516">
        <v>0</v>
      </c>
      <c r="E516">
        <v>1</v>
      </c>
      <c r="F516">
        <v>0</v>
      </c>
      <c r="G516">
        <v>1</v>
      </c>
    </row>
    <row r="517" spans="1:7" x14ac:dyDescent="0.25">
      <c r="A517">
        <v>1122</v>
      </c>
      <c r="B517">
        <v>122</v>
      </c>
      <c r="C517">
        <v>3</v>
      </c>
      <c r="D517">
        <v>15</v>
      </c>
      <c r="E517">
        <v>13</v>
      </c>
      <c r="F517">
        <v>0</v>
      </c>
      <c r="G517">
        <v>28</v>
      </c>
    </row>
    <row r="518" spans="1:7" x14ac:dyDescent="0.25">
      <c r="A518">
        <v>1131</v>
      </c>
      <c r="B518">
        <v>131</v>
      </c>
      <c r="C518">
        <v>3</v>
      </c>
      <c r="D518">
        <v>18</v>
      </c>
      <c r="E518">
        <v>0</v>
      </c>
      <c r="F518">
        <v>0</v>
      </c>
      <c r="G518">
        <v>18</v>
      </c>
    </row>
    <row r="519" spans="1:7" x14ac:dyDescent="0.25">
      <c r="A519">
        <v>1131</v>
      </c>
      <c r="B519">
        <v>131</v>
      </c>
      <c r="C519">
        <v>4</v>
      </c>
      <c r="D519">
        <v>18</v>
      </c>
      <c r="E519">
        <v>0</v>
      </c>
      <c r="F519">
        <v>0</v>
      </c>
      <c r="G519">
        <v>18</v>
      </c>
    </row>
    <row r="520" spans="1:7" x14ac:dyDescent="0.25">
      <c r="A520">
        <v>3026</v>
      </c>
      <c r="B520">
        <v>26</v>
      </c>
      <c r="C520">
        <v>3</v>
      </c>
      <c r="D520">
        <v>19</v>
      </c>
      <c r="E520">
        <v>1</v>
      </c>
      <c r="F520">
        <v>0</v>
      </c>
      <c r="G520">
        <v>20</v>
      </c>
    </row>
    <row r="521" spans="1:7" x14ac:dyDescent="0.25">
      <c r="A521">
        <v>2027</v>
      </c>
      <c r="B521">
        <v>27</v>
      </c>
      <c r="C521">
        <v>3</v>
      </c>
      <c r="D521">
        <v>19</v>
      </c>
      <c r="E521">
        <v>3</v>
      </c>
      <c r="F521">
        <v>0</v>
      </c>
      <c r="G521">
        <v>22</v>
      </c>
    </row>
    <row r="522" spans="1:7" x14ac:dyDescent="0.25">
      <c r="A522">
        <v>1156</v>
      </c>
      <c r="B522">
        <v>156</v>
      </c>
      <c r="C522">
        <v>3</v>
      </c>
      <c r="D522">
        <v>19</v>
      </c>
      <c r="E522">
        <v>18</v>
      </c>
      <c r="F522">
        <v>0</v>
      </c>
      <c r="G522">
        <v>37</v>
      </c>
    </row>
    <row r="523" spans="1:7" x14ac:dyDescent="0.25">
      <c r="A523">
        <v>2108</v>
      </c>
      <c r="B523">
        <v>108</v>
      </c>
      <c r="C523">
        <v>2</v>
      </c>
      <c r="D523">
        <v>1</v>
      </c>
      <c r="E523">
        <v>0</v>
      </c>
      <c r="F523">
        <v>0</v>
      </c>
      <c r="G523">
        <v>1</v>
      </c>
    </row>
    <row r="524" spans="1:7" x14ac:dyDescent="0.25">
      <c r="A524">
        <v>1156</v>
      </c>
      <c r="B524">
        <v>156</v>
      </c>
      <c r="C524">
        <v>4</v>
      </c>
      <c r="D524">
        <v>18</v>
      </c>
      <c r="E524">
        <v>17</v>
      </c>
      <c r="F524">
        <v>0</v>
      </c>
      <c r="G524">
        <v>35</v>
      </c>
    </row>
    <row r="525" spans="1:7" x14ac:dyDescent="0.25">
      <c r="A525">
        <v>1109</v>
      </c>
      <c r="B525">
        <v>109</v>
      </c>
      <c r="C525">
        <v>2</v>
      </c>
      <c r="D525">
        <v>6</v>
      </c>
      <c r="E525">
        <v>1</v>
      </c>
      <c r="F525">
        <v>0</v>
      </c>
      <c r="G525">
        <v>7</v>
      </c>
    </row>
    <row r="526" spans="1:7" x14ac:dyDescent="0.25">
      <c r="A526">
        <v>2131</v>
      </c>
      <c r="B526">
        <v>131</v>
      </c>
      <c r="C526">
        <v>3</v>
      </c>
      <c r="D526">
        <v>16</v>
      </c>
      <c r="E526">
        <v>9</v>
      </c>
      <c r="F526">
        <v>0</v>
      </c>
      <c r="G526">
        <v>25</v>
      </c>
    </row>
    <row r="527" spans="1:7" x14ac:dyDescent="0.25">
      <c r="A527">
        <v>1107</v>
      </c>
      <c r="B527">
        <v>107</v>
      </c>
      <c r="C527">
        <v>2</v>
      </c>
      <c r="D527">
        <v>8</v>
      </c>
      <c r="E527">
        <v>1</v>
      </c>
      <c r="F527">
        <v>1</v>
      </c>
      <c r="G527">
        <v>10</v>
      </c>
    </row>
    <row r="528" spans="1:7" x14ac:dyDescent="0.25">
      <c r="A528">
        <v>1106</v>
      </c>
      <c r="B528">
        <v>106</v>
      </c>
      <c r="C528">
        <v>2</v>
      </c>
      <c r="D528">
        <v>10</v>
      </c>
      <c r="E528">
        <v>10</v>
      </c>
      <c r="F528">
        <v>0</v>
      </c>
      <c r="G528">
        <v>20</v>
      </c>
    </row>
    <row r="529" spans="1:7" x14ac:dyDescent="0.25">
      <c r="A529">
        <v>2105</v>
      </c>
      <c r="B529">
        <v>105</v>
      </c>
      <c r="C529">
        <v>2</v>
      </c>
      <c r="D529">
        <v>12</v>
      </c>
      <c r="E529">
        <v>6</v>
      </c>
      <c r="F529">
        <v>0</v>
      </c>
      <c r="G529">
        <v>18</v>
      </c>
    </row>
    <row r="530" spans="1:7" x14ac:dyDescent="0.25">
      <c r="A530">
        <v>1123</v>
      </c>
      <c r="B530">
        <v>123</v>
      </c>
      <c r="C530">
        <v>3</v>
      </c>
      <c r="D530">
        <v>8</v>
      </c>
      <c r="E530">
        <v>25</v>
      </c>
      <c r="F530">
        <v>0</v>
      </c>
      <c r="G530">
        <v>33</v>
      </c>
    </row>
    <row r="531" spans="1:7" x14ac:dyDescent="0.25">
      <c r="A531">
        <v>1107</v>
      </c>
      <c r="B531">
        <v>107</v>
      </c>
      <c r="C531">
        <v>1</v>
      </c>
      <c r="D531">
        <v>2</v>
      </c>
      <c r="E531">
        <v>2</v>
      </c>
      <c r="F531">
        <v>1</v>
      </c>
      <c r="G531">
        <v>5</v>
      </c>
    </row>
    <row r="532" spans="1:7" x14ac:dyDescent="0.25">
      <c r="A532">
        <v>2125</v>
      </c>
      <c r="B532">
        <v>125</v>
      </c>
      <c r="C532">
        <v>3</v>
      </c>
      <c r="D532">
        <v>5</v>
      </c>
      <c r="E532">
        <v>18</v>
      </c>
      <c r="F532">
        <v>1</v>
      </c>
      <c r="G532">
        <v>24</v>
      </c>
    </row>
    <row r="533" spans="1:7" x14ac:dyDescent="0.25">
      <c r="A533">
        <v>4125</v>
      </c>
      <c r="B533">
        <v>125</v>
      </c>
      <c r="C533">
        <v>3</v>
      </c>
      <c r="D533">
        <v>9</v>
      </c>
      <c r="E533">
        <v>15</v>
      </c>
      <c r="F533">
        <v>0</v>
      </c>
      <c r="G533">
        <v>24</v>
      </c>
    </row>
    <row r="534" spans="1:7" x14ac:dyDescent="0.25">
      <c r="A534">
        <v>2103</v>
      </c>
      <c r="B534">
        <v>103</v>
      </c>
      <c r="C534">
        <v>1</v>
      </c>
      <c r="D534">
        <v>8</v>
      </c>
      <c r="E534">
        <v>7</v>
      </c>
      <c r="F534">
        <v>0</v>
      </c>
      <c r="G534">
        <v>15</v>
      </c>
    </row>
    <row r="535" spans="1:7" x14ac:dyDescent="0.25">
      <c r="A535">
        <v>2080</v>
      </c>
      <c r="B535">
        <v>80</v>
      </c>
      <c r="C535">
        <v>2</v>
      </c>
      <c r="D535">
        <v>25</v>
      </c>
      <c r="E535">
        <v>1</v>
      </c>
      <c r="F535">
        <v>0</v>
      </c>
      <c r="G535">
        <v>26</v>
      </c>
    </row>
    <row r="536" spans="1:7" x14ac:dyDescent="0.25">
      <c r="A536">
        <v>1081</v>
      </c>
      <c r="B536">
        <v>81</v>
      </c>
      <c r="C536">
        <v>2</v>
      </c>
      <c r="D536">
        <v>21</v>
      </c>
      <c r="E536">
        <v>7</v>
      </c>
      <c r="F536">
        <v>0</v>
      </c>
      <c r="G536">
        <v>28</v>
      </c>
    </row>
    <row r="537" spans="1:7" x14ac:dyDescent="0.25">
      <c r="A537">
        <v>2108</v>
      </c>
      <c r="B537">
        <v>108</v>
      </c>
      <c r="C537">
        <v>3</v>
      </c>
      <c r="D537">
        <v>1</v>
      </c>
      <c r="E537">
        <v>0</v>
      </c>
      <c r="F537">
        <v>0</v>
      </c>
      <c r="G537">
        <v>1</v>
      </c>
    </row>
    <row r="538" spans="1:7" x14ac:dyDescent="0.25">
      <c r="A538">
        <v>1081</v>
      </c>
      <c r="B538">
        <v>81</v>
      </c>
      <c r="C538">
        <v>4</v>
      </c>
      <c r="D538">
        <v>10</v>
      </c>
      <c r="E538">
        <v>0</v>
      </c>
      <c r="F538">
        <v>0</v>
      </c>
      <c r="G538">
        <v>10</v>
      </c>
    </row>
    <row r="539" spans="1:7" x14ac:dyDescent="0.25">
      <c r="A539">
        <v>1107</v>
      </c>
      <c r="B539">
        <v>107</v>
      </c>
      <c r="C539">
        <v>3</v>
      </c>
      <c r="D539">
        <v>1</v>
      </c>
      <c r="E539">
        <v>0</v>
      </c>
      <c r="F539">
        <v>0</v>
      </c>
      <c r="G539">
        <v>1</v>
      </c>
    </row>
    <row r="540" spans="1:7" x14ac:dyDescent="0.25">
      <c r="A540">
        <v>1106</v>
      </c>
      <c r="B540">
        <v>106</v>
      </c>
      <c r="C540">
        <v>3</v>
      </c>
      <c r="D540">
        <v>9</v>
      </c>
      <c r="E540">
        <v>11</v>
      </c>
      <c r="F540">
        <v>0</v>
      </c>
      <c r="G540">
        <v>20</v>
      </c>
    </row>
    <row r="541" spans="1:7" x14ac:dyDescent="0.25">
      <c r="A541">
        <v>1001</v>
      </c>
      <c r="B541">
        <v>1</v>
      </c>
      <c r="C541">
        <v>2</v>
      </c>
      <c r="D541">
        <v>9</v>
      </c>
      <c r="E541">
        <v>21</v>
      </c>
      <c r="F541">
        <v>2</v>
      </c>
      <c r="G541">
        <v>32</v>
      </c>
    </row>
    <row r="542" spans="1:7" x14ac:dyDescent="0.25">
      <c r="A542">
        <v>2048</v>
      </c>
      <c r="B542">
        <v>48</v>
      </c>
      <c r="C542">
        <v>2</v>
      </c>
      <c r="D542">
        <v>20</v>
      </c>
      <c r="E542">
        <v>15</v>
      </c>
      <c r="F542">
        <v>0</v>
      </c>
      <c r="G542">
        <v>35</v>
      </c>
    </row>
    <row r="543" spans="1:7" x14ac:dyDescent="0.25">
      <c r="A543">
        <v>2003</v>
      </c>
      <c r="B543">
        <v>3</v>
      </c>
      <c r="C543">
        <v>4</v>
      </c>
      <c r="D543">
        <v>19</v>
      </c>
      <c r="E543">
        <v>13</v>
      </c>
      <c r="F543">
        <v>4</v>
      </c>
      <c r="G543">
        <v>36</v>
      </c>
    </row>
    <row r="544" spans="1:7" x14ac:dyDescent="0.25">
      <c r="A544">
        <v>3048</v>
      </c>
      <c r="B544">
        <v>48</v>
      </c>
      <c r="C544">
        <v>2</v>
      </c>
      <c r="D544">
        <v>18</v>
      </c>
      <c r="E544">
        <v>20</v>
      </c>
      <c r="F544">
        <v>0</v>
      </c>
      <c r="G544">
        <v>38</v>
      </c>
    </row>
    <row r="545" spans="1:7" x14ac:dyDescent="0.25">
      <c r="A545">
        <v>1114</v>
      </c>
      <c r="B545">
        <v>114</v>
      </c>
      <c r="C545">
        <v>2</v>
      </c>
      <c r="D545">
        <v>28</v>
      </c>
      <c r="E545">
        <v>7</v>
      </c>
      <c r="F545">
        <v>0</v>
      </c>
      <c r="G545">
        <v>35</v>
      </c>
    </row>
    <row r="546" spans="1:7" x14ac:dyDescent="0.25">
      <c r="A546">
        <v>1114</v>
      </c>
      <c r="B546">
        <v>114</v>
      </c>
      <c r="C546">
        <v>3</v>
      </c>
      <c r="D546">
        <v>20</v>
      </c>
      <c r="E546">
        <v>0</v>
      </c>
      <c r="F546">
        <v>0</v>
      </c>
      <c r="G546">
        <v>20</v>
      </c>
    </row>
    <row r="547" spans="1:7" x14ac:dyDescent="0.25">
      <c r="A547">
        <v>2048</v>
      </c>
      <c r="B547">
        <v>48</v>
      </c>
      <c r="C547">
        <v>3</v>
      </c>
      <c r="D547">
        <v>20</v>
      </c>
      <c r="E547">
        <v>19</v>
      </c>
      <c r="F547">
        <v>0</v>
      </c>
      <c r="G547">
        <v>39</v>
      </c>
    </row>
    <row r="548" spans="1:7" x14ac:dyDescent="0.25">
      <c r="A548">
        <v>1146</v>
      </c>
      <c r="B548">
        <v>146</v>
      </c>
      <c r="C548">
        <v>4</v>
      </c>
      <c r="D548">
        <v>6</v>
      </c>
      <c r="E548">
        <v>19</v>
      </c>
      <c r="F548">
        <v>0</v>
      </c>
      <c r="G548">
        <v>25</v>
      </c>
    </row>
    <row r="549" spans="1:7" x14ac:dyDescent="0.25">
      <c r="A549">
        <v>3046</v>
      </c>
      <c r="B549">
        <v>46</v>
      </c>
      <c r="C549">
        <v>2</v>
      </c>
      <c r="D549">
        <v>15</v>
      </c>
      <c r="E549">
        <v>13</v>
      </c>
      <c r="F549">
        <v>0</v>
      </c>
      <c r="G549">
        <v>28</v>
      </c>
    </row>
    <row r="550" spans="1:7" x14ac:dyDescent="0.25">
      <c r="A550">
        <v>1032</v>
      </c>
      <c r="B550">
        <v>32</v>
      </c>
      <c r="C550">
        <v>2</v>
      </c>
      <c r="D550">
        <v>25</v>
      </c>
      <c r="E550">
        <v>20</v>
      </c>
      <c r="F550">
        <v>0</v>
      </c>
      <c r="G550">
        <v>45</v>
      </c>
    </row>
    <row r="551" spans="1:7" x14ac:dyDescent="0.25">
      <c r="A551">
        <v>3027</v>
      </c>
      <c r="B551">
        <v>27</v>
      </c>
      <c r="C551">
        <v>2</v>
      </c>
      <c r="D551">
        <v>20</v>
      </c>
      <c r="E551">
        <v>8</v>
      </c>
      <c r="F551">
        <v>0</v>
      </c>
      <c r="G551">
        <v>28</v>
      </c>
    </row>
    <row r="552" spans="1:7" x14ac:dyDescent="0.25">
      <c r="A552">
        <v>1140</v>
      </c>
      <c r="B552">
        <v>140</v>
      </c>
      <c r="C552">
        <v>1</v>
      </c>
      <c r="D552">
        <v>17</v>
      </c>
      <c r="E552">
        <v>23</v>
      </c>
      <c r="F552">
        <v>0</v>
      </c>
      <c r="G552">
        <v>40</v>
      </c>
    </row>
    <row r="553" spans="1:7" x14ac:dyDescent="0.25">
      <c r="A553">
        <v>1140</v>
      </c>
      <c r="B553">
        <v>140</v>
      </c>
      <c r="C553">
        <v>2</v>
      </c>
      <c r="D553">
        <v>17</v>
      </c>
      <c r="E553">
        <v>23</v>
      </c>
      <c r="F553">
        <v>0</v>
      </c>
      <c r="G553">
        <v>40</v>
      </c>
    </row>
    <row r="554" spans="1:7" x14ac:dyDescent="0.25">
      <c r="A554">
        <v>1137</v>
      </c>
      <c r="B554">
        <v>137</v>
      </c>
      <c r="C554">
        <v>1</v>
      </c>
      <c r="D554">
        <v>20</v>
      </c>
      <c r="E554">
        <v>1</v>
      </c>
      <c r="F554">
        <v>0</v>
      </c>
      <c r="G554">
        <v>21</v>
      </c>
    </row>
    <row r="555" spans="1:7" x14ac:dyDescent="0.25">
      <c r="A555">
        <v>1137</v>
      </c>
      <c r="B555">
        <v>137</v>
      </c>
      <c r="C555">
        <v>3</v>
      </c>
      <c r="D555">
        <v>20</v>
      </c>
      <c r="E555">
        <v>1</v>
      </c>
      <c r="F555">
        <v>0</v>
      </c>
      <c r="G555">
        <v>21</v>
      </c>
    </row>
    <row r="556" spans="1:7" x14ac:dyDescent="0.25">
      <c r="A556">
        <v>5145</v>
      </c>
      <c r="B556">
        <v>145</v>
      </c>
      <c r="C556">
        <v>3</v>
      </c>
      <c r="D556">
        <v>27</v>
      </c>
      <c r="E556">
        <v>5</v>
      </c>
      <c r="F556">
        <v>0</v>
      </c>
      <c r="G556">
        <v>32</v>
      </c>
    </row>
    <row r="557" spans="1:7" x14ac:dyDescent="0.25">
      <c r="A557">
        <v>2042</v>
      </c>
      <c r="B557">
        <v>42</v>
      </c>
      <c r="C557">
        <v>1</v>
      </c>
      <c r="D557">
        <v>10</v>
      </c>
      <c r="E557">
        <v>20</v>
      </c>
      <c r="F557">
        <v>0</v>
      </c>
      <c r="G557">
        <v>30</v>
      </c>
    </row>
    <row r="558" spans="1:7" x14ac:dyDescent="0.25">
      <c r="A558">
        <v>2042</v>
      </c>
      <c r="B558">
        <v>42</v>
      </c>
      <c r="C558">
        <v>2</v>
      </c>
      <c r="D558">
        <v>11</v>
      </c>
      <c r="E558">
        <v>24</v>
      </c>
      <c r="F558">
        <v>0</v>
      </c>
      <c r="G558">
        <v>35</v>
      </c>
    </row>
    <row r="559" spans="1:7" x14ac:dyDescent="0.25">
      <c r="A559">
        <v>1148</v>
      </c>
      <c r="B559">
        <v>148</v>
      </c>
      <c r="C559">
        <v>2</v>
      </c>
      <c r="D559">
        <v>12</v>
      </c>
      <c r="E559">
        <v>24</v>
      </c>
      <c r="F559">
        <v>0</v>
      </c>
      <c r="G559">
        <v>36</v>
      </c>
    </row>
    <row r="560" spans="1:7" x14ac:dyDescent="0.25">
      <c r="A560">
        <v>1029</v>
      </c>
      <c r="B560">
        <v>29</v>
      </c>
      <c r="C560">
        <v>2</v>
      </c>
      <c r="D560">
        <v>19</v>
      </c>
      <c r="E560">
        <v>8</v>
      </c>
      <c r="F560">
        <v>0</v>
      </c>
      <c r="G560">
        <v>27</v>
      </c>
    </row>
    <row r="561" spans="1:7" x14ac:dyDescent="0.25">
      <c r="A561">
        <v>3042</v>
      </c>
      <c r="B561">
        <v>42</v>
      </c>
      <c r="C561">
        <v>1</v>
      </c>
      <c r="D561">
        <v>13</v>
      </c>
      <c r="E561">
        <v>21</v>
      </c>
      <c r="F561">
        <v>0</v>
      </c>
      <c r="G561">
        <v>34</v>
      </c>
    </row>
    <row r="562" spans="1:7" x14ac:dyDescent="0.25">
      <c r="A562">
        <v>3042</v>
      </c>
      <c r="B562">
        <v>42</v>
      </c>
      <c r="C562">
        <v>2</v>
      </c>
      <c r="D562">
        <v>13</v>
      </c>
      <c r="E562">
        <v>12</v>
      </c>
      <c r="F562">
        <v>0</v>
      </c>
      <c r="G562">
        <v>25</v>
      </c>
    </row>
    <row r="563" spans="1:7" x14ac:dyDescent="0.25">
      <c r="A563">
        <v>2012</v>
      </c>
      <c r="B563">
        <v>12</v>
      </c>
      <c r="C563">
        <v>3</v>
      </c>
      <c r="D563">
        <v>16</v>
      </c>
      <c r="E563">
        <v>12</v>
      </c>
      <c r="F563">
        <v>0</v>
      </c>
      <c r="G563">
        <v>28</v>
      </c>
    </row>
    <row r="564" spans="1:7" x14ac:dyDescent="0.25">
      <c r="A564">
        <v>1008</v>
      </c>
      <c r="B564">
        <v>8</v>
      </c>
      <c r="C564">
        <v>1</v>
      </c>
      <c r="D564">
        <v>12</v>
      </c>
      <c r="E564">
        <v>15</v>
      </c>
      <c r="F564">
        <v>5</v>
      </c>
      <c r="G564">
        <v>32</v>
      </c>
    </row>
    <row r="565" spans="1:7" x14ac:dyDescent="0.25">
      <c r="A565">
        <v>2068</v>
      </c>
      <c r="B565">
        <v>68</v>
      </c>
      <c r="C565">
        <v>1</v>
      </c>
      <c r="D565">
        <v>30</v>
      </c>
      <c r="E565">
        <v>22</v>
      </c>
      <c r="F565">
        <v>1</v>
      </c>
      <c r="G565">
        <v>53</v>
      </c>
    </row>
    <row r="566" spans="1:7" x14ac:dyDescent="0.25">
      <c r="A566">
        <v>1070</v>
      </c>
      <c r="B566">
        <v>70</v>
      </c>
      <c r="C566">
        <v>1</v>
      </c>
      <c r="D566">
        <v>16</v>
      </c>
      <c r="E566">
        <v>21</v>
      </c>
      <c r="F566">
        <v>3</v>
      </c>
      <c r="G566">
        <v>40</v>
      </c>
    </row>
    <row r="567" spans="1:7" x14ac:dyDescent="0.25">
      <c r="A567">
        <v>1070</v>
      </c>
      <c r="B567">
        <v>70</v>
      </c>
      <c r="C567">
        <v>2</v>
      </c>
      <c r="D567">
        <v>15</v>
      </c>
      <c r="E567">
        <v>0</v>
      </c>
      <c r="F567">
        <v>0</v>
      </c>
      <c r="G567">
        <v>15</v>
      </c>
    </row>
    <row r="568" spans="1:7" x14ac:dyDescent="0.25">
      <c r="A568">
        <v>1075</v>
      </c>
      <c r="B568">
        <v>75</v>
      </c>
      <c r="C568">
        <v>3</v>
      </c>
      <c r="D568">
        <v>0</v>
      </c>
      <c r="E568">
        <v>25</v>
      </c>
      <c r="F568">
        <v>0</v>
      </c>
      <c r="G568">
        <v>25</v>
      </c>
    </row>
    <row r="569" spans="1:7" x14ac:dyDescent="0.25">
      <c r="A569">
        <v>2075</v>
      </c>
      <c r="B569">
        <v>75</v>
      </c>
      <c r="C569">
        <v>3</v>
      </c>
      <c r="D569">
        <v>15</v>
      </c>
      <c r="E569">
        <v>6</v>
      </c>
      <c r="F569">
        <v>0</v>
      </c>
      <c r="G569">
        <v>21</v>
      </c>
    </row>
    <row r="570" spans="1:7" x14ac:dyDescent="0.25">
      <c r="A570">
        <v>5075</v>
      </c>
      <c r="B570">
        <v>75</v>
      </c>
      <c r="C570">
        <v>3</v>
      </c>
      <c r="D570">
        <v>15</v>
      </c>
      <c r="E570">
        <v>10</v>
      </c>
      <c r="F570">
        <v>0</v>
      </c>
      <c r="G570">
        <v>25</v>
      </c>
    </row>
    <row r="571" spans="1:7" x14ac:dyDescent="0.25">
      <c r="A571">
        <v>1076</v>
      </c>
      <c r="B571">
        <v>76</v>
      </c>
      <c r="C571">
        <v>3</v>
      </c>
      <c r="D571">
        <v>10</v>
      </c>
      <c r="E571">
        <v>10</v>
      </c>
      <c r="F571">
        <v>0</v>
      </c>
      <c r="G571">
        <v>20</v>
      </c>
    </row>
    <row r="572" spans="1:7" x14ac:dyDescent="0.25">
      <c r="A572">
        <v>1077</v>
      </c>
      <c r="B572">
        <v>77</v>
      </c>
      <c r="C572">
        <v>3</v>
      </c>
      <c r="D572">
        <v>17</v>
      </c>
      <c r="E572">
        <v>26</v>
      </c>
      <c r="F572">
        <v>0</v>
      </c>
      <c r="G572">
        <v>43</v>
      </c>
    </row>
    <row r="573" spans="1:7" x14ac:dyDescent="0.25">
      <c r="A573">
        <v>2076</v>
      </c>
      <c r="B573">
        <v>76</v>
      </c>
      <c r="C573">
        <v>3</v>
      </c>
      <c r="D573">
        <v>13</v>
      </c>
      <c r="E573">
        <v>7</v>
      </c>
      <c r="F573">
        <v>0</v>
      </c>
      <c r="G573">
        <v>20</v>
      </c>
    </row>
    <row r="574" spans="1:7" x14ac:dyDescent="0.25">
      <c r="A574">
        <v>2077</v>
      </c>
      <c r="B574">
        <v>77</v>
      </c>
      <c r="C574">
        <v>3</v>
      </c>
      <c r="D574">
        <v>11</v>
      </c>
      <c r="E574">
        <v>9</v>
      </c>
      <c r="F574">
        <v>0</v>
      </c>
      <c r="G574">
        <v>20</v>
      </c>
    </row>
    <row r="575" spans="1:7" x14ac:dyDescent="0.25">
      <c r="A575">
        <v>1078</v>
      </c>
      <c r="B575">
        <v>78</v>
      </c>
      <c r="C575">
        <v>3</v>
      </c>
      <c r="D575">
        <v>10</v>
      </c>
      <c r="E575">
        <v>10</v>
      </c>
      <c r="F575">
        <v>0</v>
      </c>
      <c r="G575">
        <v>20</v>
      </c>
    </row>
    <row r="576" spans="1:7" x14ac:dyDescent="0.25">
      <c r="A576">
        <v>1079</v>
      </c>
      <c r="B576">
        <v>79</v>
      </c>
      <c r="C576">
        <v>3</v>
      </c>
      <c r="D576">
        <v>18</v>
      </c>
      <c r="E576">
        <v>0</v>
      </c>
      <c r="F576">
        <v>2</v>
      </c>
      <c r="G576">
        <v>20</v>
      </c>
    </row>
    <row r="577" spans="1:7" x14ac:dyDescent="0.25">
      <c r="A577">
        <v>3079</v>
      </c>
      <c r="B577">
        <v>79</v>
      </c>
      <c r="C577">
        <v>3</v>
      </c>
      <c r="D577">
        <v>13</v>
      </c>
      <c r="E577">
        <v>9</v>
      </c>
      <c r="F577">
        <v>0</v>
      </c>
      <c r="G577">
        <v>22</v>
      </c>
    </row>
    <row r="578" spans="1:7" x14ac:dyDescent="0.25">
      <c r="A578">
        <v>1009</v>
      </c>
      <c r="B578">
        <v>9</v>
      </c>
      <c r="C578">
        <v>3</v>
      </c>
      <c r="D578">
        <v>24</v>
      </c>
      <c r="E578">
        <v>4</v>
      </c>
      <c r="F578">
        <v>0</v>
      </c>
      <c r="G578">
        <v>28</v>
      </c>
    </row>
    <row r="579" spans="1:7" x14ac:dyDescent="0.25">
      <c r="A579">
        <v>1105</v>
      </c>
      <c r="B579">
        <v>105</v>
      </c>
      <c r="C579">
        <v>1</v>
      </c>
      <c r="D579">
        <v>7</v>
      </c>
      <c r="E579">
        <v>18</v>
      </c>
      <c r="F579">
        <v>0</v>
      </c>
      <c r="G579">
        <v>25</v>
      </c>
    </row>
    <row r="580" spans="1:7" x14ac:dyDescent="0.25">
      <c r="A580">
        <v>1065</v>
      </c>
      <c r="B580">
        <v>65</v>
      </c>
      <c r="C580">
        <v>3</v>
      </c>
      <c r="D580">
        <v>19</v>
      </c>
      <c r="E580">
        <v>17</v>
      </c>
      <c r="F580">
        <v>0</v>
      </c>
      <c r="G580">
        <v>36</v>
      </c>
    </row>
    <row r="581" spans="1:7" x14ac:dyDescent="0.25">
      <c r="A581">
        <v>1092</v>
      </c>
      <c r="B581">
        <v>92</v>
      </c>
      <c r="C581">
        <v>2</v>
      </c>
      <c r="D581">
        <v>16</v>
      </c>
      <c r="E581">
        <v>20</v>
      </c>
      <c r="F581">
        <v>0</v>
      </c>
      <c r="G581">
        <v>36</v>
      </c>
    </row>
    <row r="582" spans="1:7" x14ac:dyDescent="0.25">
      <c r="A582">
        <v>1092</v>
      </c>
      <c r="B582">
        <v>92</v>
      </c>
      <c r="C582">
        <v>3</v>
      </c>
      <c r="D582">
        <v>15</v>
      </c>
      <c r="E582">
        <v>25</v>
      </c>
      <c r="F582">
        <v>0</v>
      </c>
      <c r="G582">
        <v>40</v>
      </c>
    </row>
    <row r="583" spans="1:7" x14ac:dyDescent="0.25">
      <c r="A583">
        <v>5075</v>
      </c>
      <c r="B583">
        <v>75</v>
      </c>
      <c r="C583">
        <v>2</v>
      </c>
      <c r="D583">
        <v>18</v>
      </c>
      <c r="E583">
        <v>8</v>
      </c>
      <c r="F583">
        <v>0</v>
      </c>
      <c r="G583">
        <v>26</v>
      </c>
    </row>
    <row r="584" spans="1:7" x14ac:dyDescent="0.25">
      <c r="A584">
        <v>1075</v>
      </c>
      <c r="B584">
        <v>75</v>
      </c>
      <c r="C584">
        <v>2</v>
      </c>
      <c r="D584">
        <v>1</v>
      </c>
      <c r="E584">
        <v>24</v>
      </c>
      <c r="F584">
        <v>0</v>
      </c>
      <c r="G584">
        <v>25</v>
      </c>
    </row>
    <row r="585" spans="1:7" x14ac:dyDescent="0.25">
      <c r="A585">
        <v>1040</v>
      </c>
      <c r="B585">
        <v>40</v>
      </c>
      <c r="C585">
        <v>2</v>
      </c>
      <c r="D585">
        <v>14</v>
      </c>
      <c r="E585">
        <v>15</v>
      </c>
      <c r="F585">
        <v>2</v>
      </c>
      <c r="G585">
        <v>31</v>
      </c>
    </row>
    <row r="586" spans="1:7" x14ac:dyDescent="0.25">
      <c r="A586">
        <v>1040</v>
      </c>
      <c r="B586">
        <v>40</v>
      </c>
      <c r="C586">
        <v>1</v>
      </c>
      <c r="D586">
        <v>8</v>
      </c>
      <c r="E586">
        <v>19</v>
      </c>
      <c r="F586">
        <v>0</v>
      </c>
      <c r="G586">
        <v>27</v>
      </c>
    </row>
    <row r="587" spans="1:7" x14ac:dyDescent="0.25">
      <c r="A587">
        <v>3075</v>
      </c>
      <c r="B587">
        <v>75</v>
      </c>
      <c r="C587">
        <v>2</v>
      </c>
      <c r="D587">
        <v>18</v>
      </c>
      <c r="E587">
        <v>22</v>
      </c>
      <c r="F587">
        <v>0</v>
      </c>
      <c r="G587">
        <v>40</v>
      </c>
    </row>
    <row r="588" spans="1:7" x14ac:dyDescent="0.25">
      <c r="A588">
        <v>2001</v>
      </c>
      <c r="B588">
        <v>1</v>
      </c>
      <c r="C588">
        <v>3</v>
      </c>
      <c r="D588">
        <v>21</v>
      </c>
      <c r="E588">
        <v>24</v>
      </c>
      <c r="F588">
        <v>0</v>
      </c>
      <c r="G588">
        <v>45</v>
      </c>
    </row>
    <row r="589" spans="1:7" x14ac:dyDescent="0.25">
      <c r="A589">
        <v>1104</v>
      </c>
      <c r="B589">
        <v>104</v>
      </c>
      <c r="C589">
        <v>2</v>
      </c>
      <c r="D589">
        <v>20</v>
      </c>
      <c r="E589">
        <v>10</v>
      </c>
      <c r="F589">
        <v>0</v>
      </c>
      <c r="G589">
        <v>30</v>
      </c>
    </row>
    <row r="590" spans="1:7" x14ac:dyDescent="0.25">
      <c r="A590">
        <v>1105</v>
      </c>
      <c r="B590">
        <v>105</v>
      </c>
      <c r="C590">
        <v>2</v>
      </c>
      <c r="D590">
        <v>13</v>
      </c>
      <c r="E590">
        <v>12</v>
      </c>
      <c r="F590">
        <v>0</v>
      </c>
      <c r="G590">
        <v>25</v>
      </c>
    </row>
    <row r="591" spans="1:7" x14ac:dyDescent="0.25">
      <c r="A591">
        <v>1077</v>
      </c>
      <c r="B591">
        <v>77</v>
      </c>
      <c r="C591">
        <v>2</v>
      </c>
      <c r="D591">
        <v>22</v>
      </c>
      <c r="E591">
        <v>23</v>
      </c>
      <c r="F591">
        <v>0</v>
      </c>
      <c r="G591">
        <v>45</v>
      </c>
    </row>
    <row r="592" spans="1:7" x14ac:dyDescent="0.25">
      <c r="A592">
        <v>1077</v>
      </c>
      <c r="B592">
        <v>77</v>
      </c>
      <c r="C592">
        <v>4</v>
      </c>
      <c r="D592">
        <v>20</v>
      </c>
      <c r="E592">
        <v>20</v>
      </c>
      <c r="F592">
        <v>0</v>
      </c>
      <c r="G592">
        <v>40</v>
      </c>
    </row>
    <row r="593" spans="1:7" x14ac:dyDescent="0.25">
      <c r="A593">
        <v>2135</v>
      </c>
      <c r="B593">
        <v>135</v>
      </c>
      <c r="C593">
        <v>1</v>
      </c>
      <c r="D593">
        <v>4</v>
      </c>
      <c r="E593">
        <v>7</v>
      </c>
      <c r="F593">
        <v>0</v>
      </c>
      <c r="G593">
        <v>11</v>
      </c>
    </row>
    <row r="594" spans="1:7" x14ac:dyDescent="0.25">
      <c r="A594">
        <v>1140</v>
      </c>
      <c r="B594">
        <v>140</v>
      </c>
      <c r="C594">
        <v>3</v>
      </c>
      <c r="D594">
        <v>9</v>
      </c>
      <c r="E594">
        <v>21</v>
      </c>
      <c r="F594">
        <v>0</v>
      </c>
      <c r="G594">
        <v>30</v>
      </c>
    </row>
    <row r="595" spans="1:7" x14ac:dyDescent="0.25">
      <c r="A595">
        <v>2137</v>
      </c>
      <c r="B595">
        <v>137</v>
      </c>
      <c r="C595">
        <v>2</v>
      </c>
      <c r="D595">
        <v>8</v>
      </c>
      <c r="E595">
        <v>4</v>
      </c>
      <c r="F595">
        <v>0</v>
      </c>
      <c r="G595">
        <v>12</v>
      </c>
    </row>
    <row r="596" spans="1:7" x14ac:dyDescent="0.25">
      <c r="A596">
        <v>2135</v>
      </c>
      <c r="B596">
        <v>135</v>
      </c>
      <c r="C596">
        <v>2</v>
      </c>
      <c r="D596">
        <v>22</v>
      </c>
      <c r="E596">
        <v>16</v>
      </c>
      <c r="F596">
        <v>0</v>
      </c>
      <c r="G596">
        <v>38</v>
      </c>
    </row>
    <row r="597" spans="1:7" x14ac:dyDescent="0.25">
      <c r="A597">
        <v>2155</v>
      </c>
      <c r="B597">
        <v>155</v>
      </c>
      <c r="C597">
        <v>2</v>
      </c>
      <c r="D597">
        <v>20</v>
      </c>
      <c r="E597">
        <v>14</v>
      </c>
      <c r="F597">
        <v>0</v>
      </c>
      <c r="G597">
        <v>34</v>
      </c>
    </row>
    <row r="598" spans="1:7" x14ac:dyDescent="0.25">
      <c r="A598">
        <v>1028</v>
      </c>
      <c r="B598">
        <v>28</v>
      </c>
      <c r="C598">
        <v>3</v>
      </c>
      <c r="D598">
        <v>20</v>
      </c>
      <c r="E598">
        <v>8</v>
      </c>
      <c r="F598">
        <v>0</v>
      </c>
      <c r="G598">
        <v>28</v>
      </c>
    </row>
    <row r="599" spans="1:7" x14ac:dyDescent="0.25">
      <c r="A599">
        <v>1039</v>
      </c>
      <c r="B599">
        <v>39</v>
      </c>
      <c r="C599">
        <v>3</v>
      </c>
      <c r="D599">
        <v>14</v>
      </c>
      <c r="E599">
        <v>21</v>
      </c>
      <c r="F599">
        <v>0</v>
      </c>
      <c r="G599">
        <v>35</v>
      </c>
    </row>
    <row r="600" spans="1:7" x14ac:dyDescent="0.25">
      <c r="A600">
        <v>2015</v>
      </c>
      <c r="B600">
        <v>15</v>
      </c>
      <c r="C600">
        <v>3</v>
      </c>
      <c r="D600">
        <v>2</v>
      </c>
      <c r="E600">
        <v>14</v>
      </c>
      <c r="F600">
        <v>0</v>
      </c>
      <c r="G600">
        <v>16</v>
      </c>
    </row>
    <row r="601" spans="1:7" x14ac:dyDescent="0.25">
      <c r="A601">
        <v>2014</v>
      </c>
      <c r="B601">
        <v>14</v>
      </c>
      <c r="C601">
        <v>1</v>
      </c>
      <c r="D601">
        <v>1</v>
      </c>
      <c r="E601">
        <v>3</v>
      </c>
      <c r="F601">
        <v>0</v>
      </c>
      <c r="G601">
        <v>4</v>
      </c>
    </row>
    <row r="602" spans="1:7" x14ac:dyDescent="0.25">
      <c r="A602">
        <v>1014</v>
      </c>
      <c r="B602">
        <v>14</v>
      </c>
      <c r="C602">
        <v>2</v>
      </c>
      <c r="D602">
        <v>9</v>
      </c>
      <c r="E602">
        <v>0</v>
      </c>
      <c r="F602">
        <v>0</v>
      </c>
      <c r="G602">
        <v>9</v>
      </c>
    </row>
    <row r="603" spans="1:7" x14ac:dyDescent="0.25">
      <c r="A603">
        <v>3012</v>
      </c>
      <c r="B603">
        <v>12</v>
      </c>
      <c r="C603">
        <v>2</v>
      </c>
      <c r="D603">
        <v>9</v>
      </c>
      <c r="E603">
        <v>4</v>
      </c>
      <c r="F603">
        <v>0</v>
      </c>
      <c r="G603">
        <v>13</v>
      </c>
    </row>
    <row r="604" spans="1:7" x14ac:dyDescent="0.25">
      <c r="A604">
        <v>1131</v>
      </c>
      <c r="B604">
        <v>131</v>
      </c>
      <c r="C604">
        <v>5</v>
      </c>
      <c r="D604">
        <v>26</v>
      </c>
      <c r="E604">
        <v>0</v>
      </c>
      <c r="F604">
        <v>0</v>
      </c>
      <c r="G604">
        <v>26</v>
      </c>
    </row>
    <row r="605" spans="1:7" x14ac:dyDescent="0.25">
      <c r="A605">
        <v>1131</v>
      </c>
      <c r="B605">
        <v>131</v>
      </c>
      <c r="C605">
        <v>6</v>
      </c>
      <c r="D605">
        <v>25</v>
      </c>
      <c r="E605">
        <v>0</v>
      </c>
      <c r="F605">
        <v>0</v>
      </c>
      <c r="G605">
        <v>25</v>
      </c>
    </row>
    <row r="606" spans="1:7" x14ac:dyDescent="0.25">
      <c r="A606">
        <v>2103</v>
      </c>
      <c r="B606">
        <v>103</v>
      </c>
      <c r="C606">
        <v>3</v>
      </c>
      <c r="D606">
        <v>16</v>
      </c>
      <c r="E606">
        <v>13</v>
      </c>
      <c r="F606">
        <v>0</v>
      </c>
      <c r="G606">
        <v>29</v>
      </c>
    </row>
    <row r="607" spans="1:7" x14ac:dyDescent="0.25">
      <c r="A607">
        <v>1104</v>
      </c>
      <c r="B607">
        <v>104</v>
      </c>
      <c r="C607">
        <v>4</v>
      </c>
      <c r="D607">
        <v>20</v>
      </c>
      <c r="E607">
        <v>8</v>
      </c>
      <c r="F607">
        <v>0</v>
      </c>
      <c r="G607">
        <v>28</v>
      </c>
    </row>
    <row r="608" spans="1:7" x14ac:dyDescent="0.25">
      <c r="A608">
        <v>1103</v>
      </c>
      <c r="B608">
        <v>103</v>
      </c>
      <c r="C608">
        <v>4</v>
      </c>
      <c r="D608">
        <v>9</v>
      </c>
      <c r="E608">
        <v>12</v>
      </c>
      <c r="F608">
        <v>0</v>
      </c>
      <c r="G608">
        <v>21</v>
      </c>
    </row>
    <row r="609" spans="1:7" x14ac:dyDescent="0.25">
      <c r="A609">
        <v>2033</v>
      </c>
      <c r="B609">
        <v>33</v>
      </c>
      <c r="C609">
        <v>1</v>
      </c>
      <c r="D609">
        <v>7</v>
      </c>
      <c r="E609">
        <v>13</v>
      </c>
      <c r="F609">
        <v>1</v>
      </c>
      <c r="G609">
        <v>21</v>
      </c>
    </row>
    <row r="610" spans="1:7" x14ac:dyDescent="0.25">
      <c r="A610">
        <v>1032</v>
      </c>
      <c r="B610">
        <v>32</v>
      </c>
      <c r="C610">
        <v>3</v>
      </c>
      <c r="D610">
        <v>20</v>
      </c>
      <c r="E610">
        <v>14</v>
      </c>
      <c r="F610">
        <v>0</v>
      </c>
      <c r="G610">
        <v>34</v>
      </c>
    </row>
    <row r="611" spans="1:7" x14ac:dyDescent="0.25">
      <c r="A611">
        <v>1026</v>
      </c>
      <c r="B611">
        <v>26</v>
      </c>
      <c r="C611">
        <v>4</v>
      </c>
      <c r="D611">
        <v>2</v>
      </c>
      <c r="E611">
        <v>20</v>
      </c>
      <c r="F611">
        <v>0</v>
      </c>
      <c r="G611">
        <v>22</v>
      </c>
    </row>
    <row r="612" spans="1:7" x14ac:dyDescent="0.25">
      <c r="A612">
        <v>1032</v>
      </c>
      <c r="B612">
        <v>32</v>
      </c>
      <c r="C612">
        <v>4</v>
      </c>
      <c r="D612">
        <v>19</v>
      </c>
      <c r="E612">
        <v>14</v>
      </c>
      <c r="F612">
        <v>2</v>
      </c>
      <c r="G612">
        <v>35</v>
      </c>
    </row>
    <row r="613" spans="1:7" x14ac:dyDescent="0.25">
      <c r="A613">
        <v>1109</v>
      </c>
      <c r="B613">
        <v>109</v>
      </c>
      <c r="C613">
        <v>4</v>
      </c>
      <c r="D613">
        <v>8</v>
      </c>
      <c r="E613">
        <v>1</v>
      </c>
      <c r="F613">
        <v>0</v>
      </c>
      <c r="G613">
        <v>9</v>
      </c>
    </row>
    <row r="614" spans="1:7" x14ac:dyDescent="0.25">
      <c r="A614">
        <v>5118</v>
      </c>
      <c r="B614">
        <v>118</v>
      </c>
      <c r="C614">
        <v>2</v>
      </c>
      <c r="D614">
        <v>16</v>
      </c>
      <c r="E614">
        <v>4</v>
      </c>
      <c r="F614">
        <v>0</v>
      </c>
      <c r="G614">
        <v>20</v>
      </c>
    </row>
    <row r="615" spans="1:7" x14ac:dyDescent="0.25">
      <c r="A615">
        <v>3125</v>
      </c>
      <c r="B615">
        <v>125</v>
      </c>
      <c r="C615">
        <v>2</v>
      </c>
      <c r="D615">
        <v>9</v>
      </c>
      <c r="E615">
        <v>16</v>
      </c>
      <c r="F615">
        <v>0</v>
      </c>
      <c r="G615">
        <v>25</v>
      </c>
    </row>
    <row r="616" spans="1:7" x14ac:dyDescent="0.25">
      <c r="A616">
        <v>4125</v>
      </c>
      <c r="B616">
        <v>125</v>
      </c>
      <c r="C616">
        <v>2</v>
      </c>
      <c r="D616">
        <v>0</v>
      </c>
      <c r="E616">
        <v>29</v>
      </c>
      <c r="F616">
        <v>1</v>
      </c>
      <c r="G616">
        <v>30</v>
      </c>
    </row>
    <row r="617" spans="1:7" x14ac:dyDescent="0.25">
      <c r="A617">
        <v>4125</v>
      </c>
      <c r="B617">
        <v>125</v>
      </c>
      <c r="C617">
        <v>4</v>
      </c>
      <c r="D617">
        <v>0</v>
      </c>
      <c r="E617">
        <v>29</v>
      </c>
      <c r="F617">
        <v>0</v>
      </c>
      <c r="G617">
        <v>29</v>
      </c>
    </row>
    <row r="618" spans="1:7" x14ac:dyDescent="0.25">
      <c r="A618">
        <v>1134</v>
      </c>
      <c r="B618">
        <v>134</v>
      </c>
      <c r="C618">
        <v>3</v>
      </c>
      <c r="D618">
        <v>7</v>
      </c>
      <c r="E618">
        <v>4</v>
      </c>
      <c r="F618">
        <v>0</v>
      </c>
      <c r="G618">
        <v>11</v>
      </c>
    </row>
    <row r="619" spans="1:7" x14ac:dyDescent="0.25">
      <c r="A619">
        <v>2137</v>
      </c>
      <c r="B619">
        <v>137</v>
      </c>
      <c r="C619">
        <v>3</v>
      </c>
      <c r="D619">
        <v>18</v>
      </c>
      <c r="E619">
        <v>4</v>
      </c>
      <c r="F619">
        <v>0</v>
      </c>
      <c r="G619">
        <v>22</v>
      </c>
    </row>
    <row r="620" spans="1:7" x14ac:dyDescent="0.25">
      <c r="A620">
        <v>2138</v>
      </c>
      <c r="B620">
        <v>138</v>
      </c>
      <c r="C620">
        <v>4</v>
      </c>
      <c r="D620">
        <v>14</v>
      </c>
      <c r="E620">
        <v>9</v>
      </c>
      <c r="F620">
        <v>0</v>
      </c>
      <c r="G620">
        <v>23</v>
      </c>
    </row>
    <row r="621" spans="1:7" x14ac:dyDescent="0.25">
      <c r="A621">
        <v>2133</v>
      </c>
      <c r="B621">
        <v>133</v>
      </c>
      <c r="C621">
        <v>3</v>
      </c>
      <c r="D621">
        <v>6</v>
      </c>
      <c r="E621">
        <v>3</v>
      </c>
      <c r="F621">
        <v>0</v>
      </c>
      <c r="G621">
        <v>9</v>
      </c>
    </row>
    <row r="622" spans="1:7" x14ac:dyDescent="0.25">
      <c r="A622">
        <v>2137</v>
      </c>
      <c r="B622">
        <v>137</v>
      </c>
      <c r="C622">
        <v>4</v>
      </c>
      <c r="D622">
        <v>11</v>
      </c>
      <c r="E622">
        <v>13</v>
      </c>
      <c r="F622">
        <v>0</v>
      </c>
      <c r="G622">
        <v>24</v>
      </c>
    </row>
    <row r="623" spans="1:7" x14ac:dyDescent="0.25">
      <c r="A623">
        <v>2134</v>
      </c>
      <c r="B623">
        <v>134</v>
      </c>
      <c r="C623">
        <v>2</v>
      </c>
      <c r="D623">
        <v>10</v>
      </c>
      <c r="E623">
        <v>1</v>
      </c>
      <c r="F623">
        <v>0</v>
      </c>
      <c r="G623">
        <v>11</v>
      </c>
    </row>
    <row r="624" spans="1:7" x14ac:dyDescent="0.25">
      <c r="A624">
        <v>1139</v>
      </c>
      <c r="B624">
        <v>139</v>
      </c>
      <c r="C624">
        <v>2</v>
      </c>
      <c r="D624">
        <v>14</v>
      </c>
      <c r="E624">
        <v>10</v>
      </c>
      <c r="F624">
        <v>0</v>
      </c>
      <c r="G624">
        <v>24</v>
      </c>
    </row>
    <row r="625" spans="1:7" x14ac:dyDescent="0.25">
      <c r="A625">
        <v>2138</v>
      </c>
      <c r="B625">
        <v>138</v>
      </c>
      <c r="C625">
        <v>3</v>
      </c>
      <c r="D625">
        <v>7</v>
      </c>
      <c r="E625">
        <v>3</v>
      </c>
      <c r="F625">
        <v>0</v>
      </c>
      <c r="G625">
        <v>10</v>
      </c>
    </row>
    <row r="626" spans="1:7" x14ac:dyDescent="0.25">
      <c r="A626">
        <v>1136</v>
      </c>
      <c r="B626">
        <v>136</v>
      </c>
      <c r="C626">
        <v>3</v>
      </c>
      <c r="D626">
        <v>10</v>
      </c>
      <c r="E626">
        <v>15</v>
      </c>
      <c r="F626">
        <v>0</v>
      </c>
      <c r="G626">
        <v>25</v>
      </c>
    </row>
    <row r="627" spans="1:7" x14ac:dyDescent="0.25">
      <c r="A627">
        <v>2053</v>
      </c>
      <c r="B627">
        <v>53</v>
      </c>
      <c r="C627">
        <v>5</v>
      </c>
      <c r="D627">
        <v>10</v>
      </c>
      <c r="E627">
        <v>12</v>
      </c>
      <c r="F627">
        <v>0</v>
      </c>
      <c r="G627">
        <v>22</v>
      </c>
    </row>
    <row r="628" spans="1:7" x14ac:dyDescent="0.25">
      <c r="A628">
        <v>1140</v>
      </c>
      <c r="B628">
        <v>140</v>
      </c>
      <c r="C628">
        <v>4</v>
      </c>
      <c r="D628">
        <v>17</v>
      </c>
      <c r="E628">
        <v>20</v>
      </c>
      <c r="F628">
        <v>0</v>
      </c>
      <c r="G628">
        <v>37</v>
      </c>
    </row>
    <row r="629" spans="1:7" x14ac:dyDescent="0.25">
      <c r="A629">
        <v>1139</v>
      </c>
      <c r="B629">
        <v>139</v>
      </c>
      <c r="C629">
        <v>3</v>
      </c>
      <c r="D629">
        <v>13</v>
      </c>
      <c r="E629">
        <v>21</v>
      </c>
      <c r="F629">
        <v>1</v>
      </c>
      <c r="G629">
        <v>35</v>
      </c>
    </row>
    <row r="630" spans="1:7" x14ac:dyDescent="0.25">
      <c r="A630">
        <v>2103</v>
      </c>
      <c r="B630">
        <v>103</v>
      </c>
      <c r="C630">
        <v>2</v>
      </c>
      <c r="D630">
        <v>7</v>
      </c>
      <c r="E630">
        <v>9</v>
      </c>
      <c r="F630">
        <v>0</v>
      </c>
      <c r="G630">
        <v>16</v>
      </c>
    </row>
    <row r="631" spans="1:7" x14ac:dyDescent="0.25">
      <c r="A631">
        <v>1121</v>
      </c>
      <c r="B631">
        <v>121</v>
      </c>
      <c r="C631">
        <v>5</v>
      </c>
      <c r="D631">
        <v>2</v>
      </c>
      <c r="E631">
        <v>14</v>
      </c>
      <c r="F631">
        <v>1</v>
      </c>
      <c r="G631">
        <v>17</v>
      </c>
    </row>
    <row r="632" spans="1:7" x14ac:dyDescent="0.25">
      <c r="A632">
        <v>2120</v>
      </c>
      <c r="B632">
        <v>120</v>
      </c>
      <c r="C632">
        <v>5</v>
      </c>
      <c r="D632">
        <v>8</v>
      </c>
      <c r="E632">
        <v>13</v>
      </c>
      <c r="F632">
        <v>0</v>
      </c>
      <c r="G632">
        <v>21</v>
      </c>
    </row>
    <row r="633" spans="1:7" x14ac:dyDescent="0.25">
      <c r="A633">
        <v>3033</v>
      </c>
      <c r="B633">
        <v>33</v>
      </c>
      <c r="C633">
        <v>3</v>
      </c>
      <c r="D633">
        <v>0</v>
      </c>
      <c r="E633">
        <v>1</v>
      </c>
      <c r="F633">
        <v>0</v>
      </c>
      <c r="G633">
        <v>1</v>
      </c>
    </row>
    <row r="634" spans="1:7" x14ac:dyDescent="0.25">
      <c r="A634">
        <v>1134</v>
      </c>
      <c r="B634">
        <v>134</v>
      </c>
      <c r="C634">
        <v>5</v>
      </c>
      <c r="D634">
        <v>3</v>
      </c>
      <c r="E634">
        <v>7</v>
      </c>
      <c r="F634">
        <v>0</v>
      </c>
      <c r="G634">
        <v>10</v>
      </c>
    </row>
    <row r="635" spans="1:7" x14ac:dyDescent="0.25">
      <c r="A635">
        <v>2074</v>
      </c>
      <c r="B635">
        <v>74</v>
      </c>
      <c r="C635">
        <v>4</v>
      </c>
      <c r="D635">
        <v>14</v>
      </c>
      <c r="E635">
        <v>6</v>
      </c>
      <c r="F635">
        <v>0</v>
      </c>
      <c r="G635">
        <v>20</v>
      </c>
    </row>
    <row r="636" spans="1:7" x14ac:dyDescent="0.25">
      <c r="A636">
        <v>4061</v>
      </c>
      <c r="B636">
        <v>61</v>
      </c>
      <c r="C636">
        <v>6</v>
      </c>
      <c r="D636">
        <v>8</v>
      </c>
      <c r="E636">
        <v>3</v>
      </c>
      <c r="F636">
        <v>0</v>
      </c>
      <c r="G636">
        <v>11</v>
      </c>
    </row>
    <row r="637" spans="1:7" x14ac:dyDescent="0.25">
      <c r="A637">
        <v>1072</v>
      </c>
      <c r="B637">
        <v>72</v>
      </c>
      <c r="C637">
        <v>4</v>
      </c>
      <c r="D637">
        <v>9</v>
      </c>
      <c r="E637">
        <v>16</v>
      </c>
      <c r="F637">
        <v>0</v>
      </c>
      <c r="G637">
        <v>25</v>
      </c>
    </row>
    <row r="638" spans="1:7" x14ac:dyDescent="0.25">
      <c r="A638">
        <v>4061</v>
      </c>
      <c r="B638">
        <v>61</v>
      </c>
      <c r="C638">
        <v>7</v>
      </c>
      <c r="D638">
        <v>9</v>
      </c>
      <c r="E638">
        <v>1</v>
      </c>
      <c r="F638">
        <v>3</v>
      </c>
      <c r="G638">
        <v>13</v>
      </c>
    </row>
    <row r="639" spans="1:7" x14ac:dyDescent="0.25">
      <c r="A639">
        <v>3061</v>
      </c>
      <c r="B639">
        <v>61</v>
      </c>
      <c r="C639">
        <v>7</v>
      </c>
      <c r="D639">
        <v>12</v>
      </c>
      <c r="E639">
        <v>7</v>
      </c>
      <c r="F639">
        <v>1</v>
      </c>
      <c r="G639">
        <v>20</v>
      </c>
    </row>
    <row r="640" spans="1:7" x14ac:dyDescent="0.25">
      <c r="A640">
        <v>1071</v>
      </c>
      <c r="B640">
        <v>71</v>
      </c>
      <c r="C640">
        <v>4</v>
      </c>
      <c r="D640">
        <v>22</v>
      </c>
      <c r="E640">
        <v>21</v>
      </c>
      <c r="F640">
        <v>0</v>
      </c>
      <c r="G640">
        <v>43</v>
      </c>
    </row>
    <row r="641" spans="1:7" x14ac:dyDescent="0.25">
      <c r="A641">
        <v>1074</v>
      </c>
      <c r="B641">
        <v>74</v>
      </c>
      <c r="C641">
        <v>5</v>
      </c>
      <c r="D641">
        <v>0</v>
      </c>
      <c r="E641">
        <v>10</v>
      </c>
      <c r="F641">
        <v>1</v>
      </c>
      <c r="G641">
        <v>11</v>
      </c>
    </row>
    <row r="642" spans="1:7" x14ac:dyDescent="0.25">
      <c r="A642">
        <v>2062</v>
      </c>
      <c r="B642">
        <v>62</v>
      </c>
      <c r="C642">
        <v>7</v>
      </c>
      <c r="D642">
        <v>14</v>
      </c>
      <c r="E642">
        <v>11</v>
      </c>
      <c r="F642">
        <v>0</v>
      </c>
      <c r="G642">
        <v>25</v>
      </c>
    </row>
    <row r="643" spans="1:7" x14ac:dyDescent="0.25">
      <c r="A643">
        <v>1063</v>
      </c>
      <c r="B643">
        <v>63</v>
      </c>
      <c r="C643">
        <v>7</v>
      </c>
      <c r="D643">
        <v>13</v>
      </c>
      <c r="E643">
        <v>10</v>
      </c>
      <c r="F643">
        <v>0</v>
      </c>
      <c r="G643">
        <v>23</v>
      </c>
    </row>
    <row r="644" spans="1:7" x14ac:dyDescent="0.25">
      <c r="A644">
        <v>2070</v>
      </c>
      <c r="B644">
        <v>70</v>
      </c>
      <c r="C644">
        <v>5</v>
      </c>
      <c r="D644">
        <v>2</v>
      </c>
      <c r="E644">
        <v>1</v>
      </c>
      <c r="F644">
        <v>0</v>
      </c>
      <c r="G644">
        <v>3</v>
      </c>
    </row>
    <row r="645" spans="1:7" x14ac:dyDescent="0.25">
      <c r="A645">
        <v>1063</v>
      </c>
      <c r="B645">
        <v>63</v>
      </c>
      <c r="C645">
        <v>8</v>
      </c>
      <c r="D645">
        <v>15</v>
      </c>
      <c r="E645">
        <v>7</v>
      </c>
      <c r="F645">
        <v>0</v>
      </c>
      <c r="G645">
        <v>22</v>
      </c>
    </row>
    <row r="646" spans="1:7" x14ac:dyDescent="0.25">
      <c r="A646">
        <v>2074</v>
      </c>
      <c r="B646">
        <v>74</v>
      </c>
      <c r="C646">
        <v>5</v>
      </c>
      <c r="D646">
        <v>15</v>
      </c>
      <c r="E646">
        <v>4</v>
      </c>
      <c r="F646">
        <v>0</v>
      </c>
      <c r="G646">
        <v>19</v>
      </c>
    </row>
    <row r="647" spans="1:7" x14ac:dyDescent="0.25">
      <c r="A647">
        <v>2108</v>
      </c>
      <c r="B647">
        <v>108</v>
      </c>
      <c r="C647">
        <v>5</v>
      </c>
      <c r="D647">
        <v>4</v>
      </c>
      <c r="E647">
        <v>1</v>
      </c>
      <c r="F647">
        <v>0</v>
      </c>
      <c r="G647">
        <v>5</v>
      </c>
    </row>
    <row r="648" spans="1:7" x14ac:dyDescent="0.25">
      <c r="A648">
        <v>2073</v>
      </c>
      <c r="B648">
        <v>73</v>
      </c>
      <c r="C648">
        <v>5</v>
      </c>
      <c r="D648">
        <v>6</v>
      </c>
      <c r="E648">
        <v>14</v>
      </c>
      <c r="F648">
        <v>0</v>
      </c>
      <c r="G648">
        <v>20</v>
      </c>
    </row>
    <row r="649" spans="1:7" x14ac:dyDescent="0.25">
      <c r="A649">
        <v>2072</v>
      </c>
      <c r="B649">
        <v>72</v>
      </c>
      <c r="C649">
        <v>5</v>
      </c>
      <c r="D649">
        <v>12</v>
      </c>
      <c r="E649">
        <v>2</v>
      </c>
      <c r="F649">
        <v>0</v>
      </c>
      <c r="G649">
        <v>14</v>
      </c>
    </row>
    <row r="650" spans="1:7" x14ac:dyDescent="0.25">
      <c r="A650">
        <v>1072</v>
      </c>
      <c r="B650">
        <v>72</v>
      </c>
      <c r="C650">
        <v>5</v>
      </c>
      <c r="D650">
        <v>15</v>
      </c>
      <c r="E650">
        <v>10</v>
      </c>
      <c r="F650">
        <v>0</v>
      </c>
      <c r="G650">
        <v>25</v>
      </c>
    </row>
    <row r="651" spans="1:7" x14ac:dyDescent="0.25">
      <c r="A651">
        <v>1109</v>
      </c>
      <c r="B651">
        <v>109</v>
      </c>
      <c r="C651">
        <v>6</v>
      </c>
      <c r="D651">
        <v>15</v>
      </c>
      <c r="E651">
        <v>9</v>
      </c>
      <c r="F651">
        <v>0</v>
      </c>
      <c r="G651">
        <v>24</v>
      </c>
    </row>
    <row r="652" spans="1:7" x14ac:dyDescent="0.25">
      <c r="A652">
        <v>1070</v>
      </c>
      <c r="B652">
        <v>70</v>
      </c>
      <c r="C652">
        <v>5</v>
      </c>
      <c r="D652">
        <v>26</v>
      </c>
      <c r="E652">
        <v>6</v>
      </c>
      <c r="F652">
        <v>0</v>
      </c>
      <c r="G652">
        <v>32</v>
      </c>
    </row>
    <row r="653" spans="1:7" x14ac:dyDescent="0.25">
      <c r="A653">
        <v>1109</v>
      </c>
      <c r="B653">
        <v>109</v>
      </c>
      <c r="C653">
        <v>5</v>
      </c>
      <c r="D653">
        <v>12</v>
      </c>
      <c r="E653">
        <v>0</v>
      </c>
      <c r="F653">
        <v>0</v>
      </c>
      <c r="G653">
        <v>12</v>
      </c>
    </row>
    <row r="654" spans="1:7" x14ac:dyDescent="0.25">
      <c r="A654">
        <v>2012</v>
      </c>
      <c r="B654">
        <v>12</v>
      </c>
      <c r="C654">
        <v>4</v>
      </c>
      <c r="D654">
        <v>15</v>
      </c>
      <c r="E654">
        <v>10</v>
      </c>
      <c r="F654">
        <v>0</v>
      </c>
      <c r="G654">
        <v>25</v>
      </c>
    </row>
    <row r="655" spans="1:7" x14ac:dyDescent="0.25">
      <c r="A655">
        <v>4102</v>
      </c>
      <c r="B655">
        <v>102</v>
      </c>
      <c r="C655">
        <v>7</v>
      </c>
      <c r="D655">
        <v>1</v>
      </c>
      <c r="E655">
        <v>9</v>
      </c>
      <c r="F655">
        <v>0</v>
      </c>
      <c r="G655">
        <v>10</v>
      </c>
    </row>
    <row r="656" spans="1:7" x14ac:dyDescent="0.25">
      <c r="A656">
        <v>2121</v>
      </c>
      <c r="B656">
        <v>121</v>
      </c>
      <c r="C656">
        <v>5</v>
      </c>
      <c r="D656">
        <v>2</v>
      </c>
      <c r="E656">
        <v>12</v>
      </c>
      <c r="F656">
        <v>1</v>
      </c>
      <c r="G656">
        <v>15</v>
      </c>
    </row>
    <row r="657" spans="1:7" x14ac:dyDescent="0.25">
      <c r="A657">
        <v>2069</v>
      </c>
      <c r="B657">
        <v>69</v>
      </c>
      <c r="C657">
        <v>4</v>
      </c>
      <c r="D657">
        <v>2</v>
      </c>
      <c r="E657">
        <v>1</v>
      </c>
      <c r="F657">
        <v>0</v>
      </c>
      <c r="G657">
        <v>3</v>
      </c>
    </row>
    <row r="658" spans="1:7" x14ac:dyDescent="0.25">
      <c r="A658">
        <v>5102</v>
      </c>
      <c r="B658">
        <v>102</v>
      </c>
      <c r="C658">
        <v>7</v>
      </c>
      <c r="D658">
        <v>9</v>
      </c>
      <c r="E658">
        <v>6</v>
      </c>
      <c r="F658">
        <v>0</v>
      </c>
      <c r="G658">
        <v>15</v>
      </c>
    </row>
    <row r="659" spans="1:7" x14ac:dyDescent="0.25">
      <c r="A659">
        <v>1133</v>
      </c>
      <c r="B659">
        <v>133</v>
      </c>
      <c r="C659">
        <v>6</v>
      </c>
      <c r="D659">
        <v>6</v>
      </c>
      <c r="E659">
        <v>9</v>
      </c>
      <c r="F659">
        <v>0</v>
      </c>
      <c r="G659">
        <v>15</v>
      </c>
    </row>
    <row r="660" spans="1:7" x14ac:dyDescent="0.25">
      <c r="A660">
        <v>2069</v>
      </c>
      <c r="B660">
        <v>69</v>
      </c>
      <c r="C660">
        <v>5</v>
      </c>
      <c r="D660">
        <v>16</v>
      </c>
      <c r="E660">
        <v>24</v>
      </c>
      <c r="F660">
        <v>0</v>
      </c>
      <c r="G660">
        <v>40</v>
      </c>
    </row>
    <row r="661" spans="1:7" x14ac:dyDescent="0.25">
      <c r="A661">
        <v>1103</v>
      </c>
      <c r="B661">
        <v>103</v>
      </c>
      <c r="C661">
        <v>6</v>
      </c>
      <c r="D661">
        <v>8</v>
      </c>
      <c r="E661">
        <v>12</v>
      </c>
      <c r="F661">
        <v>0</v>
      </c>
      <c r="G661">
        <v>20</v>
      </c>
    </row>
    <row r="662" spans="1:7" x14ac:dyDescent="0.25">
      <c r="A662">
        <v>2068</v>
      </c>
      <c r="B662">
        <v>68</v>
      </c>
      <c r="C662">
        <v>5</v>
      </c>
      <c r="D662">
        <v>25</v>
      </c>
      <c r="E662">
        <v>15</v>
      </c>
      <c r="F662">
        <v>0</v>
      </c>
      <c r="G662">
        <v>40</v>
      </c>
    </row>
    <row r="663" spans="1:7" x14ac:dyDescent="0.25">
      <c r="A663">
        <v>1103</v>
      </c>
      <c r="B663">
        <v>103</v>
      </c>
      <c r="C663">
        <v>5</v>
      </c>
      <c r="D663">
        <v>15</v>
      </c>
      <c r="E663">
        <v>5</v>
      </c>
      <c r="F663">
        <v>0</v>
      </c>
      <c r="G663">
        <v>20</v>
      </c>
    </row>
    <row r="664" spans="1:7" x14ac:dyDescent="0.25">
      <c r="A664">
        <v>1132</v>
      </c>
      <c r="B664">
        <v>132</v>
      </c>
      <c r="C664">
        <v>6</v>
      </c>
      <c r="D664">
        <v>5</v>
      </c>
      <c r="E664">
        <v>12</v>
      </c>
      <c r="F664">
        <v>0</v>
      </c>
      <c r="G664">
        <v>17</v>
      </c>
    </row>
    <row r="665" spans="1:7" x14ac:dyDescent="0.25">
      <c r="A665">
        <v>1103</v>
      </c>
      <c r="B665">
        <v>103</v>
      </c>
      <c r="C665">
        <v>7</v>
      </c>
      <c r="D665">
        <v>15</v>
      </c>
      <c r="E665">
        <v>5</v>
      </c>
      <c r="F665">
        <v>0</v>
      </c>
      <c r="G665">
        <v>20</v>
      </c>
    </row>
    <row r="666" spans="1:7" x14ac:dyDescent="0.25">
      <c r="A666">
        <v>1130</v>
      </c>
      <c r="B666">
        <v>130</v>
      </c>
      <c r="C666">
        <v>6</v>
      </c>
      <c r="D666">
        <v>8</v>
      </c>
      <c r="E666">
        <v>5</v>
      </c>
      <c r="F666">
        <v>0</v>
      </c>
      <c r="G666">
        <v>13</v>
      </c>
    </row>
    <row r="667" spans="1:7" x14ac:dyDescent="0.25">
      <c r="A667">
        <v>3067</v>
      </c>
      <c r="B667">
        <v>67</v>
      </c>
      <c r="C667">
        <v>5</v>
      </c>
      <c r="D667">
        <v>10</v>
      </c>
      <c r="E667">
        <v>13</v>
      </c>
      <c r="F667">
        <v>0</v>
      </c>
      <c r="G667">
        <v>23</v>
      </c>
    </row>
    <row r="668" spans="1:7" x14ac:dyDescent="0.25">
      <c r="A668">
        <v>2055</v>
      </c>
      <c r="B668">
        <v>55</v>
      </c>
      <c r="C668">
        <v>7</v>
      </c>
      <c r="D668">
        <v>9</v>
      </c>
      <c r="E668">
        <v>5</v>
      </c>
      <c r="F668">
        <v>0</v>
      </c>
      <c r="G668">
        <v>14</v>
      </c>
    </row>
    <row r="669" spans="1:7" x14ac:dyDescent="0.25">
      <c r="A669">
        <v>2131</v>
      </c>
      <c r="B669">
        <v>131</v>
      </c>
      <c r="C669">
        <v>6</v>
      </c>
      <c r="D669">
        <v>15</v>
      </c>
      <c r="E669">
        <v>6</v>
      </c>
      <c r="F669">
        <v>0</v>
      </c>
      <c r="G669">
        <v>21</v>
      </c>
    </row>
    <row r="670" spans="1:7" x14ac:dyDescent="0.25">
      <c r="A670">
        <v>1061</v>
      </c>
      <c r="B670">
        <v>61</v>
      </c>
      <c r="C670">
        <v>7</v>
      </c>
      <c r="D670">
        <v>15</v>
      </c>
      <c r="E670">
        <v>12</v>
      </c>
      <c r="F670">
        <v>0</v>
      </c>
      <c r="G670">
        <v>27</v>
      </c>
    </row>
    <row r="671" spans="1:7" x14ac:dyDescent="0.25">
      <c r="A671">
        <v>1156</v>
      </c>
      <c r="B671">
        <v>156</v>
      </c>
      <c r="C671">
        <v>6</v>
      </c>
      <c r="D671">
        <v>6</v>
      </c>
      <c r="E671">
        <v>6</v>
      </c>
      <c r="F671">
        <v>0</v>
      </c>
      <c r="G671">
        <v>12</v>
      </c>
    </row>
    <row r="672" spans="1:7" x14ac:dyDescent="0.25">
      <c r="A672">
        <v>1157</v>
      </c>
      <c r="B672">
        <v>157</v>
      </c>
      <c r="C672">
        <v>6</v>
      </c>
      <c r="D672">
        <v>9</v>
      </c>
      <c r="E672">
        <v>9</v>
      </c>
      <c r="F672">
        <v>0</v>
      </c>
      <c r="G672">
        <v>18</v>
      </c>
    </row>
    <row r="673" spans="1:7" x14ac:dyDescent="0.25">
      <c r="A673">
        <v>2061</v>
      </c>
      <c r="B673">
        <v>61</v>
      </c>
      <c r="C673">
        <v>7</v>
      </c>
      <c r="D673">
        <v>0</v>
      </c>
      <c r="E673">
        <v>10</v>
      </c>
      <c r="F673">
        <v>0</v>
      </c>
      <c r="G673">
        <v>10</v>
      </c>
    </row>
    <row r="674" spans="1:7" x14ac:dyDescent="0.25">
      <c r="A674">
        <v>1008</v>
      </c>
      <c r="B674">
        <v>8</v>
      </c>
      <c r="C674">
        <v>4</v>
      </c>
      <c r="D674">
        <v>10</v>
      </c>
      <c r="E674">
        <v>7</v>
      </c>
      <c r="F674">
        <v>3</v>
      </c>
      <c r="G674">
        <v>20</v>
      </c>
    </row>
    <row r="675" spans="1:7" x14ac:dyDescent="0.25">
      <c r="A675">
        <v>2008</v>
      </c>
      <c r="B675">
        <v>8</v>
      </c>
      <c r="C675">
        <v>4</v>
      </c>
      <c r="D675">
        <v>6</v>
      </c>
      <c r="E675">
        <v>4</v>
      </c>
      <c r="F675">
        <v>0</v>
      </c>
      <c r="G675">
        <v>10</v>
      </c>
    </row>
    <row r="676" spans="1:7" x14ac:dyDescent="0.25">
      <c r="A676">
        <v>1057</v>
      </c>
      <c r="B676">
        <v>57</v>
      </c>
      <c r="C676">
        <v>7</v>
      </c>
      <c r="D676">
        <v>9</v>
      </c>
      <c r="E676">
        <v>16</v>
      </c>
      <c r="F676">
        <v>0</v>
      </c>
      <c r="G676">
        <v>25</v>
      </c>
    </row>
    <row r="677" spans="1:7" x14ac:dyDescent="0.25">
      <c r="A677">
        <v>3008</v>
      </c>
      <c r="B677">
        <v>8</v>
      </c>
      <c r="C677">
        <v>4</v>
      </c>
      <c r="D677">
        <v>3</v>
      </c>
      <c r="E677">
        <v>9</v>
      </c>
      <c r="F677">
        <v>0</v>
      </c>
      <c r="G677">
        <v>12</v>
      </c>
    </row>
    <row r="678" spans="1:7" x14ac:dyDescent="0.25">
      <c r="A678">
        <v>2066</v>
      </c>
      <c r="B678">
        <v>66</v>
      </c>
      <c r="C678">
        <v>4</v>
      </c>
      <c r="D678">
        <v>16</v>
      </c>
      <c r="E678">
        <v>3</v>
      </c>
      <c r="F678">
        <v>1</v>
      </c>
      <c r="G678">
        <v>20</v>
      </c>
    </row>
    <row r="679" spans="1:7" x14ac:dyDescent="0.25">
      <c r="A679">
        <v>2056</v>
      </c>
      <c r="B679">
        <v>56</v>
      </c>
      <c r="C679">
        <v>7</v>
      </c>
      <c r="D679">
        <v>16</v>
      </c>
      <c r="E679">
        <v>4</v>
      </c>
      <c r="F679">
        <v>0</v>
      </c>
      <c r="G679">
        <v>20</v>
      </c>
    </row>
    <row r="680" spans="1:7" x14ac:dyDescent="0.25">
      <c r="A680">
        <v>1011</v>
      </c>
      <c r="B680">
        <v>11</v>
      </c>
      <c r="C680">
        <v>4</v>
      </c>
      <c r="D680">
        <v>2</v>
      </c>
      <c r="E680">
        <v>8</v>
      </c>
      <c r="F680">
        <v>0</v>
      </c>
      <c r="G680">
        <v>10</v>
      </c>
    </row>
    <row r="681" spans="1:7" x14ac:dyDescent="0.25">
      <c r="A681">
        <v>2155</v>
      </c>
      <c r="B681">
        <v>155</v>
      </c>
      <c r="C681">
        <v>6</v>
      </c>
      <c r="D681">
        <v>15</v>
      </c>
      <c r="E681">
        <v>3</v>
      </c>
      <c r="F681">
        <v>0</v>
      </c>
      <c r="G681">
        <v>18</v>
      </c>
    </row>
    <row r="682" spans="1:7" x14ac:dyDescent="0.25">
      <c r="A682">
        <v>1056</v>
      </c>
      <c r="B682">
        <v>56</v>
      </c>
      <c r="C682">
        <v>7</v>
      </c>
      <c r="D682">
        <v>9</v>
      </c>
      <c r="E682">
        <v>4</v>
      </c>
      <c r="F682">
        <v>0</v>
      </c>
      <c r="G682">
        <v>13</v>
      </c>
    </row>
    <row r="683" spans="1:7" x14ac:dyDescent="0.25">
      <c r="A683">
        <v>1155</v>
      </c>
      <c r="B683">
        <v>155</v>
      </c>
      <c r="C683">
        <v>6</v>
      </c>
      <c r="D683">
        <v>9</v>
      </c>
      <c r="E683">
        <v>10</v>
      </c>
      <c r="F683">
        <v>0</v>
      </c>
      <c r="G683">
        <v>19</v>
      </c>
    </row>
    <row r="684" spans="1:7" x14ac:dyDescent="0.25">
      <c r="A684">
        <v>1056</v>
      </c>
      <c r="B684">
        <v>56</v>
      </c>
      <c r="C684">
        <v>8</v>
      </c>
      <c r="D684">
        <v>12</v>
      </c>
      <c r="E684">
        <v>2</v>
      </c>
      <c r="F684">
        <v>0</v>
      </c>
      <c r="G684">
        <v>14</v>
      </c>
    </row>
    <row r="685" spans="1:7" x14ac:dyDescent="0.25">
      <c r="A685">
        <v>2130</v>
      </c>
      <c r="B685">
        <v>130</v>
      </c>
      <c r="C685">
        <v>6</v>
      </c>
      <c r="D685">
        <v>18</v>
      </c>
      <c r="E685">
        <v>2</v>
      </c>
      <c r="F685">
        <v>0</v>
      </c>
      <c r="G685">
        <v>20</v>
      </c>
    </row>
    <row r="686" spans="1:7" x14ac:dyDescent="0.25">
      <c r="A686">
        <v>1129</v>
      </c>
      <c r="B686">
        <v>129</v>
      </c>
      <c r="C686">
        <v>6</v>
      </c>
      <c r="D686">
        <v>14</v>
      </c>
      <c r="E686">
        <v>5</v>
      </c>
      <c r="F686">
        <v>1</v>
      </c>
      <c r="G686">
        <v>20</v>
      </c>
    </row>
    <row r="687" spans="1:7" x14ac:dyDescent="0.25">
      <c r="A687">
        <v>3064</v>
      </c>
      <c r="B687">
        <v>64</v>
      </c>
      <c r="C687">
        <v>4</v>
      </c>
      <c r="D687">
        <v>20</v>
      </c>
      <c r="E687">
        <v>0</v>
      </c>
      <c r="F687">
        <v>0</v>
      </c>
      <c r="G687">
        <v>20</v>
      </c>
    </row>
    <row r="688" spans="1:7" x14ac:dyDescent="0.25">
      <c r="A688">
        <v>2148</v>
      </c>
      <c r="B688">
        <v>148</v>
      </c>
      <c r="C688">
        <v>6</v>
      </c>
      <c r="D688">
        <v>17</v>
      </c>
      <c r="E688">
        <v>5</v>
      </c>
      <c r="F688">
        <v>0</v>
      </c>
      <c r="G688">
        <v>22</v>
      </c>
    </row>
    <row r="689" spans="1:7" x14ac:dyDescent="0.25">
      <c r="A689">
        <v>5145</v>
      </c>
      <c r="B689">
        <v>145</v>
      </c>
      <c r="C689">
        <v>7</v>
      </c>
      <c r="D689">
        <v>14</v>
      </c>
      <c r="E689">
        <v>5</v>
      </c>
      <c r="F689">
        <v>0</v>
      </c>
      <c r="G689">
        <v>19</v>
      </c>
    </row>
    <row r="690" spans="1:7" x14ac:dyDescent="0.25">
      <c r="A690">
        <v>2082</v>
      </c>
      <c r="B690">
        <v>82</v>
      </c>
      <c r="C690">
        <v>7</v>
      </c>
      <c r="D690">
        <v>7</v>
      </c>
      <c r="E690">
        <v>1</v>
      </c>
      <c r="F690">
        <v>0</v>
      </c>
      <c r="G690">
        <v>8</v>
      </c>
    </row>
    <row r="691" spans="1:7" x14ac:dyDescent="0.25">
      <c r="A691">
        <v>1065</v>
      </c>
      <c r="B691">
        <v>65</v>
      </c>
      <c r="C691">
        <v>4</v>
      </c>
      <c r="D691">
        <v>29</v>
      </c>
      <c r="E691">
        <v>23</v>
      </c>
      <c r="F691">
        <v>0</v>
      </c>
      <c r="G691">
        <v>52</v>
      </c>
    </row>
    <row r="692" spans="1:7" x14ac:dyDescent="0.25">
      <c r="A692">
        <v>1146</v>
      </c>
      <c r="B692">
        <v>146</v>
      </c>
      <c r="C692">
        <v>7</v>
      </c>
      <c r="D692">
        <v>12</v>
      </c>
      <c r="E692">
        <v>13</v>
      </c>
      <c r="F692">
        <v>0</v>
      </c>
      <c r="G692">
        <v>25</v>
      </c>
    </row>
    <row r="693" spans="1:7" x14ac:dyDescent="0.25">
      <c r="A693">
        <v>2081</v>
      </c>
      <c r="B693">
        <v>81</v>
      </c>
      <c r="C693">
        <v>7</v>
      </c>
      <c r="D693">
        <v>13</v>
      </c>
      <c r="E693">
        <v>4</v>
      </c>
      <c r="F693">
        <v>0</v>
      </c>
      <c r="G693">
        <v>17</v>
      </c>
    </row>
    <row r="694" spans="1:7" x14ac:dyDescent="0.25">
      <c r="A694">
        <v>1067</v>
      </c>
      <c r="B694">
        <v>67</v>
      </c>
      <c r="C694">
        <v>4</v>
      </c>
      <c r="D694">
        <v>21</v>
      </c>
      <c r="E694">
        <v>1</v>
      </c>
      <c r="F694">
        <v>0</v>
      </c>
      <c r="G694">
        <v>22</v>
      </c>
    </row>
    <row r="695" spans="1:7" x14ac:dyDescent="0.25">
      <c r="A695">
        <v>1081</v>
      </c>
      <c r="B695">
        <v>81</v>
      </c>
      <c r="C695">
        <v>7</v>
      </c>
      <c r="D695">
        <v>8</v>
      </c>
      <c r="E695">
        <v>13</v>
      </c>
      <c r="F695">
        <v>0</v>
      </c>
      <c r="G695">
        <v>21</v>
      </c>
    </row>
    <row r="696" spans="1:7" x14ac:dyDescent="0.25">
      <c r="A696">
        <v>1147</v>
      </c>
      <c r="B696">
        <v>147</v>
      </c>
      <c r="C696">
        <v>7</v>
      </c>
      <c r="D696">
        <v>4</v>
      </c>
      <c r="E696">
        <v>13</v>
      </c>
      <c r="F696">
        <v>0</v>
      </c>
      <c r="G696">
        <v>17</v>
      </c>
    </row>
    <row r="697" spans="1:7" x14ac:dyDescent="0.25">
      <c r="A697">
        <v>1064</v>
      </c>
      <c r="B697">
        <v>64</v>
      </c>
      <c r="C697">
        <v>4</v>
      </c>
      <c r="D697">
        <v>11</v>
      </c>
      <c r="E697">
        <v>8</v>
      </c>
      <c r="F697">
        <v>1</v>
      </c>
      <c r="G697">
        <v>20</v>
      </c>
    </row>
    <row r="698" spans="1:7" x14ac:dyDescent="0.25">
      <c r="A698">
        <v>5061</v>
      </c>
      <c r="B698">
        <v>61</v>
      </c>
      <c r="C698">
        <v>4</v>
      </c>
      <c r="D698">
        <v>6</v>
      </c>
      <c r="E698">
        <v>14</v>
      </c>
      <c r="F698">
        <v>0</v>
      </c>
      <c r="G698">
        <v>20</v>
      </c>
    </row>
    <row r="699" spans="1:7" x14ac:dyDescent="0.25">
      <c r="A699">
        <v>2080</v>
      </c>
      <c r="B699">
        <v>80</v>
      </c>
      <c r="C699">
        <v>8</v>
      </c>
      <c r="D699">
        <v>13</v>
      </c>
      <c r="E699">
        <v>2</v>
      </c>
      <c r="F699">
        <v>0</v>
      </c>
      <c r="G699">
        <v>15</v>
      </c>
    </row>
    <row r="700" spans="1:7" x14ac:dyDescent="0.25">
      <c r="A700">
        <v>2063</v>
      </c>
      <c r="B700">
        <v>63</v>
      </c>
      <c r="C700">
        <v>4</v>
      </c>
      <c r="D700">
        <v>8</v>
      </c>
      <c r="E700">
        <v>15</v>
      </c>
      <c r="F700">
        <v>0</v>
      </c>
      <c r="G700">
        <v>23</v>
      </c>
    </row>
    <row r="701" spans="1:7" x14ac:dyDescent="0.25">
      <c r="A701">
        <v>2080</v>
      </c>
      <c r="B701">
        <v>80</v>
      </c>
      <c r="C701">
        <v>7</v>
      </c>
      <c r="D701">
        <v>14</v>
      </c>
      <c r="E701">
        <v>4</v>
      </c>
      <c r="F701">
        <v>0</v>
      </c>
      <c r="G701">
        <v>18</v>
      </c>
    </row>
    <row r="702" spans="1:7" x14ac:dyDescent="0.25">
      <c r="A702">
        <v>1008</v>
      </c>
      <c r="B702">
        <v>8</v>
      </c>
      <c r="C702">
        <v>5</v>
      </c>
      <c r="D702">
        <v>6</v>
      </c>
      <c r="E702">
        <v>8</v>
      </c>
      <c r="F702">
        <v>0</v>
      </c>
      <c r="G702">
        <v>14</v>
      </c>
    </row>
    <row r="703" spans="1:7" x14ac:dyDescent="0.25">
      <c r="A703">
        <v>2147</v>
      </c>
      <c r="B703">
        <v>147</v>
      </c>
      <c r="C703">
        <v>7</v>
      </c>
      <c r="D703">
        <v>2</v>
      </c>
      <c r="E703">
        <v>2</v>
      </c>
      <c r="F703">
        <v>0</v>
      </c>
      <c r="G703">
        <v>4</v>
      </c>
    </row>
    <row r="704" spans="1:7" x14ac:dyDescent="0.25">
      <c r="A704">
        <v>1040</v>
      </c>
      <c r="B704">
        <v>40</v>
      </c>
      <c r="C704">
        <v>7</v>
      </c>
      <c r="D704">
        <v>3</v>
      </c>
      <c r="E704">
        <v>4</v>
      </c>
      <c r="F704">
        <v>0</v>
      </c>
      <c r="G704">
        <v>7</v>
      </c>
    </row>
    <row r="705" spans="1:7" x14ac:dyDescent="0.25">
      <c r="A705">
        <v>2040</v>
      </c>
      <c r="B705">
        <v>40</v>
      </c>
      <c r="C705">
        <v>7</v>
      </c>
      <c r="D705">
        <v>20</v>
      </c>
      <c r="E705">
        <v>4</v>
      </c>
      <c r="F705">
        <v>0</v>
      </c>
      <c r="G705">
        <v>24</v>
      </c>
    </row>
    <row r="706" spans="1:7" x14ac:dyDescent="0.25">
      <c r="A706">
        <v>2028</v>
      </c>
      <c r="B706">
        <v>28</v>
      </c>
      <c r="C706">
        <v>6</v>
      </c>
      <c r="D706">
        <v>11</v>
      </c>
      <c r="E706">
        <v>1</v>
      </c>
      <c r="F706">
        <v>0</v>
      </c>
      <c r="G706">
        <v>12</v>
      </c>
    </row>
    <row r="707" spans="1:7" x14ac:dyDescent="0.25">
      <c r="A707">
        <v>2040</v>
      </c>
      <c r="B707">
        <v>40</v>
      </c>
      <c r="C707">
        <v>6</v>
      </c>
      <c r="D707">
        <v>11</v>
      </c>
      <c r="E707">
        <v>7</v>
      </c>
      <c r="F707">
        <v>0</v>
      </c>
      <c r="G707">
        <v>18</v>
      </c>
    </row>
    <row r="708" spans="1:7" x14ac:dyDescent="0.25">
      <c r="A708">
        <v>2038</v>
      </c>
      <c r="B708">
        <v>38</v>
      </c>
      <c r="C708">
        <v>4</v>
      </c>
      <c r="D708">
        <v>13</v>
      </c>
      <c r="E708">
        <v>9</v>
      </c>
      <c r="F708">
        <v>0</v>
      </c>
      <c r="G708">
        <v>22</v>
      </c>
    </row>
    <row r="709" spans="1:7" x14ac:dyDescent="0.25">
      <c r="A709">
        <v>2037</v>
      </c>
      <c r="B709">
        <v>37</v>
      </c>
      <c r="C709">
        <v>6</v>
      </c>
      <c r="D709">
        <v>2</v>
      </c>
      <c r="E709">
        <v>19</v>
      </c>
      <c r="F709">
        <v>0</v>
      </c>
      <c r="G709">
        <v>21</v>
      </c>
    </row>
    <row r="710" spans="1:7" x14ac:dyDescent="0.25">
      <c r="A710">
        <v>2037</v>
      </c>
      <c r="B710">
        <v>37</v>
      </c>
      <c r="C710">
        <v>5</v>
      </c>
      <c r="D710">
        <v>1</v>
      </c>
      <c r="E710">
        <v>13</v>
      </c>
      <c r="F710">
        <v>1</v>
      </c>
      <c r="G710">
        <v>15</v>
      </c>
    </row>
    <row r="711" spans="1:7" x14ac:dyDescent="0.25">
      <c r="A711">
        <v>2129</v>
      </c>
      <c r="B711">
        <v>129</v>
      </c>
      <c r="C711">
        <v>6</v>
      </c>
      <c r="D711">
        <v>9</v>
      </c>
      <c r="E711">
        <v>1</v>
      </c>
      <c r="F711">
        <v>0</v>
      </c>
      <c r="G711">
        <v>10</v>
      </c>
    </row>
    <row r="712" spans="1:7" x14ac:dyDescent="0.25">
      <c r="A712">
        <v>1037</v>
      </c>
      <c r="B712">
        <v>37</v>
      </c>
      <c r="C712">
        <v>6</v>
      </c>
      <c r="D712">
        <v>5</v>
      </c>
      <c r="E712">
        <v>15</v>
      </c>
      <c r="F712">
        <v>0</v>
      </c>
      <c r="G712">
        <v>20</v>
      </c>
    </row>
    <row r="713" spans="1:7" x14ac:dyDescent="0.25">
      <c r="A713">
        <v>1037</v>
      </c>
      <c r="B713">
        <v>37</v>
      </c>
      <c r="C713">
        <v>4</v>
      </c>
      <c r="D713">
        <v>4</v>
      </c>
      <c r="E713">
        <v>14</v>
      </c>
      <c r="F713">
        <v>2</v>
      </c>
      <c r="G713">
        <v>20</v>
      </c>
    </row>
    <row r="714" spans="1:7" x14ac:dyDescent="0.25">
      <c r="A714">
        <v>1148</v>
      </c>
      <c r="B714">
        <v>148</v>
      </c>
      <c r="C714">
        <v>7</v>
      </c>
      <c r="D714">
        <v>15</v>
      </c>
      <c r="E714">
        <v>14</v>
      </c>
      <c r="F714">
        <v>0</v>
      </c>
      <c r="G714">
        <v>29</v>
      </c>
    </row>
    <row r="715" spans="1:7" x14ac:dyDescent="0.25">
      <c r="A715">
        <v>2146</v>
      </c>
      <c r="B715">
        <v>146</v>
      </c>
      <c r="C715">
        <v>7</v>
      </c>
      <c r="D715">
        <v>10</v>
      </c>
      <c r="E715">
        <v>2</v>
      </c>
      <c r="F715">
        <v>0</v>
      </c>
      <c r="G715">
        <v>12</v>
      </c>
    </row>
    <row r="716" spans="1:7" x14ac:dyDescent="0.25">
      <c r="A716">
        <v>4033</v>
      </c>
      <c r="B716">
        <v>33</v>
      </c>
      <c r="C716">
        <v>6</v>
      </c>
      <c r="D716">
        <v>6</v>
      </c>
      <c r="E716">
        <v>8</v>
      </c>
      <c r="F716">
        <v>0</v>
      </c>
      <c r="G716">
        <v>14</v>
      </c>
    </row>
    <row r="717" spans="1:7" x14ac:dyDescent="0.25">
      <c r="A717">
        <v>3038</v>
      </c>
      <c r="B717">
        <v>38</v>
      </c>
      <c r="C717">
        <v>6</v>
      </c>
      <c r="D717">
        <v>22</v>
      </c>
      <c r="E717">
        <v>6</v>
      </c>
      <c r="F717">
        <v>0</v>
      </c>
      <c r="G717">
        <v>28</v>
      </c>
    </row>
    <row r="718" spans="1:7" x14ac:dyDescent="0.25">
      <c r="A718">
        <v>1026</v>
      </c>
      <c r="B718">
        <v>26</v>
      </c>
      <c r="C718">
        <v>7</v>
      </c>
      <c r="D718">
        <v>10</v>
      </c>
      <c r="E718">
        <v>3</v>
      </c>
      <c r="F718">
        <v>0</v>
      </c>
      <c r="G718">
        <v>13</v>
      </c>
    </row>
    <row r="719" spans="1:7" x14ac:dyDescent="0.25">
      <c r="A719">
        <v>2026</v>
      </c>
      <c r="B719">
        <v>26</v>
      </c>
      <c r="C719">
        <v>7</v>
      </c>
      <c r="D719">
        <v>17</v>
      </c>
      <c r="E719">
        <v>13</v>
      </c>
      <c r="F719">
        <v>0</v>
      </c>
      <c r="G719">
        <v>30</v>
      </c>
    </row>
    <row r="720" spans="1:7" x14ac:dyDescent="0.25">
      <c r="A720">
        <v>1037</v>
      </c>
      <c r="B720">
        <v>37</v>
      </c>
      <c r="C720">
        <v>3</v>
      </c>
      <c r="D720">
        <v>6</v>
      </c>
      <c r="E720">
        <v>14</v>
      </c>
      <c r="F720">
        <v>1</v>
      </c>
      <c r="G720">
        <v>21</v>
      </c>
    </row>
    <row r="721" spans="1:7" x14ac:dyDescent="0.25">
      <c r="A721">
        <v>1037</v>
      </c>
      <c r="B721">
        <v>37</v>
      </c>
      <c r="C721">
        <v>5</v>
      </c>
      <c r="D721">
        <v>8</v>
      </c>
      <c r="E721">
        <v>11</v>
      </c>
      <c r="F721">
        <v>1</v>
      </c>
      <c r="G721">
        <v>20</v>
      </c>
    </row>
    <row r="722" spans="1:7" x14ac:dyDescent="0.25">
      <c r="A722">
        <v>3026</v>
      </c>
      <c r="B722">
        <v>26</v>
      </c>
      <c r="C722">
        <v>7</v>
      </c>
      <c r="D722">
        <v>16</v>
      </c>
      <c r="E722">
        <v>4</v>
      </c>
      <c r="F722">
        <v>0</v>
      </c>
      <c r="G722">
        <v>20</v>
      </c>
    </row>
    <row r="723" spans="1:7" x14ac:dyDescent="0.25">
      <c r="A723">
        <v>1093</v>
      </c>
      <c r="B723">
        <v>93</v>
      </c>
      <c r="C723">
        <v>7</v>
      </c>
      <c r="D723">
        <v>16</v>
      </c>
      <c r="E723">
        <v>2</v>
      </c>
      <c r="F723">
        <v>0</v>
      </c>
      <c r="G723">
        <v>18</v>
      </c>
    </row>
    <row r="724" spans="1:7" x14ac:dyDescent="0.25">
      <c r="A724">
        <v>2027</v>
      </c>
      <c r="B724">
        <v>27</v>
      </c>
      <c r="C724">
        <v>7</v>
      </c>
      <c r="D724">
        <v>16</v>
      </c>
      <c r="E724">
        <v>4</v>
      </c>
      <c r="F724">
        <v>0</v>
      </c>
      <c r="G724">
        <v>20</v>
      </c>
    </row>
    <row r="725" spans="1:7" x14ac:dyDescent="0.25">
      <c r="A725">
        <v>1093</v>
      </c>
      <c r="B725">
        <v>93</v>
      </c>
      <c r="C725">
        <v>6</v>
      </c>
      <c r="D725">
        <v>15</v>
      </c>
      <c r="E725">
        <v>2</v>
      </c>
      <c r="F725">
        <v>1</v>
      </c>
      <c r="G725">
        <v>18</v>
      </c>
    </row>
    <row r="726" spans="1:7" x14ac:dyDescent="0.25">
      <c r="A726">
        <v>3148</v>
      </c>
      <c r="B726">
        <v>148</v>
      </c>
      <c r="C726">
        <v>7</v>
      </c>
      <c r="D726">
        <v>7</v>
      </c>
      <c r="E726">
        <v>11</v>
      </c>
      <c r="F726">
        <v>0</v>
      </c>
      <c r="G726">
        <v>18</v>
      </c>
    </row>
    <row r="727" spans="1:7" x14ac:dyDescent="0.25">
      <c r="A727">
        <v>2027</v>
      </c>
      <c r="B727">
        <v>27</v>
      </c>
      <c r="C727">
        <v>6</v>
      </c>
      <c r="D727">
        <v>6</v>
      </c>
      <c r="E727">
        <v>0</v>
      </c>
      <c r="F727">
        <v>0</v>
      </c>
      <c r="G727">
        <v>6</v>
      </c>
    </row>
    <row r="728" spans="1:7" x14ac:dyDescent="0.25">
      <c r="A728">
        <v>4148</v>
      </c>
      <c r="B728">
        <v>148</v>
      </c>
      <c r="C728">
        <v>7</v>
      </c>
      <c r="D728">
        <v>4</v>
      </c>
      <c r="E728">
        <v>11</v>
      </c>
      <c r="F728">
        <v>0</v>
      </c>
      <c r="G728">
        <v>15</v>
      </c>
    </row>
    <row r="729" spans="1:7" x14ac:dyDescent="0.25">
      <c r="A729">
        <v>2093</v>
      </c>
      <c r="B729">
        <v>93</v>
      </c>
      <c r="C729">
        <v>6</v>
      </c>
      <c r="D729">
        <v>5</v>
      </c>
      <c r="E729">
        <v>5</v>
      </c>
      <c r="F729">
        <v>0</v>
      </c>
      <c r="G729">
        <v>10</v>
      </c>
    </row>
    <row r="730" spans="1:7" x14ac:dyDescent="0.25">
      <c r="A730">
        <v>1094</v>
      </c>
      <c r="B730">
        <v>94</v>
      </c>
      <c r="C730">
        <v>5</v>
      </c>
      <c r="D730">
        <v>15</v>
      </c>
      <c r="E730">
        <v>10</v>
      </c>
      <c r="F730">
        <v>0</v>
      </c>
      <c r="G730">
        <v>25</v>
      </c>
    </row>
    <row r="731" spans="1:7" x14ac:dyDescent="0.25">
      <c r="A731">
        <v>3027</v>
      </c>
      <c r="B731">
        <v>27</v>
      </c>
      <c r="C731">
        <v>7</v>
      </c>
      <c r="D731">
        <v>17</v>
      </c>
      <c r="E731">
        <v>8</v>
      </c>
      <c r="F731">
        <v>0</v>
      </c>
      <c r="G731">
        <v>25</v>
      </c>
    </row>
    <row r="732" spans="1:7" x14ac:dyDescent="0.25">
      <c r="A732">
        <v>5148</v>
      </c>
      <c r="B732">
        <v>148</v>
      </c>
      <c r="C732">
        <v>7</v>
      </c>
      <c r="D732">
        <v>9</v>
      </c>
      <c r="E732">
        <v>7</v>
      </c>
      <c r="F732">
        <v>0</v>
      </c>
      <c r="G732">
        <v>16</v>
      </c>
    </row>
    <row r="733" spans="1:7" x14ac:dyDescent="0.25">
      <c r="A733">
        <v>1032</v>
      </c>
      <c r="B733">
        <v>32</v>
      </c>
      <c r="C733">
        <v>6</v>
      </c>
      <c r="D733">
        <v>7</v>
      </c>
      <c r="E733">
        <v>5</v>
      </c>
      <c r="F733">
        <v>1</v>
      </c>
      <c r="G733">
        <v>13</v>
      </c>
    </row>
    <row r="734" spans="1:7" x14ac:dyDescent="0.25">
      <c r="A734">
        <v>4046</v>
      </c>
      <c r="B734">
        <v>46</v>
      </c>
      <c r="C734">
        <v>6</v>
      </c>
      <c r="D734">
        <v>14</v>
      </c>
      <c r="E734">
        <v>6</v>
      </c>
      <c r="F734">
        <v>0</v>
      </c>
      <c r="G734">
        <v>20</v>
      </c>
    </row>
    <row r="735" spans="1:7" x14ac:dyDescent="0.25">
      <c r="A735">
        <v>2133</v>
      </c>
      <c r="B735">
        <v>133</v>
      </c>
      <c r="C735">
        <v>5</v>
      </c>
      <c r="D735">
        <v>5</v>
      </c>
      <c r="E735">
        <v>6</v>
      </c>
      <c r="F735">
        <v>0</v>
      </c>
      <c r="G735">
        <v>11</v>
      </c>
    </row>
    <row r="736" spans="1:7" x14ac:dyDescent="0.25">
      <c r="A736">
        <v>2138</v>
      </c>
      <c r="B736">
        <v>138</v>
      </c>
      <c r="C736">
        <v>5</v>
      </c>
      <c r="D736">
        <v>9</v>
      </c>
      <c r="E736">
        <v>5</v>
      </c>
      <c r="F736">
        <v>0</v>
      </c>
      <c r="G736">
        <v>14</v>
      </c>
    </row>
    <row r="737" spans="1:7" x14ac:dyDescent="0.25">
      <c r="A737">
        <v>2033</v>
      </c>
      <c r="B737">
        <v>33</v>
      </c>
      <c r="C737">
        <v>7</v>
      </c>
      <c r="D737">
        <v>4</v>
      </c>
      <c r="E737">
        <v>3</v>
      </c>
      <c r="F737">
        <v>0</v>
      </c>
      <c r="G737">
        <v>7</v>
      </c>
    </row>
    <row r="738" spans="1:7" x14ac:dyDescent="0.25">
      <c r="A738">
        <v>5046</v>
      </c>
      <c r="B738">
        <v>46</v>
      </c>
      <c r="C738">
        <v>6</v>
      </c>
      <c r="D738">
        <v>9</v>
      </c>
      <c r="E738">
        <v>10</v>
      </c>
      <c r="F738">
        <v>1</v>
      </c>
      <c r="G738">
        <v>20</v>
      </c>
    </row>
    <row r="739" spans="1:7" x14ac:dyDescent="0.25">
      <c r="A739">
        <v>1138</v>
      </c>
      <c r="B739">
        <v>138</v>
      </c>
      <c r="C739">
        <v>6</v>
      </c>
      <c r="D739">
        <v>12</v>
      </c>
      <c r="E739">
        <v>6</v>
      </c>
      <c r="F739">
        <v>0</v>
      </c>
      <c r="G739">
        <v>18</v>
      </c>
    </row>
    <row r="740" spans="1:7" x14ac:dyDescent="0.25">
      <c r="A740">
        <v>3033</v>
      </c>
      <c r="B740">
        <v>33</v>
      </c>
      <c r="C740">
        <v>7</v>
      </c>
      <c r="D740">
        <v>5</v>
      </c>
      <c r="E740">
        <v>3</v>
      </c>
      <c r="F740">
        <v>0</v>
      </c>
      <c r="G740">
        <v>8</v>
      </c>
    </row>
    <row r="741" spans="1:7" x14ac:dyDescent="0.25">
      <c r="A741">
        <v>1138</v>
      </c>
      <c r="B741">
        <v>138</v>
      </c>
      <c r="C741">
        <v>5</v>
      </c>
      <c r="D741">
        <v>11</v>
      </c>
      <c r="E741">
        <v>7</v>
      </c>
      <c r="F741">
        <v>0</v>
      </c>
      <c r="G741">
        <v>18</v>
      </c>
    </row>
    <row r="742" spans="1:7" x14ac:dyDescent="0.25">
      <c r="A742">
        <v>5033</v>
      </c>
      <c r="B742">
        <v>33</v>
      </c>
      <c r="C742">
        <v>7</v>
      </c>
      <c r="D742">
        <v>0</v>
      </c>
      <c r="E742">
        <v>7</v>
      </c>
      <c r="F742">
        <v>0</v>
      </c>
      <c r="G742">
        <v>7</v>
      </c>
    </row>
    <row r="743" spans="1:7" x14ac:dyDescent="0.25">
      <c r="A743">
        <v>3046</v>
      </c>
      <c r="B743">
        <v>46</v>
      </c>
      <c r="C743">
        <v>7</v>
      </c>
      <c r="D743">
        <v>13</v>
      </c>
      <c r="E743">
        <v>5</v>
      </c>
      <c r="F743">
        <v>2</v>
      </c>
      <c r="G743">
        <v>20</v>
      </c>
    </row>
    <row r="744" spans="1:7" x14ac:dyDescent="0.25">
      <c r="A744">
        <v>2061</v>
      </c>
      <c r="B744">
        <v>61</v>
      </c>
      <c r="C744">
        <v>9</v>
      </c>
      <c r="D744">
        <v>0</v>
      </c>
      <c r="E744">
        <v>1</v>
      </c>
      <c r="F744">
        <v>0</v>
      </c>
      <c r="G744">
        <v>1</v>
      </c>
    </row>
    <row r="745" spans="1:7" x14ac:dyDescent="0.25">
      <c r="A745">
        <v>1140</v>
      </c>
      <c r="B745">
        <v>140</v>
      </c>
      <c r="C745">
        <v>5</v>
      </c>
      <c r="D745">
        <v>6</v>
      </c>
      <c r="E745">
        <v>8</v>
      </c>
      <c r="F745">
        <v>0</v>
      </c>
      <c r="G745">
        <v>14</v>
      </c>
    </row>
    <row r="746" spans="1:7" x14ac:dyDescent="0.25">
      <c r="A746">
        <v>2119</v>
      </c>
      <c r="B746">
        <v>119</v>
      </c>
      <c r="C746">
        <v>5</v>
      </c>
      <c r="D746">
        <v>4</v>
      </c>
      <c r="E746">
        <v>17</v>
      </c>
      <c r="F746">
        <v>0</v>
      </c>
      <c r="G746">
        <v>21</v>
      </c>
    </row>
    <row r="747" spans="1:7" x14ac:dyDescent="0.25">
      <c r="A747">
        <v>2138</v>
      </c>
      <c r="B747">
        <v>138</v>
      </c>
      <c r="C747">
        <v>6</v>
      </c>
      <c r="D747">
        <v>7</v>
      </c>
      <c r="E747">
        <v>10</v>
      </c>
      <c r="F747">
        <v>0</v>
      </c>
      <c r="G747">
        <v>17</v>
      </c>
    </row>
    <row r="748" spans="1:7" x14ac:dyDescent="0.25">
      <c r="A748">
        <v>3061</v>
      </c>
      <c r="B748">
        <v>61</v>
      </c>
      <c r="C748">
        <v>6</v>
      </c>
      <c r="D748">
        <v>0</v>
      </c>
      <c r="E748">
        <v>20</v>
      </c>
      <c r="F748">
        <v>0</v>
      </c>
      <c r="G748">
        <v>20</v>
      </c>
    </row>
    <row r="749" spans="1:7" x14ac:dyDescent="0.25">
      <c r="A749">
        <v>4046</v>
      </c>
      <c r="B749">
        <v>46</v>
      </c>
      <c r="C749">
        <v>7</v>
      </c>
      <c r="D749">
        <v>11</v>
      </c>
      <c r="E749">
        <v>9</v>
      </c>
      <c r="F749">
        <v>0</v>
      </c>
      <c r="G749">
        <v>20</v>
      </c>
    </row>
    <row r="750" spans="1:7" x14ac:dyDescent="0.25">
      <c r="A750">
        <v>2059</v>
      </c>
      <c r="B750">
        <v>59</v>
      </c>
      <c r="C750">
        <v>6</v>
      </c>
      <c r="D750">
        <v>8</v>
      </c>
      <c r="E750">
        <v>23</v>
      </c>
      <c r="F750">
        <v>0</v>
      </c>
      <c r="G750">
        <v>31</v>
      </c>
    </row>
    <row r="751" spans="1:7" x14ac:dyDescent="0.25">
      <c r="A751">
        <v>1039</v>
      </c>
      <c r="B751">
        <v>39</v>
      </c>
      <c r="C751">
        <v>6</v>
      </c>
      <c r="D751">
        <v>3</v>
      </c>
      <c r="E751">
        <v>20</v>
      </c>
      <c r="F751">
        <v>0</v>
      </c>
      <c r="G751">
        <v>23</v>
      </c>
    </row>
    <row r="752" spans="1:7" x14ac:dyDescent="0.25">
      <c r="A752">
        <v>2139</v>
      </c>
      <c r="B752">
        <v>139</v>
      </c>
      <c r="C752">
        <v>5</v>
      </c>
      <c r="D752">
        <v>44</v>
      </c>
      <c r="E752">
        <v>35</v>
      </c>
      <c r="F752">
        <v>0</v>
      </c>
      <c r="G752">
        <v>79</v>
      </c>
    </row>
    <row r="753" spans="1:7" x14ac:dyDescent="0.25">
      <c r="A753">
        <v>3109</v>
      </c>
      <c r="B753">
        <v>109</v>
      </c>
      <c r="C753">
        <v>6</v>
      </c>
      <c r="D753">
        <v>18</v>
      </c>
      <c r="E753">
        <v>18</v>
      </c>
      <c r="F753">
        <v>0</v>
      </c>
      <c r="G753">
        <v>36</v>
      </c>
    </row>
    <row r="754" spans="1:7" x14ac:dyDescent="0.25">
      <c r="A754">
        <v>1111</v>
      </c>
      <c r="B754">
        <v>111</v>
      </c>
      <c r="C754">
        <v>5</v>
      </c>
      <c r="D754">
        <v>20</v>
      </c>
      <c r="E754">
        <v>7</v>
      </c>
      <c r="F754">
        <v>0</v>
      </c>
      <c r="G754">
        <v>27</v>
      </c>
    </row>
    <row r="755" spans="1:7" x14ac:dyDescent="0.25">
      <c r="A755">
        <v>3058</v>
      </c>
      <c r="B755">
        <v>58</v>
      </c>
      <c r="C755">
        <v>6</v>
      </c>
      <c r="D755">
        <v>13</v>
      </c>
      <c r="E755">
        <v>4</v>
      </c>
      <c r="F755">
        <v>2</v>
      </c>
      <c r="G755">
        <v>19</v>
      </c>
    </row>
    <row r="756" spans="1:7" x14ac:dyDescent="0.25">
      <c r="A756">
        <v>1047</v>
      </c>
      <c r="B756">
        <v>47</v>
      </c>
      <c r="C756">
        <v>7</v>
      </c>
      <c r="D756">
        <v>7</v>
      </c>
      <c r="E756">
        <v>8</v>
      </c>
      <c r="F756">
        <v>0</v>
      </c>
      <c r="G756">
        <v>15</v>
      </c>
    </row>
    <row r="757" spans="1:7" x14ac:dyDescent="0.25">
      <c r="A757">
        <v>1110</v>
      </c>
      <c r="B757">
        <v>110</v>
      </c>
      <c r="C757">
        <v>6</v>
      </c>
      <c r="D757">
        <v>14</v>
      </c>
      <c r="E757">
        <v>5</v>
      </c>
      <c r="F757">
        <v>0</v>
      </c>
      <c r="G757">
        <v>19</v>
      </c>
    </row>
    <row r="758" spans="1:7" x14ac:dyDescent="0.25">
      <c r="A758">
        <v>1057</v>
      </c>
      <c r="B758">
        <v>57</v>
      </c>
      <c r="C758">
        <v>6</v>
      </c>
      <c r="D758">
        <v>8</v>
      </c>
      <c r="E758">
        <v>5</v>
      </c>
      <c r="F758">
        <v>3</v>
      </c>
      <c r="G758">
        <v>16</v>
      </c>
    </row>
    <row r="759" spans="1:7" x14ac:dyDescent="0.25">
      <c r="A759">
        <v>1095</v>
      </c>
      <c r="B759">
        <v>95</v>
      </c>
      <c r="C759">
        <v>6</v>
      </c>
      <c r="D759">
        <v>8</v>
      </c>
      <c r="E759">
        <v>10</v>
      </c>
      <c r="F759">
        <v>2</v>
      </c>
      <c r="G759">
        <v>20</v>
      </c>
    </row>
    <row r="760" spans="1:7" x14ac:dyDescent="0.25">
      <c r="A760">
        <v>2047</v>
      </c>
      <c r="B760">
        <v>47</v>
      </c>
      <c r="C760">
        <v>6</v>
      </c>
      <c r="D760">
        <v>7</v>
      </c>
      <c r="E760">
        <v>13</v>
      </c>
      <c r="F760">
        <v>0</v>
      </c>
      <c r="G760">
        <v>20</v>
      </c>
    </row>
    <row r="761" spans="1:7" x14ac:dyDescent="0.25">
      <c r="A761">
        <v>3111</v>
      </c>
      <c r="B761">
        <v>111</v>
      </c>
      <c r="C761">
        <v>6</v>
      </c>
      <c r="D761">
        <v>16</v>
      </c>
      <c r="E761">
        <v>2</v>
      </c>
      <c r="F761">
        <v>0</v>
      </c>
      <c r="G761">
        <v>18</v>
      </c>
    </row>
    <row r="762" spans="1:7" x14ac:dyDescent="0.25">
      <c r="A762">
        <v>1056</v>
      </c>
      <c r="B762">
        <v>56</v>
      </c>
      <c r="C762">
        <v>6</v>
      </c>
      <c r="D762">
        <v>17</v>
      </c>
      <c r="E762">
        <v>6</v>
      </c>
      <c r="F762">
        <v>0</v>
      </c>
      <c r="G762">
        <v>23</v>
      </c>
    </row>
    <row r="763" spans="1:7" x14ac:dyDescent="0.25">
      <c r="A763">
        <v>2112</v>
      </c>
      <c r="B763">
        <v>112</v>
      </c>
      <c r="C763">
        <v>6</v>
      </c>
      <c r="D763">
        <v>7</v>
      </c>
      <c r="E763">
        <v>6</v>
      </c>
      <c r="F763">
        <v>0</v>
      </c>
      <c r="G763">
        <v>13</v>
      </c>
    </row>
    <row r="764" spans="1:7" x14ac:dyDescent="0.25">
      <c r="A764">
        <v>1059</v>
      </c>
      <c r="B764">
        <v>59</v>
      </c>
      <c r="C764">
        <v>6</v>
      </c>
      <c r="D764">
        <v>3</v>
      </c>
      <c r="E764">
        <v>25</v>
      </c>
      <c r="F764">
        <v>0</v>
      </c>
      <c r="G764">
        <v>28</v>
      </c>
    </row>
    <row r="765" spans="1:7" x14ac:dyDescent="0.25">
      <c r="A765">
        <v>2074</v>
      </c>
      <c r="B765">
        <v>74</v>
      </c>
      <c r="C765">
        <v>7</v>
      </c>
      <c r="D765">
        <v>9</v>
      </c>
      <c r="E765">
        <v>5</v>
      </c>
      <c r="F765">
        <v>0</v>
      </c>
      <c r="G765">
        <v>14</v>
      </c>
    </row>
    <row r="766" spans="1:7" x14ac:dyDescent="0.25">
      <c r="A766">
        <v>1113</v>
      </c>
      <c r="B766">
        <v>113</v>
      </c>
      <c r="C766">
        <v>6</v>
      </c>
      <c r="D766">
        <v>9</v>
      </c>
      <c r="E766">
        <v>0</v>
      </c>
      <c r="F766">
        <v>0</v>
      </c>
      <c r="G766">
        <v>9</v>
      </c>
    </row>
    <row r="767" spans="1:7" x14ac:dyDescent="0.25">
      <c r="A767">
        <v>1061</v>
      </c>
      <c r="B767">
        <v>61</v>
      </c>
      <c r="C767">
        <v>6</v>
      </c>
      <c r="D767">
        <v>19</v>
      </c>
      <c r="E767">
        <v>17</v>
      </c>
      <c r="F767">
        <v>0</v>
      </c>
      <c r="G767">
        <v>36</v>
      </c>
    </row>
    <row r="768" spans="1:7" x14ac:dyDescent="0.25">
      <c r="A768">
        <v>1112</v>
      </c>
      <c r="B768">
        <v>112</v>
      </c>
      <c r="C768">
        <v>6</v>
      </c>
      <c r="D768">
        <v>19</v>
      </c>
      <c r="E768">
        <v>20</v>
      </c>
      <c r="F768">
        <v>8</v>
      </c>
      <c r="G768">
        <v>47</v>
      </c>
    </row>
    <row r="769" spans="1:7" x14ac:dyDescent="0.25">
      <c r="A769">
        <v>2113</v>
      </c>
      <c r="B769">
        <v>113</v>
      </c>
      <c r="C769">
        <v>6</v>
      </c>
      <c r="D769">
        <v>20</v>
      </c>
      <c r="E769">
        <v>1</v>
      </c>
      <c r="F769">
        <v>0</v>
      </c>
      <c r="G769">
        <v>21</v>
      </c>
    </row>
    <row r="770" spans="1:7" x14ac:dyDescent="0.25">
      <c r="A770">
        <v>1047</v>
      </c>
      <c r="B770">
        <v>47</v>
      </c>
      <c r="C770">
        <v>6</v>
      </c>
      <c r="D770">
        <v>14</v>
      </c>
      <c r="E770">
        <v>5</v>
      </c>
      <c r="F770">
        <v>0</v>
      </c>
      <c r="G770">
        <v>19</v>
      </c>
    </row>
    <row r="771" spans="1:7" x14ac:dyDescent="0.25">
      <c r="A771">
        <v>2111</v>
      </c>
      <c r="B771">
        <v>111</v>
      </c>
      <c r="C771">
        <v>6</v>
      </c>
      <c r="D771">
        <v>0</v>
      </c>
      <c r="E771">
        <v>3</v>
      </c>
      <c r="F771">
        <v>0</v>
      </c>
      <c r="G771">
        <v>3</v>
      </c>
    </row>
    <row r="772" spans="1:7" x14ac:dyDescent="0.25">
      <c r="A772">
        <v>2115</v>
      </c>
      <c r="B772">
        <v>115</v>
      </c>
      <c r="C772">
        <v>6</v>
      </c>
      <c r="D772">
        <v>2</v>
      </c>
      <c r="E772">
        <v>6</v>
      </c>
      <c r="F772">
        <v>0</v>
      </c>
      <c r="G772">
        <v>8</v>
      </c>
    </row>
    <row r="773" spans="1:7" x14ac:dyDescent="0.25">
      <c r="A773">
        <v>1115</v>
      </c>
      <c r="B773">
        <v>115</v>
      </c>
      <c r="C773">
        <v>6</v>
      </c>
      <c r="D773">
        <v>20</v>
      </c>
      <c r="E773">
        <v>10</v>
      </c>
      <c r="F773">
        <v>0</v>
      </c>
      <c r="G773">
        <v>30</v>
      </c>
    </row>
    <row r="774" spans="1:7" x14ac:dyDescent="0.25">
      <c r="A774">
        <v>1111</v>
      </c>
      <c r="B774">
        <v>111</v>
      </c>
      <c r="C774">
        <v>6</v>
      </c>
      <c r="D774">
        <v>6</v>
      </c>
      <c r="E774">
        <v>1</v>
      </c>
      <c r="F774">
        <v>0</v>
      </c>
      <c r="G774">
        <v>7</v>
      </c>
    </row>
    <row r="775" spans="1:7" x14ac:dyDescent="0.25">
      <c r="A775">
        <v>1099</v>
      </c>
      <c r="B775">
        <v>99</v>
      </c>
      <c r="C775">
        <v>6</v>
      </c>
      <c r="D775">
        <v>8</v>
      </c>
      <c r="E775">
        <v>7</v>
      </c>
      <c r="F775">
        <v>0</v>
      </c>
      <c r="G775">
        <v>15</v>
      </c>
    </row>
    <row r="776" spans="1:7" x14ac:dyDescent="0.25">
      <c r="A776">
        <v>1062</v>
      </c>
      <c r="B776">
        <v>62</v>
      </c>
      <c r="C776">
        <v>4</v>
      </c>
      <c r="D776">
        <v>4</v>
      </c>
      <c r="E776">
        <v>8</v>
      </c>
      <c r="F776">
        <v>0</v>
      </c>
      <c r="G776">
        <v>12</v>
      </c>
    </row>
    <row r="777" spans="1:7" x14ac:dyDescent="0.25">
      <c r="A777">
        <v>2109</v>
      </c>
      <c r="B777">
        <v>109</v>
      </c>
      <c r="C777">
        <v>6</v>
      </c>
      <c r="D777">
        <v>5</v>
      </c>
      <c r="E777">
        <v>2</v>
      </c>
      <c r="F777">
        <v>0</v>
      </c>
      <c r="G777">
        <v>7</v>
      </c>
    </row>
    <row r="778" spans="1:7" x14ac:dyDescent="0.25">
      <c r="A778">
        <v>2151</v>
      </c>
      <c r="B778">
        <v>151</v>
      </c>
      <c r="C778">
        <v>7</v>
      </c>
      <c r="D778">
        <v>12</v>
      </c>
      <c r="E778">
        <v>0</v>
      </c>
      <c r="F778">
        <v>0</v>
      </c>
      <c r="G778">
        <v>12</v>
      </c>
    </row>
    <row r="779" spans="1:7" x14ac:dyDescent="0.25">
      <c r="A779">
        <v>1100</v>
      </c>
      <c r="B779">
        <v>100</v>
      </c>
      <c r="C779">
        <v>4</v>
      </c>
      <c r="D779">
        <v>6</v>
      </c>
      <c r="E779">
        <v>3</v>
      </c>
      <c r="F779">
        <v>0</v>
      </c>
      <c r="G779">
        <v>9</v>
      </c>
    </row>
    <row r="780" spans="1:7" x14ac:dyDescent="0.25">
      <c r="A780">
        <v>1003</v>
      </c>
      <c r="B780">
        <v>3</v>
      </c>
      <c r="C780">
        <v>1</v>
      </c>
      <c r="D780">
        <v>4</v>
      </c>
      <c r="E780">
        <v>6</v>
      </c>
      <c r="F780">
        <v>0</v>
      </c>
      <c r="G780">
        <v>10</v>
      </c>
    </row>
    <row r="781" spans="1:7" x14ac:dyDescent="0.25">
      <c r="A781">
        <v>2110</v>
      </c>
      <c r="B781">
        <v>110</v>
      </c>
      <c r="C781">
        <v>6</v>
      </c>
      <c r="D781">
        <v>20</v>
      </c>
      <c r="E781">
        <v>7</v>
      </c>
      <c r="F781">
        <v>0</v>
      </c>
      <c r="G781">
        <v>27</v>
      </c>
    </row>
    <row r="782" spans="1:7" x14ac:dyDescent="0.25">
      <c r="A782">
        <v>2012</v>
      </c>
      <c r="B782">
        <v>12</v>
      </c>
      <c r="C782">
        <v>5</v>
      </c>
      <c r="D782">
        <v>10</v>
      </c>
      <c r="E782">
        <v>16</v>
      </c>
      <c r="F782">
        <v>1</v>
      </c>
      <c r="G782">
        <v>27</v>
      </c>
    </row>
    <row r="783" spans="1:7" x14ac:dyDescent="0.25">
      <c r="A783">
        <v>4061</v>
      </c>
      <c r="B783">
        <v>61</v>
      </c>
      <c r="C783">
        <v>5</v>
      </c>
      <c r="D783">
        <v>16</v>
      </c>
      <c r="E783">
        <v>7</v>
      </c>
      <c r="F783">
        <v>0</v>
      </c>
      <c r="G783">
        <v>23</v>
      </c>
    </row>
    <row r="784" spans="1:7" x14ac:dyDescent="0.25">
      <c r="A784">
        <v>1003</v>
      </c>
      <c r="B784">
        <v>3</v>
      </c>
      <c r="C784">
        <v>2</v>
      </c>
      <c r="D784">
        <v>5</v>
      </c>
      <c r="E784">
        <v>4</v>
      </c>
      <c r="F784">
        <v>0</v>
      </c>
      <c r="G784">
        <v>9</v>
      </c>
    </row>
    <row r="785" spans="1:7" x14ac:dyDescent="0.25">
      <c r="A785">
        <v>3097</v>
      </c>
      <c r="B785">
        <v>97</v>
      </c>
      <c r="C785">
        <v>4</v>
      </c>
      <c r="D785">
        <v>6</v>
      </c>
      <c r="E785">
        <v>14</v>
      </c>
      <c r="F785">
        <v>0</v>
      </c>
      <c r="G785">
        <v>20</v>
      </c>
    </row>
    <row r="786" spans="1:7" x14ac:dyDescent="0.25">
      <c r="A786">
        <v>1003</v>
      </c>
      <c r="B786">
        <v>3</v>
      </c>
      <c r="C786">
        <v>3</v>
      </c>
      <c r="D786">
        <v>6</v>
      </c>
      <c r="E786">
        <v>3</v>
      </c>
      <c r="F786">
        <v>1</v>
      </c>
      <c r="G786">
        <v>10</v>
      </c>
    </row>
    <row r="787" spans="1:7" x14ac:dyDescent="0.25">
      <c r="A787">
        <v>3097</v>
      </c>
      <c r="B787">
        <v>97</v>
      </c>
      <c r="C787">
        <v>5</v>
      </c>
      <c r="D787">
        <v>8</v>
      </c>
      <c r="E787">
        <v>10</v>
      </c>
      <c r="F787">
        <v>0</v>
      </c>
      <c r="G787">
        <v>18</v>
      </c>
    </row>
    <row r="788" spans="1:7" x14ac:dyDescent="0.25">
      <c r="A788">
        <v>1003</v>
      </c>
      <c r="B788">
        <v>3</v>
      </c>
      <c r="C788">
        <v>4</v>
      </c>
      <c r="D788">
        <v>1</v>
      </c>
      <c r="E788">
        <v>5</v>
      </c>
      <c r="F788">
        <v>2</v>
      </c>
      <c r="G788">
        <v>8</v>
      </c>
    </row>
    <row r="789" spans="1:7" x14ac:dyDescent="0.25">
      <c r="A789">
        <v>2012</v>
      </c>
      <c r="B789">
        <v>12</v>
      </c>
      <c r="C789">
        <v>6</v>
      </c>
      <c r="D789">
        <v>3</v>
      </c>
      <c r="E789">
        <v>20</v>
      </c>
      <c r="F789">
        <v>2</v>
      </c>
      <c r="G789">
        <v>25</v>
      </c>
    </row>
    <row r="790" spans="1:7" x14ac:dyDescent="0.25">
      <c r="A790">
        <v>5098</v>
      </c>
      <c r="B790">
        <v>98</v>
      </c>
      <c r="C790">
        <v>2</v>
      </c>
      <c r="D790">
        <v>1</v>
      </c>
      <c r="E790">
        <v>6</v>
      </c>
      <c r="F790">
        <v>0</v>
      </c>
      <c r="G790">
        <v>7</v>
      </c>
    </row>
    <row r="791" spans="1:7" x14ac:dyDescent="0.25">
      <c r="A791">
        <v>2066</v>
      </c>
      <c r="B791">
        <v>66</v>
      </c>
      <c r="C791">
        <v>5</v>
      </c>
      <c r="D791">
        <v>15</v>
      </c>
      <c r="E791">
        <v>4</v>
      </c>
      <c r="F791">
        <v>1</v>
      </c>
      <c r="G791">
        <v>20</v>
      </c>
    </row>
    <row r="792" spans="1:7" x14ac:dyDescent="0.25">
      <c r="A792">
        <v>1011</v>
      </c>
      <c r="B792">
        <v>11</v>
      </c>
      <c r="C792">
        <v>7</v>
      </c>
      <c r="D792">
        <v>7</v>
      </c>
      <c r="E792">
        <v>20</v>
      </c>
      <c r="F792">
        <v>1</v>
      </c>
      <c r="G792">
        <v>28</v>
      </c>
    </row>
    <row r="793" spans="1:7" x14ac:dyDescent="0.25">
      <c r="A793">
        <v>5098</v>
      </c>
      <c r="B793">
        <v>98</v>
      </c>
      <c r="C793">
        <v>3</v>
      </c>
      <c r="D793">
        <v>7</v>
      </c>
      <c r="E793">
        <v>13</v>
      </c>
      <c r="F793">
        <v>0</v>
      </c>
      <c r="G793">
        <v>20</v>
      </c>
    </row>
    <row r="794" spans="1:7" x14ac:dyDescent="0.25">
      <c r="A794">
        <v>1003</v>
      </c>
      <c r="B794">
        <v>3</v>
      </c>
      <c r="C794">
        <v>5</v>
      </c>
      <c r="D794">
        <v>3</v>
      </c>
      <c r="E794">
        <v>4</v>
      </c>
      <c r="F794">
        <v>0</v>
      </c>
      <c r="G794">
        <v>7</v>
      </c>
    </row>
    <row r="795" spans="1:7" x14ac:dyDescent="0.25">
      <c r="A795">
        <v>1003</v>
      </c>
      <c r="B795">
        <v>3</v>
      </c>
      <c r="C795">
        <v>6</v>
      </c>
      <c r="D795">
        <v>2</v>
      </c>
      <c r="E795">
        <v>1</v>
      </c>
      <c r="F795">
        <v>0</v>
      </c>
      <c r="G795">
        <v>3</v>
      </c>
    </row>
    <row r="796" spans="1:7" x14ac:dyDescent="0.25">
      <c r="A796">
        <v>2009</v>
      </c>
      <c r="B796">
        <v>9</v>
      </c>
      <c r="C796">
        <v>5</v>
      </c>
      <c r="D796">
        <v>1</v>
      </c>
      <c r="E796">
        <v>10</v>
      </c>
      <c r="F796">
        <v>1</v>
      </c>
      <c r="G796">
        <v>12</v>
      </c>
    </row>
    <row r="797" spans="1:7" x14ac:dyDescent="0.25">
      <c r="A797">
        <v>1001</v>
      </c>
      <c r="B797">
        <v>1</v>
      </c>
      <c r="C797">
        <v>5</v>
      </c>
      <c r="D797">
        <v>5</v>
      </c>
      <c r="E797">
        <v>12</v>
      </c>
      <c r="F797">
        <v>0</v>
      </c>
      <c r="G797">
        <v>17</v>
      </c>
    </row>
    <row r="798" spans="1:7" x14ac:dyDescent="0.25">
      <c r="A798">
        <v>1002</v>
      </c>
      <c r="B798">
        <v>2</v>
      </c>
      <c r="C798">
        <v>6</v>
      </c>
      <c r="D798">
        <v>4</v>
      </c>
      <c r="E798">
        <v>15</v>
      </c>
      <c r="F798">
        <v>1</v>
      </c>
      <c r="G798">
        <v>20</v>
      </c>
    </row>
    <row r="799" spans="1:7" x14ac:dyDescent="0.25">
      <c r="A799">
        <v>2009</v>
      </c>
      <c r="B799">
        <v>9</v>
      </c>
      <c r="C799">
        <v>6</v>
      </c>
      <c r="D799">
        <v>7</v>
      </c>
      <c r="E799">
        <v>20</v>
      </c>
      <c r="F799">
        <v>0</v>
      </c>
      <c r="G799">
        <v>27</v>
      </c>
    </row>
    <row r="800" spans="1:7" x14ac:dyDescent="0.25">
      <c r="A800">
        <v>1010</v>
      </c>
      <c r="B800">
        <v>10</v>
      </c>
      <c r="C800">
        <v>1</v>
      </c>
      <c r="D800">
        <v>1</v>
      </c>
      <c r="E800">
        <v>2</v>
      </c>
      <c r="F800">
        <v>0</v>
      </c>
      <c r="G800">
        <v>3</v>
      </c>
    </row>
    <row r="801" spans="1:7" x14ac:dyDescent="0.25">
      <c r="A801">
        <v>1001</v>
      </c>
      <c r="B801">
        <v>1</v>
      </c>
      <c r="C801">
        <v>6</v>
      </c>
      <c r="D801">
        <v>3</v>
      </c>
      <c r="E801">
        <v>6</v>
      </c>
      <c r="F801">
        <v>1</v>
      </c>
      <c r="G801">
        <v>10</v>
      </c>
    </row>
    <row r="802" spans="1:7" x14ac:dyDescent="0.25">
      <c r="A802">
        <v>3042</v>
      </c>
      <c r="B802">
        <v>42</v>
      </c>
      <c r="C802">
        <v>6</v>
      </c>
      <c r="D802">
        <v>5</v>
      </c>
      <c r="E802">
        <v>13</v>
      </c>
      <c r="F802">
        <v>1</v>
      </c>
      <c r="G802">
        <v>19</v>
      </c>
    </row>
    <row r="803" spans="1:7" x14ac:dyDescent="0.25">
      <c r="A803">
        <v>1010</v>
      </c>
      <c r="B803">
        <v>10</v>
      </c>
      <c r="C803">
        <v>2</v>
      </c>
      <c r="D803">
        <v>3</v>
      </c>
      <c r="E803">
        <v>4</v>
      </c>
      <c r="F803">
        <v>0</v>
      </c>
      <c r="G803">
        <v>7</v>
      </c>
    </row>
    <row r="804" spans="1:7" x14ac:dyDescent="0.25">
      <c r="A804">
        <v>1010</v>
      </c>
      <c r="B804">
        <v>10</v>
      </c>
      <c r="C804">
        <v>3</v>
      </c>
      <c r="D804">
        <v>11</v>
      </c>
      <c r="E804">
        <v>10</v>
      </c>
      <c r="F804">
        <v>3</v>
      </c>
      <c r="G804">
        <v>24</v>
      </c>
    </row>
    <row r="805" spans="1:7" x14ac:dyDescent="0.25">
      <c r="A805">
        <v>2018</v>
      </c>
      <c r="B805">
        <v>18</v>
      </c>
      <c r="C805">
        <v>4</v>
      </c>
      <c r="D805">
        <v>7</v>
      </c>
      <c r="E805">
        <v>10</v>
      </c>
      <c r="F805">
        <v>0</v>
      </c>
      <c r="G805">
        <v>17</v>
      </c>
    </row>
    <row r="806" spans="1:7" x14ac:dyDescent="0.25">
      <c r="A806">
        <v>2105</v>
      </c>
      <c r="B806">
        <v>105</v>
      </c>
      <c r="C806">
        <v>4</v>
      </c>
      <c r="D806">
        <v>1</v>
      </c>
      <c r="E806">
        <v>17</v>
      </c>
      <c r="F806">
        <v>2</v>
      </c>
      <c r="G806">
        <v>20</v>
      </c>
    </row>
    <row r="807" spans="1:7" x14ac:dyDescent="0.25">
      <c r="A807">
        <v>2041</v>
      </c>
      <c r="B807">
        <v>41</v>
      </c>
      <c r="C807">
        <v>3</v>
      </c>
      <c r="D807">
        <v>2</v>
      </c>
      <c r="E807">
        <v>0</v>
      </c>
      <c r="F807">
        <v>0</v>
      </c>
      <c r="G807">
        <v>2</v>
      </c>
    </row>
    <row r="808" spans="1:7" x14ac:dyDescent="0.25">
      <c r="A808">
        <v>1011</v>
      </c>
      <c r="B808">
        <v>11</v>
      </c>
      <c r="C808">
        <v>5</v>
      </c>
      <c r="D808">
        <v>10</v>
      </c>
      <c r="E808">
        <v>20</v>
      </c>
      <c r="F808">
        <v>1</v>
      </c>
      <c r="G808">
        <v>31</v>
      </c>
    </row>
    <row r="809" spans="1:7" x14ac:dyDescent="0.25">
      <c r="A809">
        <v>1081</v>
      </c>
      <c r="B809">
        <v>81</v>
      </c>
      <c r="C809">
        <v>6</v>
      </c>
      <c r="D809">
        <v>16</v>
      </c>
      <c r="E809">
        <v>2</v>
      </c>
      <c r="F809">
        <v>0</v>
      </c>
      <c r="G809">
        <v>18</v>
      </c>
    </row>
    <row r="810" spans="1:7" x14ac:dyDescent="0.25">
      <c r="A810">
        <v>1011</v>
      </c>
      <c r="B810">
        <v>11</v>
      </c>
      <c r="C810">
        <v>6</v>
      </c>
      <c r="D810">
        <v>6</v>
      </c>
      <c r="E810">
        <v>11</v>
      </c>
      <c r="F810">
        <v>0</v>
      </c>
      <c r="G810">
        <v>17</v>
      </c>
    </row>
    <row r="811" spans="1:7" x14ac:dyDescent="0.25">
      <c r="A811">
        <v>3042</v>
      </c>
      <c r="B811">
        <v>42</v>
      </c>
      <c r="C811">
        <v>7</v>
      </c>
      <c r="D811">
        <v>12</v>
      </c>
      <c r="E811">
        <v>10</v>
      </c>
      <c r="F811">
        <v>0</v>
      </c>
      <c r="G811">
        <v>22</v>
      </c>
    </row>
    <row r="812" spans="1:7" x14ac:dyDescent="0.25">
      <c r="A812">
        <v>1010</v>
      </c>
      <c r="B812">
        <v>10</v>
      </c>
      <c r="C812">
        <v>4</v>
      </c>
      <c r="D812">
        <v>19</v>
      </c>
      <c r="E812">
        <v>20</v>
      </c>
      <c r="F812">
        <v>10</v>
      </c>
      <c r="G812">
        <v>49</v>
      </c>
    </row>
    <row r="813" spans="1:7" x14ac:dyDescent="0.25">
      <c r="A813">
        <v>2041</v>
      </c>
      <c r="B813">
        <v>41</v>
      </c>
      <c r="C813">
        <v>4</v>
      </c>
      <c r="D813">
        <v>18</v>
      </c>
      <c r="E813">
        <v>13</v>
      </c>
      <c r="F813">
        <v>0</v>
      </c>
      <c r="G813">
        <v>31</v>
      </c>
    </row>
    <row r="814" spans="1:7" x14ac:dyDescent="0.25">
      <c r="A814">
        <v>1041</v>
      </c>
      <c r="B814">
        <v>41</v>
      </c>
      <c r="C814">
        <v>2</v>
      </c>
      <c r="D814">
        <v>6</v>
      </c>
      <c r="E814">
        <v>5</v>
      </c>
      <c r="F814">
        <v>0</v>
      </c>
      <c r="G814">
        <v>11</v>
      </c>
    </row>
    <row r="815" spans="1:7" x14ac:dyDescent="0.25">
      <c r="A815">
        <v>1041</v>
      </c>
      <c r="B815">
        <v>41</v>
      </c>
      <c r="C815">
        <v>3</v>
      </c>
      <c r="D815">
        <v>7</v>
      </c>
      <c r="E815">
        <v>9</v>
      </c>
      <c r="F815">
        <v>0</v>
      </c>
      <c r="G815">
        <v>16</v>
      </c>
    </row>
    <row r="816" spans="1:7" x14ac:dyDescent="0.25">
      <c r="A816">
        <v>1083</v>
      </c>
      <c r="B816">
        <v>83</v>
      </c>
      <c r="C816">
        <v>6</v>
      </c>
      <c r="D816">
        <v>5</v>
      </c>
      <c r="E816">
        <v>8</v>
      </c>
      <c r="F816">
        <v>0</v>
      </c>
      <c r="G816">
        <v>13</v>
      </c>
    </row>
    <row r="817" spans="1:7" x14ac:dyDescent="0.25">
      <c r="A817">
        <v>4042</v>
      </c>
      <c r="B817">
        <v>42</v>
      </c>
      <c r="C817">
        <v>4</v>
      </c>
      <c r="D817">
        <v>1</v>
      </c>
      <c r="E817">
        <v>19</v>
      </c>
      <c r="F817">
        <v>0</v>
      </c>
      <c r="G817">
        <v>20</v>
      </c>
    </row>
    <row r="818" spans="1:7" x14ac:dyDescent="0.25">
      <c r="A818">
        <v>1041</v>
      </c>
      <c r="B818">
        <v>41</v>
      </c>
      <c r="C818">
        <v>4</v>
      </c>
      <c r="D818">
        <v>12</v>
      </c>
      <c r="E818">
        <v>6</v>
      </c>
      <c r="F818">
        <v>0</v>
      </c>
      <c r="G818">
        <v>18</v>
      </c>
    </row>
    <row r="819" spans="1:7" x14ac:dyDescent="0.25">
      <c r="A819">
        <v>2083</v>
      </c>
      <c r="B819">
        <v>83</v>
      </c>
      <c r="C819">
        <v>6</v>
      </c>
      <c r="D819">
        <v>15</v>
      </c>
      <c r="E819">
        <v>3</v>
      </c>
      <c r="F819">
        <v>0</v>
      </c>
      <c r="G819">
        <v>18</v>
      </c>
    </row>
    <row r="820" spans="1:7" x14ac:dyDescent="0.25">
      <c r="A820">
        <v>1033</v>
      </c>
      <c r="B820">
        <v>33</v>
      </c>
      <c r="C820">
        <v>7</v>
      </c>
      <c r="D820">
        <v>6</v>
      </c>
      <c r="E820">
        <v>5</v>
      </c>
      <c r="F820">
        <v>1</v>
      </c>
      <c r="G820">
        <v>12</v>
      </c>
    </row>
    <row r="821" spans="1:7" x14ac:dyDescent="0.25">
      <c r="A821">
        <v>2009</v>
      </c>
      <c r="B821">
        <v>9</v>
      </c>
      <c r="C821">
        <v>7</v>
      </c>
      <c r="D821">
        <v>5</v>
      </c>
      <c r="E821">
        <v>20</v>
      </c>
      <c r="F821">
        <v>1</v>
      </c>
      <c r="G821">
        <v>26</v>
      </c>
    </row>
    <row r="822" spans="1:7" x14ac:dyDescent="0.25">
      <c r="A822">
        <v>1041</v>
      </c>
      <c r="B822">
        <v>41</v>
      </c>
      <c r="C822">
        <v>5</v>
      </c>
      <c r="D822">
        <v>2</v>
      </c>
      <c r="E822">
        <v>6</v>
      </c>
      <c r="F822">
        <v>0</v>
      </c>
      <c r="G822">
        <v>8</v>
      </c>
    </row>
    <row r="823" spans="1:7" x14ac:dyDescent="0.25">
      <c r="A823">
        <v>1083</v>
      </c>
      <c r="B823">
        <v>83</v>
      </c>
      <c r="C823">
        <v>7</v>
      </c>
      <c r="D823">
        <v>7</v>
      </c>
      <c r="E823">
        <v>5</v>
      </c>
      <c r="F823">
        <v>0</v>
      </c>
      <c r="G823">
        <v>12</v>
      </c>
    </row>
    <row r="824" spans="1:7" x14ac:dyDescent="0.25">
      <c r="A824">
        <v>4042</v>
      </c>
      <c r="B824">
        <v>42</v>
      </c>
      <c r="C824">
        <v>5</v>
      </c>
      <c r="D824">
        <v>3</v>
      </c>
      <c r="E824">
        <v>17</v>
      </c>
      <c r="F824">
        <v>0</v>
      </c>
      <c r="G824">
        <v>20</v>
      </c>
    </row>
    <row r="825" spans="1:7" x14ac:dyDescent="0.25">
      <c r="A825">
        <v>3083</v>
      </c>
      <c r="B825">
        <v>83</v>
      </c>
      <c r="C825">
        <v>6</v>
      </c>
      <c r="D825">
        <v>0</v>
      </c>
      <c r="E825">
        <v>19</v>
      </c>
      <c r="F825">
        <v>0</v>
      </c>
      <c r="G825">
        <v>19</v>
      </c>
    </row>
    <row r="826" spans="1:7" x14ac:dyDescent="0.25">
      <c r="A826">
        <v>1009</v>
      </c>
      <c r="B826">
        <v>9</v>
      </c>
      <c r="C826">
        <v>6</v>
      </c>
      <c r="D826">
        <v>6</v>
      </c>
      <c r="E826">
        <v>20</v>
      </c>
      <c r="F826">
        <v>1</v>
      </c>
      <c r="G826">
        <v>27</v>
      </c>
    </row>
    <row r="827" spans="1:7" x14ac:dyDescent="0.25">
      <c r="A827">
        <v>3097</v>
      </c>
      <c r="B827">
        <v>97</v>
      </c>
      <c r="C827">
        <v>7</v>
      </c>
      <c r="D827">
        <v>9</v>
      </c>
      <c r="E827">
        <v>12</v>
      </c>
      <c r="F827">
        <v>0</v>
      </c>
      <c r="G827">
        <v>21</v>
      </c>
    </row>
    <row r="828" spans="1:7" x14ac:dyDescent="0.25">
      <c r="A828">
        <v>1009</v>
      </c>
      <c r="B828">
        <v>9</v>
      </c>
      <c r="C828">
        <v>7</v>
      </c>
      <c r="D828">
        <v>10</v>
      </c>
      <c r="E828">
        <v>16</v>
      </c>
      <c r="F828">
        <v>1</v>
      </c>
      <c r="G828">
        <v>27</v>
      </c>
    </row>
    <row r="829" spans="1:7" x14ac:dyDescent="0.25">
      <c r="A829">
        <v>1030</v>
      </c>
      <c r="B829">
        <v>30</v>
      </c>
      <c r="C829">
        <v>3</v>
      </c>
      <c r="D829">
        <v>15</v>
      </c>
      <c r="E829">
        <v>4</v>
      </c>
      <c r="F829">
        <v>0</v>
      </c>
      <c r="G829">
        <v>19</v>
      </c>
    </row>
    <row r="830" spans="1:7" x14ac:dyDescent="0.25">
      <c r="A830">
        <v>4042</v>
      </c>
      <c r="B830">
        <v>42</v>
      </c>
      <c r="C830">
        <v>6</v>
      </c>
      <c r="D830">
        <v>2</v>
      </c>
      <c r="E830">
        <v>17</v>
      </c>
      <c r="F830">
        <v>1</v>
      </c>
      <c r="G830">
        <v>20</v>
      </c>
    </row>
    <row r="831" spans="1:7" x14ac:dyDescent="0.25">
      <c r="A831">
        <v>3083</v>
      </c>
      <c r="B831">
        <v>83</v>
      </c>
      <c r="C831">
        <v>5</v>
      </c>
      <c r="D831">
        <v>1</v>
      </c>
      <c r="E831">
        <v>10</v>
      </c>
      <c r="F831">
        <v>0</v>
      </c>
      <c r="G831">
        <v>11</v>
      </c>
    </row>
    <row r="832" spans="1:7" x14ac:dyDescent="0.25">
      <c r="A832">
        <v>3097</v>
      </c>
      <c r="B832">
        <v>97</v>
      </c>
      <c r="C832">
        <v>6</v>
      </c>
      <c r="D832">
        <v>8</v>
      </c>
      <c r="E832">
        <v>9</v>
      </c>
      <c r="F832">
        <v>2</v>
      </c>
      <c r="G832">
        <v>19</v>
      </c>
    </row>
    <row r="833" spans="1:7" x14ac:dyDescent="0.25">
      <c r="A833">
        <v>3083</v>
      </c>
      <c r="B833">
        <v>83</v>
      </c>
      <c r="C833">
        <v>4</v>
      </c>
      <c r="D833">
        <v>2</v>
      </c>
      <c r="E833">
        <v>18</v>
      </c>
      <c r="F833">
        <v>0</v>
      </c>
      <c r="G833">
        <v>20</v>
      </c>
    </row>
    <row r="834" spans="1:7" x14ac:dyDescent="0.25">
      <c r="A834">
        <v>1008</v>
      </c>
      <c r="B834">
        <v>8</v>
      </c>
      <c r="C834">
        <v>7</v>
      </c>
      <c r="D834">
        <v>4</v>
      </c>
      <c r="E834">
        <v>8</v>
      </c>
      <c r="F834">
        <v>1</v>
      </c>
      <c r="G834">
        <v>13</v>
      </c>
    </row>
    <row r="835" spans="1:7" x14ac:dyDescent="0.25">
      <c r="A835">
        <v>2099</v>
      </c>
      <c r="B835">
        <v>99</v>
      </c>
      <c r="C835">
        <v>6</v>
      </c>
      <c r="D835">
        <v>3</v>
      </c>
      <c r="E835">
        <v>12</v>
      </c>
      <c r="F835">
        <v>0</v>
      </c>
      <c r="G835">
        <v>15</v>
      </c>
    </row>
    <row r="836" spans="1:7" x14ac:dyDescent="0.25">
      <c r="A836">
        <v>4042</v>
      </c>
      <c r="B836">
        <v>42</v>
      </c>
      <c r="C836">
        <v>7</v>
      </c>
      <c r="D836">
        <v>4</v>
      </c>
      <c r="E836">
        <v>16</v>
      </c>
      <c r="F836">
        <v>0</v>
      </c>
      <c r="G836">
        <v>20</v>
      </c>
    </row>
    <row r="837" spans="1:7" x14ac:dyDescent="0.25">
      <c r="A837">
        <v>1030</v>
      </c>
      <c r="B837">
        <v>30</v>
      </c>
      <c r="C837">
        <v>4</v>
      </c>
      <c r="D837">
        <v>11</v>
      </c>
      <c r="E837">
        <v>10</v>
      </c>
      <c r="F837">
        <v>1</v>
      </c>
      <c r="G837">
        <v>22</v>
      </c>
    </row>
    <row r="838" spans="1:7" x14ac:dyDescent="0.25">
      <c r="A838">
        <v>1030</v>
      </c>
      <c r="B838">
        <v>30</v>
      </c>
      <c r="C838">
        <v>5</v>
      </c>
      <c r="D838">
        <v>10</v>
      </c>
      <c r="E838">
        <v>7</v>
      </c>
      <c r="F838">
        <v>1</v>
      </c>
      <c r="G838">
        <v>18</v>
      </c>
    </row>
    <row r="839" spans="1:7" x14ac:dyDescent="0.25">
      <c r="A839">
        <v>2008</v>
      </c>
      <c r="B839">
        <v>8</v>
      </c>
      <c r="C839">
        <v>5</v>
      </c>
      <c r="D839">
        <v>9</v>
      </c>
      <c r="E839">
        <v>7</v>
      </c>
      <c r="F839">
        <v>0</v>
      </c>
      <c r="G839">
        <v>16</v>
      </c>
    </row>
    <row r="840" spans="1:7" x14ac:dyDescent="0.25">
      <c r="A840">
        <v>5042</v>
      </c>
      <c r="B840">
        <v>42</v>
      </c>
      <c r="C840">
        <v>4</v>
      </c>
      <c r="D840">
        <v>5</v>
      </c>
      <c r="E840">
        <v>10</v>
      </c>
      <c r="F840">
        <v>0</v>
      </c>
      <c r="G840">
        <v>15</v>
      </c>
    </row>
    <row r="841" spans="1:7" x14ac:dyDescent="0.25">
      <c r="A841">
        <v>2099</v>
      </c>
      <c r="B841">
        <v>99</v>
      </c>
      <c r="C841">
        <v>5</v>
      </c>
      <c r="D841">
        <v>1</v>
      </c>
      <c r="E841">
        <v>2</v>
      </c>
      <c r="F841">
        <v>0</v>
      </c>
      <c r="G841">
        <v>3</v>
      </c>
    </row>
    <row r="842" spans="1:7" x14ac:dyDescent="0.25">
      <c r="A842">
        <v>2030</v>
      </c>
      <c r="B842">
        <v>30</v>
      </c>
      <c r="C842">
        <v>3</v>
      </c>
      <c r="D842">
        <v>9</v>
      </c>
      <c r="E842">
        <v>4</v>
      </c>
      <c r="F842">
        <v>1</v>
      </c>
      <c r="G842">
        <v>14</v>
      </c>
    </row>
    <row r="843" spans="1:7" x14ac:dyDescent="0.25">
      <c r="A843">
        <v>2008</v>
      </c>
      <c r="B843">
        <v>8</v>
      </c>
      <c r="C843">
        <v>6</v>
      </c>
      <c r="D843">
        <v>10</v>
      </c>
      <c r="E843">
        <v>19</v>
      </c>
      <c r="F843">
        <v>0</v>
      </c>
      <c r="G843">
        <v>29</v>
      </c>
    </row>
    <row r="844" spans="1:7" x14ac:dyDescent="0.25">
      <c r="A844">
        <v>2030</v>
      </c>
      <c r="B844">
        <v>30</v>
      </c>
      <c r="C844">
        <v>4</v>
      </c>
      <c r="D844">
        <v>10</v>
      </c>
      <c r="E844">
        <v>5</v>
      </c>
      <c r="F844">
        <v>0</v>
      </c>
      <c r="G844">
        <v>15</v>
      </c>
    </row>
    <row r="845" spans="1:7" x14ac:dyDescent="0.25">
      <c r="A845">
        <v>2100</v>
      </c>
      <c r="B845">
        <v>100</v>
      </c>
      <c r="C845">
        <v>5</v>
      </c>
      <c r="D845">
        <v>8</v>
      </c>
      <c r="E845">
        <v>7</v>
      </c>
      <c r="F845">
        <v>5</v>
      </c>
      <c r="G845">
        <v>20</v>
      </c>
    </row>
    <row r="846" spans="1:7" x14ac:dyDescent="0.25">
      <c r="A846">
        <v>2030</v>
      </c>
      <c r="B846">
        <v>30</v>
      </c>
      <c r="C846">
        <v>5</v>
      </c>
      <c r="D846">
        <v>8</v>
      </c>
      <c r="E846">
        <v>12</v>
      </c>
      <c r="F846">
        <v>0</v>
      </c>
      <c r="G846">
        <v>20</v>
      </c>
    </row>
    <row r="847" spans="1:7" x14ac:dyDescent="0.25">
      <c r="A847">
        <v>2029</v>
      </c>
      <c r="B847">
        <v>29</v>
      </c>
      <c r="C847">
        <v>2</v>
      </c>
      <c r="D847">
        <v>10</v>
      </c>
      <c r="E847">
        <v>8</v>
      </c>
      <c r="F847">
        <v>0</v>
      </c>
      <c r="G847">
        <v>18</v>
      </c>
    </row>
    <row r="848" spans="1:7" x14ac:dyDescent="0.25">
      <c r="A848">
        <v>1084</v>
      </c>
      <c r="B848">
        <v>84</v>
      </c>
      <c r="C848">
        <v>4</v>
      </c>
      <c r="D848">
        <v>8</v>
      </c>
      <c r="E848">
        <v>12</v>
      </c>
      <c r="F848">
        <v>0</v>
      </c>
      <c r="G848">
        <v>20</v>
      </c>
    </row>
    <row r="849" spans="1:7" x14ac:dyDescent="0.25">
      <c r="A849">
        <v>4008</v>
      </c>
      <c r="B849">
        <v>8</v>
      </c>
      <c r="C849">
        <v>1</v>
      </c>
      <c r="D849">
        <v>6</v>
      </c>
      <c r="E849">
        <v>19</v>
      </c>
      <c r="F849">
        <v>1</v>
      </c>
      <c r="G849">
        <v>26</v>
      </c>
    </row>
    <row r="850" spans="1:7" x14ac:dyDescent="0.25">
      <c r="A850">
        <v>5042</v>
      </c>
      <c r="B850">
        <v>42</v>
      </c>
      <c r="C850">
        <v>5</v>
      </c>
      <c r="D850">
        <v>11</v>
      </c>
      <c r="E850">
        <v>9</v>
      </c>
      <c r="F850">
        <v>0</v>
      </c>
      <c r="G850">
        <v>20</v>
      </c>
    </row>
    <row r="851" spans="1:7" x14ac:dyDescent="0.25">
      <c r="A851">
        <v>1153</v>
      </c>
      <c r="B851">
        <v>153</v>
      </c>
      <c r="C851">
        <v>5</v>
      </c>
      <c r="D851">
        <v>17</v>
      </c>
      <c r="E851">
        <v>14</v>
      </c>
      <c r="F851">
        <v>1</v>
      </c>
      <c r="G851">
        <v>32</v>
      </c>
    </row>
    <row r="852" spans="1:7" x14ac:dyDescent="0.25">
      <c r="A852">
        <v>5042</v>
      </c>
      <c r="B852">
        <v>42</v>
      </c>
      <c r="C852">
        <v>6</v>
      </c>
      <c r="D852">
        <v>7</v>
      </c>
      <c r="E852">
        <v>10</v>
      </c>
      <c r="F852">
        <v>0</v>
      </c>
      <c r="G852">
        <v>17</v>
      </c>
    </row>
    <row r="853" spans="1:7" x14ac:dyDescent="0.25">
      <c r="A853">
        <v>1101</v>
      </c>
      <c r="B853">
        <v>101</v>
      </c>
      <c r="C853">
        <v>4</v>
      </c>
      <c r="D853">
        <v>7</v>
      </c>
      <c r="E853">
        <v>12</v>
      </c>
      <c r="F853">
        <v>1</v>
      </c>
      <c r="G853">
        <v>20</v>
      </c>
    </row>
    <row r="854" spans="1:7" x14ac:dyDescent="0.25">
      <c r="A854">
        <v>4008</v>
      </c>
      <c r="B854">
        <v>8</v>
      </c>
      <c r="C854">
        <v>2</v>
      </c>
      <c r="D854">
        <v>6</v>
      </c>
      <c r="E854">
        <v>20</v>
      </c>
      <c r="F854">
        <v>2</v>
      </c>
      <c r="G854">
        <v>28</v>
      </c>
    </row>
    <row r="855" spans="1:7" x14ac:dyDescent="0.25">
      <c r="A855">
        <v>4042</v>
      </c>
      <c r="B855">
        <v>42</v>
      </c>
      <c r="C855">
        <v>1</v>
      </c>
      <c r="D855">
        <v>2</v>
      </c>
      <c r="E855">
        <v>18</v>
      </c>
      <c r="F855">
        <v>0</v>
      </c>
      <c r="G855">
        <v>20</v>
      </c>
    </row>
    <row r="856" spans="1:7" x14ac:dyDescent="0.25">
      <c r="A856">
        <v>1153</v>
      </c>
      <c r="B856">
        <v>153</v>
      </c>
      <c r="C856">
        <v>4</v>
      </c>
      <c r="D856">
        <v>8</v>
      </c>
      <c r="E856">
        <v>7</v>
      </c>
      <c r="F856">
        <v>0</v>
      </c>
      <c r="G856">
        <v>15</v>
      </c>
    </row>
    <row r="857" spans="1:7" x14ac:dyDescent="0.25">
      <c r="A857">
        <v>4008</v>
      </c>
      <c r="B857">
        <v>8</v>
      </c>
      <c r="C857">
        <v>3</v>
      </c>
      <c r="D857">
        <v>6</v>
      </c>
      <c r="E857">
        <v>20</v>
      </c>
      <c r="F857">
        <v>1</v>
      </c>
      <c r="G857">
        <v>27</v>
      </c>
    </row>
    <row r="858" spans="1:7" x14ac:dyDescent="0.25">
      <c r="A858">
        <v>2029</v>
      </c>
      <c r="B858">
        <v>29</v>
      </c>
      <c r="C858">
        <v>3</v>
      </c>
      <c r="D858">
        <v>22</v>
      </c>
      <c r="E858">
        <v>24</v>
      </c>
      <c r="F858">
        <v>0</v>
      </c>
      <c r="G858">
        <v>46</v>
      </c>
    </row>
    <row r="859" spans="1:7" x14ac:dyDescent="0.25">
      <c r="A859">
        <v>4042</v>
      </c>
      <c r="B859">
        <v>42</v>
      </c>
      <c r="C859">
        <v>2</v>
      </c>
      <c r="D859">
        <v>1</v>
      </c>
      <c r="E859">
        <v>19</v>
      </c>
      <c r="F859">
        <v>0</v>
      </c>
      <c r="G859">
        <v>20</v>
      </c>
    </row>
    <row r="860" spans="1:7" x14ac:dyDescent="0.25">
      <c r="A860">
        <v>4008</v>
      </c>
      <c r="B860">
        <v>8</v>
      </c>
      <c r="C860">
        <v>4</v>
      </c>
      <c r="D860">
        <v>11</v>
      </c>
      <c r="E860">
        <v>20</v>
      </c>
      <c r="F860">
        <v>1</v>
      </c>
      <c r="G860">
        <v>32</v>
      </c>
    </row>
    <row r="861" spans="1:7" x14ac:dyDescent="0.25">
      <c r="A861">
        <v>4042</v>
      </c>
      <c r="B861">
        <v>42</v>
      </c>
      <c r="C861">
        <v>3</v>
      </c>
      <c r="D861">
        <v>3</v>
      </c>
      <c r="E861">
        <v>17</v>
      </c>
      <c r="F861">
        <v>0</v>
      </c>
      <c r="G861">
        <v>20</v>
      </c>
    </row>
    <row r="862" spans="1:7" x14ac:dyDescent="0.25">
      <c r="A862">
        <v>1144</v>
      </c>
      <c r="B862">
        <v>144</v>
      </c>
      <c r="C862">
        <v>7</v>
      </c>
      <c r="D862">
        <v>6</v>
      </c>
      <c r="E862">
        <v>3</v>
      </c>
      <c r="F862">
        <v>0</v>
      </c>
      <c r="G862">
        <v>9</v>
      </c>
    </row>
    <row r="863" spans="1:7" x14ac:dyDescent="0.25">
      <c r="A863">
        <v>5042</v>
      </c>
      <c r="B863">
        <v>42</v>
      </c>
      <c r="C863">
        <v>7</v>
      </c>
      <c r="D863">
        <v>5</v>
      </c>
      <c r="E863">
        <v>12</v>
      </c>
      <c r="F863">
        <v>0</v>
      </c>
      <c r="G863">
        <v>17</v>
      </c>
    </row>
    <row r="864" spans="1:7" x14ac:dyDescent="0.25">
      <c r="A864">
        <v>4008</v>
      </c>
      <c r="B864">
        <v>8</v>
      </c>
      <c r="C864">
        <v>5</v>
      </c>
      <c r="D864">
        <v>10</v>
      </c>
      <c r="E864">
        <v>20</v>
      </c>
      <c r="F864">
        <v>1</v>
      </c>
      <c r="G864">
        <v>31</v>
      </c>
    </row>
    <row r="865" spans="1:7" x14ac:dyDescent="0.25">
      <c r="A865">
        <v>1023</v>
      </c>
      <c r="B865">
        <v>23</v>
      </c>
      <c r="C865">
        <v>4</v>
      </c>
      <c r="D865">
        <v>15</v>
      </c>
      <c r="E865">
        <v>5</v>
      </c>
      <c r="F865">
        <v>0</v>
      </c>
      <c r="G865">
        <v>20</v>
      </c>
    </row>
    <row r="866" spans="1:7" x14ac:dyDescent="0.25">
      <c r="A866">
        <v>2101</v>
      </c>
      <c r="B866">
        <v>101</v>
      </c>
      <c r="C866">
        <v>4</v>
      </c>
      <c r="D866">
        <v>6</v>
      </c>
      <c r="E866">
        <v>14</v>
      </c>
      <c r="F866">
        <v>0</v>
      </c>
      <c r="G866">
        <v>20</v>
      </c>
    </row>
    <row r="867" spans="1:7" x14ac:dyDescent="0.25">
      <c r="A867">
        <v>4008</v>
      </c>
      <c r="B867">
        <v>8</v>
      </c>
      <c r="C867">
        <v>6</v>
      </c>
      <c r="D867">
        <v>3</v>
      </c>
      <c r="E867">
        <v>20</v>
      </c>
      <c r="F867">
        <v>1</v>
      </c>
      <c r="G867">
        <v>24</v>
      </c>
    </row>
    <row r="868" spans="1:7" x14ac:dyDescent="0.25">
      <c r="A868">
        <v>2143</v>
      </c>
      <c r="B868">
        <v>143</v>
      </c>
      <c r="C868">
        <v>2</v>
      </c>
      <c r="D868">
        <v>7</v>
      </c>
      <c r="E868">
        <v>2</v>
      </c>
      <c r="F868">
        <v>0</v>
      </c>
      <c r="G868">
        <v>9</v>
      </c>
    </row>
    <row r="869" spans="1:7" x14ac:dyDescent="0.25">
      <c r="A869">
        <v>2144</v>
      </c>
      <c r="B869">
        <v>144</v>
      </c>
      <c r="C869">
        <v>7</v>
      </c>
      <c r="D869">
        <v>16</v>
      </c>
      <c r="E869">
        <v>4</v>
      </c>
      <c r="F869">
        <v>31</v>
      </c>
      <c r="G869">
        <v>51</v>
      </c>
    </row>
    <row r="870" spans="1:7" x14ac:dyDescent="0.25">
      <c r="A870">
        <v>2019</v>
      </c>
      <c r="B870">
        <v>19</v>
      </c>
      <c r="C870">
        <v>6</v>
      </c>
      <c r="D870">
        <v>3</v>
      </c>
      <c r="E870">
        <v>11</v>
      </c>
      <c r="F870">
        <v>0</v>
      </c>
      <c r="G870">
        <v>14</v>
      </c>
    </row>
    <row r="871" spans="1:7" x14ac:dyDescent="0.25">
      <c r="A871">
        <v>4008</v>
      </c>
      <c r="B871">
        <v>8</v>
      </c>
      <c r="C871">
        <v>7</v>
      </c>
      <c r="D871">
        <v>5</v>
      </c>
      <c r="E871">
        <v>10</v>
      </c>
      <c r="F871">
        <v>1</v>
      </c>
      <c r="G871">
        <v>16</v>
      </c>
    </row>
    <row r="872" spans="1:7" x14ac:dyDescent="0.25">
      <c r="A872">
        <v>3102</v>
      </c>
      <c r="B872">
        <v>102</v>
      </c>
      <c r="C872">
        <v>5</v>
      </c>
      <c r="D872">
        <v>0</v>
      </c>
      <c r="E872">
        <v>20</v>
      </c>
      <c r="F872">
        <v>0</v>
      </c>
      <c r="G872">
        <v>20</v>
      </c>
    </row>
    <row r="873" spans="1:7" x14ac:dyDescent="0.25">
      <c r="A873">
        <v>2008</v>
      </c>
      <c r="B873">
        <v>8</v>
      </c>
      <c r="C873">
        <v>7</v>
      </c>
      <c r="D873">
        <v>10</v>
      </c>
      <c r="E873">
        <v>19</v>
      </c>
      <c r="F873">
        <v>1</v>
      </c>
      <c r="G873">
        <v>30</v>
      </c>
    </row>
    <row r="874" spans="1:7" x14ac:dyDescent="0.25">
      <c r="A874">
        <v>3144</v>
      </c>
      <c r="B874">
        <v>144</v>
      </c>
      <c r="C874">
        <v>7</v>
      </c>
      <c r="D874">
        <v>12</v>
      </c>
      <c r="E874">
        <v>8</v>
      </c>
      <c r="F874">
        <v>0</v>
      </c>
      <c r="G874">
        <v>20</v>
      </c>
    </row>
    <row r="875" spans="1:7" x14ac:dyDescent="0.25">
      <c r="A875">
        <v>4145</v>
      </c>
      <c r="B875">
        <v>145</v>
      </c>
      <c r="C875">
        <v>2</v>
      </c>
      <c r="D875">
        <v>5</v>
      </c>
      <c r="E875">
        <v>7</v>
      </c>
      <c r="F875">
        <v>1</v>
      </c>
      <c r="G875">
        <v>13</v>
      </c>
    </row>
    <row r="876" spans="1:7" x14ac:dyDescent="0.25">
      <c r="A876">
        <v>1008</v>
      </c>
      <c r="B876">
        <v>8</v>
      </c>
      <c r="C876">
        <v>6</v>
      </c>
      <c r="D876">
        <v>10</v>
      </c>
      <c r="E876">
        <v>10</v>
      </c>
      <c r="F876">
        <v>1</v>
      </c>
      <c r="G876">
        <v>21</v>
      </c>
    </row>
    <row r="877" spans="1:7" x14ac:dyDescent="0.25">
      <c r="A877">
        <v>1145</v>
      </c>
      <c r="B877">
        <v>145</v>
      </c>
      <c r="C877">
        <v>7</v>
      </c>
      <c r="D877">
        <v>3</v>
      </c>
      <c r="E877">
        <v>16</v>
      </c>
      <c r="F877">
        <v>0</v>
      </c>
      <c r="G877">
        <v>19</v>
      </c>
    </row>
    <row r="878" spans="1:7" x14ac:dyDescent="0.25">
      <c r="A878">
        <v>3102</v>
      </c>
      <c r="B878">
        <v>102</v>
      </c>
      <c r="C878">
        <v>4</v>
      </c>
      <c r="D878">
        <v>2</v>
      </c>
      <c r="E878">
        <v>18</v>
      </c>
      <c r="F878">
        <v>0</v>
      </c>
      <c r="G878">
        <v>20</v>
      </c>
    </row>
    <row r="879" spans="1:7" x14ac:dyDescent="0.25">
      <c r="A879">
        <v>4145</v>
      </c>
      <c r="B879">
        <v>145</v>
      </c>
      <c r="C879">
        <v>1</v>
      </c>
      <c r="D879">
        <v>6</v>
      </c>
      <c r="E879">
        <v>29</v>
      </c>
      <c r="F879">
        <v>0</v>
      </c>
      <c r="G879">
        <v>35</v>
      </c>
    </row>
    <row r="880" spans="1:7" x14ac:dyDescent="0.25">
      <c r="A880">
        <v>2142</v>
      </c>
      <c r="B880">
        <v>142</v>
      </c>
      <c r="C880">
        <v>5</v>
      </c>
      <c r="D880">
        <v>2</v>
      </c>
      <c r="E880">
        <v>15</v>
      </c>
      <c r="F880">
        <v>0</v>
      </c>
      <c r="G880">
        <v>17</v>
      </c>
    </row>
    <row r="881" spans="1:7" x14ac:dyDescent="0.25">
      <c r="A881">
        <v>1152</v>
      </c>
      <c r="B881">
        <v>152</v>
      </c>
      <c r="C881">
        <v>5</v>
      </c>
      <c r="D881">
        <v>6</v>
      </c>
      <c r="E881">
        <v>10</v>
      </c>
      <c r="F881">
        <v>0</v>
      </c>
      <c r="G881">
        <v>16</v>
      </c>
    </row>
    <row r="882" spans="1:7" x14ac:dyDescent="0.25">
      <c r="A882">
        <v>2143</v>
      </c>
      <c r="B882">
        <v>143</v>
      </c>
      <c r="C882">
        <v>3</v>
      </c>
      <c r="D882">
        <v>5</v>
      </c>
      <c r="E882">
        <v>4</v>
      </c>
      <c r="F882">
        <v>0</v>
      </c>
      <c r="G882">
        <v>9</v>
      </c>
    </row>
    <row r="883" spans="1:7" x14ac:dyDescent="0.25">
      <c r="A883">
        <v>1092</v>
      </c>
      <c r="B883">
        <v>92</v>
      </c>
      <c r="C883">
        <v>5</v>
      </c>
      <c r="D883">
        <v>12</v>
      </c>
      <c r="E883">
        <v>9</v>
      </c>
      <c r="F883">
        <v>0</v>
      </c>
      <c r="G883">
        <v>21</v>
      </c>
    </row>
    <row r="884" spans="1:7" x14ac:dyDescent="0.25">
      <c r="A884">
        <v>2013</v>
      </c>
      <c r="B884">
        <v>13</v>
      </c>
      <c r="C884">
        <v>7</v>
      </c>
      <c r="D884">
        <v>2</v>
      </c>
      <c r="E884">
        <v>10</v>
      </c>
      <c r="F884">
        <v>0</v>
      </c>
      <c r="G884">
        <v>12</v>
      </c>
    </row>
    <row r="885" spans="1:7" x14ac:dyDescent="0.25">
      <c r="A885">
        <v>2142</v>
      </c>
      <c r="B885">
        <v>142</v>
      </c>
      <c r="C885">
        <v>3</v>
      </c>
      <c r="D885">
        <v>4</v>
      </c>
      <c r="E885">
        <v>13</v>
      </c>
      <c r="F885">
        <v>0</v>
      </c>
      <c r="G885">
        <v>17</v>
      </c>
    </row>
    <row r="886" spans="1:7" x14ac:dyDescent="0.25">
      <c r="A886">
        <v>4145</v>
      </c>
      <c r="B886">
        <v>145</v>
      </c>
      <c r="C886">
        <v>3</v>
      </c>
      <c r="D886">
        <v>4</v>
      </c>
      <c r="E886">
        <v>8</v>
      </c>
      <c r="F886">
        <v>1</v>
      </c>
      <c r="G886">
        <v>13</v>
      </c>
    </row>
    <row r="887" spans="1:7" x14ac:dyDescent="0.25">
      <c r="A887">
        <v>3142</v>
      </c>
      <c r="B887">
        <v>142</v>
      </c>
      <c r="C887">
        <v>6</v>
      </c>
      <c r="D887">
        <v>8</v>
      </c>
      <c r="E887">
        <v>5</v>
      </c>
      <c r="F887">
        <v>0</v>
      </c>
      <c r="G887">
        <v>13</v>
      </c>
    </row>
    <row r="888" spans="1:7" x14ac:dyDescent="0.25">
      <c r="A888">
        <v>2003</v>
      </c>
      <c r="B888">
        <v>3</v>
      </c>
      <c r="C888">
        <v>6</v>
      </c>
      <c r="D888">
        <v>26</v>
      </c>
      <c r="E888">
        <v>28</v>
      </c>
      <c r="F888">
        <v>0</v>
      </c>
      <c r="G888">
        <v>54</v>
      </c>
    </row>
    <row r="889" spans="1:7" x14ac:dyDescent="0.25">
      <c r="A889">
        <v>2093</v>
      </c>
      <c r="B889">
        <v>93</v>
      </c>
      <c r="C889">
        <v>4</v>
      </c>
      <c r="D889">
        <v>3</v>
      </c>
      <c r="E889">
        <v>5</v>
      </c>
      <c r="F889">
        <v>0</v>
      </c>
      <c r="G889">
        <v>8</v>
      </c>
    </row>
    <row r="890" spans="1:7" x14ac:dyDescent="0.25">
      <c r="A890">
        <v>1144</v>
      </c>
      <c r="B890">
        <v>144</v>
      </c>
      <c r="C890">
        <v>6</v>
      </c>
      <c r="D890">
        <v>4</v>
      </c>
      <c r="E890">
        <v>5</v>
      </c>
      <c r="F890">
        <v>0</v>
      </c>
      <c r="G890">
        <v>9</v>
      </c>
    </row>
    <row r="891" spans="1:7" x14ac:dyDescent="0.25">
      <c r="A891">
        <v>2093</v>
      </c>
      <c r="B891">
        <v>93</v>
      </c>
      <c r="C891">
        <v>5</v>
      </c>
      <c r="D891">
        <v>3</v>
      </c>
      <c r="E891">
        <v>2</v>
      </c>
      <c r="F891">
        <v>0</v>
      </c>
      <c r="G891">
        <v>5</v>
      </c>
    </row>
    <row r="892" spans="1:7" x14ac:dyDescent="0.25">
      <c r="A892">
        <v>1093</v>
      </c>
      <c r="B892">
        <v>93</v>
      </c>
      <c r="C892">
        <v>5</v>
      </c>
      <c r="D892">
        <v>6</v>
      </c>
      <c r="E892">
        <v>8</v>
      </c>
      <c r="F892">
        <v>2</v>
      </c>
      <c r="G892">
        <v>16</v>
      </c>
    </row>
    <row r="893" spans="1:7" x14ac:dyDescent="0.25">
      <c r="A893">
        <v>1144</v>
      </c>
      <c r="B893">
        <v>144</v>
      </c>
      <c r="C893">
        <v>5</v>
      </c>
      <c r="D893">
        <v>5</v>
      </c>
      <c r="E893">
        <v>2</v>
      </c>
      <c r="F893">
        <v>0</v>
      </c>
      <c r="G893">
        <v>7</v>
      </c>
    </row>
    <row r="894" spans="1:7" x14ac:dyDescent="0.25">
      <c r="A894">
        <v>3012</v>
      </c>
      <c r="B894">
        <v>12</v>
      </c>
      <c r="C894">
        <v>7</v>
      </c>
      <c r="D894">
        <v>5</v>
      </c>
      <c r="E894">
        <v>5</v>
      </c>
      <c r="F894">
        <v>0</v>
      </c>
      <c r="G894">
        <v>10</v>
      </c>
    </row>
    <row r="895" spans="1:7" x14ac:dyDescent="0.25">
      <c r="A895">
        <v>1002</v>
      </c>
      <c r="B895">
        <v>2</v>
      </c>
      <c r="C895">
        <v>5</v>
      </c>
      <c r="D895">
        <v>2</v>
      </c>
      <c r="E895">
        <v>16</v>
      </c>
      <c r="F895">
        <v>2</v>
      </c>
      <c r="G895">
        <v>20</v>
      </c>
    </row>
    <row r="896" spans="1:7" x14ac:dyDescent="0.25">
      <c r="A896">
        <v>3111</v>
      </c>
      <c r="B896">
        <v>111</v>
      </c>
      <c r="C896">
        <v>4</v>
      </c>
      <c r="D896">
        <v>20</v>
      </c>
      <c r="E896">
        <v>0</v>
      </c>
      <c r="F896">
        <v>0</v>
      </c>
      <c r="G896">
        <v>20</v>
      </c>
    </row>
    <row r="897" spans="1:7" x14ac:dyDescent="0.25">
      <c r="A897">
        <v>3092</v>
      </c>
      <c r="B897">
        <v>92</v>
      </c>
      <c r="C897">
        <v>5</v>
      </c>
      <c r="D897">
        <v>8</v>
      </c>
      <c r="E897">
        <v>12</v>
      </c>
      <c r="F897">
        <v>0</v>
      </c>
      <c r="G897">
        <v>20</v>
      </c>
    </row>
    <row r="898" spans="1:7" x14ac:dyDescent="0.25">
      <c r="A898">
        <v>1115</v>
      </c>
      <c r="B898">
        <v>115</v>
      </c>
      <c r="C898">
        <v>4</v>
      </c>
      <c r="D898">
        <v>20</v>
      </c>
      <c r="E898">
        <v>17</v>
      </c>
      <c r="F898">
        <v>0</v>
      </c>
      <c r="G898">
        <v>37</v>
      </c>
    </row>
    <row r="899" spans="1:7" x14ac:dyDescent="0.25">
      <c r="A899">
        <v>2142</v>
      </c>
      <c r="B899">
        <v>142</v>
      </c>
      <c r="C899">
        <v>6</v>
      </c>
      <c r="D899">
        <v>12</v>
      </c>
      <c r="E899">
        <v>7</v>
      </c>
      <c r="F899">
        <v>0</v>
      </c>
      <c r="G899">
        <v>19</v>
      </c>
    </row>
    <row r="900" spans="1:7" x14ac:dyDescent="0.25">
      <c r="A900">
        <v>3012</v>
      </c>
      <c r="B900">
        <v>12</v>
      </c>
      <c r="C900">
        <v>6</v>
      </c>
      <c r="D900">
        <v>6</v>
      </c>
      <c r="E900">
        <v>0</v>
      </c>
      <c r="F900">
        <v>0</v>
      </c>
      <c r="G900">
        <v>6</v>
      </c>
    </row>
    <row r="901" spans="1:7" x14ac:dyDescent="0.25">
      <c r="A901">
        <v>2111</v>
      </c>
      <c r="B901">
        <v>111</v>
      </c>
      <c r="C901">
        <v>4</v>
      </c>
      <c r="D901">
        <v>6</v>
      </c>
      <c r="E901">
        <v>1</v>
      </c>
      <c r="F901">
        <v>0</v>
      </c>
      <c r="G901">
        <v>7</v>
      </c>
    </row>
    <row r="902" spans="1:7" x14ac:dyDescent="0.25">
      <c r="A902">
        <v>1014</v>
      </c>
      <c r="B902">
        <v>14</v>
      </c>
      <c r="C902">
        <v>7</v>
      </c>
      <c r="D902">
        <v>1</v>
      </c>
      <c r="E902">
        <v>2</v>
      </c>
      <c r="F902">
        <v>0</v>
      </c>
      <c r="G902">
        <v>3</v>
      </c>
    </row>
    <row r="903" spans="1:7" x14ac:dyDescent="0.25">
      <c r="A903">
        <v>1111</v>
      </c>
      <c r="B903">
        <v>111</v>
      </c>
      <c r="C903">
        <v>4</v>
      </c>
      <c r="D903">
        <v>12</v>
      </c>
      <c r="E903">
        <v>0</v>
      </c>
      <c r="F903">
        <v>0</v>
      </c>
      <c r="G903">
        <v>12</v>
      </c>
    </row>
    <row r="904" spans="1:7" x14ac:dyDescent="0.25">
      <c r="A904">
        <v>2015</v>
      </c>
      <c r="B904">
        <v>15</v>
      </c>
      <c r="C904">
        <v>6</v>
      </c>
      <c r="D904">
        <v>2</v>
      </c>
      <c r="E904">
        <v>8</v>
      </c>
      <c r="F904">
        <v>1</v>
      </c>
      <c r="G904">
        <v>11</v>
      </c>
    </row>
    <row r="905" spans="1:7" x14ac:dyDescent="0.25">
      <c r="A905">
        <v>1004</v>
      </c>
      <c r="B905">
        <v>4</v>
      </c>
      <c r="C905">
        <v>5</v>
      </c>
      <c r="D905">
        <v>11</v>
      </c>
      <c r="E905">
        <v>9</v>
      </c>
      <c r="F905">
        <v>0</v>
      </c>
      <c r="G905">
        <v>20</v>
      </c>
    </row>
    <row r="906" spans="1:7" x14ac:dyDescent="0.25">
      <c r="A906">
        <v>3144</v>
      </c>
      <c r="B906">
        <v>144</v>
      </c>
      <c r="C906">
        <v>6</v>
      </c>
      <c r="D906">
        <v>3</v>
      </c>
      <c r="E906">
        <v>16</v>
      </c>
      <c r="F906">
        <v>0</v>
      </c>
      <c r="G906">
        <v>19</v>
      </c>
    </row>
    <row r="907" spans="1:7" x14ac:dyDescent="0.25">
      <c r="A907">
        <v>2109</v>
      </c>
      <c r="B907">
        <v>109</v>
      </c>
      <c r="C907">
        <v>4</v>
      </c>
      <c r="D907">
        <v>3</v>
      </c>
      <c r="E907">
        <v>3</v>
      </c>
      <c r="F907">
        <v>0</v>
      </c>
      <c r="G907">
        <v>6</v>
      </c>
    </row>
    <row r="908" spans="1:7" x14ac:dyDescent="0.25">
      <c r="A908">
        <v>2026</v>
      </c>
      <c r="B908">
        <v>26</v>
      </c>
      <c r="C908">
        <v>8</v>
      </c>
      <c r="D908">
        <v>9</v>
      </c>
      <c r="E908">
        <v>10</v>
      </c>
      <c r="F908">
        <v>0</v>
      </c>
      <c r="G908">
        <v>19</v>
      </c>
    </row>
    <row r="909" spans="1:7" x14ac:dyDescent="0.25">
      <c r="A909">
        <v>1014</v>
      </c>
      <c r="B909">
        <v>14</v>
      </c>
      <c r="C909">
        <v>6</v>
      </c>
      <c r="D909">
        <v>7</v>
      </c>
      <c r="E909">
        <v>3</v>
      </c>
      <c r="F909">
        <v>0</v>
      </c>
      <c r="G909">
        <v>10</v>
      </c>
    </row>
    <row r="910" spans="1:7" x14ac:dyDescent="0.25">
      <c r="A910">
        <v>1005</v>
      </c>
      <c r="B910">
        <v>5</v>
      </c>
      <c r="C910">
        <v>6</v>
      </c>
      <c r="D910">
        <v>4</v>
      </c>
      <c r="E910">
        <v>27</v>
      </c>
      <c r="F910">
        <v>0</v>
      </c>
      <c r="G910">
        <v>31</v>
      </c>
    </row>
    <row r="911" spans="1:7" x14ac:dyDescent="0.25">
      <c r="A911">
        <v>2027</v>
      </c>
      <c r="B911">
        <v>27</v>
      </c>
      <c r="C911">
        <v>8</v>
      </c>
      <c r="D911">
        <v>11</v>
      </c>
      <c r="E911">
        <v>4</v>
      </c>
      <c r="F911">
        <v>3</v>
      </c>
      <c r="G911">
        <v>18</v>
      </c>
    </row>
    <row r="912" spans="1:7" x14ac:dyDescent="0.25">
      <c r="A912">
        <v>1015</v>
      </c>
      <c r="B912">
        <v>15</v>
      </c>
      <c r="C912">
        <v>6</v>
      </c>
      <c r="D912">
        <v>9</v>
      </c>
      <c r="E912">
        <v>7</v>
      </c>
      <c r="F912">
        <v>0</v>
      </c>
      <c r="G912">
        <v>16</v>
      </c>
    </row>
    <row r="913" spans="1:7" x14ac:dyDescent="0.25">
      <c r="A913">
        <v>1145</v>
      </c>
      <c r="B913">
        <v>145</v>
      </c>
      <c r="C913">
        <v>5</v>
      </c>
      <c r="D913">
        <v>6</v>
      </c>
      <c r="E913">
        <v>17</v>
      </c>
      <c r="F913">
        <v>0</v>
      </c>
      <c r="G913">
        <v>23</v>
      </c>
    </row>
    <row r="914" spans="1:7" x14ac:dyDescent="0.25">
      <c r="A914">
        <v>2006</v>
      </c>
      <c r="B914">
        <v>6</v>
      </c>
      <c r="C914">
        <v>5</v>
      </c>
      <c r="D914">
        <v>3</v>
      </c>
      <c r="E914">
        <v>17</v>
      </c>
      <c r="F914">
        <v>0</v>
      </c>
      <c r="G914">
        <v>20</v>
      </c>
    </row>
    <row r="915" spans="1:7" x14ac:dyDescent="0.25">
      <c r="A915">
        <v>1026</v>
      </c>
      <c r="B915">
        <v>26</v>
      </c>
      <c r="C915">
        <v>8</v>
      </c>
      <c r="D915">
        <v>8</v>
      </c>
      <c r="E915">
        <v>0</v>
      </c>
      <c r="F915">
        <v>0</v>
      </c>
      <c r="G915">
        <v>8</v>
      </c>
    </row>
    <row r="916" spans="1:7" x14ac:dyDescent="0.25">
      <c r="A916">
        <v>3026</v>
      </c>
      <c r="B916">
        <v>26</v>
      </c>
      <c r="C916">
        <v>8</v>
      </c>
      <c r="D916">
        <v>17</v>
      </c>
      <c r="E916">
        <v>3</v>
      </c>
      <c r="F916">
        <v>0</v>
      </c>
      <c r="G916">
        <v>20</v>
      </c>
    </row>
    <row r="917" spans="1:7" x14ac:dyDescent="0.25">
      <c r="A917">
        <v>1111</v>
      </c>
      <c r="B917">
        <v>111</v>
      </c>
      <c r="C917">
        <v>3</v>
      </c>
      <c r="D917">
        <v>10</v>
      </c>
      <c r="E917">
        <v>0</v>
      </c>
      <c r="F917">
        <v>0</v>
      </c>
      <c r="G917">
        <v>10</v>
      </c>
    </row>
    <row r="918" spans="1:7" x14ac:dyDescent="0.25">
      <c r="A918">
        <v>2006</v>
      </c>
      <c r="B918">
        <v>6</v>
      </c>
      <c r="C918">
        <v>6</v>
      </c>
      <c r="D918">
        <v>10</v>
      </c>
      <c r="E918">
        <v>10</v>
      </c>
      <c r="F918">
        <v>0</v>
      </c>
      <c r="G918">
        <v>20</v>
      </c>
    </row>
    <row r="919" spans="1:7" x14ac:dyDescent="0.25">
      <c r="A919">
        <v>2014</v>
      </c>
      <c r="B919">
        <v>14</v>
      </c>
      <c r="C919">
        <v>3</v>
      </c>
      <c r="D919">
        <v>1</v>
      </c>
      <c r="E919">
        <v>2</v>
      </c>
      <c r="F919">
        <v>0</v>
      </c>
      <c r="G919">
        <v>3</v>
      </c>
    </row>
    <row r="920" spans="1:7" x14ac:dyDescent="0.25">
      <c r="A920">
        <v>1145</v>
      </c>
      <c r="B920">
        <v>145</v>
      </c>
      <c r="C920">
        <v>6</v>
      </c>
      <c r="D920">
        <v>1</v>
      </c>
      <c r="E920">
        <v>15</v>
      </c>
      <c r="F920">
        <v>0</v>
      </c>
      <c r="G920">
        <v>16</v>
      </c>
    </row>
    <row r="921" spans="1:7" x14ac:dyDescent="0.25">
      <c r="A921">
        <v>2018</v>
      </c>
      <c r="B921">
        <v>18</v>
      </c>
      <c r="C921">
        <v>6</v>
      </c>
      <c r="D921">
        <v>1</v>
      </c>
      <c r="E921">
        <v>14</v>
      </c>
      <c r="F921">
        <v>0</v>
      </c>
      <c r="G921">
        <v>15</v>
      </c>
    </row>
    <row r="922" spans="1:7" x14ac:dyDescent="0.25">
      <c r="A922">
        <v>2006</v>
      </c>
      <c r="B922">
        <v>6</v>
      </c>
      <c r="C922">
        <v>7</v>
      </c>
      <c r="D922">
        <v>13</v>
      </c>
      <c r="E922">
        <v>7</v>
      </c>
      <c r="F922">
        <v>0</v>
      </c>
      <c r="G922">
        <v>20</v>
      </c>
    </row>
    <row r="923" spans="1:7" x14ac:dyDescent="0.25">
      <c r="A923">
        <v>3027</v>
      </c>
      <c r="B923">
        <v>27</v>
      </c>
      <c r="C923">
        <v>8</v>
      </c>
      <c r="D923">
        <v>20</v>
      </c>
      <c r="E923">
        <v>0</v>
      </c>
      <c r="F923">
        <v>0</v>
      </c>
      <c r="G923">
        <v>20</v>
      </c>
    </row>
    <row r="924" spans="1:7" x14ac:dyDescent="0.25">
      <c r="A924">
        <v>2015</v>
      </c>
      <c r="B924">
        <v>15</v>
      </c>
      <c r="C924">
        <v>7</v>
      </c>
      <c r="D924">
        <v>1</v>
      </c>
      <c r="E924">
        <v>10</v>
      </c>
      <c r="F924">
        <v>0</v>
      </c>
      <c r="G924">
        <v>11</v>
      </c>
    </row>
    <row r="925" spans="1:7" x14ac:dyDescent="0.25">
      <c r="A925">
        <v>2014</v>
      </c>
      <c r="B925">
        <v>14</v>
      </c>
      <c r="C925">
        <v>2</v>
      </c>
      <c r="D925">
        <v>2</v>
      </c>
      <c r="E925">
        <v>3</v>
      </c>
      <c r="F925">
        <v>0</v>
      </c>
      <c r="G925">
        <v>5</v>
      </c>
    </row>
    <row r="926" spans="1:7" x14ac:dyDescent="0.25">
      <c r="A926">
        <v>4145</v>
      </c>
      <c r="B926">
        <v>145</v>
      </c>
      <c r="C926">
        <v>6</v>
      </c>
      <c r="D926">
        <v>16</v>
      </c>
      <c r="E926">
        <v>4</v>
      </c>
      <c r="F926">
        <v>0</v>
      </c>
      <c r="G926">
        <v>20</v>
      </c>
    </row>
    <row r="927" spans="1:7" x14ac:dyDescent="0.25">
      <c r="A927">
        <v>1006</v>
      </c>
      <c r="B927">
        <v>6</v>
      </c>
      <c r="C927">
        <v>6</v>
      </c>
      <c r="D927">
        <v>1</v>
      </c>
      <c r="E927">
        <v>14</v>
      </c>
      <c r="F927">
        <v>1</v>
      </c>
      <c r="G927">
        <v>16</v>
      </c>
    </row>
    <row r="928" spans="1:7" x14ac:dyDescent="0.25">
      <c r="A928">
        <v>1014</v>
      </c>
      <c r="B928">
        <v>14</v>
      </c>
      <c r="C928">
        <v>5</v>
      </c>
      <c r="D928">
        <v>3</v>
      </c>
      <c r="E928">
        <v>5</v>
      </c>
      <c r="F928">
        <v>0</v>
      </c>
      <c r="G928">
        <v>8</v>
      </c>
    </row>
    <row r="929" spans="1:7" x14ac:dyDescent="0.25">
      <c r="A929">
        <v>1058</v>
      </c>
      <c r="B929">
        <v>58</v>
      </c>
      <c r="C929">
        <v>3</v>
      </c>
      <c r="D929">
        <v>9</v>
      </c>
      <c r="E929">
        <v>3</v>
      </c>
      <c r="F929">
        <v>0</v>
      </c>
      <c r="G929">
        <v>12</v>
      </c>
    </row>
    <row r="930" spans="1:7" x14ac:dyDescent="0.25">
      <c r="A930">
        <v>2033</v>
      </c>
      <c r="B930">
        <v>33</v>
      </c>
      <c r="C930">
        <v>8</v>
      </c>
      <c r="D930">
        <v>2</v>
      </c>
      <c r="E930">
        <v>4</v>
      </c>
      <c r="F930">
        <v>1</v>
      </c>
      <c r="G930">
        <v>7</v>
      </c>
    </row>
    <row r="931" spans="1:7" x14ac:dyDescent="0.25">
      <c r="A931">
        <v>1044</v>
      </c>
      <c r="B931">
        <v>44</v>
      </c>
      <c r="C931">
        <v>5</v>
      </c>
      <c r="D931">
        <v>5</v>
      </c>
      <c r="E931">
        <v>12</v>
      </c>
      <c r="F931">
        <v>0</v>
      </c>
      <c r="G931">
        <v>17</v>
      </c>
    </row>
    <row r="932" spans="1:7" x14ac:dyDescent="0.25">
      <c r="A932">
        <v>2145</v>
      </c>
      <c r="B932">
        <v>145</v>
      </c>
      <c r="C932">
        <v>6</v>
      </c>
      <c r="D932">
        <v>13</v>
      </c>
      <c r="E932">
        <v>13</v>
      </c>
      <c r="F932">
        <v>4</v>
      </c>
      <c r="G932">
        <v>30</v>
      </c>
    </row>
    <row r="933" spans="1:7" x14ac:dyDescent="0.25">
      <c r="A933">
        <v>1085</v>
      </c>
      <c r="B933">
        <v>85</v>
      </c>
      <c r="C933">
        <v>7</v>
      </c>
      <c r="D933">
        <v>16</v>
      </c>
      <c r="E933">
        <v>4</v>
      </c>
      <c r="F933">
        <v>0</v>
      </c>
      <c r="G933">
        <v>20</v>
      </c>
    </row>
    <row r="934" spans="1:7" x14ac:dyDescent="0.25">
      <c r="A934">
        <v>5086</v>
      </c>
      <c r="B934">
        <v>86</v>
      </c>
      <c r="C934">
        <v>7</v>
      </c>
      <c r="D934">
        <v>5</v>
      </c>
      <c r="E934">
        <v>15</v>
      </c>
      <c r="F934">
        <v>0</v>
      </c>
      <c r="G934">
        <v>20</v>
      </c>
    </row>
    <row r="935" spans="1:7" x14ac:dyDescent="0.25">
      <c r="A935">
        <v>1038</v>
      </c>
      <c r="B935">
        <v>38</v>
      </c>
      <c r="C935">
        <v>4</v>
      </c>
      <c r="D935">
        <v>4</v>
      </c>
      <c r="E935">
        <v>0</v>
      </c>
      <c r="F935">
        <v>0</v>
      </c>
      <c r="G935">
        <v>4</v>
      </c>
    </row>
    <row r="936" spans="1:7" x14ac:dyDescent="0.25">
      <c r="A936">
        <v>2070</v>
      </c>
      <c r="B936">
        <v>70</v>
      </c>
      <c r="C936">
        <v>3</v>
      </c>
      <c r="D936">
        <v>6</v>
      </c>
      <c r="E936">
        <v>3</v>
      </c>
      <c r="F936">
        <v>0</v>
      </c>
      <c r="G936">
        <v>9</v>
      </c>
    </row>
    <row r="937" spans="1:7" x14ac:dyDescent="0.25">
      <c r="A937">
        <v>2139</v>
      </c>
      <c r="B937">
        <v>139</v>
      </c>
      <c r="C937">
        <v>4</v>
      </c>
      <c r="D937">
        <v>51</v>
      </c>
      <c r="E937">
        <v>30</v>
      </c>
      <c r="F937">
        <v>0</v>
      </c>
      <c r="G937">
        <v>81</v>
      </c>
    </row>
    <row r="938" spans="1:7" x14ac:dyDescent="0.25">
      <c r="A938">
        <v>2037</v>
      </c>
      <c r="B938">
        <v>37</v>
      </c>
      <c r="C938">
        <v>4</v>
      </c>
      <c r="D938">
        <v>1</v>
      </c>
      <c r="E938">
        <v>13</v>
      </c>
      <c r="F938">
        <v>0</v>
      </c>
      <c r="G938">
        <v>14</v>
      </c>
    </row>
    <row r="939" spans="1:7" x14ac:dyDescent="0.25">
      <c r="A939">
        <v>1087</v>
      </c>
      <c r="B939">
        <v>87</v>
      </c>
      <c r="C939">
        <v>7</v>
      </c>
      <c r="D939">
        <v>7</v>
      </c>
      <c r="E939">
        <v>5</v>
      </c>
      <c r="F939">
        <v>0</v>
      </c>
      <c r="G939">
        <v>12</v>
      </c>
    </row>
    <row r="940" spans="1:7" x14ac:dyDescent="0.25">
      <c r="A940">
        <v>2047</v>
      </c>
      <c r="B940">
        <v>47</v>
      </c>
      <c r="C940">
        <v>2</v>
      </c>
      <c r="D940">
        <v>13</v>
      </c>
      <c r="E940">
        <v>7</v>
      </c>
      <c r="F940">
        <v>0</v>
      </c>
      <c r="G940">
        <v>20</v>
      </c>
    </row>
    <row r="941" spans="1:7" x14ac:dyDescent="0.25">
      <c r="A941">
        <v>2037</v>
      </c>
      <c r="B941">
        <v>37</v>
      </c>
      <c r="C941">
        <v>3</v>
      </c>
      <c r="D941">
        <v>1</v>
      </c>
      <c r="E941">
        <v>12</v>
      </c>
      <c r="F941">
        <v>0</v>
      </c>
      <c r="G941">
        <v>13</v>
      </c>
    </row>
    <row r="942" spans="1:7" x14ac:dyDescent="0.25">
      <c r="A942">
        <v>1141</v>
      </c>
      <c r="B942">
        <v>141</v>
      </c>
      <c r="C942">
        <v>7</v>
      </c>
      <c r="D942">
        <v>8</v>
      </c>
      <c r="E942">
        <v>16</v>
      </c>
      <c r="F942">
        <v>0</v>
      </c>
      <c r="G942">
        <v>24</v>
      </c>
    </row>
    <row r="943" spans="1:7" x14ac:dyDescent="0.25">
      <c r="A943">
        <v>2049</v>
      </c>
      <c r="B943">
        <v>49</v>
      </c>
      <c r="C943">
        <v>7</v>
      </c>
      <c r="D943">
        <v>18</v>
      </c>
      <c r="E943">
        <v>16</v>
      </c>
      <c r="F943">
        <v>0</v>
      </c>
      <c r="G943">
        <v>34</v>
      </c>
    </row>
    <row r="944" spans="1:7" x14ac:dyDescent="0.25">
      <c r="A944">
        <v>2035</v>
      </c>
      <c r="B944">
        <v>35</v>
      </c>
      <c r="C944">
        <v>3</v>
      </c>
      <c r="D944">
        <v>10</v>
      </c>
      <c r="E944">
        <v>10</v>
      </c>
      <c r="F944">
        <v>0</v>
      </c>
      <c r="G944">
        <v>20</v>
      </c>
    </row>
    <row r="945" spans="1:7" x14ac:dyDescent="0.25">
      <c r="A945">
        <v>5048</v>
      </c>
      <c r="B945">
        <v>48</v>
      </c>
      <c r="C945">
        <v>7</v>
      </c>
      <c r="D945">
        <v>12</v>
      </c>
      <c r="E945">
        <v>8</v>
      </c>
      <c r="F945">
        <v>0</v>
      </c>
      <c r="G945">
        <v>20</v>
      </c>
    </row>
    <row r="946" spans="1:7" x14ac:dyDescent="0.25">
      <c r="A946">
        <v>2087</v>
      </c>
      <c r="B946">
        <v>87</v>
      </c>
      <c r="C946">
        <v>7</v>
      </c>
      <c r="D946">
        <v>5</v>
      </c>
      <c r="E946">
        <v>1</v>
      </c>
      <c r="F946">
        <v>0</v>
      </c>
      <c r="G946">
        <v>6</v>
      </c>
    </row>
    <row r="947" spans="1:7" x14ac:dyDescent="0.25">
      <c r="A947">
        <v>2141</v>
      </c>
      <c r="B947">
        <v>141</v>
      </c>
      <c r="C947">
        <v>7</v>
      </c>
      <c r="D947">
        <v>9</v>
      </c>
      <c r="E947">
        <v>12</v>
      </c>
      <c r="F947">
        <v>0</v>
      </c>
      <c r="G947">
        <v>21</v>
      </c>
    </row>
    <row r="948" spans="1:7" x14ac:dyDescent="0.25">
      <c r="A948">
        <v>2035</v>
      </c>
      <c r="B948">
        <v>35</v>
      </c>
      <c r="C948">
        <v>2</v>
      </c>
      <c r="D948">
        <v>14</v>
      </c>
      <c r="E948">
        <v>6</v>
      </c>
      <c r="F948">
        <v>0</v>
      </c>
      <c r="G948">
        <v>20</v>
      </c>
    </row>
    <row r="949" spans="1:7" x14ac:dyDescent="0.25">
      <c r="A949">
        <v>2035</v>
      </c>
      <c r="B949">
        <v>35</v>
      </c>
      <c r="C949">
        <v>1</v>
      </c>
      <c r="D949">
        <v>12</v>
      </c>
      <c r="E949">
        <v>8</v>
      </c>
      <c r="F949">
        <v>0</v>
      </c>
      <c r="G949">
        <v>20</v>
      </c>
    </row>
    <row r="950" spans="1:7" x14ac:dyDescent="0.25">
      <c r="A950">
        <v>2050</v>
      </c>
      <c r="B950">
        <v>50</v>
      </c>
      <c r="C950">
        <v>6</v>
      </c>
      <c r="D950">
        <v>13</v>
      </c>
      <c r="E950">
        <v>3</v>
      </c>
      <c r="F950">
        <v>0</v>
      </c>
      <c r="G950">
        <v>16</v>
      </c>
    </row>
    <row r="951" spans="1:7" x14ac:dyDescent="0.25">
      <c r="A951">
        <v>2088</v>
      </c>
      <c r="B951">
        <v>88</v>
      </c>
      <c r="C951">
        <v>7</v>
      </c>
      <c r="D951">
        <v>13</v>
      </c>
      <c r="E951">
        <v>7</v>
      </c>
      <c r="F951">
        <v>0</v>
      </c>
      <c r="G951">
        <v>20</v>
      </c>
    </row>
    <row r="952" spans="1:7" x14ac:dyDescent="0.25">
      <c r="A952">
        <v>2007</v>
      </c>
      <c r="B952">
        <v>7</v>
      </c>
      <c r="C952">
        <v>6</v>
      </c>
      <c r="D952">
        <v>8</v>
      </c>
      <c r="E952">
        <v>6</v>
      </c>
      <c r="F952">
        <v>1</v>
      </c>
      <c r="G952">
        <v>15</v>
      </c>
    </row>
    <row r="953" spans="1:7" x14ac:dyDescent="0.25">
      <c r="A953">
        <v>1055</v>
      </c>
      <c r="B953">
        <v>55</v>
      </c>
      <c r="C953">
        <v>7</v>
      </c>
      <c r="D953">
        <v>15</v>
      </c>
      <c r="E953">
        <v>5</v>
      </c>
      <c r="F953">
        <v>0</v>
      </c>
      <c r="G953">
        <v>20</v>
      </c>
    </row>
    <row r="954" spans="1:7" x14ac:dyDescent="0.25">
      <c r="A954">
        <v>1036</v>
      </c>
      <c r="B954">
        <v>36</v>
      </c>
      <c r="C954">
        <v>4</v>
      </c>
      <c r="D954">
        <v>0</v>
      </c>
      <c r="E954">
        <v>16</v>
      </c>
      <c r="F954">
        <v>0</v>
      </c>
      <c r="G954">
        <v>16</v>
      </c>
    </row>
    <row r="955" spans="1:7" x14ac:dyDescent="0.25">
      <c r="A955">
        <v>1054</v>
      </c>
      <c r="B955">
        <v>54</v>
      </c>
      <c r="C955">
        <v>7</v>
      </c>
      <c r="D955">
        <v>7</v>
      </c>
      <c r="E955">
        <v>7</v>
      </c>
      <c r="F955">
        <v>0</v>
      </c>
      <c r="G955">
        <v>14</v>
      </c>
    </row>
    <row r="956" spans="1:7" x14ac:dyDescent="0.25">
      <c r="A956">
        <v>2085</v>
      </c>
      <c r="B956">
        <v>85</v>
      </c>
      <c r="C956">
        <v>7</v>
      </c>
      <c r="D956">
        <v>18</v>
      </c>
      <c r="E956">
        <v>14</v>
      </c>
      <c r="F956">
        <v>0</v>
      </c>
      <c r="G956">
        <v>32</v>
      </c>
    </row>
    <row r="957" spans="1:7" x14ac:dyDescent="0.25">
      <c r="A957">
        <v>1142</v>
      </c>
      <c r="B957">
        <v>142</v>
      </c>
      <c r="C957">
        <v>7</v>
      </c>
      <c r="D957">
        <v>11</v>
      </c>
      <c r="E957">
        <v>6</v>
      </c>
      <c r="F957">
        <v>0</v>
      </c>
      <c r="G957">
        <v>17</v>
      </c>
    </row>
    <row r="958" spans="1:7" x14ac:dyDescent="0.25">
      <c r="A958">
        <v>1054</v>
      </c>
      <c r="B958">
        <v>54</v>
      </c>
      <c r="C958">
        <v>6</v>
      </c>
      <c r="D958">
        <v>7</v>
      </c>
      <c r="E958">
        <v>5</v>
      </c>
      <c r="F958">
        <v>0</v>
      </c>
      <c r="G958">
        <v>12</v>
      </c>
    </row>
    <row r="959" spans="1:7" x14ac:dyDescent="0.25">
      <c r="A959">
        <v>1035</v>
      </c>
      <c r="B959">
        <v>35</v>
      </c>
      <c r="C959">
        <v>6</v>
      </c>
      <c r="D959">
        <v>3</v>
      </c>
      <c r="E959">
        <v>4</v>
      </c>
      <c r="F959">
        <v>0</v>
      </c>
      <c r="G959">
        <v>7</v>
      </c>
    </row>
    <row r="960" spans="1:7" x14ac:dyDescent="0.25">
      <c r="A960">
        <v>2090</v>
      </c>
      <c r="B960">
        <v>90</v>
      </c>
      <c r="C960">
        <v>7</v>
      </c>
      <c r="D960">
        <v>15</v>
      </c>
      <c r="E960">
        <v>2</v>
      </c>
      <c r="F960">
        <v>0</v>
      </c>
      <c r="G960">
        <v>17</v>
      </c>
    </row>
    <row r="961" spans="1:7" x14ac:dyDescent="0.25">
      <c r="A961">
        <v>1035</v>
      </c>
      <c r="B961">
        <v>35</v>
      </c>
      <c r="C961">
        <v>4</v>
      </c>
      <c r="D961">
        <v>15</v>
      </c>
      <c r="E961">
        <v>2</v>
      </c>
      <c r="F961">
        <v>1</v>
      </c>
      <c r="G961">
        <v>18</v>
      </c>
    </row>
    <row r="962" spans="1:7" x14ac:dyDescent="0.25">
      <c r="A962">
        <v>1054</v>
      </c>
      <c r="B962">
        <v>54</v>
      </c>
      <c r="C962">
        <v>5</v>
      </c>
      <c r="D962">
        <v>9</v>
      </c>
      <c r="E962">
        <v>5</v>
      </c>
      <c r="F962">
        <v>0</v>
      </c>
      <c r="G962">
        <v>14</v>
      </c>
    </row>
    <row r="963" spans="1:7" x14ac:dyDescent="0.25">
      <c r="A963">
        <v>2040</v>
      </c>
      <c r="B963">
        <v>40</v>
      </c>
      <c r="C963">
        <v>5</v>
      </c>
      <c r="D963">
        <v>15</v>
      </c>
      <c r="E963">
        <v>6</v>
      </c>
      <c r="F963">
        <v>0</v>
      </c>
      <c r="G963">
        <v>21</v>
      </c>
    </row>
    <row r="964" spans="1:7" x14ac:dyDescent="0.25">
      <c r="A964">
        <v>2054</v>
      </c>
      <c r="B964">
        <v>54</v>
      </c>
      <c r="C964">
        <v>8</v>
      </c>
      <c r="D964">
        <v>0</v>
      </c>
      <c r="E964">
        <v>4</v>
      </c>
      <c r="F964">
        <v>0</v>
      </c>
      <c r="G964">
        <v>4</v>
      </c>
    </row>
    <row r="965" spans="1:7" x14ac:dyDescent="0.25">
      <c r="A965">
        <v>2007</v>
      </c>
      <c r="B965">
        <v>7</v>
      </c>
      <c r="C965">
        <v>2</v>
      </c>
      <c r="D965">
        <v>1</v>
      </c>
      <c r="E965">
        <v>4</v>
      </c>
      <c r="F965">
        <v>1</v>
      </c>
      <c r="G965">
        <v>6</v>
      </c>
    </row>
    <row r="966" spans="1:7" x14ac:dyDescent="0.25">
      <c r="A966">
        <v>1028</v>
      </c>
      <c r="B966">
        <v>28</v>
      </c>
      <c r="C966">
        <v>5</v>
      </c>
      <c r="D966">
        <v>30</v>
      </c>
      <c r="E966">
        <v>9</v>
      </c>
      <c r="F966">
        <v>1</v>
      </c>
      <c r="G966">
        <v>40</v>
      </c>
    </row>
    <row r="967" spans="1:7" x14ac:dyDescent="0.25">
      <c r="A967">
        <v>1055</v>
      </c>
      <c r="B967">
        <v>55</v>
      </c>
      <c r="C967">
        <v>6</v>
      </c>
      <c r="D967">
        <v>7</v>
      </c>
      <c r="E967">
        <v>13</v>
      </c>
      <c r="F967">
        <v>0</v>
      </c>
      <c r="G967">
        <v>20</v>
      </c>
    </row>
    <row r="968" spans="1:7" x14ac:dyDescent="0.25">
      <c r="A968">
        <v>2007</v>
      </c>
      <c r="B968">
        <v>7</v>
      </c>
      <c r="C968">
        <v>3</v>
      </c>
      <c r="D968">
        <v>8</v>
      </c>
      <c r="E968">
        <v>3</v>
      </c>
      <c r="F968">
        <v>0</v>
      </c>
      <c r="G968">
        <v>11</v>
      </c>
    </row>
    <row r="969" spans="1:7" x14ac:dyDescent="0.25">
      <c r="A969">
        <v>3109</v>
      </c>
      <c r="B969">
        <v>109</v>
      </c>
      <c r="C969">
        <v>3</v>
      </c>
      <c r="D969">
        <v>11</v>
      </c>
      <c r="E969">
        <v>16</v>
      </c>
      <c r="F969">
        <v>0</v>
      </c>
      <c r="G969">
        <v>27</v>
      </c>
    </row>
    <row r="970" spans="1:7" x14ac:dyDescent="0.25">
      <c r="A970">
        <v>2007</v>
      </c>
      <c r="B970">
        <v>7</v>
      </c>
      <c r="C970">
        <v>5</v>
      </c>
      <c r="D970">
        <v>5</v>
      </c>
      <c r="E970">
        <v>8</v>
      </c>
      <c r="F970">
        <v>1</v>
      </c>
      <c r="G970">
        <v>14</v>
      </c>
    </row>
    <row r="971" spans="1:7" x14ac:dyDescent="0.25">
      <c r="A971">
        <v>5046</v>
      </c>
      <c r="B971">
        <v>46</v>
      </c>
      <c r="C971">
        <v>5</v>
      </c>
      <c r="D971">
        <v>6</v>
      </c>
      <c r="E971">
        <v>14</v>
      </c>
      <c r="F971">
        <v>0</v>
      </c>
      <c r="G971">
        <v>20</v>
      </c>
    </row>
    <row r="972" spans="1:7" x14ac:dyDescent="0.25">
      <c r="A972">
        <v>1009</v>
      </c>
      <c r="B972">
        <v>9</v>
      </c>
      <c r="C972">
        <v>4</v>
      </c>
      <c r="D972">
        <v>10</v>
      </c>
      <c r="E972">
        <v>20</v>
      </c>
      <c r="F972">
        <v>0</v>
      </c>
      <c r="G972">
        <v>30</v>
      </c>
    </row>
    <row r="973" spans="1:7" x14ac:dyDescent="0.25">
      <c r="A973">
        <v>4046</v>
      </c>
      <c r="B973">
        <v>46</v>
      </c>
      <c r="C973">
        <v>5</v>
      </c>
      <c r="D973">
        <v>13</v>
      </c>
      <c r="E973">
        <v>7</v>
      </c>
      <c r="F973">
        <v>0</v>
      </c>
      <c r="G973">
        <v>20</v>
      </c>
    </row>
    <row r="974" spans="1:7" x14ac:dyDescent="0.25">
      <c r="A974">
        <v>1007</v>
      </c>
      <c r="B974">
        <v>7</v>
      </c>
      <c r="C974">
        <v>5</v>
      </c>
      <c r="D974">
        <v>7</v>
      </c>
      <c r="E974">
        <v>5</v>
      </c>
      <c r="F974">
        <v>3</v>
      </c>
      <c r="G974">
        <v>15</v>
      </c>
    </row>
    <row r="975" spans="1:7" x14ac:dyDescent="0.25">
      <c r="A975">
        <v>1035</v>
      </c>
      <c r="B975">
        <v>35</v>
      </c>
      <c r="C975">
        <v>3</v>
      </c>
      <c r="D975">
        <v>15</v>
      </c>
      <c r="E975">
        <v>11</v>
      </c>
      <c r="F975">
        <v>0</v>
      </c>
      <c r="G975">
        <v>26</v>
      </c>
    </row>
    <row r="976" spans="1:7" x14ac:dyDescent="0.25">
      <c r="A976">
        <v>1017</v>
      </c>
      <c r="B976">
        <v>17</v>
      </c>
      <c r="C976">
        <v>5</v>
      </c>
      <c r="D976">
        <v>9</v>
      </c>
      <c r="E976">
        <v>11</v>
      </c>
      <c r="F976">
        <v>0</v>
      </c>
      <c r="G976">
        <v>20</v>
      </c>
    </row>
    <row r="977" spans="1:7" x14ac:dyDescent="0.25">
      <c r="A977">
        <v>2023</v>
      </c>
      <c r="B977">
        <v>23</v>
      </c>
      <c r="C977">
        <v>7</v>
      </c>
      <c r="D977">
        <v>10</v>
      </c>
      <c r="E977">
        <v>3</v>
      </c>
      <c r="F977">
        <v>2</v>
      </c>
      <c r="G977">
        <v>15</v>
      </c>
    </row>
    <row r="978" spans="1:7" x14ac:dyDescent="0.25">
      <c r="A978">
        <v>1058</v>
      </c>
      <c r="B978">
        <v>58</v>
      </c>
      <c r="C978">
        <v>4</v>
      </c>
      <c r="D978">
        <v>19</v>
      </c>
      <c r="E978">
        <v>6</v>
      </c>
      <c r="F978">
        <v>0</v>
      </c>
      <c r="G978">
        <v>25</v>
      </c>
    </row>
    <row r="979" spans="1:7" x14ac:dyDescent="0.25">
      <c r="A979">
        <v>2102</v>
      </c>
      <c r="B979">
        <v>102</v>
      </c>
      <c r="C979">
        <v>9</v>
      </c>
      <c r="D979">
        <v>18</v>
      </c>
      <c r="E979">
        <v>2</v>
      </c>
      <c r="F979">
        <v>0</v>
      </c>
      <c r="G979">
        <v>20</v>
      </c>
    </row>
    <row r="980" spans="1:7" x14ac:dyDescent="0.25">
      <c r="A980">
        <v>2057</v>
      </c>
      <c r="B980">
        <v>57</v>
      </c>
      <c r="C980">
        <v>4</v>
      </c>
      <c r="D980">
        <v>9</v>
      </c>
      <c r="E980">
        <v>10</v>
      </c>
      <c r="F980">
        <v>0</v>
      </c>
      <c r="G980">
        <v>19</v>
      </c>
    </row>
    <row r="981" spans="1:7" x14ac:dyDescent="0.25">
      <c r="A981">
        <v>1101</v>
      </c>
      <c r="B981">
        <v>101</v>
      </c>
      <c r="C981">
        <v>7</v>
      </c>
      <c r="D981">
        <v>12</v>
      </c>
      <c r="E981">
        <v>8</v>
      </c>
      <c r="F981">
        <v>0</v>
      </c>
      <c r="G981">
        <v>20</v>
      </c>
    </row>
    <row r="982" spans="1:7" x14ac:dyDescent="0.25">
      <c r="A982">
        <v>1084</v>
      </c>
      <c r="B982">
        <v>84</v>
      </c>
      <c r="C982">
        <v>7</v>
      </c>
      <c r="D982">
        <v>10</v>
      </c>
      <c r="E982">
        <v>7</v>
      </c>
      <c r="F982">
        <v>0</v>
      </c>
      <c r="G982">
        <v>17</v>
      </c>
    </row>
    <row r="983" spans="1:7" x14ac:dyDescent="0.25">
      <c r="A983">
        <v>3058</v>
      </c>
      <c r="B983">
        <v>58</v>
      </c>
      <c r="C983">
        <v>4</v>
      </c>
      <c r="D983">
        <v>11</v>
      </c>
      <c r="E983">
        <v>9</v>
      </c>
      <c r="F983">
        <v>0</v>
      </c>
      <c r="G983">
        <v>20</v>
      </c>
    </row>
    <row r="984" spans="1:7" x14ac:dyDescent="0.25">
      <c r="A984">
        <v>1057</v>
      </c>
      <c r="B984">
        <v>57</v>
      </c>
      <c r="C984">
        <v>4</v>
      </c>
      <c r="D984">
        <v>10</v>
      </c>
      <c r="E984">
        <v>6</v>
      </c>
      <c r="F984">
        <v>0</v>
      </c>
      <c r="G984">
        <v>16</v>
      </c>
    </row>
    <row r="985" spans="1:7" x14ac:dyDescent="0.25">
      <c r="A985">
        <v>2007</v>
      </c>
      <c r="B985">
        <v>7</v>
      </c>
      <c r="C985">
        <v>4</v>
      </c>
      <c r="D985">
        <v>10</v>
      </c>
      <c r="E985">
        <v>6</v>
      </c>
      <c r="F985">
        <v>3</v>
      </c>
      <c r="G985">
        <v>19</v>
      </c>
    </row>
    <row r="986" spans="1:7" x14ac:dyDescent="0.25">
      <c r="A986">
        <v>3083</v>
      </c>
      <c r="B986">
        <v>83</v>
      </c>
      <c r="C986">
        <v>7</v>
      </c>
      <c r="D986">
        <v>0</v>
      </c>
      <c r="E986">
        <v>20</v>
      </c>
      <c r="F986">
        <v>0</v>
      </c>
      <c r="G986">
        <v>20</v>
      </c>
    </row>
    <row r="987" spans="1:7" x14ac:dyDescent="0.25">
      <c r="A987">
        <v>2033</v>
      </c>
      <c r="B987">
        <v>33</v>
      </c>
      <c r="C987">
        <v>5</v>
      </c>
      <c r="D987">
        <v>5</v>
      </c>
      <c r="E987">
        <v>9</v>
      </c>
      <c r="F987">
        <v>0</v>
      </c>
      <c r="G987">
        <v>14</v>
      </c>
    </row>
    <row r="988" spans="1:7" x14ac:dyDescent="0.25">
      <c r="A988">
        <v>1007</v>
      </c>
      <c r="B988">
        <v>7</v>
      </c>
      <c r="C988">
        <v>4</v>
      </c>
      <c r="D988">
        <v>8</v>
      </c>
      <c r="E988">
        <v>6</v>
      </c>
      <c r="F988">
        <v>2</v>
      </c>
      <c r="G988">
        <v>16</v>
      </c>
    </row>
    <row r="989" spans="1:7" x14ac:dyDescent="0.25">
      <c r="A989">
        <v>5033</v>
      </c>
      <c r="B989">
        <v>33</v>
      </c>
      <c r="C989">
        <v>4</v>
      </c>
      <c r="D989">
        <v>7</v>
      </c>
      <c r="E989">
        <v>5</v>
      </c>
      <c r="F989">
        <v>0</v>
      </c>
      <c r="G989">
        <v>12</v>
      </c>
    </row>
    <row r="990" spans="1:7" x14ac:dyDescent="0.25">
      <c r="A990">
        <v>2009</v>
      </c>
      <c r="B990">
        <v>9</v>
      </c>
      <c r="C990">
        <v>4</v>
      </c>
      <c r="D990">
        <v>5</v>
      </c>
      <c r="E990">
        <v>5</v>
      </c>
      <c r="F990">
        <v>0</v>
      </c>
      <c r="G990">
        <v>10</v>
      </c>
    </row>
    <row r="991" spans="1:7" x14ac:dyDescent="0.25">
      <c r="A991">
        <v>4033</v>
      </c>
      <c r="B991">
        <v>33</v>
      </c>
      <c r="C991">
        <v>5</v>
      </c>
      <c r="D991">
        <v>9</v>
      </c>
      <c r="E991">
        <v>4</v>
      </c>
      <c r="F991">
        <v>0</v>
      </c>
      <c r="G991">
        <v>13</v>
      </c>
    </row>
    <row r="992" spans="1:7" x14ac:dyDescent="0.25">
      <c r="A992">
        <v>3061</v>
      </c>
      <c r="B992">
        <v>61</v>
      </c>
      <c r="C992">
        <v>4</v>
      </c>
      <c r="D992">
        <v>2</v>
      </c>
      <c r="E992">
        <v>17</v>
      </c>
      <c r="F992">
        <v>1</v>
      </c>
      <c r="G992">
        <v>20</v>
      </c>
    </row>
    <row r="993" spans="1:7" x14ac:dyDescent="0.25">
      <c r="A993">
        <v>1034</v>
      </c>
      <c r="B993">
        <v>34</v>
      </c>
      <c r="C993">
        <v>5</v>
      </c>
      <c r="D993">
        <v>17</v>
      </c>
      <c r="E993">
        <v>2</v>
      </c>
      <c r="F993">
        <v>0</v>
      </c>
      <c r="G993">
        <v>19</v>
      </c>
    </row>
    <row r="994" spans="1:7" x14ac:dyDescent="0.25">
      <c r="A994">
        <v>2082</v>
      </c>
      <c r="B994">
        <v>82</v>
      </c>
      <c r="C994">
        <v>5</v>
      </c>
      <c r="D994">
        <v>3</v>
      </c>
      <c r="E994">
        <v>9</v>
      </c>
      <c r="F994">
        <v>0</v>
      </c>
      <c r="G994">
        <v>12</v>
      </c>
    </row>
    <row r="995" spans="1:7" x14ac:dyDescent="0.25">
      <c r="A995">
        <v>2083</v>
      </c>
      <c r="B995">
        <v>83</v>
      </c>
      <c r="C995">
        <v>7</v>
      </c>
      <c r="D995">
        <v>17</v>
      </c>
      <c r="E995">
        <v>0</v>
      </c>
      <c r="F995">
        <v>0</v>
      </c>
      <c r="G995">
        <v>17</v>
      </c>
    </row>
    <row r="996" spans="1:7" x14ac:dyDescent="0.25">
      <c r="A996">
        <v>2081</v>
      </c>
      <c r="B996">
        <v>81</v>
      </c>
      <c r="C996">
        <v>5</v>
      </c>
      <c r="D996">
        <v>6</v>
      </c>
      <c r="E996">
        <v>8</v>
      </c>
      <c r="F996">
        <v>2</v>
      </c>
      <c r="G996">
        <v>16</v>
      </c>
    </row>
    <row r="997" spans="1:7" x14ac:dyDescent="0.25">
      <c r="A997">
        <v>1061</v>
      </c>
      <c r="B997">
        <v>61</v>
      </c>
      <c r="C997">
        <v>8</v>
      </c>
      <c r="D997">
        <v>1</v>
      </c>
      <c r="E997">
        <v>20</v>
      </c>
      <c r="F997">
        <v>0</v>
      </c>
      <c r="G997">
        <v>21</v>
      </c>
    </row>
    <row r="998" spans="1:7" x14ac:dyDescent="0.25">
      <c r="A998">
        <v>5033</v>
      </c>
      <c r="B998">
        <v>33</v>
      </c>
      <c r="C998">
        <v>5</v>
      </c>
      <c r="D998">
        <v>1</v>
      </c>
      <c r="E998">
        <v>2</v>
      </c>
      <c r="F998">
        <v>0</v>
      </c>
      <c r="G998">
        <v>3</v>
      </c>
    </row>
    <row r="999" spans="1:7" x14ac:dyDescent="0.25">
      <c r="A999">
        <v>1082</v>
      </c>
      <c r="B999">
        <v>82</v>
      </c>
      <c r="C999">
        <v>4</v>
      </c>
      <c r="D999">
        <v>4</v>
      </c>
      <c r="E999">
        <v>17</v>
      </c>
      <c r="F999">
        <v>0</v>
      </c>
      <c r="G999">
        <v>21</v>
      </c>
    </row>
    <row r="1000" spans="1:7" x14ac:dyDescent="0.25">
      <c r="A1000">
        <v>3033</v>
      </c>
      <c r="B1000">
        <v>33</v>
      </c>
      <c r="C1000">
        <v>4</v>
      </c>
      <c r="D1000">
        <v>4</v>
      </c>
      <c r="E1000">
        <v>3</v>
      </c>
      <c r="F1000">
        <v>0</v>
      </c>
      <c r="G1000">
        <v>7</v>
      </c>
    </row>
    <row r="1001" spans="1:7" x14ac:dyDescent="0.25">
      <c r="A1001">
        <v>1060</v>
      </c>
      <c r="B1001">
        <v>60</v>
      </c>
      <c r="C1001">
        <v>4</v>
      </c>
      <c r="D1001">
        <v>7</v>
      </c>
      <c r="E1001">
        <v>2</v>
      </c>
      <c r="F1001">
        <v>0</v>
      </c>
      <c r="G1001">
        <v>9</v>
      </c>
    </row>
    <row r="1002" spans="1:7" x14ac:dyDescent="0.25">
      <c r="A1002">
        <v>1079</v>
      </c>
      <c r="B1002">
        <v>79</v>
      </c>
      <c r="C1002">
        <v>5</v>
      </c>
      <c r="D1002">
        <v>19</v>
      </c>
      <c r="E1002">
        <v>0</v>
      </c>
      <c r="F1002">
        <v>0</v>
      </c>
      <c r="G1002">
        <v>19</v>
      </c>
    </row>
    <row r="1003" spans="1:7" x14ac:dyDescent="0.25">
      <c r="A1003">
        <v>1056</v>
      </c>
      <c r="B1003">
        <v>56</v>
      </c>
      <c r="C1003">
        <v>4</v>
      </c>
      <c r="D1003">
        <v>6</v>
      </c>
      <c r="E1003">
        <v>0</v>
      </c>
      <c r="F1003">
        <v>0</v>
      </c>
      <c r="G1003">
        <v>6</v>
      </c>
    </row>
    <row r="1004" spans="1:7" x14ac:dyDescent="0.25">
      <c r="A1004">
        <v>1077</v>
      </c>
      <c r="B1004">
        <v>77</v>
      </c>
      <c r="C1004">
        <v>6</v>
      </c>
      <c r="D1004">
        <v>17</v>
      </c>
      <c r="E1004">
        <v>3</v>
      </c>
      <c r="F1004">
        <v>0</v>
      </c>
      <c r="G1004">
        <v>20</v>
      </c>
    </row>
    <row r="1005" spans="1:7" x14ac:dyDescent="0.25">
      <c r="A1005">
        <v>2140</v>
      </c>
      <c r="B1005">
        <v>140</v>
      </c>
      <c r="C1005">
        <v>6</v>
      </c>
      <c r="D1005">
        <v>8</v>
      </c>
      <c r="E1005">
        <v>0</v>
      </c>
      <c r="F1005">
        <v>0</v>
      </c>
      <c r="G1005">
        <v>8</v>
      </c>
    </row>
    <row r="1006" spans="1:7" x14ac:dyDescent="0.25">
      <c r="A1006">
        <v>2055</v>
      </c>
      <c r="B1006">
        <v>55</v>
      </c>
      <c r="C1006">
        <v>4</v>
      </c>
      <c r="D1006">
        <v>6</v>
      </c>
      <c r="E1006">
        <v>9</v>
      </c>
      <c r="F1006">
        <v>0</v>
      </c>
      <c r="G1006">
        <v>15</v>
      </c>
    </row>
    <row r="1007" spans="1:7" x14ac:dyDescent="0.25">
      <c r="A1007">
        <v>2081</v>
      </c>
      <c r="B1007">
        <v>81</v>
      </c>
      <c r="C1007">
        <v>4</v>
      </c>
      <c r="D1007">
        <v>12</v>
      </c>
      <c r="E1007">
        <v>8</v>
      </c>
      <c r="F1007">
        <v>0</v>
      </c>
      <c r="G1007">
        <v>20</v>
      </c>
    </row>
    <row r="1008" spans="1:7" x14ac:dyDescent="0.25">
      <c r="A1008">
        <v>5075</v>
      </c>
      <c r="B1008">
        <v>75</v>
      </c>
      <c r="C1008">
        <v>6</v>
      </c>
      <c r="D1008">
        <v>6</v>
      </c>
      <c r="E1008">
        <v>15</v>
      </c>
      <c r="F1008">
        <v>0</v>
      </c>
      <c r="G1008">
        <v>21</v>
      </c>
    </row>
    <row r="1009" spans="1:7" x14ac:dyDescent="0.25">
      <c r="A1009">
        <v>1059</v>
      </c>
      <c r="B1009">
        <v>59</v>
      </c>
      <c r="C1009">
        <v>3</v>
      </c>
      <c r="D1009">
        <v>1</v>
      </c>
      <c r="E1009">
        <v>25</v>
      </c>
      <c r="F1009">
        <v>0</v>
      </c>
      <c r="G1009">
        <v>26</v>
      </c>
    </row>
    <row r="1010" spans="1:7" x14ac:dyDescent="0.25">
      <c r="A1010">
        <v>2140</v>
      </c>
      <c r="B1010">
        <v>140</v>
      </c>
      <c r="C1010">
        <v>5</v>
      </c>
      <c r="D1010">
        <v>5</v>
      </c>
      <c r="E1010">
        <v>1</v>
      </c>
      <c r="F1010">
        <v>0</v>
      </c>
      <c r="G1010">
        <v>6</v>
      </c>
    </row>
    <row r="1011" spans="1:7" x14ac:dyDescent="0.25">
      <c r="A1011">
        <v>2083</v>
      </c>
      <c r="B1011">
        <v>83</v>
      </c>
      <c r="C1011">
        <v>4</v>
      </c>
      <c r="D1011">
        <v>7</v>
      </c>
      <c r="E1011">
        <v>10</v>
      </c>
      <c r="F1011">
        <v>0</v>
      </c>
      <c r="G1011">
        <v>17</v>
      </c>
    </row>
    <row r="1012" spans="1:7" x14ac:dyDescent="0.25">
      <c r="A1012">
        <v>2057</v>
      </c>
      <c r="B1012">
        <v>57</v>
      </c>
      <c r="C1012">
        <v>3</v>
      </c>
      <c r="D1012">
        <v>7</v>
      </c>
      <c r="E1012">
        <v>6</v>
      </c>
      <c r="F1012">
        <v>2</v>
      </c>
      <c r="G1012">
        <v>15</v>
      </c>
    </row>
    <row r="1013" spans="1:7" x14ac:dyDescent="0.25">
      <c r="A1013">
        <v>3142</v>
      </c>
      <c r="B1013">
        <v>142</v>
      </c>
      <c r="C1013">
        <v>5</v>
      </c>
      <c r="D1013">
        <v>10</v>
      </c>
      <c r="E1013">
        <v>6</v>
      </c>
      <c r="F1013">
        <v>0</v>
      </c>
      <c r="G1013">
        <v>16</v>
      </c>
    </row>
    <row r="1014" spans="1:7" x14ac:dyDescent="0.25">
      <c r="A1014">
        <v>1083</v>
      </c>
      <c r="B1014">
        <v>83</v>
      </c>
      <c r="C1014">
        <v>4</v>
      </c>
      <c r="D1014">
        <v>7</v>
      </c>
      <c r="E1014">
        <v>5</v>
      </c>
      <c r="F1014">
        <v>0</v>
      </c>
      <c r="G1014">
        <v>12</v>
      </c>
    </row>
    <row r="1015" spans="1:7" x14ac:dyDescent="0.25">
      <c r="A1015">
        <v>1057</v>
      </c>
      <c r="B1015">
        <v>57</v>
      </c>
      <c r="C1015">
        <v>8</v>
      </c>
      <c r="D1015">
        <v>0</v>
      </c>
      <c r="E1015">
        <v>7</v>
      </c>
      <c r="F1015">
        <v>0</v>
      </c>
      <c r="G1015">
        <v>7</v>
      </c>
    </row>
    <row r="1016" spans="1:7" x14ac:dyDescent="0.25">
      <c r="A1016">
        <v>2145</v>
      </c>
      <c r="B1016">
        <v>145</v>
      </c>
      <c r="C1016">
        <v>5</v>
      </c>
      <c r="D1016">
        <v>2</v>
      </c>
      <c r="E1016">
        <v>18</v>
      </c>
      <c r="F1016">
        <v>0</v>
      </c>
      <c r="G1016">
        <v>20</v>
      </c>
    </row>
    <row r="1017" spans="1:7" x14ac:dyDescent="0.25">
      <c r="A1017">
        <v>2055</v>
      </c>
      <c r="B1017">
        <v>55</v>
      </c>
      <c r="C1017">
        <v>3</v>
      </c>
      <c r="D1017">
        <v>5</v>
      </c>
      <c r="E1017">
        <v>10</v>
      </c>
      <c r="F1017">
        <v>0</v>
      </c>
      <c r="G1017">
        <v>15</v>
      </c>
    </row>
    <row r="1018" spans="1:7" x14ac:dyDescent="0.25">
      <c r="A1018">
        <v>1143</v>
      </c>
      <c r="B1018">
        <v>143</v>
      </c>
      <c r="C1018">
        <v>5</v>
      </c>
      <c r="D1018">
        <v>5</v>
      </c>
      <c r="E1018">
        <v>17</v>
      </c>
      <c r="F1018">
        <v>0</v>
      </c>
      <c r="G1018">
        <v>22</v>
      </c>
    </row>
    <row r="1019" spans="1:7" x14ac:dyDescent="0.25">
      <c r="A1019">
        <v>1056</v>
      </c>
      <c r="B1019">
        <v>56</v>
      </c>
      <c r="C1019">
        <v>3</v>
      </c>
      <c r="D1019">
        <v>6</v>
      </c>
      <c r="E1019">
        <v>6</v>
      </c>
      <c r="F1019">
        <v>0</v>
      </c>
      <c r="G1019">
        <v>12</v>
      </c>
    </row>
    <row r="1020" spans="1:7" x14ac:dyDescent="0.25">
      <c r="A1020">
        <v>2077</v>
      </c>
      <c r="B1020">
        <v>77</v>
      </c>
      <c r="C1020">
        <v>6</v>
      </c>
      <c r="D1020">
        <v>13</v>
      </c>
      <c r="E1020">
        <v>7</v>
      </c>
      <c r="F1020">
        <v>0</v>
      </c>
      <c r="G1020">
        <v>20</v>
      </c>
    </row>
    <row r="1021" spans="1:7" x14ac:dyDescent="0.25">
      <c r="A1021">
        <v>2143</v>
      </c>
      <c r="B1021">
        <v>143</v>
      </c>
      <c r="C1021">
        <v>5</v>
      </c>
      <c r="D1021">
        <v>5</v>
      </c>
      <c r="E1021">
        <v>2</v>
      </c>
      <c r="F1021">
        <v>0</v>
      </c>
      <c r="G1021">
        <v>7</v>
      </c>
    </row>
    <row r="1022" spans="1:7" x14ac:dyDescent="0.25">
      <c r="A1022">
        <v>3061</v>
      </c>
      <c r="B1022">
        <v>61</v>
      </c>
      <c r="C1022">
        <v>3</v>
      </c>
      <c r="D1022">
        <v>3</v>
      </c>
      <c r="E1022">
        <v>16</v>
      </c>
      <c r="F1022">
        <v>1</v>
      </c>
      <c r="G1022">
        <v>20</v>
      </c>
    </row>
    <row r="1023" spans="1:7" x14ac:dyDescent="0.25">
      <c r="A1023">
        <v>3075</v>
      </c>
      <c r="B1023">
        <v>75</v>
      </c>
      <c r="C1023">
        <v>6</v>
      </c>
      <c r="D1023">
        <v>20</v>
      </c>
      <c r="E1023">
        <v>10</v>
      </c>
      <c r="F1023">
        <v>0</v>
      </c>
      <c r="G1023">
        <v>30</v>
      </c>
    </row>
    <row r="1024" spans="1:7" x14ac:dyDescent="0.25">
      <c r="A1024">
        <v>2080</v>
      </c>
      <c r="B1024">
        <v>80</v>
      </c>
      <c r="C1024">
        <v>4</v>
      </c>
      <c r="D1024">
        <v>14</v>
      </c>
      <c r="E1024">
        <v>0</v>
      </c>
      <c r="F1024">
        <v>0</v>
      </c>
      <c r="G1024">
        <v>14</v>
      </c>
    </row>
    <row r="1025" spans="1:7" x14ac:dyDescent="0.25">
      <c r="A1025">
        <v>5033</v>
      </c>
      <c r="B1025">
        <v>33</v>
      </c>
      <c r="C1025">
        <v>6</v>
      </c>
      <c r="D1025">
        <v>1</v>
      </c>
      <c r="E1025">
        <v>5</v>
      </c>
      <c r="F1025">
        <v>0</v>
      </c>
      <c r="G1025">
        <v>6</v>
      </c>
    </row>
    <row r="1026" spans="1:7" x14ac:dyDescent="0.25">
      <c r="A1026">
        <v>1075</v>
      </c>
      <c r="B1026">
        <v>75</v>
      </c>
      <c r="C1026">
        <v>6</v>
      </c>
      <c r="D1026">
        <v>1</v>
      </c>
      <c r="E1026">
        <v>24</v>
      </c>
      <c r="F1026">
        <v>0</v>
      </c>
      <c r="G1026">
        <v>25</v>
      </c>
    </row>
    <row r="1027" spans="1:7" x14ac:dyDescent="0.25">
      <c r="A1027">
        <v>2071</v>
      </c>
      <c r="B1027">
        <v>71</v>
      </c>
      <c r="C1027">
        <v>3</v>
      </c>
      <c r="D1027">
        <v>7</v>
      </c>
      <c r="E1027">
        <v>1</v>
      </c>
      <c r="F1027">
        <v>0</v>
      </c>
      <c r="G1027">
        <v>8</v>
      </c>
    </row>
    <row r="1028" spans="1:7" x14ac:dyDescent="0.25">
      <c r="A1028">
        <v>1136</v>
      </c>
      <c r="B1028">
        <v>136</v>
      </c>
      <c r="C1028">
        <v>4</v>
      </c>
      <c r="D1028">
        <v>7</v>
      </c>
      <c r="E1028">
        <v>10</v>
      </c>
      <c r="F1028">
        <v>0</v>
      </c>
      <c r="G1028">
        <v>17</v>
      </c>
    </row>
    <row r="1029" spans="1:7" x14ac:dyDescent="0.25">
      <c r="A1029">
        <v>2075</v>
      </c>
      <c r="B1029">
        <v>75</v>
      </c>
      <c r="C1029">
        <v>6</v>
      </c>
      <c r="D1029">
        <v>8</v>
      </c>
      <c r="E1029">
        <v>10</v>
      </c>
      <c r="F1029">
        <v>2</v>
      </c>
      <c r="G1029">
        <v>20</v>
      </c>
    </row>
    <row r="1030" spans="1:7" x14ac:dyDescent="0.25">
      <c r="A1030">
        <v>1073</v>
      </c>
      <c r="B1030">
        <v>73</v>
      </c>
      <c r="C1030">
        <v>4</v>
      </c>
      <c r="D1030">
        <v>14</v>
      </c>
      <c r="E1030">
        <v>6</v>
      </c>
      <c r="F1030">
        <v>0</v>
      </c>
      <c r="G1030">
        <v>20</v>
      </c>
    </row>
    <row r="1031" spans="1:7" x14ac:dyDescent="0.25">
      <c r="A1031">
        <v>2071</v>
      </c>
      <c r="B1031">
        <v>71</v>
      </c>
      <c r="C1031">
        <v>4</v>
      </c>
      <c r="D1031">
        <v>7</v>
      </c>
      <c r="E1031">
        <v>1</v>
      </c>
      <c r="F1031">
        <v>0</v>
      </c>
      <c r="G1031">
        <v>8</v>
      </c>
    </row>
    <row r="1032" spans="1:7" x14ac:dyDescent="0.25">
      <c r="A1032">
        <v>1139</v>
      </c>
      <c r="B1032">
        <v>139</v>
      </c>
      <c r="C1032">
        <v>4</v>
      </c>
      <c r="D1032">
        <v>14</v>
      </c>
      <c r="E1032">
        <v>6</v>
      </c>
      <c r="F1032">
        <v>0</v>
      </c>
      <c r="G1032">
        <v>20</v>
      </c>
    </row>
    <row r="1033" spans="1:7" x14ac:dyDescent="0.25">
      <c r="A1033">
        <v>2071</v>
      </c>
      <c r="B1033">
        <v>71</v>
      </c>
      <c r="C1033">
        <v>5</v>
      </c>
      <c r="D1033">
        <v>5</v>
      </c>
      <c r="E1033">
        <v>1</v>
      </c>
      <c r="F1033">
        <v>0</v>
      </c>
      <c r="G1033">
        <v>6</v>
      </c>
    </row>
    <row r="1034" spans="1:7" x14ac:dyDescent="0.25">
      <c r="A1034">
        <v>2144</v>
      </c>
      <c r="B1034">
        <v>144</v>
      </c>
      <c r="C1034">
        <v>5</v>
      </c>
      <c r="D1034">
        <v>20</v>
      </c>
      <c r="E1034">
        <v>5</v>
      </c>
      <c r="F1034">
        <v>0</v>
      </c>
      <c r="G1034">
        <v>25</v>
      </c>
    </row>
    <row r="1035" spans="1:7" x14ac:dyDescent="0.25">
      <c r="A1035">
        <v>1134</v>
      </c>
      <c r="B1035">
        <v>134</v>
      </c>
      <c r="C1035">
        <v>4</v>
      </c>
      <c r="D1035">
        <v>10</v>
      </c>
      <c r="E1035">
        <v>5</v>
      </c>
      <c r="F1035">
        <v>0</v>
      </c>
      <c r="G1035">
        <v>15</v>
      </c>
    </row>
    <row r="1036" spans="1:7" x14ac:dyDescent="0.25">
      <c r="A1036">
        <v>2103</v>
      </c>
      <c r="B1036">
        <v>103</v>
      </c>
      <c r="C1036">
        <v>4</v>
      </c>
      <c r="D1036">
        <v>8</v>
      </c>
      <c r="E1036">
        <v>12</v>
      </c>
      <c r="F1036">
        <v>0</v>
      </c>
      <c r="G1036">
        <v>20</v>
      </c>
    </row>
    <row r="1037" spans="1:7" x14ac:dyDescent="0.25">
      <c r="A1037">
        <v>2133</v>
      </c>
      <c r="B1037">
        <v>133</v>
      </c>
      <c r="C1037">
        <v>4</v>
      </c>
      <c r="D1037">
        <v>14</v>
      </c>
      <c r="E1037">
        <v>1</v>
      </c>
      <c r="F1037">
        <v>0</v>
      </c>
      <c r="G1037">
        <v>15</v>
      </c>
    </row>
    <row r="1038" spans="1:7" x14ac:dyDescent="0.25">
      <c r="A1038">
        <v>1105</v>
      </c>
      <c r="B1038">
        <v>105</v>
      </c>
      <c r="C1038">
        <v>4</v>
      </c>
      <c r="D1038">
        <v>9</v>
      </c>
      <c r="E1038">
        <v>16</v>
      </c>
      <c r="F1038">
        <v>0</v>
      </c>
      <c r="G1038">
        <v>25</v>
      </c>
    </row>
    <row r="1039" spans="1:7" x14ac:dyDescent="0.25">
      <c r="A1039">
        <v>1137</v>
      </c>
      <c r="B1039">
        <v>137</v>
      </c>
      <c r="C1039">
        <v>4</v>
      </c>
      <c r="D1039">
        <v>14</v>
      </c>
      <c r="E1039">
        <v>5</v>
      </c>
      <c r="F1039">
        <v>2</v>
      </c>
      <c r="G1039">
        <v>21</v>
      </c>
    </row>
    <row r="1040" spans="1:7" x14ac:dyDescent="0.25">
      <c r="A1040">
        <v>2092</v>
      </c>
      <c r="B1040">
        <v>92</v>
      </c>
      <c r="C1040">
        <v>1</v>
      </c>
      <c r="D1040">
        <v>14</v>
      </c>
      <c r="E1040">
        <v>6</v>
      </c>
      <c r="F1040">
        <v>0</v>
      </c>
      <c r="G1040">
        <v>20</v>
      </c>
    </row>
    <row r="1041" spans="1:7" x14ac:dyDescent="0.25">
      <c r="A1041">
        <v>2074</v>
      </c>
      <c r="B1041">
        <v>74</v>
      </c>
      <c r="C1041">
        <v>6</v>
      </c>
      <c r="D1041">
        <v>10</v>
      </c>
      <c r="E1041">
        <v>5</v>
      </c>
      <c r="F1041">
        <v>0</v>
      </c>
      <c r="G1041">
        <v>15</v>
      </c>
    </row>
    <row r="1042" spans="1:7" x14ac:dyDescent="0.25">
      <c r="A1042">
        <v>2047</v>
      </c>
      <c r="B1042">
        <v>47</v>
      </c>
      <c r="C1042">
        <v>5</v>
      </c>
      <c r="D1042">
        <v>7</v>
      </c>
      <c r="E1042">
        <v>13</v>
      </c>
      <c r="F1042">
        <v>0</v>
      </c>
      <c r="G1042">
        <v>20</v>
      </c>
    </row>
    <row r="1043" spans="1:7" x14ac:dyDescent="0.25">
      <c r="A1043">
        <v>2073</v>
      </c>
      <c r="B1043">
        <v>73</v>
      </c>
      <c r="C1043">
        <v>6</v>
      </c>
      <c r="D1043">
        <v>7</v>
      </c>
      <c r="E1043">
        <v>12</v>
      </c>
      <c r="F1043">
        <v>1</v>
      </c>
      <c r="G1043">
        <v>20</v>
      </c>
    </row>
    <row r="1044" spans="1:7" x14ac:dyDescent="0.25">
      <c r="A1044">
        <v>2072</v>
      </c>
      <c r="B1044">
        <v>72</v>
      </c>
      <c r="C1044">
        <v>6</v>
      </c>
      <c r="D1044">
        <v>13</v>
      </c>
      <c r="E1044">
        <v>12</v>
      </c>
      <c r="F1044">
        <v>0</v>
      </c>
      <c r="G1044">
        <v>25</v>
      </c>
    </row>
    <row r="1045" spans="1:7" x14ac:dyDescent="0.25">
      <c r="A1045">
        <v>1072</v>
      </c>
      <c r="B1045">
        <v>72</v>
      </c>
      <c r="C1045">
        <v>6</v>
      </c>
      <c r="D1045">
        <v>14</v>
      </c>
      <c r="E1045">
        <v>11</v>
      </c>
      <c r="F1045">
        <v>0</v>
      </c>
      <c r="G1045">
        <v>25</v>
      </c>
    </row>
    <row r="1046" spans="1:7" x14ac:dyDescent="0.25">
      <c r="A1046">
        <v>1048</v>
      </c>
      <c r="B1046">
        <v>48</v>
      </c>
      <c r="C1046">
        <v>5</v>
      </c>
      <c r="D1046">
        <v>13</v>
      </c>
      <c r="E1046">
        <v>7</v>
      </c>
      <c r="F1046">
        <v>0</v>
      </c>
      <c r="G1046">
        <v>20</v>
      </c>
    </row>
    <row r="1047" spans="1:7" x14ac:dyDescent="0.25">
      <c r="A1047">
        <v>2070</v>
      </c>
      <c r="B1047">
        <v>70</v>
      </c>
      <c r="C1047">
        <v>6</v>
      </c>
      <c r="D1047">
        <v>5</v>
      </c>
      <c r="E1047">
        <v>0</v>
      </c>
      <c r="F1047">
        <v>0</v>
      </c>
      <c r="G1047">
        <v>5</v>
      </c>
    </row>
    <row r="1048" spans="1:7" x14ac:dyDescent="0.25">
      <c r="A1048">
        <v>1070</v>
      </c>
      <c r="B1048">
        <v>70</v>
      </c>
      <c r="C1048">
        <v>6</v>
      </c>
      <c r="D1048">
        <v>36</v>
      </c>
      <c r="E1048">
        <v>14</v>
      </c>
      <c r="F1048">
        <v>0</v>
      </c>
      <c r="G1048">
        <v>50</v>
      </c>
    </row>
    <row r="1049" spans="1:7" x14ac:dyDescent="0.25">
      <c r="A1049">
        <v>1048</v>
      </c>
      <c r="B1049">
        <v>48</v>
      </c>
      <c r="C1049">
        <v>6</v>
      </c>
      <c r="D1049">
        <v>13</v>
      </c>
      <c r="E1049">
        <v>7</v>
      </c>
      <c r="F1049">
        <v>0</v>
      </c>
      <c r="G1049">
        <v>20</v>
      </c>
    </row>
    <row r="1050" spans="1:7" x14ac:dyDescent="0.25">
      <c r="A1050">
        <v>2069</v>
      </c>
      <c r="B1050">
        <v>69</v>
      </c>
      <c r="C1050">
        <v>6</v>
      </c>
      <c r="D1050">
        <v>15</v>
      </c>
      <c r="E1050">
        <v>10</v>
      </c>
      <c r="F1050">
        <v>0</v>
      </c>
      <c r="G1050">
        <v>25</v>
      </c>
    </row>
    <row r="1051" spans="1:7" x14ac:dyDescent="0.25">
      <c r="A1051">
        <v>4102</v>
      </c>
      <c r="B1051">
        <v>102</v>
      </c>
      <c r="C1051">
        <v>5</v>
      </c>
      <c r="D1051">
        <v>16</v>
      </c>
      <c r="E1051">
        <v>4</v>
      </c>
      <c r="F1051">
        <v>0</v>
      </c>
      <c r="G1051">
        <v>20</v>
      </c>
    </row>
    <row r="1052" spans="1:7" x14ac:dyDescent="0.25">
      <c r="A1052">
        <v>1069</v>
      </c>
      <c r="B1052">
        <v>69</v>
      </c>
      <c r="C1052">
        <v>6</v>
      </c>
      <c r="D1052">
        <v>8</v>
      </c>
      <c r="E1052">
        <v>6</v>
      </c>
      <c r="F1052">
        <v>0</v>
      </c>
      <c r="G1052">
        <v>14</v>
      </c>
    </row>
    <row r="1053" spans="1:7" x14ac:dyDescent="0.25">
      <c r="A1053">
        <v>4048</v>
      </c>
      <c r="B1053">
        <v>48</v>
      </c>
      <c r="C1053">
        <v>5</v>
      </c>
      <c r="D1053">
        <v>2</v>
      </c>
      <c r="E1053">
        <v>12</v>
      </c>
      <c r="F1053">
        <v>0</v>
      </c>
      <c r="G1053">
        <v>14</v>
      </c>
    </row>
    <row r="1054" spans="1:7" x14ac:dyDescent="0.25">
      <c r="A1054">
        <v>3048</v>
      </c>
      <c r="B1054">
        <v>48</v>
      </c>
      <c r="C1054">
        <v>6</v>
      </c>
      <c r="D1054">
        <v>20</v>
      </c>
      <c r="E1054">
        <v>14</v>
      </c>
      <c r="F1054">
        <v>0</v>
      </c>
      <c r="G1054">
        <v>34</v>
      </c>
    </row>
    <row r="1055" spans="1:7" x14ac:dyDescent="0.25">
      <c r="A1055">
        <v>2068</v>
      </c>
      <c r="B1055">
        <v>68</v>
      </c>
      <c r="C1055">
        <v>6</v>
      </c>
      <c r="D1055">
        <v>12</v>
      </c>
      <c r="E1055">
        <v>16</v>
      </c>
      <c r="F1055">
        <v>0</v>
      </c>
      <c r="G1055">
        <v>28</v>
      </c>
    </row>
    <row r="1056" spans="1:7" x14ac:dyDescent="0.25">
      <c r="A1056">
        <v>3048</v>
      </c>
      <c r="B1056">
        <v>48</v>
      </c>
      <c r="C1056">
        <v>5</v>
      </c>
      <c r="D1056">
        <v>20</v>
      </c>
      <c r="E1056">
        <v>15</v>
      </c>
      <c r="F1056">
        <v>0</v>
      </c>
      <c r="G1056">
        <v>35</v>
      </c>
    </row>
    <row r="1057" spans="1:7" x14ac:dyDescent="0.25">
      <c r="A1057">
        <v>1044</v>
      </c>
      <c r="B1057">
        <v>44</v>
      </c>
      <c r="C1057">
        <v>6</v>
      </c>
      <c r="D1057">
        <v>6</v>
      </c>
      <c r="E1057">
        <v>14</v>
      </c>
      <c r="F1057">
        <v>0</v>
      </c>
      <c r="G1057">
        <v>20</v>
      </c>
    </row>
    <row r="1058" spans="1:7" x14ac:dyDescent="0.25">
      <c r="A1058">
        <v>3067</v>
      </c>
      <c r="B1058">
        <v>67</v>
      </c>
      <c r="C1058">
        <v>6</v>
      </c>
      <c r="D1058">
        <v>16</v>
      </c>
      <c r="E1058">
        <v>5</v>
      </c>
      <c r="F1058">
        <v>0</v>
      </c>
      <c r="G1058">
        <v>21</v>
      </c>
    </row>
    <row r="1059" spans="1:7" x14ac:dyDescent="0.25">
      <c r="A1059">
        <v>2092</v>
      </c>
      <c r="B1059">
        <v>92</v>
      </c>
      <c r="C1059">
        <v>2</v>
      </c>
      <c r="D1059">
        <v>14</v>
      </c>
      <c r="E1059">
        <v>6</v>
      </c>
      <c r="F1059">
        <v>0</v>
      </c>
      <c r="G1059">
        <v>20</v>
      </c>
    </row>
    <row r="1060" spans="1:7" x14ac:dyDescent="0.25">
      <c r="A1060">
        <v>3012</v>
      </c>
      <c r="B1060">
        <v>12</v>
      </c>
      <c r="C1060">
        <v>3</v>
      </c>
      <c r="D1060">
        <v>4</v>
      </c>
      <c r="E1060">
        <v>1</v>
      </c>
      <c r="F1060">
        <v>0</v>
      </c>
      <c r="G1060">
        <v>5</v>
      </c>
    </row>
    <row r="1061" spans="1:7" x14ac:dyDescent="0.25">
      <c r="A1061">
        <v>2103</v>
      </c>
      <c r="B1061">
        <v>103</v>
      </c>
      <c r="C1061">
        <v>5</v>
      </c>
      <c r="D1061">
        <v>11</v>
      </c>
      <c r="E1061">
        <v>9</v>
      </c>
      <c r="F1061">
        <v>1</v>
      </c>
      <c r="G1061">
        <v>21</v>
      </c>
    </row>
    <row r="1062" spans="1:7" x14ac:dyDescent="0.25">
      <c r="A1062">
        <v>2092</v>
      </c>
      <c r="B1062">
        <v>92</v>
      </c>
      <c r="C1062">
        <v>3</v>
      </c>
      <c r="D1062">
        <v>13</v>
      </c>
      <c r="E1062">
        <v>7</v>
      </c>
      <c r="F1062">
        <v>0</v>
      </c>
      <c r="G1062">
        <v>20</v>
      </c>
    </row>
    <row r="1063" spans="1:7" x14ac:dyDescent="0.25">
      <c r="A1063">
        <v>1013</v>
      </c>
      <c r="B1063">
        <v>13</v>
      </c>
      <c r="C1063">
        <v>3</v>
      </c>
      <c r="D1063">
        <v>0</v>
      </c>
      <c r="E1063">
        <v>20</v>
      </c>
      <c r="F1063">
        <v>0</v>
      </c>
      <c r="G1063">
        <v>20</v>
      </c>
    </row>
    <row r="1064" spans="1:7" x14ac:dyDescent="0.25">
      <c r="A1064">
        <v>1013</v>
      </c>
      <c r="B1064">
        <v>13</v>
      </c>
      <c r="C1064">
        <v>4</v>
      </c>
      <c r="D1064">
        <v>0</v>
      </c>
      <c r="E1064">
        <v>20</v>
      </c>
      <c r="F1064">
        <v>0</v>
      </c>
      <c r="G1064">
        <v>20</v>
      </c>
    </row>
    <row r="1065" spans="1:7" x14ac:dyDescent="0.25">
      <c r="A1065">
        <v>1104</v>
      </c>
      <c r="B1065">
        <v>104</v>
      </c>
      <c r="C1065">
        <v>5</v>
      </c>
      <c r="D1065">
        <v>20</v>
      </c>
      <c r="E1065">
        <v>12</v>
      </c>
      <c r="F1065">
        <v>0</v>
      </c>
      <c r="G1065">
        <v>32</v>
      </c>
    </row>
    <row r="1066" spans="1:7" x14ac:dyDescent="0.25">
      <c r="A1066">
        <v>2092</v>
      </c>
      <c r="B1066">
        <v>92</v>
      </c>
      <c r="C1066">
        <v>4</v>
      </c>
      <c r="D1066">
        <v>8</v>
      </c>
      <c r="E1066">
        <v>12</v>
      </c>
      <c r="F1066">
        <v>0</v>
      </c>
      <c r="G1066">
        <v>20</v>
      </c>
    </row>
    <row r="1067" spans="1:7" x14ac:dyDescent="0.25">
      <c r="A1067">
        <v>1105</v>
      </c>
      <c r="B1067">
        <v>105</v>
      </c>
      <c r="C1067">
        <v>5</v>
      </c>
      <c r="D1067">
        <v>10</v>
      </c>
      <c r="E1067">
        <v>15</v>
      </c>
      <c r="F1067">
        <v>0</v>
      </c>
      <c r="G1067">
        <v>25</v>
      </c>
    </row>
    <row r="1068" spans="1:7" x14ac:dyDescent="0.25">
      <c r="A1068">
        <v>1014</v>
      </c>
      <c r="B1068">
        <v>14</v>
      </c>
      <c r="C1068">
        <v>4</v>
      </c>
      <c r="D1068">
        <v>6</v>
      </c>
      <c r="E1068">
        <v>6</v>
      </c>
      <c r="F1068">
        <v>0</v>
      </c>
      <c r="G1068">
        <v>12</v>
      </c>
    </row>
    <row r="1069" spans="1:7" x14ac:dyDescent="0.25">
      <c r="A1069">
        <v>2105</v>
      </c>
      <c r="B1069">
        <v>105</v>
      </c>
      <c r="C1069">
        <v>5</v>
      </c>
      <c r="D1069">
        <v>3</v>
      </c>
      <c r="E1069">
        <v>15</v>
      </c>
      <c r="F1069">
        <v>0</v>
      </c>
      <c r="G1069">
        <v>18</v>
      </c>
    </row>
    <row r="1070" spans="1:7" x14ac:dyDescent="0.25">
      <c r="A1070">
        <v>2044</v>
      </c>
      <c r="B1070">
        <v>44</v>
      </c>
      <c r="C1070">
        <v>6</v>
      </c>
      <c r="D1070">
        <v>2</v>
      </c>
      <c r="E1070">
        <v>18</v>
      </c>
      <c r="F1070">
        <v>0</v>
      </c>
      <c r="G1070">
        <v>20</v>
      </c>
    </row>
    <row r="1071" spans="1:7" x14ac:dyDescent="0.25">
      <c r="A1071">
        <v>2092</v>
      </c>
      <c r="B1071">
        <v>92</v>
      </c>
      <c r="C1071">
        <v>5</v>
      </c>
      <c r="D1071">
        <v>10</v>
      </c>
      <c r="E1071">
        <v>10</v>
      </c>
      <c r="F1071">
        <v>0</v>
      </c>
      <c r="G1071">
        <v>20</v>
      </c>
    </row>
    <row r="1072" spans="1:7" x14ac:dyDescent="0.25">
      <c r="A1072">
        <v>1015</v>
      </c>
      <c r="B1072">
        <v>15</v>
      </c>
      <c r="C1072">
        <v>2</v>
      </c>
      <c r="D1072">
        <v>13</v>
      </c>
      <c r="E1072">
        <v>6</v>
      </c>
      <c r="F1072">
        <v>0</v>
      </c>
      <c r="G1072">
        <v>19</v>
      </c>
    </row>
    <row r="1073" spans="1:7" x14ac:dyDescent="0.25">
      <c r="A1073">
        <v>1045</v>
      </c>
      <c r="B1073">
        <v>45</v>
      </c>
      <c r="C1073">
        <v>6</v>
      </c>
      <c r="D1073">
        <v>10</v>
      </c>
      <c r="E1073">
        <v>10</v>
      </c>
      <c r="F1073">
        <v>0</v>
      </c>
      <c r="G1073">
        <v>20</v>
      </c>
    </row>
    <row r="1074" spans="1:7" x14ac:dyDescent="0.25">
      <c r="A1074">
        <v>1106</v>
      </c>
      <c r="B1074">
        <v>106</v>
      </c>
      <c r="C1074">
        <v>5</v>
      </c>
      <c r="D1074">
        <v>11</v>
      </c>
      <c r="E1074">
        <v>9</v>
      </c>
      <c r="F1074">
        <v>0</v>
      </c>
      <c r="G1074">
        <v>20</v>
      </c>
    </row>
    <row r="1075" spans="1:7" x14ac:dyDescent="0.25">
      <c r="A1075">
        <v>2092</v>
      </c>
      <c r="B1075">
        <v>92</v>
      </c>
      <c r="C1075">
        <v>6</v>
      </c>
      <c r="D1075">
        <v>11</v>
      </c>
      <c r="E1075">
        <v>9</v>
      </c>
      <c r="F1075">
        <v>0</v>
      </c>
      <c r="G1075">
        <v>20</v>
      </c>
    </row>
    <row r="1076" spans="1:7" x14ac:dyDescent="0.25">
      <c r="A1076">
        <v>1046</v>
      </c>
      <c r="B1076">
        <v>46</v>
      </c>
      <c r="C1076">
        <v>6</v>
      </c>
      <c r="D1076">
        <v>12</v>
      </c>
      <c r="E1076">
        <v>10</v>
      </c>
      <c r="F1076">
        <v>0</v>
      </c>
      <c r="G1076">
        <v>22</v>
      </c>
    </row>
    <row r="1077" spans="1:7" x14ac:dyDescent="0.25">
      <c r="A1077">
        <v>5008</v>
      </c>
      <c r="B1077">
        <v>8</v>
      </c>
      <c r="C1077">
        <v>5</v>
      </c>
      <c r="D1077">
        <v>15</v>
      </c>
      <c r="E1077">
        <v>5</v>
      </c>
      <c r="F1077">
        <v>3</v>
      </c>
      <c r="G1077">
        <v>23</v>
      </c>
    </row>
    <row r="1078" spans="1:7" x14ac:dyDescent="0.25">
      <c r="A1078">
        <v>5008</v>
      </c>
      <c r="B1078">
        <v>8</v>
      </c>
      <c r="C1078">
        <v>1</v>
      </c>
      <c r="D1078">
        <v>20</v>
      </c>
      <c r="E1078">
        <v>15</v>
      </c>
      <c r="F1078">
        <v>3</v>
      </c>
      <c r="G1078">
        <v>38</v>
      </c>
    </row>
    <row r="1079" spans="1:7" x14ac:dyDescent="0.25">
      <c r="A1079">
        <v>3012</v>
      </c>
      <c r="B1079">
        <v>12</v>
      </c>
      <c r="C1079">
        <v>4</v>
      </c>
      <c r="D1079">
        <v>4</v>
      </c>
      <c r="E1079">
        <v>2</v>
      </c>
      <c r="F1079">
        <v>0</v>
      </c>
      <c r="G1079">
        <v>6</v>
      </c>
    </row>
    <row r="1080" spans="1:7" x14ac:dyDescent="0.25">
      <c r="A1080">
        <v>2046</v>
      </c>
      <c r="B1080">
        <v>46</v>
      </c>
      <c r="C1080">
        <v>6</v>
      </c>
      <c r="D1080">
        <v>15</v>
      </c>
      <c r="E1080">
        <v>5</v>
      </c>
      <c r="F1080">
        <v>0</v>
      </c>
      <c r="G1080">
        <v>20</v>
      </c>
    </row>
    <row r="1081" spans="1:7" x14ac:dyDescent="0.25">
      <c r="A1081">
        <v>3046</v>
      </c>
      <c r="B1081">
        <v>46</v>
      </c>
      <c r="C1081">
        <v>6</v>
      </c>
      <c r="D1081">
        <v>11</v>
      </c>
      <c r="E1081">
        <v>9</v>
      </c>
      <c r="F1081">
        <v>0</v>
      </c>
      <c r="G1081">
        <v>20</v>
      </c>
    </row>
    <row r="1082" spans="1:7" x14ac:dyDescent="0.25">
      <c r="A1082">
        <v>5008</v>
      </c>
      <c r="B1082">
        <v>8</v>
      </c>
      <c r="C1082">
        <v>2</v>
      </c>
      <c r="D1082">
        <v>12</v>
      </c>
      <c r="E1082">
        <v>10</v>
      </c>
      <c r="F1082">
        <v>2</v>
      </c>
      <c r="G1082">
        <v>24</v>
      </c>
    </row>
    <row r="1083" spans="1:7" x14ac:dyDescent="0.25">
      <c r="A1083">
        <v>2045</v>
      </c>
      <c r="B1083">
        <v>45</v>
      </c>
      <c r="C1083">
        <v>6</v>
      </c>
      <c r="D1083">
        <v>4</v>
      </c>
      <c r="E1083">
        <v>6</v>
      </c>
      <c r="F1083">
        <v>0</v>
      </c>
      <c r="G1083">
        <v>10</v>
      </c>
    </row>
    <row r="1084" spans="1:7" x14ac:dyDescent="0.25">
      <c r="A1084">
        <v>2019</v>
      </c>
      <c r="B1084">
        <v>19</v>
      </c>
      <c r="C1084">
        <v>4</v>
      </c>
      <c r="D1084">
        <v>8</v>
      </c>
      <c r="E1084">
        <v>8</v>
      </c>
      <c r="F1084">
        <v>1</v>
      </c>
      <c r="G1084">
        <v>17</v>
      </c>
    </row>
    <row r="1085" spans="1:7" x14ac:dyDescent="0.25">
      <c r="A1085">
        <v>5008</v>
      </c>
      <c r="B1085">
        <v>8</v>
      </c>
      <c r="C1085">
        <v>3</v>
      </c>
      <c r="D1085">
        <v>12</v>
      </c>
      <c r="E1085">
        <v>10</v>
      </c>
      <c r="F1085">
        <v>0</v>
      </c>
      <c r="G1085">
        <v>22</v>
      </c>
    </row>
    <row r="1086" spans="1:7" x14ac:dyDescent="0.25">
      <c r="A1086">
        <v>4145</v>
      </c>
      <c r="B1086">
        <v>145</v>
      </c>
      <c r="C1086">
        <v>5</v>
      </c>
      <c r="D1086">
        <v>8</v>
      </c>
      <c r="E1086">
        <v>9</v>
      </c>
      <c r="F1086">
        <v>0</v>
      </c>
      <c r="G1086">
        <v>17</v>
      </c>
    </row>
    <row r="1087" spans="1:7" x14ac:dyDescent="0.25">
      <c r="A1087">
        <v>2140</v>
      </c>
      <c r="B1087">
        <v>140</v>
      </c>
      <c r="C1087">
        <v>7</v>
      </c>
      <c r="D1087">
        <v>4</v>
      </c>
      <c r="E1087">
        <v>2</v>
      </c>
      <c r="F1087">
        <v>0</v>
      </c>
      <c r="G1087">
        <v>6</v>
      </c>
    </row>
    <row r="1088" spans="1:7" x14ac:dyDescent="0.25">
      <c r="A1088">
        <v>1015</v>
      </c>
      <c r="B1088">
        <v>15</v>
      </c>
      <c r="C1088">
        <v>3</v>
      </c>
      <c r="D1088">
        <v>7</v>
      </c>
      <c r="E1088">
        <v>3</v>
      </c>
      <c r="F1088">
        <v>3</v>
      </c>
      <c r="G1088">
        <v>13</v>
      </c>
    </row>
    <row r="1089" spans="1:7" x14ac:dyDescent="0.25">
      <c r="A1089">
        <v>2019</v>
      </c>
      <c r="B1089">
        <v>19</v>
      </c>
      <c r="C1089">
        <v>5</v>
      </c>
      <c r="D1089">
        <v>2</v>
      </c>
      <c r="E1089">
        <v>9</v>
      </c>
      <c r="F1089">
        <v>1</v>
      </c>
      <c r="G1089">
        <v>12</v>
      </c>
    </row>
    <row r="1090" spans="1:7" x14ac:dyDescent="0.25">
      <c r="A1090">
        <v>1006</v>
      </c>
      <c r="B1090">
        <v>6</v>
      </c>
      <c r="C1090">
        <v>4</v>
      </c>
      <c r="D1090">
        <v>5</v>
      </c>
      <c r="E1090">
        <v>0</v>
      </c>
      <c r="F1090">
        <v>0</v>
      </c>
      <c r="G1090">
        <v>5</v>
      </c>
    </row>
    <row r="1091" spans="1:7" x14ac:dyDescent="0.25">
      <c r="A1091">
        <v>2004</v>
      </c>
      <c r="B1091">
        <v>4</v>
      </c>
      <c r="C1091">
        <v>4</v>
      </c>
      <c r="D1091">
        <v>8</v>
      </c>
      <c r="E1091">
        <v>0</v>
      </c>
      <c r="F1091">
        <v>0</v>
      </c>
      <c r="G1091">
        <v>8</v>
      </c>
    </row>
    <row r="1092" spans="1:7" x14ac:dyDescent="0.25">
      <c r="A1092">
        <v>2142</v>
      </c>
      <c r="B1092">
        <v>142</v>
      </c>
      <c r="C1092">
        <v>7</v>
      </c>
      <c r="D1092">
        <v>4</v>
      </c>
      <c r="E1092">
        <v>17</v>
      </c>
      <c r="F1092">
        <v>0</v>
      </c>
      <c r="G1092">
        <v>21</v>
      </c>
    </row>
    <row r="1093" spans="1:7" x14ac:dyDescent="0.25">
      <c r="A1093">
        <v>2096</v>
      </c>
      <c r="B1093">
        <v>96</v>
      </c>
      <c r="C1093">
        <v>5</v>
      </c>
      <c r="D1093">
        <v>4</v>
      </c>
      <c r="E1093">
        <v>2</v>
      </c>
      <c r="F1093">
        <v>0</v>
      </c>
      <c r="G1093">
        <v>6</v>
      </c>
    </row>
    <row r="1094" spans="1:7" x14ac:dyDescent="0.25">
      <c r="A1094">
        <v>1004</v>
      </c>
      <c r="B1094">
        <v>4</v>
      </c>
      <c r="C1094">
        <v>4</v>
      </c>
      <c r="D1094">
        <v>8</v>
      </c>
      <c r="E1094">
        <v>13</v>
      </c>
      <c r="F1094">
        <v>0</v>
      </c>
      <c r="G1094">
        <v>21</v>
      </c>
    </row>
    <row r="1095" spans="1:7" x14ac:dyDescent="0.25">
      <c r="A1095">
        <v>2094</v>
      </c>
      <c r="B1095">
        <v>94</v>
      </c>
      <c r="C1095">
        <v>5</v>
      </c>
      <c r="D1095">
        <v>12</v>
      </c>
      <c r="E1095">
        <v>8</v>
      </c>
      <c r="F1095">
        <v>0</v>
      </c>
      <c r="G1095">
        <v>20</v>
      </c>
    </row>
    <row r="1096" spans="1:7" x14ac:dyDescent="0.25">
      <c r="A1096">
        <v>3142</v>
      </c>
      <c r="B1096">
        <v>142</v>
      </c>
      <c r="C1096">
        <v>7</v>
      </c>
      <c r="D1096">
        <v>2</v>
      </c>
      <c r="E1096">
        <v>13</v>
      </c>
      <c r="F1096">
        <v>0</v>
      </c>
      <c r="G1096">
        <v>15</v>
      </c>
    </row>
    <row r="1097" spans="1:7" x14ac:dyDescent="0.25">
      <c r="A1097">
        <v>1110</v>
      </c>
      <c r="B1097">
        <v>110</v>
      </c>
      <c r="C1097">
        <v>4</v>
      </c>
      <c r="D1097">
        <v>7</v>
      </c>
      <c r="E1097">
        <v>7</v>
      </c>
      <c r="F1097">
        <v>0</v>
      </c>
      <c r="G1097">
        <v>14</v>
      </c>
    </row>
    <row r="1098" spans="1:7" x14ac:dyDescent="0.25">
      <c r="A1098">
        <v>3048</v>
      </c>
      <c r="B1098">
        <v>48</v>
      </c>
      <c r="C1098">
        <v>4</v>
      </c>
      <c r="D1098">
        <v>20</v>
      </c>
      <c r="E1098">
        <v>15</v>
      </c>
      <c r="F1098">
        <v>0</v>
      </c>
      <c r="G1098">
        <v>35</v>
      </c>
    </row>
    <row r="1099" spans="1:7" x14ac:dyDescent="0.25">
      <c r="A1099">
        <v>1110</v>
      </c>
      <c r="B1099">
        <v>110</v>
      </c>
      <c r="C1099">
        <v>5</v>
      </c>
      <c r="D1099">
        <v>14</v>
      </c>
      <c r="E1099">
        <v>6</v>
      </c>
      <c r="F1099">
        <v>0</v>
      </c>
      <c r="G1099">
        <v>20</v>
      </c>
    </row>
    <row r="1100" spans="1:7" x14ac:dyDescent="0.25">
      <c r="A1100">
        <v>1143</v>
      </c>
      <c r="B1100">
        <v>143</v>
      </c>
      <c r="C1100">
        <v>7</v>
      </c>
      <c r="D1100">
        <v>1</v>
      </c>
      <c r="E1100">
        <v>9</v>
      </c>
      <c r="F1100">
        <v>0</v>
      </c>
      <c r="G1100">
        <v>10</v>
      </c>
    </row>
    <row r="1101" spans="1:7" x14ac:dyDescent="0.25">
      <c r="A1101">
        <v>2097</v>
      </c>
      <c r="B1101">
        <v>97</v>
      </c>
      <c r="C1101">
        <v>5</v>
      </c>
      <c r="D1101">
        <v>2</v>
      </c>
      <c r="E1101">
        <v>5</v>
      </c>
      <c r="F1101">
        <v>5</v>
      </c>
      <c r="G1101">
        <v>12</v>
      </c>
    </row>
    <row r="1102" spans="1:7" x14ac:dyDescent="0.25">
      <c r="A1102">
        <v>1113</v>
      </c>
      <c r="B1102">
        <v>113</v>
      </c>
      <c r="C1102">
        <v>5</v>
      </c>
      <c r="D1102">
        <v>10</v>
      </c>
      <c r="E1102">
        <v>2</v>
      </c>
      <c r="F1102">
        <v>0</v>
      </c>
      <c r="G1102">
        <v>12</v>
      </c>
    </row>
    <row r="1103" spans="1:7" x14ac:dyDescent="0.25">
      <c r="A1103">
        <v>1020</v>
      </c>
      <c r="B1103">
        <v>20</v>
      </c>
      <c r="C1103">
        <v>5</v>
      </c>
      <c r="D1103">
        <v>15</v>
      </c>
      <c r="E1103">
        <v>7</v>
      </c>
      <c r="F1103">
        <v>0</v>
      </c>
      <c r="G1103">
        <v>22</v>
      </c>
    </row>
    <row r="1104" spans="1:7" x14ac:dyDescent="0.25">
      <c r="A1104">
        <v>2003</v>
      </c>
      <c r="B1104">
        <v>3</v>
      </c>
      <c r="C1104">
        <v>5</v>
      </c>
      <c r="D1104">
        <v>32</v>
      </c>
      <c r="E1104">
        <v>29</v>
      </c>
      <c r="F1104">
        <v>0</v>
      </c>
      <c r="G1104">
        <v>61</v>
      </c>
    </row>
    <row r="1105" spans="1:7" x14ac:dyDescent="0.25">
      <c r="A1105">
        <v>1133</v>
      </c>
      <c r="B1105">
        <v>133</v>
      </c>
      <c r="C1105">
        <v>5</v>
      </c>
      <c r="D1105">
        <v>20</v>
      </c>
      <c r="E1105">
        <v>0</v>
      </c>
      <c r="F1105">
        <v>0</v>
      </c>
      <c r="G1105">
        <v>20</v>
      </c>
    </row>
    <row r="1106" spans="1:7" x14ac:dyDescent="0.25">
      <c r="A1106">
        <v>5021</v>
      </c>
      <c r="B1106">
        <v>21</v>
      </c>
      <c r="C1106">
        <v>5</v>
      </c>
      <c r="D1106">
        <v>9</v>
      </c>
      <c r="E1106">
        <v>11</v>
      </c>
      <c r="F1106">
        <v>0</v>
      </c>
      <c r="G1106">
        <v>20</v>
      </c>
    </row>
    <row r="1107" spans="1:7" x14ac:dyDescent="0.25">
      <c r="A1107">
        <v>1002</v>
      </c>
      <c r="B1107">
        <v>2</v>
      </c>
      <c r="C1107">
        <v>4</v>
      </c>
      <c r="D1107">
        <v>4</v>
      </c>
      <c r="E1107">
        <v>16</v>
      </c>
      <c r="F1107">
        <v>0</v>
      </c>
      <c r="G1107">
        <v>20</v>
      </c>
    </row>
    <row r="1108" spans="1:7" x14ac:dyDescent="0.25">
      <c r="A1108">
        <v>1001</v>
      </c>
      <c r="B1108">
        <v>1</v>
      </c>
      <c r="C1108">
        <v>4</v>
      </c>
      <c r="D1108">
        <v>2</v>
      </c>
      <c r="E1108">
        <v>3</v>
      </c>
      <c r="F1108">
        <v>0</v>
      </c>
      <c r="G1108">
        <v>5</v>
      </c>
    </row>
    <row r="1109" spans="1:7" x14ac:dyDescent="0.25">
      <c r="A1109">
        <v>2094</v>
      </c>
      <c r="B1109">
        <v>94</v>
      </c>
      <c r="C1109">
        <v>4</v>
      </c>
      <c r="D1109">
        <v>16</v>
      </c>
      <c r="E1109">
        <v>4</v>
      </c>
      <c r="F1109">
        <v>0</v>
      </c>
      <c r="G1109">
        <v>20</v>
      </c>
    </row>
    <row r="1110" spans="1:7" x14ac:dyDescent="0.25">
      <c r="A1110">
        <v>5021</v>
      </c>
      <c r="B1110">
        <v>21</v>
      </c>
      <c r="C1110">
        <v>6</v>
      </c>
      <c r="D1110">
        <v>9</v>
      </c>
      <c r="E1110">
        <v>9</v>
      </c>
      <c r="F1110">
        <v>0</v>
      </c>
      <c r="G1110">
        <v>18</v>
      </c>
    </row>
    <row r="1111" spans="1:7" x14ac:dyDescent="0.25">
      <c r="A1111">
        <v>1141</v>
      </c>
      <c r="B1111">
        <v>141</v>
      </c>
      <c r="C1111">
        <v>4</v>
      </c>
      <c r="D1111">
        <v>9</v>
      </c>
      <c r="E1111">
        <v>13</v>
      </c>
      <c r="F1111">
        <v>0</v>
      </c>
      <c r="G1111">
        <v>22</v>
      </c>
    </row>
    <row r="1112" spans="1:7" x14ac:dyDescent="0.25">
      <c r="A1112">
        <v>2131</v>
      </c>
      <c r="B1112">
        <v>131</v>
      </c>
      <c r="C1112">
        <v>5</v>
      </c>
      <c r="D1112">
        <v>11</v>
      </c>
      <c r="E1112">
        <v>7</v>
      </c>
      <c r="F1112">
        <v>0</v>
      </c>
      <c r="G1112">
        <v>18</v>
      </c>
    </row>
    <row r="1113" spans="1:7" x14ac:dyDescent="0.25">
      <c r="A1113">
        <v>1015</v>
      </c>
      <c r="B1113">
        <v>15</v>
      </c>
      <c r="C1113">
        <v>4</v>
      </c>
      <c r="D1113">
        <v>3</v>
      </c>
      <c r="E1113">
        <v>2</v>
      </c>
      <c r="F1113">
        <v>0</v>
      </c>
      <c r="G1113">
        <v>5</v>
      </c>
    </row>
    <row r="1114" spans="1:7" x14ac:dyDescent="0.25">
      <c r="A1114">
        <v>2140</v>
      </c>
      <c r="B1114">
        <v>140</v>
      </c>
      <c r="C1114">
        <v>4</v>
      </c>
      <c r="D1114">
        <v>10</v>
      </c>
      <c r="E1114">
        <v>0</v>
      </c>
      <c r="F1114">
        <v>0</v>
      </c>
      <c r="G1114">
        <v>10</v>
      </c>
    </row>
    <row r="1115" spans="1:7" x14ac:dyDescent="0.25">
      <c r="A1115">
        <v>2046</v>
      </c>
      <c r="B1115">
        <v>46</v>
      </c>
      <c r="C1115">
        <v>5</v>
      </c>
      <c r="D1115">
        <v>18</v>
      </c>
      <c r="E1115">
        <v>2</v>
      </c>
      <c r="F1115">
        <v>0</v>
      </c>
      <c r="G1115">
        <v>20</v>
      </c>
    </row>
    <row r="1116" spans="1:7" x14ac:dyDescent="0.25">
      <c r="A1116">
        <v>1142</v>
      </c>
      <c r="B1116">
        <v>142</v>
      </c>
      <c r="C1116">
        <v>4</v>
      </c>
      <c r="D1116">
        <v>15</v>
      </c>
      <c r="E1116">
        <v>6</v>
      </c>
      <c r="F1116">
        <v>0</v>
      </c>
      <c r="G1116">
        <v>21</v>
      </c>
    </row>
    <row r="1117" spans="1:7" x14ac:dyDescent="0.25">
      <c r="A1117">
        <v>3145</v>
      </c>
      <c r="B1117">
        <v>145</v>
      </c>
      <c r="C1117">
        <v>4</v>
      </c>
      <c r="D1117">
        <v>9</v>
      </c>
      <c r="E1117">
        <v>10</v>
      </c>
      <c r="F1117">
        <v>0</v>
      </c>
      <c r="G1117">
        <v>19</v>
      </c>
    </row>
    <row r="1118" spans="1:7" x14ac:dyDescent="0.25">
      <c r="A1118">
        <v>1143</v>
      </c>
      <c r="B1118">
        <v>143</v>
      </c>
      <c r="C1118">
        <v>4</v>
      </c>
      <c r="D1118">
        <v>1</v>
      </c>
      <c r="E1118">
        <v>17</v>
      </c>
      <c r="F1118">
        <v>1</v>
      </c>
      <c r="G1118">
        <v>19</v>
      </c>
    </row>
    <row r="1119" spans="1:7" x14ac:dyDescent="0.25">
      <c r="A1119">
        <v>1152</v>
      </c>
      <c r="B1119">
        <v>152</v>
      </c>
      <c r="C1119">
        <v>3</v>
      </c>
      <c r="D1119">
        <v>9</v>
      </c>
      <c r="E1119">
        <v>7</v>
      </c>
      <c r="F1119">
        <v>0</v>
      </c>
      <c r="G1119">
        <v>16</v>
      </c>
    </row>
    <row r="1120" spans="1:7" x14ac:dyDescent="0.25">
      <c r="A1120">
        <v>2045</v>
      </c>
      <c r="B1120">
        <v>45</v>
      </c>
      <c r="C1120">
        <v>5</v>
      </c>
      <c r="D1120">
        <v>18</v>
      </c>
      <c r="E1120">
        <v>2</v>
      </c>
      <c r="F1120">
        <v>0</v>
      </c>
      <c r="G1120">
        <v>20</v>
      </c>
    </row>
    <row r="1121" spans="1:7" x14ac:dyDescent="0.25">
      <c r="A1121">
        <v>1152</v>
      </c>
      <c r="B1121">
        <v>152</v>
      </c>
      <c r="C1121">
        <v>4</v>
      </c>
      <c r="D1121">
        <v>8</v>
      </c>
      <c r="E1121">
        <v>13</v>
      </c>
      <c r="F1121">
        <v>0</v>
      </c>
      <c r="G1121">
        <v>21</v>
      </c>
    </row>
    <row r="1122" spans="1:7" x14ac:dyDescent="0.25">
      <c r="A1122">
        <v>1045</v>
      </c>
      <c r="B1122">
        <v>45</v>
      </c>
      <c r="C1122">
        <v>5</v>
      </c>
      <c r="D1122">
        <v>17</v>
      </c>
      <c r="E1122">
        <v>3</v>
      </c>
      <c r="F1122">
        <v>0</v>
      </c>
      <c r="G1122">
        <v>20</v>
      </c>
    </row>
    <row r="1123" spans="1:7" x14ac:dyDescent="0.25">
      <c r="A1123">
        <v>1144</v>
      </c>
      <c r="B1123">
        <v>144</v>
      </c>
      <c r="C1123">
        <v>4</v>
      </c>
      <c r="D1123">
        <v>11</v>
      </c>
      <c r="E1123">
        <v>3</v>
      </c>
      <c r="F1123">
        <v>0</v>
      </c>
      <c r="G1123">
        <v>14</v>
      </c>
    </row>
    <row r="1124" spans="1:7" x14ac:dyDescent="0.25">
      <c r="A1124">
        <v>5008</v>
      </c>
      <c r="B1124">
        <v>8</v>
      </c>
      <c r="C1124">
        <v>4</v>
      </c>
      <c r="D1124">
        <v>6</v>
      </c>
      <c r="E1124">
        <v>8</v>
      </c>
      <c r="F1124">
        <v>1</v>
      </c>
      <c r="G1124">
        <v>15</v>
      </c>
    </row>
    <row r="1125" spans="1:7" x14ac:dyDescent="0.25">
      <c r="A1125">
        <v>2080</v>
      </c>
      <c r="B1125">
        <v>80</v>
      </c>
      <c r="C1125">
        <v>6</v>
      </c>
      <c r="D1125">
        <v>16</v>
      </c>
      <c r="E1125">
        <v>5</v>
      </c>
      <c r="F1125">
        <v>0</v>
      </c>
      <c r="G1125">
        <v>21</v>
      </c>
    </row>
    <row r="1126" spans="1:7" x14ac:dyDescent="0.25">
      <c r="A1126">
        <v>1046</v>
      </c>
      <c r="B1126">
        <v>46</v>
      </c>
      <c r="C1126">
        <v>5</v>
      </c>
      <c r="D1126">
        <v>18</v>
      </c>
      <c r="E1126">
        <v>14</v>
      </c>
      <c r="F1126">
        <v>1</v>
      </c>
      <c r="G1126">
        <v>33</v>
      </c>
    </row>
    <row r="1127" spans="1:7" x14ac:dyDescent="0.25">
      <c r="A1127">
        <v>2101</v>
      </c>
      <c r="B1127">
        <v>101</v>
      </c>
      <c r="C1127">
        <v>5</v>
      </c>
      <c r="D1127">
        <v>0</v>
      </c>
      <c r="E1127">
        <v>0</v>
      </c>
      <c r="F1127">
        <v>0</v>
      </c>
      <c r="G1127">
        <v>0</v>
      </c>
    </row>
    <row r="1128" spans="1:7" x14ac:dyDescent="0.25">
      <c r="A1128">
        <v>4021</v>
      </c>
      <c r="B1128">
        <v>21</v>
      </c>
      <c r="C1128">
        <v>4</v>
      </c>
      <c r="D1128">
        <v>12</v>
      </c>
      <c r="E1128">
        <v>9</v>
      </c>
      <c r="F1128">
        <v>0</v>
      </c>
      <c r="G1128">
        <v>21</v>
      </c>
    </row>
    <row r="1129" spans="1:7" x14ac:dyDescent="0.25">
      <c r="A1129">
        <v>1106</v>
      </c>
      <c r="B1129">
        <v>106</v>
      </c>
      <c r="C1129">
        <v>6</v>
      </c>
      <c r="D1129">
        <v>13</v>
      </c>
      <c r="E1129">
        <v>5</v>
      </c>
      <c r="F1129">
        <v>0</v>
      </c>
      <c r="G1129" s="238">
        <v>18</v>
      </c>
    </row>
    <row r="1130" spans="1:7" x14ac:dyDescent="0.25">
      <c r="A1130">
        <v>1007</v>
      </c>
      <c r="B1130">
        <v>7</v>
      </c>
      <c r="C1130">
        <v>6</v>
      </c>
      <c r="D1130">
        <v>10</v>
      </c>
      <c r="E1130">
        <v>19</v>
      </c>
      <c r="F1130">
        <v>0</v>
      </c>
      <c r="G1130">
        <v>29</v>
      </c>
    </row>
    <row r="1131" spans="1:7" x14ac:dyDescent="0.25">
      <c r="A1131">
        <v>2025</v>
      </c>
      <c r="B1131">
        <v>25</v>
      </c>
      <c r="C1131">
        <v>2</v>
      </c>
      <c r="D1131">
        <v>10</v>
      </c>
      <c r="E1131">
        <v>10</v>
      </c>
      <c r="F1131">
        <v>0</v>
      </c>
      <c r="G1131">
        <v>20</v>
      </c>
    </row>
    <row r="1132" spans="1:7" x14ac:dyDescent="0.25">
      <c r="A1132">
        <v>1067</v>
      </c>
      <c r="B1132">
        <v>67</v>
      </c>
      <c r="C1132">
        <v>6</v>
      </c>
      <c r="D1132">
        <v>10</v>
      </c>
      <c r="E1132">
        <v>10</v>
      </c>
      <c r="F1132">
        <v>0</v>
      </c>
      <c r="G1132">
        <v>20</v>
      </c>
    </row>
    <row r="1133" spans="1:7" x14ac:dyDescent="0.25">
      <c r="A1133">
        <v>1102</v>
      </c>
      <c r="B1133">
        <v>102</v>
      </c>
      <c r="C1133">
        <v>5</v>
      </c>
      <c r="D1133">
        <v>6</v>
      </c>
      <c r="E1133">
        <v>5</v>
      </c>
      <c r="F1133">
        <v>1</v>
      </c>
      <c r="G1133">
        <v>12</v>
      </c>
    </row>
    <row r="1134" spans="1:7" x14ac:dyDescent="0.25">
      <c r="A1134">
        <v>1156</v>
      </c>
      <c r="B1134">
        <v>156</v>
      </c>
      <c r="C1134">
        <v>5</v>
      </c>
      <c r="D1134">
        <v>13</v>
      </c>
      <c r="E1134">
        <v>1</v>
      </c>
      <c r="F1134">
        <v>0</v>
      </c>
      <c r="G1134">
        <v>14</v>
      </c>
    </row>
    <row r="1135" spans="1:7" x14ac:dyDescent="0.25">
      <c r="A1135">
        <v>2066</v>
      </c>
      <c r="B1135">
        <v>66</v>
      </c>
      <c r="C1135">
        <v>6</v>
      </c>
      <c r="D1135">
        <v>7</v>
      </c>
      <c r="E1135">
        <v>13</v>
      </c>
      <c r="F1135">
        <v>0</v>
      </c>
      <c r="G1135">
        <v>20</v>
      </c>
    </row>
    <row r="1136" spans="1:7" x14ac:dyDescent="0.25">
      <c r="A1136">
        <v>1066</v>
      </c>
      <c r="B1136">
        <v>66</v>
      </c>
      <c r="C1136">
        <v>6</v>
      </c>
      <c r="D1136">
        <v>3</v>
      </c>
      <c r="E1136">
        <v>23</v>
      </c>
      <c r="F1136">
        <v>0</v>
      </c>
      <c r="G1136">
        <v>26</v>
      </c>
    </row>
    <row r="1137" spans="1:7" x14ac:dyDescent="0.25">
      <c r="A1137">
        <v>1082</v>
      </c>
      <c r="B1137">
        <v>82</v>
      </c>
      <c r="C1137">
        <v>5</v>
      </c>
      <c r="D1137">
        <v>7</v>
      </c>
      <c r="E1137">
        <v>12</v>
      </c>
      <c r="F1137">
        <v>0</v>
      </c>
      <c r="G1137">
        <v>19</v>
      </c>
    </row>
    <row r="1138" spans="1:7" x14ac:dyDescent="0.25">
      <c r="A1138">
        <v>5102</v>
      </c>
      <c r="B1138">
        <v>102</v>
      </c>
      <c r="C1138">
        <v>6</v>
      </c>
      <c r="D1138">
        <v>5</v>
      </c>
      <c r="E1138">
        <v>8</v>
      </c>
      <c r="F1138">
        <v>0</v>
      </c>
      <c r="G1138">
        <v>13</v>
      </c>
    </row>
    <row r="1139" spans="1:7" x14ac:dyDescent="0.25">
      <c r="A1139">
        <v>2155</v>
      </c>
      <c r="B1139">
        <v>155</v>
      </c>
      <c r="C1139">
        <v>5</v>
      </c>
      <c r="D1139">
        <v>8</v>
      </c>
      <c r="E1139">
        <v>12</v>
      </c>
      <c r="F1139">
        <v>0</v>
      </c>
      <c r="G1139">
        <v>20</v>
      </c>
    </row>
    <row r="1140" spans="1:7" x14ac:dyDescent="0.25">
      <c r="A1140">
        <v>2082</v>
      </c>
      <c r="B1140">
        <v>82</v>
      </c>
      <c r="C1140">
        <v>4</v>
      </c>
      <c r="D1140">
        <v>3</v>
      </c>
      <c r="E1140">
        <v>5</v>
      </c>
      <c r="F1140">
        <v>0</v>
      </c>
      <c r="G1140">
        <v>8</v>
      </c>
    </row>
    <row r="1141" spans="1:7" x14ac:dyDescent="0.25">
      <c r="A1141">
        <v>1084</v>
      </c>
      <c r="B1141">
        <v>84</v>
      </c>
      <c r="C1141">
        <v>5</v>
      </c>
      <c r="D1141">
        <v>14</v>
      </c>
      <c r="E1141">
        <v>6</v>
      </c>
      <c r="F1141">
        <v>0</v>
      </c>
      <c r="G1141">
        <v>20</v>
      </c>
    </row>
    <row r="1142" spans="1:7" x14ac:dyDescent="0.25">
      <c r="A1142">
        <v>2083</v>
      </c>
      <c r="B1142">
        <v>83</v>
      </c>
      <c r="C1142">
        <v>5</v>
      </c>
      <c r="D1142">
        <v>7</v>
      </c>
      <c r="E1142">
        <v>2</v>
      </c>
      <c r="F1142">
        <v>0</v>
      </c>
      <c r="G1142">
        <v>9</v>
      </c>
    </row>
    <row r="1143" spans="1:7" x14ac:dyDescent="0.25">
      <c r="A1143">
        <v>2049</v>
      </c>
      <c r="B1143">
        <v>49</v>
      </c>
      <c r="C1143">
        <v>6</v>
      </c>
      <c r="D1143">
        <v>27</v>
      </c>
      <c r="E1143">
        <v>28</v>
      </c>
      <c r="F1143">
        <v>2</v>
      </c>
      <c r="G1143">
        <v>57</v>
      </c>
    </row>
    <row r="1144" spans="1:7" x14ac:dyDescent="0.25">
      <c r="A1144">
        <v>2044</v>
      </c>
      <c r="B1144">
        <v>44</v>
      </c>
      <c r="C1144">
        <v>5</v>
      </c>
      <c r="D1144">
        <v>13</v>
      </c>
      <c r="E1144">
        <v>7</v>
      </c>
      <c r="F1144">
        <v>0</v>
      </c>
      <c r="G1144">
        <v>20</v>
      </c>
    </row>
    <row r="1145" spans="1:7" x14ac:dyDescent="0.25">
      <c r="A1145">
        <v>1083</v>
      </c>
      <c r="B1145">
        <v>83</v>
      </c>
      <c r="C1145">
        <v>5</v>
      </c>
      <c r="D1145">
        <v>7</v>
      </c>
      <c r="E1145">
        <v>4</v>
      </c>
      <c r="F1145">
        <v>0</v>
      </c>
      <c r="G1145">
        <v>11</v>
      </c>
    </row>
    <row r="1146" spans="1:7" x14ac:dyDescent="0.25">
      <c r="A1146">
        <v>2025</v>
      </c>
      <c r="B1146">
        <v>25</v>
      </c>
      <c r="C1146">
        <v>3</v>
      </c>
      <c r="D1146">
        <v>16</v>
      </c>
      <c r="E1146">
        <v>3</v>
      </c>
      <c r="F1146">
        <v>0</v>
      </c>
      <c r="G1146">
        <v>19</v>
      </c>
    </row>
    <row r="1147" spans="1:7" x14ac:dyDescent="0.25">
      <c r="A1147">
        <v>1081</v>
      </c>
      <c r="B1147">
        <v>81</v>
      </c>
      <c r="C1147">
        <v>5</v>
      </c>
      <c r="D1147">
        <v>12</v>
      </c>
      <c r="E1147">
        <v>1</v>
      </c>
      <c r="F1147">
        <v>0</v>
      </c>
      <c r="G1147">
        <v>13</v>
      </c>
    </row>
    <row r="1148" spans="1:7" x14ac:dyDescent="0.25">
      <c r="A1148">
        <v>1128</v>
      </c>
      <c r="B1148">
        <v>128</v>
      </c>
      <c r="C1148">
        <v>5</v>
      </c>
      <c r="D1148">
        <v>9</v>
      </c>
      <c r="E1148">
        <v>11</v>
      </c>
      <c r="F1148">
        <v>0</v>
      </c>
      <c r="G1148">
        <v>20</v>
      </c>
    </row>
    <row r="1149" spans="1:7" x14ac:dyDescent="0.25">
      <c r="A1149">
        <v>1129</v>
      </c>
      <c r="B1149">
        <v>129</v>
      </c>
      <c r="C1149">
        <v>5</v>
      </c>
      <c r="D1149">
        <v>10</v>
      </c>
      <c r="E1149">
        <v>7</v>
      </c>
      <c r="F1149">
        <v>3</v>
      </c>
      <c r="G1149">
        <v>20</v>
      </c>
    </row>
    <row r="1150" spans="1:7" x14ac:dyDescent="0.25">
      <c r="A1150">
        <v>2054</v>
      </c>
      <c r="B1150">
        <v>54</v>
      </c>
      <c r="C1150">
        <v>4</v>
      </c>
      <c r="D1150">
        <v>25</v>
      </c>
      <c r="E1150">
        <v>10</v>
      </c>
      <c r="F1150">
        <v>0</v>
      </c>
      <c r="G1150">
        <v>35</v>
      </c>
    </row>
    <row r="1151" spans="1:7" x14ac:dyDescent="0.25">
      <c r="A1151">
        <v>2080</v>
      </c>
      <c r="B1151">
        <v>80</v>
      </c>
      <c r="C1151">
        <v>5</v>
      </c>
      <c r="D1151">
        <v>13</v>
      </c>
      <c r="E1151">
        <v>2</v>
      </c>
      <c r="F1151">
        <v>0</v>
      </c>
      <c r="G1151">
        <v>15</v>
      </c>
    </row>
    <row r="1152" spans="1:7" x14ac:dyDescent="0.25">
      <c r="A1152">
        <v>2129</v>
      </c>
      <c r="B1152">
        <v>129</v>
      </c>
      <c r="C1152">
        <v>5</v>
      </c>
      <c r="D1152">
        <v>12</v>
      </c>
      <c r="E1152">
        <v>8</v>
      </c>
      <c r="F1152">
        <v>0</v>
      </c>
      <c r="G1152">
        <v>20</v>
      </c>
    </row>
    <row r="1153" spans="1:7" x14ac:dyDescent="0.25">
      <c r="A1153">
        <v>2130</v>
      </c>
      <c r="B1153">
        <v>130</v>
      </c>
      <c r="C1153">
        <v>5</v>
      </c>
      <c r="D1153">
        <v>17</v>
      </c>
      <c r="E1153">
        <v>3</v>
      </c>
      <c r="F1153">
        <v>0</v>
      </c>
      <c r="G1153">
        <v>20</v>
      </c>
    </row>
    <row r="1154" spans="1:7" x14ac:dyDescent="0.25">
      <c r="A1154">
        <v>1101</v>
      </c>
      <c r="B1154">
        <v>101</v>
      </c>
      <c r="C1154">
        <v>5</v>
      </c>
      <c r="D1154">
        <v>7</v>
      </c>
      <c r="E1154">
        <v>13</v>
      </c>
      <c r="F1154">
        <v>0</v>
      </c>
      <c r="G1154">
        <v>20</v>
      </c>
    </row>
    <row r="1155" spans="1:7" x14ac:dyDescent="0.25">
      <c r="A1155">
        <v>2054</v>
      </c>
      <c r="B1155">
        <v>54</v>
      </c>
      <c r="C1155">
        <v>5</v>
      </c>
      <c r="D1155">
        <v>20</v>
      </c>
      <c r="E1155">
        <v>9</v>
      </c>
      <c r="F1155">
        <v>0</v>
      </c>
      <c r="G1155">
        <v>29</v>
      </c>
    </row>
    <row r="1156" spans="1:7" x14ac:dyDescent="0.25">
      <c r="A1156">
        <v>1155</v>
      </c>
      <c r="B1156">
        <v>155</v>
      </c>
      <c r="C1156">
        <v>5</v>
      </c>
      <c r="D1156">
        <v>6</v>
      </c>
      <c r="E1156">
        <v>3</v>
      </c>
      <c r="F1156">
        <v>0</v>
      </c>
      <c r="G1156">
        <v>9</v>
      </c>
    </row>
    <row r="1157" spans="1:7" x14ac:dyDescent="0.25">
      <c r="A1157">
        <v>1157</v>
      </c>
      <c r="B1157">
        <v>157</v>
      </c>
      <c r="C1157">
        <v>5</v>
      </c>
      <c r="D1157">
        <v>6</v>
      </c>
      <c r="E1157">
        <v>3</v>
      </c>
      <c r="F1157">
        <v>0</v>
      </c>
      <c r="G1157">
        <v>9</v>
      </c>
    </row>
    <row r="1158" spans="1:7" x14ac:dyDescent="0.25">
      <c r="A1158">
        <v>5098</v>
      </c>
      <c r="B1158">
        <v>98</v>
      </c>
      <c r="C1158">
        <v>4</v>
      </c>
      <c r="D1158">
        <v>3</v>
      </c>
      <c r="E1158">
        <v>17</v>
      </c>
      <c r="F1158">
        <v>0</v>
      </c>
      <c r="G1158">
        <v>20</v>
      </c>
    </row>
    <row r="1159" spans="1:7" x14ac:dyDescent="0.25">
      <c r="A1159">
        <v>2142</v>
      </c>
      <c r="B1159">
        <v>142</v>
      </c>
      <c r="C1159">
        <v>4</v>
      </c>
      <c r="D1159">
        <v>8</v>
      </c>
      <c r="E1159">
        <v>15</v>
      </c>
      <c r="F1159">
        <v>0</v>
      </c>
      <c r="G1159">
        <v>23</v>
      </c>
    </row>
    <row r="1160" spans="1:7" x14ac:dyDescent="0.25">
      <c r="A1160">
        <v>1132</v>
      </c>
      <c r="B1160">
        <v>132</v>
      </c>
      <c r="C1160">
        <v>5</v>
      </c>
      <c r="D1160">
        <v>7</v>
      </c>
      <c r="E1160">
        <v>13</v>
      </c>
      <c r="F1160">
        <v>0</v>
      </c>
      <c r="G1160">
        <v>20</v>
      </c>
    </row>
    <row r="1161" spans="1:7" x14ac:dyDescent="0.25">
      <c r="A1161">
        <v>5098</v>
      </c>
      <c r="B1161">
        <v>98</v>
      </c>
      <c r="C1161">
        <v>5</v>
      </c>
      <c r="D1161">
        <v>6</v>
      </c>
      <c r="E1161">
        <v>14</v>
      </c>
      <c r="F1161">
        <v>0</v>
      </c>
      <c r="G1161">
        <v>20</v>
      </c>
    </row>
    <row r="1162" spans="1:7" x14ac:dyDescent="0.25">
      <c r="A1162">
        <v>3098</v>
      </c>
      <c r="B1162">
        <v>98</v>
      </c>
      <c r="C1162">
        <v>4</v>
      </c>
      <c r="D1162">
        <v>0</v>
      </c>
      <c r="E1162">
        <v>20</v>
      </c>
      <c r="F1162">
        <v>0</v>
      </c>
      <c r="G1162">
        <v>20</v>
      </c>
    </row>
    <row r="1163" spans="1:7" x14ac:dyDescent="0.25">
      <c r="A1163">
        <v>2143</v>
      </c>
      <c r="B1163">
        <v>143</v>
      </c>
      <c r="C1163">
        <v>4</v>
      </c>
      <c r="D1163">
        <v>9</v>
      </c>
      <c r="E1163">
        <v>11</v>
      </c>
      <c r="F1163">
        <v>0</v>
      </c>
      <c r="G1163">
        <v>20</v>
      </c>
    </row>
    <row r="1164" spans="1:7" x14ac:dyDescent="0.25">
      <c r="A1164">
        <v>3098</v>
      </c>
      <c r="B1164">
        <v>98</v>
      </c>
      <c r="C1164">
        <v>5</v>
      </c>
      <c r="D1164">
        <v>1</v>
      </c>
      <c r="E1164">
        <v>19</v>
      </c>
      <c r="F1164">
        <v>0</v>
      </c>
      <c r="G1164">
        <v>20</v>
      </c>
    </row>
    <row r="1165" spans="1:7" x14ac:dyDescent="0.25">
      <c r="A1165">
        <v>1130</v>
      </c>
      <c r="B1165">
        <v>130</v>
      </c>
      <c r="C1165">
        <v>5</v>
      </c>
      <c r="D1165">
        <v>7</v>
      </c>
      <c r="E1165">
        <v>7</v>
      </c>
      <c r="F1165">
        <v>0</v>
      </c>
      <c r="G1165">
        <v>14</v>
      </c>
    </row>
    <row r="1166" spans="1:7" x14ac:dyDescent="0.25">
      <c r="A1166">
        <v>2154</v>
      </c>
      <c r="B1166">
        <v>154</v>
      </c>
      <c r="C1166">
        <v>4</v>
      </c>
      <c r="D1166">
        <v>6</v>
      </c>
      <c r="E1166">
        <v>12</v>
      </c>
      <c r="F1166">
        <v>2</v>
      </c>
      <c r="G1166">
        <v>20</v>
      </c>
    </row>
    <row r="1167" spans="1:7" x14ac:dyDescent="0.25">
      <c r="A1167">
        <v>1146</v>
      </c>
      <c r="B1167">
        <v>146</v>
      </c>
      <c r="C1167">
        <v>5</v>
      </c>
      <c r="D1167">
        <v>7</v>
      </c>
      <c r="E1167">
        <v>17</v>
      </c>
      <c r="F1167">
        <v>0</v>
      </c>
      <c r="G1167">
        <v>24</v>
      </c>
    </row>
    <row r="1168" spans="1:7" x14ac:dyDescent="0.25">
      <c r="A1168">
        <v>2153</v>
      </c>
      <c r="B1168">
        <v>153</v>
      </c>
      <c r="C1168">
        <v>4</v>
      </c>
      <c r="D1168">
        <v>0</v>
      </c>
      <c r="E1168">
        <v>2</v>
      </c>
      <c r="F1168">
        <v>0</v>
      </c>
      <c r="G1168">
        <v>2</v>
      </c>
    </row>
    <row r="1169" spans="1:7" x14ac:dyDescent="0.25">
      <c r="A1169">
        <v>3142</v>
      </c>
      <c r="B1169">
        <v>142</v>
      </c>
      <c r="C1169">
        <v>3</v>
      </c>
      <c r="D1169">
        <v>3</v>
      </c>
      <c r="E1169">
        <v>6</v>
      </c>
      <c r="F1169">
        <v>0</v>
      </c>
      <c r="G1169">
        <v>9</v>
      </c>
    </row>
    <row r="1170" spans="1:7" x14ac:dyDescent="0.25">
      <c r="A1170">
        <v>1023</v>
      </c>
      <c r="B1170">
        <v>23</v>
      </c>
      <c r="C1170">
        <v>2</v>
      </c>
      <c r="D1170">
        <v>18</v>
      </c>
      <c r="E1170">
        <v>2</v>
      </c>
      <c r="F1170">
        <v>0</v>
      </c>
      <c r="G1170">
        <v>20</v>
      </c>
    </row>
    <row r="1171" spans="1:7" x14ac:dyDescent="0.25">
      <c r="A1171">
        <v>5145</v>
      </c>
      <c r="B1171">
        <v>145</v>
      </c>
      <c r="C1171">
        <v>6</v>
      </c>
      <c r="D1171">
        <v>11</v>
      </c>
      <c r="E1171">
        <v>10</v>
      </c>
      <c r="F1171">
        <v>0</v>
      </c>
      <c r="G1171">
        <v>21</v>
      </c>
    </row>
    <row r="1172" spans="1:7" x14ac:dyDescent="0.25">
      <c r="A1172">
        <v>1039</v>
      </c>
      <c r="B1172">
        <v>39</v>
      </c>
      <c r="C1172">
        <v>4</v>
      </c>
      <c r="D1172">
        <v>8</v>
      </c>
      <c r="E1172">
        <v>17</v>
      </c>
      <c r="F1172">
        <v>0</v>
      </c>
      <c r="G1172">
        <v>25</v>
      </c>
    </row>
    <row r="1173" spans="1:7" x14ac:dyDescent="0.25">
      <c r="A1173">
        <v>2023</v>
      </c>
      <c r="B1173">
        <v>23</v>
      </c>
      <c r="C1173">
        <v>2</v>
      </c>
      <c r="D1173">
        <v>10</v>
      </c>
      <c r="E1173">
        <v>7</v>
      </c>
      <c r="F1173">
        <v>2</v>
      </c>
      <c r="G1173">
        <v>19</v>
      </c>
    </row>
    <row r="1174" spans="1:7" x14ac:dyDescent="0.25">
      <c r="A1174">
        <v>2153</v>
      </c>
      <c r="B1174">
        <v>153</v>
      </c>
      <c r="C1174">
        <v>5</v>
      </c>
      <c r="D1174">
        <v>1</v>
      </c>
      <c r="E1174">
        <v>2</v>
      </c>
      <c r="F1174">
        <v>0</v>
      </c>
      <c r="G1174">
        <v>3</v>
      </c>
    </row>
    <row r="1175" spans="1:7" x14ac:dyDescent="0.25">
      <c r="A1175">
        <v>1035</v>
      </c>
      <c r="B1175">
        <v>35</v>
      </c>
      <c r="C1175">
        <v>5</v>
      </c>
      <c r="D1175">
        <v>11</v>
      </c>
      <c r="E1175">
        <v>10</v>
      </c>
      <c r="F1175">
        <v>0</v>
      </c>
      <c r="G1175">
        <v>21</v>
      </c>
    </row>
    <row r="1176" spans="1:7" x14ac:dyDescent="0.25">
      <c r="A1176">
        <v>2067</v>
      </c>
      <c r="B1176">
        <v>67</v>
      </c>
      <c r="C1176">
        <v>4</v>
      </c>
      <c r="D1176">
        <v>14</v>
      </c>
      <c r="E1176">
        <v>5</v>
      </c>
      <c r="F1176">
        <v>1</v>
      </c>
      <c r="G1176">
        <v>20</v>
      </c>
    </row>
    <row r="1177" spans="1:7" x14ac:dyDescent="0.25">
      <c r="A1177">
        <v>5145</v>
      </c>
      <c r="B1177">
        <v>145</v>
      </c>
      <c r="C1177">
        <v>5</v>
      </c>
      <c r="D1177">
        <v>17</v>
      </c>
      <c r="E1177">
        <v>2</v>
      </c>
      <c r="F1177">
        <v>0</v>
      </c>
      <c r="G1177">
        <v>19</v>
      </c>
    </row>
    <row r="1178" spans="1:7" x14ac:dyDescent="0.25">
      <c r="A1178">
        <v>1025</v>
      </c>
      <c r="B1178">
        <v>25</v>
      </c>
      <c r="C1178">
        <v>2</v>
      </c>
      <c r="D1178">
        <v>7</v>
      </c>
      <c r="E1178">
        <v>9</v>
      </c>
      <c r="F1178">
        <v>0</v>
      </c>
      <c r="G1178">
        <v>16</v>
      </c>
    </row>
    <row r="1179" spans="1:7" x14ac:dyDescent="0.25">
      <c r="A1179">
        <v>3079</v>
      </c>
      <c r="B1179">
        <v>79</v>
      </c>
      <c r="C1179">
        <v>5</v>
      </c>
      <c r="D1179">
        <v>14</v>
      </c>
      <c r="E1179">
        <v>6</v>
      </c>
      <c r="F1179">
        <v>0</v>
      </c>
      <c r="G1179">
        <v>20</v>
      </c>
    </row>
    <row r="1180" spans="1:7" x14ac:dyDescent="0.25">
      <c r="A1180">
        <v>1151</v>
      </c>
      <c r="B1180">
        <v>151</v>
      </c>
      <c r="C1180">
        <v>5</v>
      </c>
      <c r="D1180">
        <v>11</v>
      </c>
      <c r="E1180">
        <v>9</v>
      </c>
      <c r="F1180">
        <v>0</v>
      </c>
      <c r="G1180">
        <v>20</v>
      </c>
    </row>
    <row r="1181" spans="1:7" x14ac:dyDescent="0.25">
      <c r="A1181">
        <v>1080</v>
      </c>
      <c r="B1181">
        <v>80</v>
      </c>
      <c r="C1181">
        <v>5</v>
      </c>
      <c r="D1181">
        <v>7</v>
      </c>
      <c r="E1181">
        <v>1</v>
      </c>
      <c r="F1181">
        <v>0</v>
      </c>
      <c r="G1181">
        <v>8</v>
      </c>
    </row>
    <row r="1182" spans="1:7" x14ac:dyDescent="0.25">
      <c r="A1182">
        <v>1151</v>
      </c>
      <c r="B1182">
        <v>151</v>
      </c>
      <c r="C1182">
        <v>6</v>
      </c>
      <c r="D1182">
        <v>13</v>
      </c>
      <c r="E1182">
        <v>12</v>
      </c>
      <c r="F1182">
        <v>0</v>
      </c>
      <c r="G1182">
        <v>25</v>
      </c>
    </row>
    <row r="1183" spans="1:7" x14ac:dyDescent="0.25">
      <c r="A1183">
        <v>1047</v>
      </c>
      <c r="B1183">
        <v>47</v>
      </c>
      <c r="C1183">
        <v>5</v>
      </c>
      <c r="D1183">
        <v>11</v>
      </c>
      <c r="E1183">
        <v>9</v>
      </c>
      <c r="F1183">
        <v>0</v>
      </c>
      <c r="G1183">
        <v>20</v>
      </c>
    </row>
    <row r="1184" spans="1:7" x14ac:dyDescent="0.25">
      <c r="A1184">
        <v>1053</v>
      </c>
      <c r="B1184">
        <v>53</v>
      </c>
      <c r="C1184">
        <v>6</v>
      </c>
      <c r="D1184">
        <v>13</v>
      </c>
      <c r="E1184">
        <v>4</v>
      </c>
      <c r="F1184">
        <v>0</v>
      </c>
      <c r="G1184">
        <v>17</v>
      </c>
    </row>
    <row r="1185" spans="1:7" x14ac:dyDescent="0.25">
      <c r="A1185">
        <v>5021</v>
      </c>
      <c r="B1185">
        <v>21</v>
      </c>
      <c r="C1185">
        <v>4</v>
      </c>
      <c r="D1185">
        <v>13</v>
      </c>
      <c r="E1185">
        <v>7</v>
      </c>
      <c r="F1185">
        <v>0</v>
      </c>
      <c r="G1185">
        <v>20</v>
      </c>
    </row>
    <row r="1186" spans="1:7" x14ac:dyDescent="0.25">
      <c r="A1186">
        <v>2052</v>
      </c>
      <c r="B1186">
        <v>52</v>
      </c>
      <c r="C1186">
        <v>6</v>
      </c>
      <c r="D1186">
        <v>1</v>
      </c>
      <c r="E1186">
        <v>1</v>
      </c>
      <c r="F1186">
        <v>0</v>
      </c>
      <c r="G1186">
        <v>2</v>
      </c>
    </row>
    <row r="1187" spans="1:7" x14ac:dyDescent="0.25">
      <c r="A1187">
        <v>2150</v>
      </c>
      <c r="B1187">
        <v>150</v>
      </c>
      <c r="C1187">
        <v>6</v>
      </c>
      <c r="D1187">
        <v>15</v>
      </c>
      <c r="E1187">
        <v>5</v>
      </c>
      <c r="F1187">
        <v>0</v>
      </c>
      <c r="G1187">
        <v>20</v>
      </c>
    </row>
    <row r="1188" spans="1:7" x14ac:dyDescent="0.25">
      <c r="A1188">
        <v>1151</v>
      </c>
      <c r="B1188">
        <v>151</v>
      </c>
      <c r="C1188">
        <v>4</v>
      </c>
      <c r="D1188">
        <v>19</v>
      </c>
      <c r="E1188">
        <v>8</v>
      </c>
      <c r="F1188">
        <v>0</v>
      </c>
      <c r="G1188">
        <v>27</v>
      </c>
    </row>
    <row r="1189" spans="1:7" x14ac:dyDescent="0.25">
      <c r="A1189">
        <v>1022</v>
      </c>
      <c r="B1189">
        <v>22</v>
      </c>
      <c r="C1189">
        <v>4</v>
      </c>
      <c r="D1189">
        <v>0</v>
      </c>
      <c r="E1189">
        <v>20</v>
      </c>
      <c r="F1189">
        <v>0</v>
      </c>
      <c r="G1189">
        <v>20</v>
      </c>
    </row>
    <row r="1190" spans="1:7" x14ac:dyDescent="0.25">
      <c r="A1190">
        <v>2052</v>
      </c>
      <c r="B1190">
        <v>52</v>
      </c>
      <c r="C1190">
        <v>5</v>
      </c>
      <c r="D1190">
        <v>7</v>
      </c>
      <c r="E1190">
        <v>1</v>
      </c>
      <c r="F1190">
        <v>0</v>
      </c>
      <c r="G1190">
        <v>8</v>
      </c>
    </row>
    <row r="1191" spans="1:7" x14ac:dyDescent="0.25">
      <c r="A1191">
        <v>1078</v>
      </c>
      <c r="B1191">
        <v>78</v>
      </c>
      <c r="C1191">
        <v>4</v>
      </c>
      <c r="D1191">
        <v>14</v>
      </c>
      <c r="E1191">
        <v>6</v>
      </c>
      <c r="F1191">
        <v>0</v>
      </c>
      <c r="G1191">
        <v>20</v>
      </c>
    </row>
    <row r="1192" spans="1:7" x14ac:dyDescent="0.25">
      <c r="A1192">
        <v>5042</v>
      </c>
      <c r="B1192">
        <v>42</v>
      </c>
      <c r="C1192">
        <v>8</v>
      </c>
      <c r="D1192">
        <v>4</v>
      </c>
      <c r="E1192">
        <v>6</v>
      </c>
      <c r="F1192">
        <v>16</v>
      </c>
      <c r="G1192">
        <v>26</v>
      </c>
    </row>
    <row r="1193" spans="1:7" x14ac:dyDescent="0.25">
      <c r="A1193">
        <v>2078</v>
      </c>
      <c r="B1193">
        <v>78</v>
      </c>
      <c r="C1193">
        <v>5</v>
      </c>
      <c r="D1193">
        <v>3</v>
      </c>
      <c r="E1193">
        <v>7</v>
      </c>
      <c r="F1193">
        <v>2</v>
      </c>
      <c r="G1193">
        <v>12</v>
      </c>
    </row>
    <row r="1194" spans="1:7" x14ac:dyDescent="0.25">
      <c r="A1194">
        <v>1020</v>
      </c>
      <c r="B1194">
        <v>20</v>
      </c>
      <c r="C1194">
        <v>4</v>
      </c>
      <c r="D1194">
        <v>22</v>
      </c>
      <c r="E1194">
        <v>0</v>
      </c>
      <c r="F1194">
        <v>0</v>
      </c>
      <c r="G1194">
        <v>22</v>
      </c>
    </row>
    <row r="1195" spans="1:7" x14ac:dyDescent="0.25">
      <c r="A1195">
        <v>2050</v>
      </c>
      <c r="B1195">
        <v>50</v>
      </c>
      <c r="C1195">
        <v>5</v>
      </c>
      <c r="D1195">
        <v>12</v>
      </c>
      <c r="E1195">
        <v>4</v>
      </c>
      <c r="F1195">
        <v>3</v>
      </c>
      <c r="G1195">
        <v>19</v>
      </c>
    </row>
    <row r="1196" spans="1:7" x14ac:dyDescent="0.25">
      <c r="A1196">
        <v>3075</v>
      </c>
      <c r="B1196">
        <v>75</v>
      </c>
      <c r="C1196">
        <v>4</v>
      </c>
      <c r="D1196">
        <v>15</v>
      </c>
      <c r="E1196">
        <v>8</v>
      </c>
      <c r="F1196">
        <v>0</v>
      </c>
      <c r="G1196">
        <v>23</v>
      </c>
    </row>
    <row r="1197" spans="1:7" x14ac:dyDescent="0.25">
      <c r="A1197">
        <v>2150</v>
      </c>
      <c r="B1197">
        <v>150</v>
      </c>
      <c r="C1197">
        <v>5</v>
      </c>
      <c r="D1197">
        <v>12</v>
      </c>
      <c r="E1197">
        <v>9</v>
      </c>
      <c r="F1197">
        <v>0</v>
      </c>
      <c r="G1197">
        <v>21</v>
      </c>
    </row>
    <row r="1198" spans="1:7" x14ac:dyDescent="0.25">
      <c r="A1198">
        <v>1055</v>
      </c>
      <c r="B1198">
        <v>55</v>
      </c>
      <c r="C1198">
        <v>5</v>
      </c>
      <c r="D1198">
        <v>11</v>
      </c>
      <c r="E1198">
        <v>9</v>
      </c>
      <c r="F1198">
        <v>0</v>
      </c>
      <c r="G1198">
        <v>20</v>
      </c>
    </row>
    <row r="1199" spans="1:7" x14ac:dyDescent="0.25">
      <c r="A1199">
        <v>4048</v>
      </c>
      <c r="B1199">
        <v>48</v>
      </c>
      <c r="C1199">
        <v>4</v>
      </c>
      <c r="D1199">
        <v>3</v>
      </c>
      <c r="E1199">
        <v>10</v>
      </c>
      <c r="F1199">
        <v>0</v>
      </c>
      <c r="G1199">
        <v>13</v>
      </c>
    </row>
    <row r="1200" spans="1:7" x14ac:dyDescent="0.25">
      <c r="A1200">
        <v>2096</v>
      </c>
      <c r="B1200">
        <v>96</v>
      </c>
      <c r="C1200">
        <v>6</v>
      </c>
      <c r="D1200">
        <v>14</v>
      </c>
      <c r="E1200">
        <v>15</v>
      </c>
      <c r="F1200">
        <v>0</v>
      </c>
      <c r="G1200">
        <v>29</v>
      </c>
    </row>
    <row r="1201" spans="1:7" x14ac:dyDescent="0.25">
      <c r="A1201">
        <v>1045</v>
      </c>
      <c r="B1201">
        <v>45</v>
      </c>
      <c r="C1201">
        <v>4</v>
      </c>
      <c r="D1201">
        <v>16</v>
      </c>
      <c r="E1201">
        <v>4</v>
      </c>
      <c r="F1201">
        <v>0</v>
      </c>
      <c r="G1201">
        <v>20</v>
      </c>
    </row>
    <row r="1202" spans="1:7" x14ac:dyDescent="0.25">
      <c r="A1202">
        <v>1064</v>
      </c>
      <c r="B1202">
        <v>64</v>
      </c>
      <c r="C1202">
        <v>6</v>
      </c>
      <c r="D1202">
        <v>13</v>
      </c>
      <c r="E1202">
        <v>4</v>
      </c>
      <c r="F1202">
        <v>0</v>
      </c>
      <c r="G1202">
        <v>17</v>
      </c>
    </row>
    <row r="1203" spans="1:7" x14ac:dyDescent="0.25">
      <c r="A1203">
        <v>2044</v>
      </c>
      <c r="B1203">
        <v>44</v>
      </c>
      <c r="C1203">
        <v>4</v>
      </c>
      <c r="D1203">
        <v>12</v>
      </c>
      <c r="E1203">
        <v>2</v>
      </c>
      <c r="F1203">
        <v>0</v>
      </c>
      <c r="G1203">
        <v>14</v>
      </c>
    </row>
    <row r="1204" spans="1:7" x14ac:dyDescent="0.25">
      <c r="A1204">
        <v>2025</v>
      </c>
      <c r="B1204">
        <v>25</v>
      </c>
      <c r="C1204">
        <v>4</v>
      </c>
      <c r="D1204">
        <v>26</v>
      </c>
      <c r="E1204">
        <v>13</v>
      </c>
      <c r="F1204">
        <v>0</v>
      </c>
      <c r="G1204">
        <v>39</v>
      </c>
    </row>
    <row r="1205" spans="1:7" x14ac:dyDescent="0.25">
      <c r="A1205">
        <v>1065</v>
      </c>
      <c r="B1205">
        <v>65</v>
      </c>
      <c r="C1205">
        <v>6</v>
      </c>
      <c r="D1205">
        <v>2</v>
      </c>
      <c r="E1205">
        <v>15</v>
      </c>
      <c r="F1205">
        <v>0</v>
      </c>
      <c r="G1205">
        <v>17</v>
      </c>
    </row>
    <row r="1206" spans="1:7" x14ac:dyDescent="0.25">
      <c r="A1206">
        <v>3075</v>
      </c>
      <c r="B1206">
        <v>75</v>
      </c>
      <c r="C1206">
        <v>3</v>
      </c>
      <c r="D1206">
        <v>15</v>
      </c>
      <c r="E1206">
        <v>20</v>
      </c>
      <c r="F1206">
        <v>0</v>
      </c>
      <c r="G1206">
        <v>35</v>
      </c>
    </row>
    <row r="1207" spans="1:7" x14ac:dyDescent="0.25">
      <c r="A1207">
        <v>2045</v>
      </c>
      <c r="B1207">
        <v>45</v>
      </c>
      <c r="C1207">
        <v>4</v>
      </c>
      <c r="D1207">
        <v>10</v>
      </c>
      <c r="E1207">
        <v>4</v>
      </c>
      <c r="F1207">
        <v>0</v>
      </c>
      <c r="G1207">
        <v>14</v>
      </c>
    </row>
    <row r="1208" spans="1:7" x14ac:dyDescent="0.25">
      <c r="A1208">
        <v>2024</v>
      </c>
      <c r="B1208">
        <v>24</v>
      </c>
      <c r="C1208">
        <v>4</v>
      </c>
      <c r="D1208">
        <v>15</v>
      </c>
      <c r="E1208">
        <v>5</v>
      </c>
      <c r="F1208">
        <v>0</v>
      </c>
      <c r="G1208">
        <v>20</v>
      </c>
    </row>
    <row r="1209" spans="1:7" x14ac:dyDescent="0.25">
      <c r="A1209">
        <v>1044</v>
      </c>
      <c r="B1209">
        <v>44</v>
      </c>
      <c r="C1209">
        <v>4</v>
      </c>
      <c r="D1209">
        <v>22</v>
      </c>
      <c r="E1209">
        <v>19</v>
      </c>
      <c r="F1209">
        <v>0</v>
      </c>
      <c r="G1209">
        <v>41</v>
      </c>
    </row>
    <row r="1210" spans="1:7" x14ac:dyDescent="0.25">
      <c r="A1210">
        <v>3075</v>
      </c>
      <c r="B1210">
        <v>75</v>
      </c>
      <c r="C1210">
        <v>1</v>
      </c>
      <c r="D1210">
        <v>9</v>
      </c>
      <c r="E1210">
        <v>1</v>
      </c>
      <c r="F1210">
        <v>0</v>
      </c>
      <c r="G1210">
        <v>10</v>
      </c>
    </row>
    <row r="1211" spans="1:7" x14ac:dyDescent="0.25">
      <c r="A1211">
        <v>4021</v>
      </c>
      <c r="B1211">
        <v>21</v>
      </c>
      <c r="C1211">
        <v>3</v>
      </c>
      <c r="D1211">
        <v>4</v>
      </c>
      <c r="E1211">
        <v>14</v>
      </c>
      <c r="F1211">
        <v>0</v>
      </c>
      <c r="G1211">
        <v>18</v>
      </c>
    </row>
    <row r="1212" spans="1:7" x14ac:dyDescent="0.25">
      <c r="A1212">
        <v>2077</v>
      </c>
      <c r="B1212">
        <v>77</v>
      </c>
      <c r="C1212">
        <v>5</v>
      </c>
      <c r="D1212">
        <v>8</v>
      </c>
      <c r="E1212">
        <v>11</v>
      </c>
      <c r="F1212">
        <v>0</v>
      </c>
      <c r="G1212">
        <v>19</v>
      </c>
    </row>
    <row r="1213" spans="1:7" x14ac:dyDescent="0.25">
      <c r="A1213">
        <v>3033</v>
      </c>
      <c r="B1213">
        <v>33</v>
      </c>
      <c r="C1213">
        <v>5</v>
      </c>
      <c r="D1213">
        <v>5</v>
      </c>
      <c r="E1213">
        <v>5</v>
      </c>
      <c r="F1213">
        <v>0</v>
      </c>
      <c r="G1213">
        <v>10</v>
      </c>
    </row>
    <row r="1214" spans="1:7" x14ac:dyDescent="0.25">
      <c r="A1214">
        <v>1100</v>
      </c>
      <c r="B1214">
        <v>100</v>
      </c>
      <c r="C1214">
        <v>7</v>
      </c>
      <c r="D1214">
        <v>4</v>
      </c>
      <c r="E1214">
        <v>1</v>
      </c>
      <c r="F1214">
        <v>0</v>
      </c>
      <c r="G1214">
        <v>5</v>
      </c>
    </row>
    <row r="1215" spans="1:7" x14ac:dyDescent="0.25">
      <c r="A1215">
        <v>1023</v>
      </c>
      <c r="B1215">
        <v>23</v>
      </c>
      <c r="C1215">
        <v>3</v>
      </c>
      <c r="D1215">
        <v>20</v>
      </c>
      <c r="E1215">
        <v>0</v>
      </c>
      <c r="F1215">
        <v>0</v>
      </c>
      <c r="G1215">
        <v>20</v>
      </c>
    </row>
    <row r="1216" spans="1:7" x14ac:dyDescent="0.25">
      <c r="A1216">
        <v>4075</v>
      </c>
      <c r="B1216">
        <v>75</v>
      </c>
      <c r="C1216">
        <v>5</v>
      </c>
      <c r="D1216">
        <v>18</v>
      </c>
      <c r="E1216">
        <v>7</v>
      </c>
      <c r="F1216">
        <v>0</v>
      </c>
      <c r="G1216">
        <v>25</v>
      </c>
    </row>
    <row r="1217" spans="1:7" x14ac:dyDescent="0.25">
      <c r="A1217">
        <v>2040</v>
      </c>
      <c r="B1217">
        <v>40</v>
      </c>
      <c r="C1217">
        <v>4</v>
      </c>
      <c r="D1217">
        <v>16</v>
      </c>
      <c r="E1217">
        <v>4</v>
      </c>
      <c r="F1217">
        <v>0</v>
      </c>
      <c r="G1217">
        <v>20</v>
      </c>
    </row>
    <row r="1218" spans="1:7" x14ac:dyDescent="0.25">
      <c r="A1218">
        <v>1078</v>
      </c>
      <c r="B1218">
        <v>78</v>
      </c>
      <c r="C1218">
        <v>5</v>
      </c>
      <c r="D1218">
        <v>10</v>
      </c>
      <c r="E1218">
        <v>10</v>
      </c>
      <c r="F1218">
        <v>0</v>
      </c>
      <c r="G1218">
        <v>20</v>
      </c>
    </row>
    <row r="1219" spans="1:7" x14ac:dyDescent="0.25">
      <c r="A1219">
        <v>2023</v>
      </c>
      <c r="B1219">
        <v>23</v>
      </c>
      <c r="C1219">
        <v>3</v>
      </c>
      <c r="D1219">
        <v>6</v>
      </c>
      <c r="E1219">
        <v>3</v>
      </c>
      <c r="F1219">
        <v>0</v>
      </c>
      <c r="G1219">
        <v>9</v>
      </c>
    </row>
    <row r="1220" spans="1:7" x14ac:dyDescent="0.25">
      <c r="A1220">
        <v>3033</v>
      </c>
      <c r="B1220">
        <v>33</v>
      </c>
      <c r="C1220">
        <v>6</v>
      </c>
      <c r="D1220">
        <v>0</v>
      </c>
      <c r="E1220">
        <v>0</v>
      </c>
      <c r="F1220">
        <v>0</v>
      </c>
      <c r="G1220">
        <v>0</v>
      </c>
    </row>
    <row r="1221" spans="1:7" x14ac:dyDescent="0.25">
      <c r="A1221">
        <v>1001</v>
      </c>
      <c r="B1221">
        <v>1</v>
      </c>
      <c r="C1221">
        <v>8</v>
      </c>
      <c r="D1221">
        <v>8</v>
      </c>
      <c r="E1221">
        <v>6</v>
      </c>
      <c r="F1221">
        <v>0</v>
      </c>
      <c r="G1221">
        <v>14</v>
      </c>
    </row>
    <row r="1222" spans="1:7" x14ac:dyDescent="0.25">
      <c r="A1222">
        <v>2076</v>
      </c>
      <c r="B1222">
        <v>76</v>
      </c>
      <c r="C1222">
        <v>5</v>
      </c>
      <c r="D1222">
        <v>17</v>
      </c>
      <c r="E1222">
        <v>3</v>
      </c>
      <c r="F1222">
        <v>0</v>
      </c>
      <c r="G1222">
        <v>20</v>
      </c>
    </row>
    <row r="1223" spans="1:7" x14ac:dyDescent="0.25">
      <c r="A1223">
        <v>1154</v>
      </c>
      <c r="B1223">
        <v>154</v>
      </c>
      <c r="C1223">
        <v>7</v>
      </c>
      <c r="D1223">
        <v>14</v>
      </c>
      <c r="E1223">
        <v>6</v>
      </c>
      <c r="F1223">
        <v>0</v>
      </c>
      <c r="G1223">
        <v>20</v>
      </c>
    </row>
    <row r="1224" spans="1:7" x14ac:dyDescent="0.25">
      <c r="A1224">
        <v>2033</v>
      </c>
      <c r="B1224">
        <v>33</v>
      </c>
      <c r="C1224">
        <v>6</v>
      </c>
      <c r="D1224">
        <v>5</v>
      </c>
      <c r="E1224">
        <v>9</v>
      </c>
      <c r="F1224">
        <v>0</v>
      </c>
      <c r="G1224">
        <v>14</v>
      </c>
    </row>
    <row r="1225" spans="1:7" x14ac:dyDescent="0.25">
      <c r="A1225">
        <v>2153</v>
      </c>
      <c r="B1225">
        <v>153</v>
      </c>
      <c r="C1225">
        <v>6</v>
      </c>
      <c r="D1225">
        <v>1</v>
      </c>
      <c r="E1225">
        <v>0</v>
      </c>
      <c r="F1225">
        <v>0</v>
      </c>
      <c r="G1225">
        <v>1</v>
      </c>
    </row>
    <row r="1226" spans="1:7" x14ac:dyDescent="0.25">
      <c r="A1226">
        <v>2153</v>
      </c>
      <c r="B1226">
        <v>153</v>
      </c>
      <c r="C1226">
        <v>7</v>
      </c>
      <c r="D1226">
        <v>0</v>
      </c>
      <c r="E1226">
        <v>2</v>
      </c>
      <c r="F1226">
        <v>0</v>
      </c>
      <c r="G1226">
        <v>2</v>
      </c>
    </row>
    <row r="1227" spans="1:7" x14ac:dyDescent="0.25">
      <c r="A1227">
        <v>1095</v>
      </c>
      <c r="B1227">
        <v>95</v>
      </c>
      <c r="C1227">
        <v>4</v>
      </c>
      <c r="D1227">
        <v>10</v>
      </c>
      <c r="E1227">
        <v>10</v>
      </c>
      <c r="F1227">
        <v>0</v>
      </c>
      <c r="G1227">
        <v>20</v>
      </c>
    </row>
    <row r="1228" spans="1:7" x14ac:dyDescent="0.25">
      <c r="A1228">
        <v>5075</v>
      </c>
      <c r="B1228">
        <v>75</v>
      </c>
      <c r="C1228">
        <v>5</v>
      </c>
      <c r="D1228">
        <v>12</v>
      </c>
      <c r="E1228">
        <v>13</v>
      </c>
      <c r="F1228">
        <v>0</v>
      </c>
      <c r="G1228">
        <v>25</v>
      </c>
    </row>
    <row r="1229" spans="1:7" x14ac:dyDescent="0.25">
      <c r="A1229">
        <v>2153</v>
      </c>
      <c r="B1229">
        <v>153</v>
      </c>
      <c r="C1229">
        <v>8</v>
      </c>
      <c r="D1229">
        <v>3</v>
      </c>
      <c r="E1229">
        <v>1</v>
      </c>
      <c r="F1229">
        <v>0</v>
      </c>
      <c r="G1229">
        <v>4</v>
      </c>
    </row>
    <row r="1230" spans="1:7" x14ac:dyDescent="0.25">
      <c r="A1230">
        <v>1075</v>
      </c>
      <c r="B1230">
        <v>75</v>
      </c>
      <c r="C1230">
        <v>5</v>
      </c>
      <c r="D1230">
        <v>1</v>
      </c>
      <c r="E1230">
        <v>24</v>
      </c>
      <c r="F1230">
        <v>0</v>
      </c>
      <c r="G1230">
        <v>25</v>
      </c>
    </row>
    <row r="1231" spans="1:7" x14ac:dyDescent="0.25">
      <c r="A1231">
        <v>3075</v>
      </c>
      <c r="B1231">
        <v>75</v>
      </c>
      <c r="C1231">
        <v>5</v>
      </c>
      <c r="D1231">
        <v>16</v>
      </c>
      <c r="E1231">
        <v>10</v>
      </c>
      <c r="F1231">
        <v>2</v>
      </c>
      <c r="G1231">
        <v>28</v>
      </c>
    </row>
    <row r="1232" spans="1:7" x14ac:dyDescent="0.25">
      <c r="A1232">
        <v>2079</v>
      </c>
      <c r="B1232">
        <v>79</v>
      </c>
      <c r="C1232">
        <v>5</v>
      </c>
      <c r="D1232">
        <v>12</v>
      </c>
      <c r="E1232">
        <v>12</v>
      </c>
      <c r="F1232">
        <v>0</v>
      </c>
      <c r="G1232">
        <v>24</v>
      </c>
    </row>
    <row r="1233" spans="1:7" x14ac:dyDescent="0.25">
      <c r="A1233">
        <v>1095</v>
      </c>
      <c r="B1233">
        <v>95</v>
      </c>
      <c r="C1233">
        <v>5</v>
      </c>
      <c r="D1233">
        <v>6</v>
      </c>
      <c r="E1233">
        <v>13</v>
      </c>
      <c r="F1233">
        <v>0</v>
      </c>
      <c r="G1233">
        <v>19</v>
      </c>
    </row>
    <row r="1234" spans="1:7" x14ac:dyDescent="0.25">
      <c r="A1234">
        <v>3027</v>
      </c>
      <c r="B1234">
        <v>27</v>
      </c>
      <c r="C1234">
        <v>6</v>
      </c>
      <c r="D1234">
        <v>18</v>
      </c>
      <c r="E1234">
        <v>6</v>
      </c>
      <c r="F1234">
        <v>0</v>
      </c>
      <c r="G1234">
        <v>24</v>
      </c>
    </row>
    <row r="1235" spans="1:7" x14ac:dyDescent="0.25">
      <c r="A1235">
        <v>2075</v>
      </c>
      <c r="B1235">
        <v>75</v>
      </c>
      <c r="C1235">
        <v>5</v>
      </c>
      <c r="D1235">
        <v>15</v>
      </c>
      <c r="E1235">
        <v>5</v>
      </c>
      <c r="F1235">
        <v>0</v>
      </c>
      <c r="G1235">
        <v>20</v>
      </c>
    </row>
    <row r="1236" spans="1:7" x14ac:dyDescent="0.25">
      <c r="A1236">
        <v>2039</v>
      </c>
      <c r="B1236">
        <v>39</v>
      </c>
      <c r="C1236">
        <v>2</v>
      </c>
      <c r="D1236">
        <v>5</v>
      </c>
      <c r="E1236">
        <v>2</v>
      </c>
      <c r="F1236">
        <v>0</v>
      </c>
      <c r="G1236">
        <v>7</v>
      </c>
    </row>
    <row r="1237" spans="1:7" x14ac:dyDescent="0.25">
      <c r="A1237">
        <v>3026</v>
      </c>
      <c r="B1237">
        <v>26</v>
      </c>
      <c r="C1237">
        <v>6</v>
      </c>
      <c r="D1237">
        <v>20</v>
      </c>
      <c r="E1237">
        <v>0</v>
      </c>
      <c r="F1237">
        <v>0</v>
      </c>
      <c r="G1237">
        <v>20</v>
      </c>
    </row>
    <row r="1238" spans="1:7" x14ac:dyDescent="0.25">
      <c r="A1238">
        <v>2046</v>
      </c>
      <c r="B1238">
        <v>46</v>
      </c>
      <c r="C1238">
        <v>4</v>
      </c>
      <c r="D1238">
        <v>15</v>
      </c>
      <c r="E1238">
        <v>5</v>
      </c>
      <c r="F1238">
        <v>0</v>
      </c>
      <c r="G1238">
        <v>20</v>
      </c>
    </row>
    <row r="1239" spans="1:7" x14ac:dyDescent="0.25">
      <c r="A1239">
        <v>3046</v>
      </c>
      <c r="B1239">
        <v>46</v>
      </c>
      <c r="C1239">
        <v>5</v>
      </c>
      <c r="D1239">
        <v>11</v>
      </c>
      <c r="E1239">
        <v>8</v>
      </c>
      <c r="F1239">
        <v>1</v>
      </c>
      <c r="G1239">
        <v>20</v>
      </c>
    </row>
    <row r="1240" spans="1:7" x14ac:dyDescent="0.25">
      <c r="A1240">
        <v>1038</v>
      </c>
      <c r="B1240">
        <v>38</v>
      </c>
      <c r="C1240">
        <v>5</v>
      </c>
      <c r="D1240">
        <v>10</v>
      </c>
      <c r="E1240">
        <v>5</v>
      </c>
      <c r="F1240">
        <v>0</v>
      </c>
      <c r="G1240">
        <v>15</v>
      </c>
    </row>
    <row r="1241" spans="1:7" x14ac:dyDescent="0.25">
      <c r="A1241">
        <v>2026</v>
      </c>
      <c r="B1241">
        <v>26</v>
      </c>
      <c r="C1241">
        <v>6</v>
      </c>
      <c r="D1241">
        <v>10</v>
      </c>
      <c r="E1241">
        <v>9</v>
      </c>
      <c r="F1241">
        <v>0</v>
      </c>
      <c r="G1241">
        <v>19</v>
      </c>
    </row>
    <row r="1242" spans="1:7" x14ac:dyDescent="0.25">
      <c r="A1242">
        <v>1046</v>
      </c>
      <c r="B1242">
        <v>46</v>
      </c>
      <c r="C1242">
        <v>4</v>
      </c>
      <c r="D1242">
        <v>8</v>
      </c>
      <c r="E1242">
        <v>4</v>
      </c>
      <c r="F1242">
        <v>0</v>
      </c>
      <c r="G1242">
        <v>12</v>
      </c>
    </row>
    <row r="1243" spans="1:7" x14ac:dyDescent="0.25">
      <c r="A1243">
        <v>1026</v>
      </c>
      <c r="B1243">
        <v>26</v>
      </c>
      <c r="C1243">
        <v>6</v>
      </c>
      <c r="D1243">
        <v>25</v>
      </c>
      <c r="E1243">
        <v>0</v>
      </c>
      <c r="F1243">
        <v>0</v>
      </c>
      <c r="G1243">
        <v>25</v>
      </c>
    </row>
    <row r="1244" spans="1:7" x14ac:dyDescent="0.25">
      <c r="A1244">
        <v>3046</v>
      </c>
      <c r="B1244">
        <v>46</v>
      </c>
      <c r="C1244">
        <v>4</v>
      </c>
      <c r="D1244">
        <v>7</v>
      </c>
      <c r="E1244">
        <v>13</v>
      </c>
      <c r="F1244">
        <v>0</v>
      </c>
      <c r="G1244">
        <v>20</v>
      </c>
    </row>
    <row r="1245" spans="1:7" x14ac:dyDescent="0.25">
      <c r="A1245">
        <v>2028</v>
      </c>
      <c r="B1245">
        <v>28</v>
      </c>
      <c r="C1245">
        <v>5</v>
      </c>
      <c r="D1245">
        <v>3</v>
      </c>
      <c r="E1245">
        <v>11</v>
      </c>
      <c r="F1245">
        <v>1</v>
      </c>
      <c r="G1245">
        <v>15</v>
      </c>
    </row>
    <row r="1246" spans="1:7" x14ac:dyDescent="0.25">
      <c r="A1246">
        <v>2047</v>
      </c>
      <c r="B1246">
        <v>47</v>
      </c>
      <c r="C1246">
        <v>3</v>
      </c>
      <c r="D1246">
        <v>8</v>
      </c>
      <c r="E1246">
        <v>12</v>
      </c>
      <c r="F1246">
        <v>0</v>
      </c>
      <c r="G1246">
        <v>20</v>
      </c>
    </row>
    <row r="1247" spans="1:7" x14ac:dyDescent="0.25">
      <c r="A1247">
        <v>2047</v>
      </c>
      <c r="B1247">
        <v>47</v>
      </c>
      <c r="C1247">
        <v>4</v>
      </c>
      <c r="D1247">
        <v>7</v>
      </c>
      <c r="E1247">
        <v>1</v>
      </c>
      <c r="F1247">
        <v>0</v>
      </c>
      <c r="G1247">
        <v>8</v>
      </c>
    </row>
    <row r="1248" spans="1:7" x14ac:dyDescent="0.25">
      <c r="A1248">
        <v>2036</v>
      </c>
      <c r="B1248">
        <v>36</v>
      </c>
      <c r="C1248">
        <v>5</v>
      </c>
      <c r="D1248">
        <v>12</v>
      </c>
      <c r="E1248">
        <v>8</v>
      </c>
      <c r="F1248">
        <v>0</v>
      </c>
      <c r="G1248">
        <v>20</v>
      </c>
    </row>
    <row r="1249" spans="1:7" x14ac:dyDescent="0.25">
      <c r="A1249">
        <v>5046</v>
      </c>
      <c r="B1249">
        <v>46</v>
      </c>
      <c r="C1249">
        <v>4</v>
      </c>
      <c r="D1249">
        <v>10</v>
      </c>
      <c r="E1249">
        <v>10</v>
      </c>
      <c r="F1249">
        <v>0</v>
      </c>
      <c r="G1249">
        <v>20</v>
      </c>
    </row>
    <row r="1250" spans="1:7" x14ac:dyDescent="0.25">
      <c r="A1250">
        <v>3038</v>
      </c>
      <c r="B1250">
        <v>38</v>
      </c>
      <c r="C1250">
        <v>3</v>
      </c>
      <c r="D1250">
        <v>8</v>
      </c>
      <c r="E1250">
        <v>4</v>
      </c>
      <c r="F1250">
        <v>0</v>
      </c>
      <c r="G1250">
        <v>12</v>
      </c>
    </row>
    <row r="1251" spans="1:7" x14ac:dyDescent="0.25">
      <c r="A1251">
        <v>1022</v>
      </c>
      <c r="B1251">
        <v>22</v>
      </c>
      <c r="C1251">
        <v>2</v>
      </c>
      <c r="D1251">
        <v>2</v>
      </c>
      <c r="E1251">
        <v>16</v>
      </c>
      <c r="F1251">
        <v>0</v>
      </c>
      <c r="G1251">
        <v>18</v>
      </c>
    </row>
    <row r="1252" spans="1:7" x14ac:dyDescent="0.25">
      <c r="A1252">
        <v>3038</v>
      </c>
      <c r="B1252">
        <v>38</v>
      </c>
      <c r="C1252">
        <v>4</v>
      </c>
      <c r="D1252">
        <v>28</v>
      </c>
      <c r="E1252">
        <v>4</v>
      </c>
      <c r="F1252">
        <v>0</v>
      </c>
      <c r="G1252">
        <v>32</v>
      </c>
    </row>
    <row r="1253" spans="1:7" x14ac:dyDescent="0.25">
      <c r="A1253">
        <v>2020</v>
      </c>
      <c r="B1253">
        <v>20</v>
      </c>
      <c r="C1253">
        <v>1</v>
      </c>
      <c r="D1253">
        <v>6</v>
      </c>
      <c r="E1253">
        <v>5</v>
      </c>
      <c r="F1253">
        <v>0</v>
      </c>
      <c r="G1253">
        <v>11</v>
      </c>
    </row>
    <row r="1254" spans="1:7" x14ac:dyDescent="0.25">
      <c r="A1254">
        <v>1038</v>
      </c>
      <c r="B1254">
        <v>38</v>
      </c>
      <c r="C1254">
        <v>6</v>
      </c>
      <c r="D1254">
        <v>9</v>
      </c>
      <c r="E1254">
        <v>4</v>
      </c>
      <c r="F1254">
        <v>0</v>
      </c>
      <c r="G1254">
        <v>13</v>
      </c>
    </row>
    <row r="1255" spans="1:7" x14ac:dyDescent="0.25">
      <c r="A1255">
        <v>1025</v>
      </c>
      <c r="B1255">
        <v>25</v>
      </c>
      <c r="C1255">
        <v>1</v>
      </c>
      <c r="D1255">
        <v>16</v>
      </c>
      <c r="E1255">
        <v>8</v>
      </c>
      <c r="F1255">
        <v>0</v>
      </c>
      <c r="G1255">
        <v>24</v>
      </c>
    </row>
    <row r="1256" spans="1:7" x14ac:dyDescent="0.25">
      <c r="A1256">
        <v>2064</v>
      </c>
      <c r="B1256">
        <v>64</v>
      </c>
      <c r="C1256">
        <v>6</v>
      </c>
      <c r="D1256">
        <v>17</v>
      </c>
      <c r="E1256">
        <v>3</v>
      </c>
      <c r="F1256">
        <v>0</v>
      </c>
      <c r="G1256">
        <v>20</v>
      </c>
    </row>
    <row r="1257" spans="1:7" x14ac:dyDescent="0.25">
      <c r="A1257">
        <v>3064</v>
      </c>
      <c r="B1257">
        <v>64</v>
      </c>
      <c r="C1257">
        <v>6</v>
      </c>
      <c r="D1257">
        <v>14</v>
      </c>
      <c r="E1257">
        <v>7</v>
      </c>
      <c r="F1257">
        <v>0</v>
      </c>
      <c r="G1257">
        <v>21</v>
      </c>
    </row>
    <row r="1258" spans="1:7" x14ac:dyDescent="0.25">
      <c r="A1258">
        <v>1142</v>
      </c>
      <c r="B1258">
        <v>142</v>
      </c>
      <c r="C1258">
        <v>9</v>
      </c>
      <c r="D1258">
        <v>1</v>
      </c>
      <c r="E1258">
        <v>8</v>
      </c>
      <c r="F1258">
        <v>0</v>
      </c>
      <c r="G1258">
        <v>9</v>
      </c>
    </row>
    <row r="1259" spans="1:7" x14ac:dyDescent="0.25">
      <c r="A1259">
        <v>5061</v>
      </c>
      <c r="B1259">
        <v>61</v>
      </c>
      <c r="C1259">
        <v>6</v>
      </c>
      <c r="D1259">
        <v>12</v>
      </c>
      <c r="E1259">
        <v>8</v>
      </c>
      <c r="F1259">
        <v>0</v>
      </c>
      <c r="G1259">
        <v>20</v>
      </c>
    </row>
    <row r="1260" spans="1:7" x14ac:dyDescent="0.25">
      <c r="A1260">
        <v>1023</v>
      </c>
      <c r="B1260">
        <v>23</v>
      </c>
      <c r="C1260">
        <v>1</v>
      </c>
      <c r="D1260">
        <v>14</v>
      </c>
      <c r="E1260">
        <v>6</v>
      </c>
      <c r="F1260">
        <v>0</v>
      </c>
      <c r="G1260">
        <v>20</v>
      </c>
    </row>
    <row r="1261" spans="1:7" x14ac:dyDescent="0.25">
      <c r="A1261">
        <v>2142</v>
      </c>
      <c r="B1261">
        <v>142</v>
      </c>
      <c r="C1261">
        <v>9</v>
      </c>
      <c r="D1261">
        <v>15</v>
      </c>
      <c r="E1261">
        <v>19</v>
      </c>
      <c r="F1261">
        <v>0</v>
      </c>
      <c r="G1261">
        <v>34</v>
      </c>
    </row>
    <row r="1262" spans="1:7" x14ac:dyDescent="0.25">
      <c r="A1262">
        <v>1035</v>
      </c>
      <c r="B1262">
        <v>35</v>
      </c>
      <c r="C1262">
        <v>9</v>
      </c>
      <c r="D1262">
        <v>8</v>
      </c>
      <c r="E1262">
        <v>7</v>
      </c>
      <c r="F1262">
        <v>0</v>
      </c>
      <c r="G1262">
        <v>15</v>
      </c>
    </row>
    <row r="1263" spans="1:7" x14ac:dyDescent="0.25">
      <c r="A1263">
        <v>2062</v>
      </c>
      <c r="B1263">
        <v>62</v>
      </c>
      <c r="C1263">
        <v>5</v>
      </c>
      <c r="D1263">
        <v>9</v>
      </c>
      <c r="E1263">
        <v>14</v>
      </c>
      <c r="F1263">
        <v>0</v>
      </c>
      <c r="G1263">
        <v>23</v>
      </c>
    </row>
    <row r="1264" spans="1:7" x14ac:dyDescent="0.25">
      <c r="A1264">
        <v>3142</v>
      </c>
      <c r="B1264">
        <v>142</v>
      </c>
      <c r="C1264">
        <v>9</v>
      </c>
      <c r="D1264">
        <v>5</v>
      </c>
      <c r="E1264">
        <v>7</v>
      </c>
      <c r="F1264">
        <v>0</v>
      </c>
      <c r="G1264">
        <v>12</v>
      </c>
    </row>
    <row r="1265" spans="1:7" x14ac:dyDescent="0.25">
      <c r="A1265">
        <v>1063</v>
      </c>
      <c r="B1265">
        <v>63</v>
      </c>
      <c r="C1265">
        <v>6</v>
      </c>
      <c r="D1265">
        <v>11</v>
      </c>
      <c r="E1265">
        <v>0</v>
      </c>
      <c r="F1265">
        <v>0</v>
      </c>
      <c r="G1265">
        <v>11</v>
      </c>
    </row>
    <row r="1266" spans="1:7" x14ac:dyDescent="0.25">
      <c r="A1266">
        <v>1119</v>
      </c>
      <c r="B1266">
        <v>119</v>
      </c>
      <c r="C1266">
        <v>4</v>
      </c>
      <c r="D1266">
        <v>1</v>
      </c>
      <c r="E1266">
        <v>6</v>
      </c>
      <c r="F1266">
        <v>0</v>
      </c>
      <c r="G1266">
        <v>7</v>
      </c>
    </row>
    <row r="1267" spans="1:7" x14ac:dyDescent="0.25">
      <c r="A1267">
        <v>2037</v>
      </c>
      <c r="B1267">
        <v>37</v>
      </c>
      <c r="C1267">
        <v>9</v>
      </c>
      <c r="D1267">
        <v>0</v>
      </c>
      <c r="E1267">
        <v>20</v>
      </c>
      <c r="F1267">
        <v>0</v>
      </c>
      <c r="G1267">
        <v>20</v>
      </c>
    </row>
    <row r="1268" spans="1:7" x14ac:dyDescent="0.25">
      <c r="A1268">
        <v>1143</v>
      </c>
      <c r="B1268">
        <v>143</v>
      </c>
      <c r="C1268">
        <v>9</v>
      </c>
      <c r="D1268">
        <v>9</v>
      </c>
      <c r="E1268">
        <v>8</v>
      </c>
      <c r="F1268">
        <v>0</v>
      </c>
      <c r="G1268">
        <v>17</v>
      </c>
    </row>
    <row r="1269" spans="1:7" x14ac:dyDescent="0.25">
      <c r="A1269">
        <v>3100</v>
      </c>
      <c r="B1269">
        <v>100</v>
      </c>
      <c r="C1269">
        <v>9</v>
      </c>
      <c r="D1269">
        <v>4</v>
      </c>
      <c r="E1269">
        <v>6</v>
      </c>
      <c r="F1269">
        <v>0</v>
      </c>
      <c r="G1269">
        <v>10</v>
      </c>
    </row>
    <row r="1270" spans="1:7" x14ac:dyDescent="0.25">
      <c r="A1270">
        <v>2063</v>
      </c>
      <c r="B1270">
        <v>63</v>
      </c>
      <c r="C1270">
        <v>6</v>
      </c>
      <c r="D1270">
        <v>12</v>
      </c>
      <c r="E1270">
        <v>13</v>
      </c>
      <c r="F1270">
        <v>0</v>
      </c>
      <c r="G1270">
        <v>25</v>
      </c>
    </row>
    <row r="1271" spans="1:7" x14ac:dyDescent="0.25">
      <c r="A1271">
        <v>5118</v>
      </c>
      <c r="B1271">
        <v>118</v>
      </c>
      <c r="C1271">
        <v>4</v>
      </c>
      <c r="D1271">
        <v>7</v>
      </c>
      <c r="E1271">
        <v>13</v>
      </c>
      <c r="F1271">
        <v>0</v>
      </c>
      <c r="G1271">
        <v>20</v>
      </c>
    </row>
    <row r="1272" spans="1:7" x14ac:dyDescent="0.25">
      <c r="A1272">
        <v>2143</v>
      </c>
      <c r="B1272">
        <v>143</v>
      </c>
      <c r="C1272">
        <v>9</v>
      </c>
      <c r="D1272">
        <v>4</v>
      </c>
      <c r="E1272">
        <v>14</v>
      </c>
      <c r="F1272">
        <v>0</v>
      </c>
      <c r="G1272">
        <v>18</v>
      </c>
    </row>
    <row r="1273" spans="1:7" x14ac:dyDescent="0.25">
      <c r="A1273">
        <v>2100</v>
      </c>
      <c r="B1273">
        <v>100</v>
      </c>
      <c r="C1273">
        <v>9</v>
      </c>
      <c r="D1273">
        <v>11</v>
      </c>
      <c r="E1273">
        <v>9</v>
      </c>
      <c r="F1273">
        <v>0</v>
      </c>
      <c r="G1273">
        <v>20</v>
      </c>
    </row>
    <row r="1274" spans="1:7" x14ac:dyDescent="0.25">
      <c r="A1274">
        <v>1099</v>
      </c>
      <c r="B1274">
        <v>99</v>
      </c>
      <c r="C1274">
        <v>9</v>
      </c>
      <c r="D1274">
        <v>8</v>
      </c>
      <c r="E1274">
        <v>7</v>
      </c>
      <c r="F1274">
        <v>2</v>
      </c>
      <c r="G1274">
        <v>17</v>
      </c>
    </row>
    <row r="1275" spans="1:7" x14ac:dyDescent="0.25">
      <c r="A1275">
        <v>1139</v>
      </c>
      <c r="B1275">
        <v>139</v>
      </c>
      <c r="C1275">
        <v>7</v>
      </c>
      <c r="D1275">
        <v>10</v>
      </c>
      <c r="E1275">
        <v>6</v>
      </c>
      <c r="F1275">
        <v>0</v>
      </c>
      <c r="G1275">
        <v>16</v>
      </c>
    </row>
    <row r="1276" spans="1:7" x14ac:dyDescent="0.25">
      <c r="A1276">
        <v>1139</v>
      </c>
      <c r="B1276">
        <v>139</v>
      </c>
      <c r="C1276">
        <v>8</v>
      </c>
      <c r="D1276">
        <v>10</v>
      </c>
      <c r="E1276">
        <v>6</v>
      </c>
      <c r="F1276">
        <v>0</v>
      </c>
      <c r="G1276">
        <v>16</v>
      </c>
    </row>
    <row r="1277" spans="1:7" x14ac:dyDescent="0.25">
      <c r="A1277">
        <v>3097</v>
      </c>
      <c r="B1277">
        <v>97</v>
      </c>
      <c r="C1277">
        <v>9</v>
      </c>
      <c r="D1277">
        <v>10</v>
      </c>
      <c r="E1277">
        <v>4</v>
      </c>
      <c r="F1277">
        <v>1</v>
      </c>
      <c r="G1277">
        <v>15</v>
      </c>
    </row>
    <row r="1278" spans="1:7" x14ac:dyDescent="0.25">
      <c r="A1278">
        <v>1144</v>
      </c>
      <c r="B1278">
        <v>144</v>
      </c>
      <c r="C1278">
        <v>9</v>
      </c>
      <c r="D1278">
        <v>6</v>
      </c>
      <c r="E1278">
        <v>1</v>
      </c>
      <c r="F1278">
        <v>0</v>
      </c>
      <c r="G1278">
        <v>7</v>
      </c>
    </row>
    <row r="1279" spans="1:7" x14ac:dyDescent="0.25">
      <c r="A1279">
        <v>5098</v>
      </c>
      <c r="B1279">
        <v>98</v>
      </c>
      <c r="C1279">
        <v>9</v>
      </c>
      <c r="D1279">
        <v>3</v>
      </c>
      <c r="E1279">
        <v>17</v>
      </c>
      <c r="F1279">
        <v>0</v>
      </c>
      <c r="G1279">
        <v>20</v>
      </c>
    </row>
    <row r="1280" spans="1:7" x14ac:dyDescent="0.25">
      <c r="A1280">
        <v>2144</v>
      </c>
      <c r="B1280">
        <v>144</v>
      </c>
      <c r="C1280">
        <v>9</v>
      </c>
      <c r="D1280">
        <v>16</v>
      </c>
      <c r="E1280">
        <v>4</v>
      </c>
      <c r="F1280">
        <v>0</v>
      </c>
      <c r="G1280">
        <v>20</v>
      </c>
    </row>
    <row r="1281" spans="1:7" x14ac:dyDescent="0.25">
      <c r="A1281">
        <v>2137</v>
      </c>
      <c r="B1281">
        <v>137</v>
      </c>
      <c r="C1281">
        <v>6</v>
      </c>
      <c r="D1281">
        <v>5</v>
      </c>
      <c r="E1281">
        <v>6</v>
      </c>
      <c r="F1281">
        <v>0</v>
      </c>
      <c r="G1281">
        <v>11</v>
      </c>
    </row>
    <row r="1282" spans="1:7" x14ac:dyDescent="0.25">
      <c r="A1282">
        <v>1138</v>
      </c>
      <c r="B1282">
        <v>138</v>
      </c>
      <c r="C1282">
        <v>7</v>
      </c>
      <c r="D1282">
        <v>9</v>
      </c>
      <c r="E1282">
        <v>8</v>
      </c>
      <c r="F1282">
        <v>0</v>
      </c>
      <c r="G1282">
        <v>17</v>
      </c>
    </row>
    <row r="1283" spans="1:7" x14ac:dyDescent="0.25">
      <c r="A1283">
        <v>2019</v>
      </c>
      <c r="B1283">
        <v>19</v>
      </c>
      <c r="C1283">
        <v>8</v>
      </c>
      <c r="D1283">
        <v>3</v>
      </c>
      <c r="E1283">
        <v>20</v>
      </c>
      <c r="F1283">
        <v>0</v>
      </c>
      <c r="G1283">
        <v>23</v>
      </c>
    </row>
    <row r="1284" spans="1:7" x14ac:dyDescent="0.25">
      <c r="A1284">
        <v>3144</v>
      </c>
      <c r="B1284">
        <v>144</v>
      </c>
      <c r="C1284">
        <v>9</v>
      </c>
      <c r="D1284">
        <v>8</v>
      </c>
      <c r="E1284">
        <v>5</v>
      </c>
      <c r="F1284">
        <v>0</v>
      </c>
      <c r="G1284">
        <v>13</v>
      </c>
    </row>
    <row r="1285" spans="1:7" x14ac:dyDescent="0.25">
      <c r="A1285">
        <v>2145</v>
      </c>
      <c r="B1285">
        <v>145</v>
      </c>
      <c r="C1285">
        <v>9</v>
      </c>
      <c r="D1285">
        <v>4</v>
      </c>
      <c r="E1285">
        <v>9</v>
      </c>
      <c r="F1285">
        <v>1</v>
      </c>
      <c r="G1285">
        <v>14</v>
      </c>
    </row>
    <row r="1286" spans="1:7" x14ac:dyDescent="0.25">
      <c r="A1286">
        <v>1138</v>
      </c>
      <c r="B1286">
        <v>138</v>
      </c>
      <c r="C1286">
        <v>8</v>
      </c>
      <c r="D1286">
        <v>14</v>
      </c>
      <c r="E1286">
        <v>5</v>
      </c>
      <c r="F1286">
        <v>0</v>
      </c>
      <c r="G1286">
        <v>19</v>
      </c>
    </row>
    <row r="1287" spans="1:7" x14ac:dyDescent="0.25">
      <c r="A1287">
        <v>2137</v>
      </c>
      <c r="B1287">
        <v>137</v>
      </c>
      <c r="C1287">
        <v>5</v>
      </c>
      <c r="D1287">
        <v>6</v>
      </c>
      <c r="E1287">
        <v>7</v>
      </c>
      <c r="F1287">
        <v>0</v>
      </c>
      <c r="G1287">
        <v>13</v>
      </c>
    </row>
    <row r="1288" spans="1:7" x14ac:dyDescent="0.25">
      <c r="A1288">
        <v>1015</v>
      </c>
      <c r="B1288">
        <v>15</v>
      </c>
      <c r="C1288">
        <v>8</v>
      </c>
      <c r="D1288">
        <v>10</v>
      </c>
      <c r="E1288">
        <v>7</v>
      </c>
      <c r="F1288">
        <v>0</v>
      </c>
      <c r="G1288">
        <v>17</v>
      </c>
    </row>
    <row r="1289" spans="1:7" x14ac:dyDescent="0.25">
      <c r="A1289">
        <v>2015</v>
      </c>
      <c r="B1289">
        <v>15</v>
      </c>
      <c r="C1289">
        <v>8</v>
      </c>
      <c r="D1289">
        <v>2</v>
      </c>
      <c r="E1289">
        <v>12</v>
      </c>
      <c r="F1289">
        <v>0</v>
      </c>
      <c r="G1289">
        <v>14</v>
      </c>
    </row>
    <row r="1290" spans="1:7" x14ac:dyDescent="0.25">
      <c r="A1290">
        <v>1145</v>
      </c>
      <c r="B1290">
        <v>145</v>
      </c>
      <c r="C1290">
        <v>9</v>
      </c>
      <c r="D1290">
        <v>2</v>
      </c>
      <c r="E1290">
        <v>9</v>
      </c>
      <c r="F1290">
        <v>0</v>
      </c>
      <c r="G1290">
        <v>11</v>
      </c>
    </row>
    <row r="1291" spans="1:7" x14ac:dyDescent="0.25">
      <c r="A1291">
        <v>1013</v>
      </c>
      <c r="B1291">
        <v>13</v>
      </c>
      <c r="C1291">
        <v>8</v>
      </c>
      <c r="D1291">
        <v>0</v>
      </c>
      <c r="E1291">
        <v>20</v>
      </c>
      <c r="F1291">
        <v>2</v>
      </c>
      <c r="G1291">
        <v>22</v>
      </c>
    </row>
    <row r="1292" spans="1:7" x14ac:dyDescent="0.25">
      <c r="A1292">
        <v>1019</v>
      </c>
      <c r="B1292">
        <v>19</v>
      </c>
      <c r="C1292">
        <v>8</v>
      </c>
      <c r="D1292">
        <v>10</v>
      </c>
      <c r="E1292">
        <v>24</v>
      </c>
      <c r="F1292">
        <v>0</v>
      </c>
      <c r="G1292">
        <v>34</v>
      </c>
    </row>
    <row r="1293" spans="1:7" x14ac:dyDescent="0.25">
      <c r="A1293">
        <v>1137</v>
      </c>
      <c r="B1293">
        <v>137</v>
      </c>
      <c r="C1293">
        <v>5</v>
      </c>
      <c r="D1293">
        <v>15</v>
      </c>
      <c r="E1293">
        <v>3</v>
      </c>
      <c r="F1293">
        <v>0</v>
      </c>
      <c r="G1293">
        <v>18</v>
      </c>
    </row>
    <row r="1294" spans="1:7" x14ac:dyDescent="0.25">
      <c r="A1294">
        <v>3012</v>
      </c>
      <c r="B1294">
        <v>12</v>
      </c>
      <c r="C1294">
        <v>8</v>
      </c>
      <c r="D1294">
        <v>10</v>
      </c>
      <c r="E1294">
        <v>2</v>
      </c>
      <c r="F1294">
        <v>0</v>
      </c>
      <c r="G1294">
        <v>12</v>
      </c>
    </row>
    <row r="1295" spans="1:7" x14ac:dyDescent="0.25">
      <c r="A1295">
        <v>3145</v>
      </c>
      <c r="B1295">
        <v>145</v>
      </c>
      <c r="C1295">
        <v>9</v>
      </c>
      <c r="D1295">
        <v>12</v>
      </c>
      <c r="E1295">
        <v>8</v>
      </c>
      <c r="F1295">
        <v>0</v>
      </c>
      <c r="G1295">
        <v>20</v>
      </c>
    </row>
    <row r="1296" spans="1:7" x14ac:dyDescent="0.25">
      <c r="A1296">
        <v>2038</v>
      </c>
      <c r="B1296">
        <v>38</v>
      </c>
      <c r="C1296">
        <v>8</v>
      </c>
      <c r="D1296">
        <v>9</v>
      </c>
      <c r="E1296">
        <v>7</v>
      </c>
      <c r="F1296">
        <v>0</v>
      </c>
      <c r="G1296">
        <v>16</v>
      </c>
    </row>
    <row r="1297" spans="1:7" x14ac:dyDescent="0.25">
      <c r="A1297">
        <v>2141</v>
      </c>
      <c r="B1297">
        <v>141</v>
      </c>
      <c r="C1297">
        <v>9</v>
      </c>
      <c r="D1297">
        <v>12</v>
      </c>
      <c r="E1297">
        <v>6</v>
      </c>
      <c r="F1297">
        <v>0</v>
      </c>
      <c r="G1297">
        <v>18</v>
      </c>
    </row>
    <row r="1298" spans="1:7" x14ac:dyDescent="0.25">
      <c r="A1298">
        <v>1136</v>
      </c>
      <c r="B1298">
        <v>136</v>
      </c>
      <c r="C1298">
        <v>5</v>
      </c>
      <c r="D1298">
        <v>15</v>
      </c>
      <c r="E1298">
        <v>2</v>
      </c>
      <c r="F1298">
        <v>0</v>
      </c>
      <c r="G1298">
        <v>17</v>
      </c>
    </row>
    <row r="1299" spans="1:7" x14ac:dyDescent="0.25">
      <c r="A1299">
        <v>2028</v>
      </c>
      <c r="B1299">
        <v>28</v>
      </c>
      <c r="C1299">
        <v>8</v>
      </c>
      <c r="D1299">
        <v>11</v>
      </c>
      <c r="E1299">
        <v>11</v>
      </c>
      <c r="F1299">
        <v>0</v>
      </c>
      <c r="G1299">
        <v>22</v>
      </c>
    </row>
    <row r="1300" spans="1:7" x14ac:dyDescent="0.25">
      <c r="A1300">
        <v>1141</v>
      </c>
      <c r="B1300">
        <v>141</v>
      </c>
      <c r="C1300">
        <v>9</v>
      </c>
      <c r="D1300">
        <v>13</v>
      </c>
      <c r="E1300">
        <v>8</v>
      </c>
      <c r="F1300">
        <v>0</v>
      </c>
      <c r="G1300">
        <v>21</v>
      </c>
    </row>
    <row r="1301" spans="1:7" x14ac:dyDescent="0.25">
      <c r="A1301">
        <v>2040</v>
      </c>
      <c r="B1301">
        <v>40</v>
      </c>
      <c r="C1301">
        <v>8</v>
      </c>
      <c r="D1301">
        <v>20</v>
      </c>
      <c r="E1301">
        <v>2</v>
      </c>
      <c r="F1301">
        <v>0</v>
      </c>
      <c r="G1301">
        <v>22</v>
      </c>
    </row>
    <row r="1302" spans="1:7" x14ac:dyDescent="0.25">
      <c r="A1302">
        <v>2134</v>
      </c>
      <c r="B1302">
        <v>134</v>
      </c>
      <c r="C1302">
        <v>5</v>
      </c>
      <c r="D1302">
        <v>13</v>
      </c>
      <c r="E1302">
        <v>5</v>
      </c>
      <c r="F1302">
        <v>1</v>
      </c>
      <c r="G1302">
        <v>19</v>
      </c>
    </row>
    <row r="1303" spans="1:7" x14ac:dyDescent="0.25">
      <c r="A1303">
        <v>1142</v>
      </c>
      <c r="B1303">
        <v>142</v>
      </c>
      <c r="C1303">
        <v>8</v>
      </c>
      <c r="D1303">
        <v>13</v>
      </c>
      <c r="E1303">
        <v>7</v>
      </c>
      <c r="F1303">
        <v>0</v>
      </c>
      <c r="G1303">
        <v>20</v>
      </c>
    </row>
    <row r="1304" spans="1:7" x14ac:dyDescent="0.25">
      <c r="A1304">
        <v>2145</v>
      </c>
      <c r="B1304">
        <v>145</v>
      </c>
      <c r="C1304">
        <v>8</v>
      </c>
      <c r="D1304">
        <v>3</v>
      </c>
      <c r="E1304">
        <v>4</v>
      </c>
      <c r="F1304">
        <v>0</v>
      </c>
      <c r="G1304">
        <v>7</v>
      </c>
    </row>
    <row r="1305" spans="1:7" x14ac:dyDescent="0.25">
      <c r="A1305">
        <v>1035</v>
      </c>
      <c r="B1305">
        <v>35</v>
      </c>
      <c r="C1305">
        <v>8</v>
      </c>
      <c r="D1305">
        <v>10</v>
      </c>
      <c r="E1305">
        <v>8</v>
      </c>
      <c r="F1305">
        <v>0</v>
      </c>
      <c r="G1305">
        <v>18</v>
      </c>
    </row>
    <row r="1306" spans="1:7" x14ac:dyDescent="0.25">
      <c r="A1306">
        <v>2138</v>
      </c>
      <c r="B1306">
        <v>138</v>
      </c>
      <c r="C1306">
        <v>7</v>
      </c>
      <c r="D1306">
        <v>11</v>
      </c>
      <c r="E1306">
        <v>8</v>
      </c>
      <c r="F1306">
        <v>0</v>
      </c>
      <c r="G1306">
        <v>19</v>
      </c>
    </row>
    <row r="1307" spans="1:7" x14ac:dyDescent="0.25">
      <c r="A1307">
        <v>1037</v>
      </c>
      <c r="B1307">
        <v>37</v>
      </c>
      <c r="C1307">
        <v>8</v>
      </c>
      <c r="D1307">
        <v>7</v>
      </c>
      <c r="E1307">
        <v>12</v>
      </c>
      <c r="F1307">
        <v>2</v>
      </c>
      <c r="G1307">
        <v>21</v>
      </c>
    </row>
    <row r="1308" spans="1:7" x14ac:dyDescent="0.25">
      <c r="A1308">
        <v>1028</v>
      </c>
      <c r="B1308">
        <v>28</v>
      </c>
      <c r="C1308">
        <v>8</v>
      </c>
      <c r="D1308">
        <v>20</v>
      </c>
      <c r="E1308">
        <v>10</v>
      </c>
      <c r="F1308">
        <v>0</v>
      </c>
      <c r="G1308">
        <v>30</v>
      </c>
    </row>
    <row r="1309" spans="1:7" x14ac:dyDescent="0.25">
      <c r="A1309">
        <v>2139</v>
      </c>
      <c r="B1309">
        <v>139</v>
      </c>
      <c r="C1309">
        <v>7</v>
      </c>
      <c r="D1309">
        <v>28</v>
      </c>
      <c r="E1309">
        <v>18</v>
      </c>
      <c r="F1309">
        <v>0</v>
      </c>
      <c r="G1309">
        <v>46</v>
      </c>
    </row>
    <row r="1310" spans="1:7" x14ac:dyDescent="0.25">
      <c r="A1310">
        <v>3100</v>
      </c>
      <c r="B1310">
        <v>100</v>
      </c>
      <c r="C1310">
        <v>8</v>
      </c>
      <c r="D1310">
        <v>9</v>
      </c>
      <c r="E1310">
        <v>5</v>
      </c>
      <c r="F1310">
        <v>0</v>
      </c>
      <c r="G1310">
        <v>14</v>
      </c>
    </row>
    <row r="1311" spans="1:7" x14ac:dyDescent="0.25">
      <c r="A1311">
        <v>1032</v>
      </c>
      <c r="B1311">
        <v>32</v>
      </c>
      <c r="C1311">
        <v>5</v>
      </c>
      <c r="D1311">
        <v>5</v>
      </c>
      <c r="E1311">
        <v>4</v>
      </c>
      <c r="F1311">
        <v>0</v>
      </c>
      <c r="G1311">
        <v>9</v>
      </c>
    </row>
    <row r="1312" spans="1:7" x14ac:dyDescent="0.25">
      <c r="A1312">
        <v>1040</v>
      </c>
      <c r="B1312">
        <v>40</v>
      </c>
      <c r="C1312">
        <v>8</v>
      </c>
      <c r="D1312">
        <v>14</v>
      </c>
      <c r="E1312">
        <v>17</v>
      </c>
      <c r="F1312">
        <v>0</v>
      </c>
      <c r="G1312">
        <v>31</v>
      </c>
    </row>
    <row r="1313" spans="1:7" x14ac:dyDescent="0.25">
      <c r="A1313">
        <v>4021</v>
      </c>
      <c r="B1313">
        <v>21</v>
      </c>
      <c r="C1313">
        <v>7</v>
      </c>
      <c r="D1313">
        <v>8</v>
      </c>
      <c r="E1313">
        <v>7</v>
      </c>
      <c r="F1313">
        <v>0</v>
      </c>
      <c r="G1313">
        <v>15</v>
      </c>
    </row>
    <row r="1314" spans="1:7" x14ac:dyDescent="0.25">
      <c r="A1314">
        <v>2139</v>
      </c>
      <c r="B1314">
        <v>139</v>
      </c>
      <c r="C1314">
        <v>8</v>
      </c>
      <c r="D1314">
        <v>36</v>
      </c>
      <c r="E1314">
        <v>24</v>
      </c>
      <c r="F1314">
        <v>0</v>
      </c>
      <c r="G1314">
        <v>60</v>
      </c>
    </row>
    <row r="1315" spans="1:7" x14ac:dyDescent="0.25">
      <c r="A1315">
        <v>3027</v>
      </c>
      <c r="B1315">
        <v>27</v>
      </c>
      <c r="C1315">
        <v>5</v>
      </c>
      <c r="D1315">
        <v>20</v>
      </c>
      <c r="E1315">
        <v>4</v>
      </c>
      <c r="F1315">
        <v>0</v>
      </c>
      <c r="G1315">
        <v>24</v>
      </c>
    </row>
    <row r="1316" spans="1:7" x14ac:dyDescent="0.25">
      <c r="A1316">
        <v>3145</v>
      </c>
      <c r="B1316">
        <v>145</v>
      </c>
      <c r="C1316">
        <v>8</v>
      </c>
      <c r="D1316">
        <v>9</v>
      </c>
      <c r="E1316">
        <v>8</v>
      </c>
      <c r="F1316">
        <v>0</v>
      </c>
      <c r="G1316">
        <v>17</v>
      </c>
    </row>
    <row r="1317" spans="1:7" x14ac:dyDescent="0.25">
      <c r="A1317">
        <v>2100</v>
      </c>
      <c r="B1317">
        <v>100</v>
      </c>
      <c r="C1317">
        <v>8</v>
      </c>
      <c r="D1317">
        <v>12</v>
      </c>
      <c r="E1317">
        <v>10</v>
      </c>
      <c r="F1317">
        <v>0</v>
      </c>
      <c r="G1317">
        <v>22</v>
      </c>
    </row>
    <row r="1318" spans="1:7" x14ac:dyDescent="0.25">
      <c r="A1318">
        <v>2021</v>
      </c>
      <c r="B1318">
        <v>21</v>
      </c>
      <c r="C1318">
        <v>7</v>
      </c>
      <c r="D1318">
        <v>5</v>
      </c>
      <c r="E1318">
        <v>0</v>
      </c>
      <c r="F1318">
        <v>0</v>
      </c>
      <c r="G1318">
        <v>5</v>
      </c>
    </row>
    <row r="1319" spans="1:7" x14ac:dyDescent="0.25">
      <c r="A1319">
        <v>1026</v>
      </c>
      <c r="B1319">
        <v>26</v>
      </c>
      <c r="C1319">
        <v>5</v>
      </c>
      <c r="D1319">
        <v>6</v>
      </c>
      <c r="E1319">
        <v>3</v>
      </c>
      <c r="F1319">
        <v>0</v>
      </c>
      <c r="G1319">
        <v>9</v>
      </c>
    </row>
    <row r="1320" spans="1:7" x14ac:dyDescent="0.25">
      <c r="A1320">
        <v>1134</v>
      </c>
      <c r="B1320">
        <v>134</v>
      </c>
      <c r="C1320">
        <v>7</v>
      </c>
      <c r="D1320">
        <v>6</v>
      </c>
      <c r="E1320">
        <v>8</v>
      </c>
      <c r="F1320">
        <v>0</v>
      </c>
      <c r="G1320">
        <v>14</v>
      </c>
    </row>
    <row r="1321" spans="1:7" x14ac:dyDescent="0.25">
      <c r="A1321">
        <v>1021</v>
      </c>
      <c r="B1321">
        <v>21</v>
      </c>
      <c r="C1321">
        <v>3</v>
      </c>
      <c r="D1321">
        <v>7</v>
      </c>
      <c r="E1321">
        <v>10</v>
      </c>
      <c r="F1321">
        <v>3</v>
      </c>
      <c r="G1321">
        <v>20</v>
      </c>
    </row>
    <row r="1322" spans="1:7" x14ac:dyDescent="0.25">
      <c r="A1322">
        <v>1134</v>
      </c>
      <c r="B1322">
        <v>134</v>
      </c>
      <c r="C1322">
        <v>8</v>
      </c>
      <c r="D1322">
        <v>4</v>
      </c>
      <c r="E1322">
        <v>4</v>
      </c>
      <c r="F1322">
        <v>0</v>
      </c>
      <c r="G1322">
        <v>8</v>
      </c>
    </row>
    <row r="1323" spans="1:7" x14ac:dyDescent="0.25">
      <c r="A1323">
        <v>1021</v>
      </c>
      <c r="B1323">
        <v>21</v>
      </c>
      <c r="C1323">
        <v>4</v>
      </c>
      <c r="D1323">
        <v>12</v>
      </c>
      <c r="E1323">
        <v>8</v>
      </c>
      <c r="F1323">
        <v>0</v>
      </c>
      <c r="G1323">
        <v>20</v>
      </c>
    </row>
    <row r="1324" spans="1:7" x14ac:dyDescent="0.25">
      <c r="A1324">
        <v>2137</v>
      </c>
      <c r="B1324">
        <v>137</v>
      </c>
      <c r="C1324">
        <v>7</v>
      </c>
      <c r="D1324">
        <v>10</v>
      </c>
      <c r="E1324">
        <v>8</v>
      </c>
      <c r="F1324">
        <v>0</v>
      </c>
      <c r="G1324">
        <v>18</v>
      </c>
    </row>
    <row r="1325" spans="1:7" x14ac:dyDescent="0.25">
      <c r="A1325">
        <v>1099</v>
      </c>
      <c r="B1325">
        <v>99</v>
      </c>
      <c r="C1325">
        <v>8</v>
      </c>
      <c r="D1325">
        <v>4</v>
      </c>
      <c r="E1325">
        <v>3</v>
      </c>
      <c r="F1325">
        <v>0</v>
      </c>
      <c r="G1325">
        <v>7</v>
      </c>
    </row>
    <row r="1326" spans="1:7" x14ac:dyDescent="0.25">
      <c r="A1326">
        <v>2137</v>
      </c>
      <c r="B1326">
        <v>137</v>
      </c>
      <c r="C1326">
        <v>8</v>
      </c>
      <c r="D1326">
        <v>21</v>
      </c>
      <c r="E1326">
        <v>5</v>
      </c>
      <c r="F1326">
        <v>0</v>
      </c>
      <c r="G1326">
        <v>26</v>
      </c>
    </row>
    <row r="1327" spans="1:7" x14ac:dyDescent="0.25">
      <c r="A1327">
        <v>1141</v>
      </c>
      <c r="B1327">
        <v>141</v>
      </c>
      <c r="C1327">
        <v>6</v>
      </c>
      <c r="D1327">
        <v>10</v>
      </c>
      <c r="E1327">
        <v>11</v>
      </c>
      <c r="F1327">
        <v>0</v>
      </c>
      <c r="G1327">
        <v>21</v>
      </c>
    </row>
    <row r="1328" spans="1:7" x14ac:dyDescent="0.25">
      <c r="A1328">
        <v>3097</v>
      </c>
      <c r="B1328">
        <v>97</v>
      </c>
      <c r="C1328">
        <v>8</v>
      </c>
      <c r="D1328">
        <v>15</v>
      </c>
      <c r="E1328">
        <v>5</v>
      </c>
      <c r="F1328">
        <v>0</v>
      </c>
      <c r="G1328">
        <v>20</v>
      </c>
    </row>
    <row r="1329" spans="1:7" x14ac:dyDescent="0.25">
      <c r="A1329">
        <v>2026</v>
      </c>
      <c r="B1329">
        <v>26</v>
      </c>
      <c r="C1329">
        <v>5</v>
      </c>
      <c r="D1329">
        <v>8</v>
      </c>
      <c r="E1329">
        <v>16</v>
      </c>
      <c r="F1329">
        <v>0</v>
      </c>
      <c r="G1329">
        <v>24</v>
      </c>
    </row>
    <row r="1330" spans="1:7" x14ac:dyDescent="0.25">
      <c r="A1330">
        <v>2134</v>
      </c>
      <c r="B1330">
        <v>134</v>
      </c>
      <c r="C1330">
        <v>7</v>
      </c>
      <c r="D1330">
        <v>14</v>
      </c>
      <c r="E1330">
        <v>4</v>
      </c>
      <c r="F1330">
        <v>0</v>
      </c>
      <c r="G1330">
        <v>18</v>
      </c>
    </row>
    <row r="1331" spans="1:7" x14ac:dyDescent="0.25">
      <c r="A1331">
        <v>1142</v>
      </c>
      <c r="B1331">
        <v>142</v>
      </c>
      <c r="C1331">
        <v>6</v>
      </c>
      <c r="D1331">
        <v>11</v>
      </c>
      <c r="E1331">
        <v>6</v>
      </c>
      <c r="F1331">
        <v>0</v>
      </c>
      <c r="G1331">
        <v>17</v>
      </c>
    </row>
    <row r="1332" spans="1:7" x14ac:dyDescent="0.25">
      <c r="A1332">
        <v>1140</v>
      </c>
      <c r="B1332">
        <v>140</v>
      </c>
      <c r="C1332">
        <v>6</v>
      </c>
      <c r="D1332">
        <v>9</v>
      </c>
      <c r="E1332">
        <v>22</v>
      </c>
      <c r="F1332">
        <v>0</v>
      </c>
      <c r="G1332">
        <v>31</v>
      </c>
    </row>
    <row r="1333" spans="1:7" x14ac:dyDescent="0.25">
      <c r="A1333">
        <v>3026</v>
      </c>
      <c r="B1333">
        <v>26</v>
      </c>
      <c r="C1333">
        <v>5</v>
      </c>
      <c r="D1333">
        <v>20</v>
      </c>
      <c r="E1333">
        <v>0</v>
      </c>
      <c r="F1333">
        <v>0</v>
      </c>
      <c r="G1333">
        <v>20</v>
      </c>
    </row>
    <row r="1334" spans="1:7" x14ac:dyDescent="0.25">
      <c r="A1334">
        <v>2038</v>
      </c>
      <c r="B1334">
        <v>38</v>
      </c>
      <c r="C1334">
        <v>7</v>
      </c>
      <c r="D1334">
        <v>7</v>
      </c>
      <c r="E1334">
        <v>10</v>
      </c>
      <c r="F1334">
        <v>0</v>
      </c>
      <c r="G1334">
        <v>17</v>
      </c>
    </row>
    <row r="1335" spans="1:7" x14ac:dyDescent="0.25">
      <c r="A1335">
        <v>2054</v>
      </c>
      <c r="B1335">
        <v>54</v>
      </c>
      <c r="C1335">
        <v>9</v>
      </c>
      <c r="D1335">
        <v>12</v>
      </c>
      <c r="E1335">
        <v>6</v>
      </c>
      <c r="F1335">
        <v>0</v>
      </c>
      <c r="G1335">
        <v>18</v>
      </c>
    </row>
    <row r="1336" spans="1:7" x14ac:dyDescent="0.25">
      <c r="A1336">
        <v>2121</v>
      </c>
      <c r="B1336">
        <v>121</v>
      </c>
      <c r="C1336">
        <v>7</v>
      </c>
      <c r="D1336">
        <v>7</v>
      </c>
      <c r="E1336">
        <v>9</v>
      </c>
      <c r="F1336">
        <v>0</v>
      </c>
      <c r="G1336">
        <v>16</v>
      </c>
    </row>
    <row r="1337" spans="1:7" x14ac:dyDescent="0.25">
      <c r="A1337">
        <v>2139</v>
      </c>
      <c r="B1337">
        <v>139</v>
      </c>
      <c r="C1337">
        <v>9</v>
      </c>
      <c r="D1337">
        <v>42</v>
      </c>
      <c r="E1337">
        <v>28</v>
      </c>
      <c r="F1337">
        <v>0</v>
      </c>
      <c r="G1337">
        <v>70</v>
      </c>
    </row>
    <row r="1338" spans="1:7" x14ac:dyDescent="0.25">
      <c r="A1338">
        <v>2027</v>
      </c>
      <c r="B1338">
        <v>27</v>
      </c>
      <c r="C1338">
        <v>5</v>
      </c>
      <c r="D1338">
        <v>25</v>
      </c>
      <c r="E1338">
        <v>9</v>
      </c>
      <c r="F1338">
        <v>0</v>
      </c>
      <c r="G1338">
        <v>34</v>
      </c>
    </row>
    <row r="1339" spans="1:7" x14ac:dyDescent="0.25">
      <c r="A1339">
        <v>2029</v>
      </c>
      <c r="B1339">
        <v>29</v>
      </c>
      <c r="C1339">
        <v>5</v>
      </c>
      <c r="D1339">
        <v>11</v>
      </c>
      <c r="E1339">
        <v>10</v>
      </c>
      <c r="F1339">
        <v>0</v>
      </c>
      <c r="G1339">
        <v>21</v>
      </c>
    </row>
    <row r="1340" spans="1:7" x14ac:dyDescent="0.25">
      <c r="A1340">
        <v>2049</v>
      </c>
      <c r="B1340">
        <v>49</v>
      </c>
      <c r="C1340">
        <v>9</v>
      </c>
      <c r="D1340">
        <v>9</v>
      </c>
      <c r="E1340">
        <v>16</v>
      </c>
      <c r="F1340">
        <v>1</v>
      </c>
      <c r="G1340">
        <v>26</v>
      </c>
    </row>
    <row r="1341" spans="1:7" x14ac:dyDescent="0.25">
      <c r="A1341">
        <v>1140</v>
      </c>
      <c r="B1341">
        <v>140</v>
      </c>
      <c r="C1341">
        <v>7</v>
      </c>
      <c r="D1341">
        <v>5</v>
      </c>
      <c r="E1341">
        <v>5</v>
      </c>
      <c r="F1341">
        <v>0</v>
      </c>
      <c r="G1341">
        <v>10</v>
      </c>
    </row>
    <row r="1342" spans="1:7" x14ac:dyDescent="0.25">
      <c r="A1342">
        <v>5048</v>
      </c>
      <c r="B1342">
        <v>48</v>
      </c>
      <c r="C1342">
        <v>9</v>
      </c>
      <c r="D1342">
        <v>16</v>
      </c>
      <c r="E1342">
        <v>4</v>
      </c>
      <c r="F1342">
        <v>0</v>
      </c>
      <c r="G1342">
        <v>20</v>
      </c>
    </row>
    <row r="1343" spans="1:7" x14ac:dyDescent="0.25">
      <c r="A1343">
        <v>4021</v>
      </c>
      <c r="B1343">
        <v>21</v>
      </c>
      <c r="C1343">
        <v>8</v>
      </c>
      <c r="D1343">
        <v>15</v>
      </c>
      <c r="E1343">
        <v>10</v>
      </c>
      <c r="F1343">
        <v>0</v>
      </c>
      <c r="G1343">
        <v>25</v>
      </c>
    </row>
    <row r="1344" spans="1:7" x14ac:dyDescent="0.25">
      <c r="A1344">
        <v>2029</v>
      </c>
      <c r="B1344">
        <v>29</v>
      </c>
      <c r="C1344">
        <v>6</v>
      </c>
      <c r="D1344">
        <v>9</v>
      </c>
      <c r="E1344">
        <v>10</v>
      </c>
      <c r="F1344">
        <v>0</v>
      </c>
      <c r="G1344">
        <v>19</v>
      </c>
    </row>
    <row r="1345" spans="1:7" x14ac:dyDescent="0.25">
      <c r="A1345">
        <v>1054</v>
      </c>
      <c r="B1345">
        <v>54</v>
      </c>
      <c r="C1345">
        <v>9</v>
      </c>
      <c r="D1345">
        <v>10</v>
      </c>
      <c r="E1345">
        <v>4</v>
      </c>
      <c r="F1345">
        <v>0</v>
      </c>
      <c r="G1345">
        <v>14</v>
      </c>
    </row>
    <row r="1346" spans="1:7" x14ac:dyDescent="0.25">
      <c r="A1346">
        <v>1020</v>
      </c>
      <c r="B1346">
        <v>20</v>
      </c>
      <c r="C1346">
        <v>9</v>
      </c>
      <c r="D1346">
        <v>12</v>
      </c>
      <c r="E1346">
        <v>8</v>
      </c>
      <c r="F1346">
        <v>0</v>
      </c>
      <c r="G1346">
        <v>20</v>
      </c>
    </row>
    <row r="1347" spans="1:7" x14ac:dyDescent="0.25">
      <c r="A1347">
        <v>2119</v>
      </c>
      <c r="B1347">
        <v>119</v>
      </c>
      <c r="C1347">
        <v>4</v>
      </c>
      <c r="D1347">
        <v>2</v>
      </c>
      <c r="E1347">
        <v>19</v>
      </c>
      <c r="F1347">
        <v>1</v>
      </c>
      <c r="G1347">
        <v>22</v>
      </c>
    </row>
    <row r="1348" spans="1:7" x14ac:dyDescent="0.25">
      <c r="A1348">
        <v>2029</v>
      </c>
      <c r="B1348">
        <v>29</v>
      </c>
      <c r="C1348">
        <v>7</v>
      </c>
      <c r="D1348">
        <v>11</v>
      </c>
      <c r="E1348">
        <v>9</v>
      </c>
      <c r="F1348">
        <v>0</v>
      </c>
      <c r="G1348">
        <v>20</v>
      </c>
    </row>
    <row r="1349" spans="1:7" x14ac:dyDescent="0.25">
      <c r="A1349">
        <v>2025</v>
      </c>
      <c r="B1349">
        <v>25</v>
      </c>
      <c r="C1349">
        <v>8</v>
      </c>
      <c r="D1349">
        <v>17</v>
      </c>
      <c r="E1349">
        <v>3</v>
      </c>
      <c r="F1349">
        <v>0</v>
      </c>
      <c r="G1349">
        <v>20</v>
      </c>
    </row>
    <row r="1350" spans="1:7" x14ac:dyDescent="0.25">
      <c r="A1350">
        <v>2052</v>
      </c>
      <c r="B1350">
        <v>52</v>
      </c>
      <c r="C1350">
        <v>9</v>
      </c>
      <c r="D1350">
        <v>1</v>
      </c>
      <c r="E1350">
        <v>1</v>
      </c>
      <c r="F1350">
        <v>0</v>
      </c>
      <c r="G1350">
        <v>2</v>
      </c>
    </row>
    <row r="1351" spans="1:7" x14ac:dyDescent="0.25">
      <c r="A1351">
        <v>2120</v>
      </c>
      <c r="B1351">
        <v>120</v>
      </c>
      <c r="C1351">
        <v>4</v>
      </c>
      <c r="D1351">
        <v>14</v>
      </c>
      <c r="E1351">
        <v>6</v>
      </c>
      <c r="F1351">
        <v>0</v>
      </c>
      <c r="G1351">
        <v>20</v>
      </c>
    </row>
    <row r="1352" spans="1:7" x14ac:dyDescent="0.25">
      <c r="A1352">
        <v>1021</v>
      </c>
      <c r="B1352">
        <v>21</v>
      </c>
      <c r="C1352">
        <v>5</v>
      </c>
      <c r="D1352">
        <v>15</v>
      </c>
      <c r="E1352">
        <v>5</v>
      </c>
      <c r="F1352">
        <v>0</v>
      </c>
      <c r="G1352">
        <v>20</v>
      </c>
    </row>
    <row r="1353" spans="1:7" x14ac:dyDescent="0.25">
      <c r="A1353">
        <v>2051</v>
      </c>
      <c r="B1353">
        <v>51</v>
      </c>
      <c r="C1353">
        <v>9</v>
      </c>
      <c r="D1353">
        <v>15</v>
      </c>
      <c r="E1353">
        <v>0</v>
      </c>
      <c r="F1353">
        <v>0</v>
      </c>
      <c r="G1353">
        <v>15</v>
      </c>
    </row>
    <row r="1354" spans="1:7" x14ac:dyDescent="0.25">
      <c r="A1354">
        <v>1120</v>
      </c>
      <c r="B1354">
        <v>120</v>
      </c>
      <c r="C1354">
        <v>4</v>
      </c>
      <c r="D1354">
        <v>13</v>
      </c>
      <c r="E1354">
        <v>10</v>
      </c>
      <c r="F1354">
        <v>1</v>
      </c>
      <c r="G1354">
        <v>24</v>
      </c>
    </row>
    <row r="1355" spans="1:7" x14ac:dyDescent="0.25">
      <c r="A1355">
        <v>1030</v>
      </c>
      <c r="B1355">
        <v>30</v>
      </c>
      <c r="C1355">
        <v>7</v>
      </c>
      <c r="D1355">
        <v>18</v>
      </c>
      <c r="E1355">
        <v>6</v>
      </c>
      <c r="F1355">
        <v>0</v>
      </c>
      <c r="G1355">
        <v>24</v>
      </c>
    </row>
    <row r="1356" spans="1:7" x14ac:dyDescent="0.25">
      <c r="A1356">
        <v>2020</v>
      </c>
      <c r="B1356">
        <v>20</v>
      </c>
      <c r="C1356">
        <v>6</v>
      </c>
      <c r="D1356">
        <v>10</v>
      </c>
      <c r="E1356">
        <v>10</v>
      </c>
      <c r="F1356">
        <v>0</v>
      </c>
      <c r="G1356">
        <v>20</v>
      </c>
    </row>
    <row r="1357" spans="1:7" x14ac:dyDescent="0.25">
      <c r="A1357">
        <v>2030</v>
      </c>
      <c r="B1357">
        <v>30</v>
      </c>
      <c r="C1357">
        <v>7</v>
      </c>
      <c r="D1357">
        <v>6</v>
      </c>
      <c r="E1357">
        <v>9</v>
      </c>
      <c r="F1357">
        <v>0</v>
      </c>
      <c r="G1357">
        <v>15</v>
      </c>
    </row>
    <row r="1358" spans="1:7" x14ac:dyDescent="0.25">
      <c r="A1358">
        <v>3053</v>
      </c>
      <c r="B1358">
        <v>53</v>
      </c>
      <c r="C1358">
        <v>8</v>
      </c>
      <c r="D1358">
        <v>4</v>
      </c>
      <c r="E1358">
        <v>6</v>
      </c>
      <c r="F1358">
        <v>0</v>
      </c>
      <c r="G1358">
        <v>10</v>
      </c>
    </row>
    <row r="1359" spans="1:7" x14ac:dyDescent="0.25">
      <c r="A1359">
        <v>2023</v>
      </c>
      <c r="B1359">
        <v>23</v>
      </c>
      <c r="C1359">
        <v>8</v>
      </c>
      <c r="D1359">
        <v>9</v>
      </c>
      <c r="E1359">
        <v>5</v>
      </c>
      <c r="F1359">
        <v>2</v>
      </c>
      <c r="G1359">
        <v>16</v>
      </c>
    </row>
    <row r="1360" spans="1:7" x14ac:dyDescent="0.25">
      <c r="A1360">
        <v>2020</v>
      </c>
      <c r="B1360">
        <v>20</v>
      </c>
      <c r="C1360">
        <v>4</v>
      </c>
      <c r="D1360">
        <v>12</v>
      </c>
      <c r="E1360">
        <v>8</v>
      </c>
      <c r="F1360">
        <v>0</v>
      </c>
      <c r="G1360">
        <v>20</v>
      </c>
    </row>
    <row r="1361" spans="1:7" x14ac:dyDescent="0.25">
      <c r="A1361">
        <v>2050</v>
      </c>
      <c r="B1361">
        <v>50</v>
      </c>
      <c r="C1361">
        <v>9</v>
      </c>
      <c r="D1361">
        <v>0</v>
      </c>
      <c r="E1361">
        <v>10</v>
      </c>
      <c r="F1361">
        <v>0</v>
      </c>
      <c r="G1361">
        <v>10</v>
      </c>
    </row>
    <row r="1362" spans="1:7" x14ac:dyDescent="0.25">
      <c r="A1362">
        <v>5021</v>
      </c>
      <c r="B1362">
        <v>21</v>
      </c>
      <c r="C1362">
        <v>7</v>
      </c>
      <c r="D1362">
        <v>8</v>
      </c>
      <c r="E1362">
        <v>9</v>
      </c>
      <c r="F1362">
        <v>1</v>
      </c>
      <c r="G1362">
        <v>18</v>
      </c>
    </row>
    <row r="1363" spans="1:7" x14ac:dyDescent="0.25">
      <c r="A1363">
        <v>2020</v>
      </c>
      <c r="B1363">
        <v>20</v>
      </c>
      <c r="C1363">
        <v>5</v>
      </c>
      <c r="D1363">
        <v>15</v>
      </c>
      <c r="E1363">
        <v>15</v>
      </c>
      <c r="F1363">
        <v>0</v>
      </c>
      <c r="G1363">
        <v>30</v>
      </c>
    </row>
    <row r="1364" spans="1:7" x14ac:dyDescent="0.25">
      <c r="A1364">
        <v>2030</v>
      </c>
      <c r="B1364">
        <v>30</v>
      </c>
      <c r="C1364">
        <v>8</v>
      </c>
      <c r="D1364">
        <v>15</v>
      </c>
      <c r="E1364">
        <v>4</v>
      </c>
      <c r="F1364">
        <v>0</v>
      </c>
      <c r="G1364">
        <v>19</v>
      </c>
    </row>
    <row r="1365" spans="1:7" x14ac:dyDescent="0.25">
      <c r="A1365">
        <v>1020</v>
      </c>
      <c r="B1365">
        <v>20</v>
      </c>
      <c r="C1365">
        <v>7</v>
      </c>
      <c r="D1365">
        <v>17</v>
      </c>
      <c r="E1365">
        <v>5</v>
      </c>
      <c r="F1365">
        <v>0</v>
      </c>
      <c r="G1365">
        <v>22</v>
      </c>
    </row>
    <row r="1366" spans="1:7" x14ac:dyDescent="0.25">
      <c r="A1366">
        <v>4021</v>
      </c>
      <c r="B1366">
        <v>21</v>
      </c>
      <c r="C1366">
        <v>6</v>
      </c>
      <c r="D1366">
        <v>8</v>
      </c>
      <c r="E1366">
        <v>7</v>
      </c>
      <c r="F1366">
        <v>0</v>
      </c>
      <c r="G1366">
        <v>15</v>
      </c>
    </row>
    <row r="1367" spans="1:7" x14ac:dyDescent="0.25">
      <c r="A1367">
        <v>1121</v>
      </c>
      <c r="B1367">
        <v>121</v>
      </c>
      <c r="C1367">
        <v>4</v>
      </c>
      <c r="D1367">
        <v>0</v>
      </c>
      <c r="E1367">
        <v>16</v>
      </c>
      <c r="F1367">
        <v>0</v>
      </c>
      <c r="G1367">
        <v>16</v>
      </c>
    </row>
    <row r="1368" spans="1:7" x14ac:dyDescent="0.25">
      <c r="A1368">
        <v>1092</v>
      </c>
      <c r="B1368">
        <v>92</v>
      </c>
      <c r="C1368">
        <v>8</v>
      </c>
      <c r="D1368">
        <v>2</v>
      </c>
      <c r="E1368">
        <v>13</v>
      </c>
      <c r="F1368">
        <v>0</v>
      </c>
      <c r="G1368">
        <v>15</v>
      </c>
    </row>
    <row r="1369" spans="1:7" x14ac:dyDescent="0.25">
      <c r="A1369">
        <v>2025</v>
      </c>
      <c r="B1369">
        <v>25</v>
      </c>
      <c r="C1369">
        <v>6</v>
      </c>
      <c r="D1369">
        <v>14</v>
      </c>
      <c r="E1369">
        <v>4</v>
      </c>
      <c r="F1369">
        <v>2</v>
      </c>
      <c r="G1369">
        <v>20</v>
      </c>
    </row>
    <row r="1370" spans="1:7" x14ac:dyDescent="0.25">
      <c r="A1370">
        <v>1031</v>
      </c>
      <c r="B1370">
        <v>31</v>
      </c>
      <c r="C1370">
        <v>7</v>
      </c>
      <c r="D1370">
        <v>4</v>
      </c>
      <c r="E1370">
        <v>12</v>
      </c>
      <c r="F1370">
        <v>0</v>
      </c>
      <c r="G1370">
        <v>16</v>
      </c>
    </row>
    <row r="1371" spans="1:7" x14ac:dyDescent="0.25">
      <c r="A1371">
        <v>1148</v>
      </c>
      <c r="B1371">
        <v>148</v>
      </c>
      <c r="C1371">
        <v>6</v>
      </c>
      <c r="D1371">
        <v>7</v>
      </c>
      <c r="E1371">
        <v>23</v>
      </c>
      <c r="F1371">
        <v>0</v>
      </c>
      <c r="G1371">
        <v>30</v>
      </c>
    </row>
    <row r="1372" spans="1:7" x14ac:dyDescent="0.25">
      <c r="A1372">
        <v>1023</v>
      </c>
      <c r="B1372">
        <v>23</v>
      </c>
      <c r="C1372">
        <v>6</v>
      </c>
      <c r="D1372">
        <v>16</v>
      </c>
      <c r="E1372">
        <v>4</v>
      </c>
      <c r="F1372">
        <v>0</v>
      </c>
      <c r="G1372">
        <v>20</v>
      </c>
    </row>
    <row r="1373" spans="1:7" x14ac:dyDescent="0.25">
      <c r="A1373">
        <v>3092</v>
      </c>
      <c r="B1373">
        <v>92</v>
      </c>
      <c r="C1373">
        <v>8</v>
      </c>
      <c r="D1373">
        <v>8</v>
      </c>
      <c r="E1373">
        <v>11</v>
      </c>
      <c r="F1373">
        <v>0</v>
      </c>
      <c r="G1373">
        <v>19</v>
      </c>
    </row>
    <row r="1374" spans="1:7" x14ac:dyDescent="0.25">
      <c r="A1374">
        <v>1022</v>
      </c>
      <c r="B1374">
        <v>22</v>
      </c>
      <c r="C1374">
        <v>8</v>
      </c>
      <c r="D1374">
        <v>0</v>
      </c>
      <c r="E1374">
        <v>20</v>
      </c>
      <c r="F1374">
        <v>0</v>
      </c>
      <c r="G1374">
        <v>20</v>
      </c>
    </row>
    <row r="1375" spans="1:7" x14ac:dyDescent="0.25">
      <c r="A1375">
        <v>2149</v>
      </c>
      <c r="B1375">
        <v>149</v>
      </c>
      <c r="C1375">
        <v>6</v>
      </c>
      <c r="D1375">
        <v>9</v>
      </c>
      <c r="E1375">
        <v>8</v>
      </c>
      <c r="F1375">
        <v>0</v>
      </c>
      <c r="G1375">
        <v>17</v>
      </c>
    </row>
    <row r="1376" spans="1:7" x14ac:dyDescent="0.25">
      <c r="A1376">
        <v>1031</v>
      </c>
      <c r="B1376">
        <v>31</v>
      </c>
      <c r="C1376">
        <v>8</v>
      </c>
      <c r="D1376">
        <v>10</v>
      </c>
      <c r="E1376">
        <v>2</v>
      </c>
      <c r="F1376">
        <v>0</v>
      </c>
      <c r="G1376">
        <v>12</v>
      </c>
    </row>
    <row r="1377" spans="1:7" x14ac:dyDescent="0.25">
      <c r="A1377">
        <v>1022</v>
      </c>
      <c r="B1377">
        <v>22</v>
      </c>
      <c r="C1377">
        <v>9</v>
      </c>
      <c r="D1377">
        <v>0</v>
      </c>
      <c r="E1377">
        <v>20</v>
      </c>
      <c r="F1377">
        <v>0</v>
      </c>
      <c r="G1377">
        <v>20</v>
      </c>
    </row>
    <row r="1378" spans="1:7" x14ac:dyDescent="0.25">
      <c r="A1378">
        <v>5118</v>
      </c>
      <c r="B1378">
        <v>118</v>
      </c>
      <c r="C1378">
        <v>5</v>
      </c>
      <c r="D1378">
        <v>15</v>
      </c>
      <c r="E1378">
        <v>5</v>
      </c>
      <c r="F1378">
        <v>0</v>
      </c>
      <c r="G1378">
        <v>20</v>
      </c>
    </row>
    <row r="1379" spans="1:7" x14ac:dyDescent="0.25">
      <c r="A1379">
        <v>2031</v>
      </c>
      <c r="B1379">
        <v>31</v>
      </c>
      <c r="C1379">
        <v>6</v>
      </c>
      <c r="D1379">
        <v>7</v>
      </c>
      <c r="E1379">
        <v>13</v>
      </c>
      <c r="F1379">
        <v>0</v>
      </c>
      <c r="G1379">
        <v>20</v>
      </c>
    </row>
    <row r="1380" spans="1:7" x14ac:dyDescent="0.25">
      <c r="A1380">
        <v>1093</v>
      </c>
      <c r="B1380">
        <v>93</v>
      </c>
      <c r="C1380">
        <v>8</v>
      </c>
      <c r="D1380">
        <v>15</v>
      </c>
      <c r="E1380">
        <v>8</v>
      </c>
      <c r="F1380">
        <v>0</v>
      </c>
      <c r="G1380">
        <v>23</v>
      </c>
    </row>
    <row r="1381" spans="1:7" x14ac:dyDescent="0.25">
      <c r="A1381">
        <v>2093</v>
      </c>
      <c r="B1381">
        <v>93</v>
      </c>
      <c r="C1381">
        <v>8</v>
      </c>
      <c r="D1381">
        <v>9</v>
      </c>
      <c r="E1381">
        <v>3</v>
      </c>
      <c r="F1381">
        <v>0</v>
      </c>
      <c r="G1381">
        <v>12</v>
      </c>
    </row>
    <row r="1382" spans="1:7" x14ac:dyDescent="0.25">
      <c r="A1382">
        <v>2021</v>
      </c>
      <c r="B1382">
        <v>21</v>
      </c>
      <c r="C1382">
        <v>8</v>
      </c>
      <c r="D1382">
        <v>8</v>
      </c>
      <c r="E1382">
        <v>0</v>
      </c>
      <c r="F1382">
        <v>0</v>
      </c>
      <c r="G1382">
        <v>8</v>
      </c>
    </row>
    <row r="1383" spans="1:7" x14ac:dyDescent="0.25">
      <c r="A1383">
        <v>4118</v>
      </c>
      <c r="B1383">
        <v>118</v>
      </c>
      <c r="C1383">
        <v>5</v>
      </c>
      <c r="D1383">
        <v>6</v>
      </c>
      <c r="E1383">
        <v>8</v>
      </c>
      <c r="F1383">
        <v>1</v>
      </c>
      <c r="G1383">
        <v>15</v>
      </c>
    </row>
    <row r="1384" spans="1:7" x14ac:dyDescent="0.25">
      <c r="A1384">
        <v>1146</v>
      </c>
      <c r="B1384">
        <v>146</v>
      </c>
      <c r="C1384">
        <v>6</v>
      </c>
      <c r="D1384">
        <v>14</v>
      </c>
      <c r="E1384">
        <v>10</v>
      </c>
      <c r="F1384">
        <v>0</v>
      </c>
      <c r="G1384">
        <v>24</v>
      </c>
    </row>
    <row r="1385" spans="1:7" x14ac:dyDescent="0.25">
      <c r="A1385">
        <v>2031</v>
      </c>
      <c r="B1385">
        <v>31</v>
      </c>
      <c r="C1385">
        <v>8</v>
      </c>
      <c r="D1385">
        <v>8</v>
      </c>
      <c r="E1385">
        <v>12</v>
      </c>
      <c r="F1385">
        <v>0</v>
      </c>
      <c r="G1385">
        <v>20</v>
      </c>
    </row>
    <row r="1386" spans="1:7" x14ac:dyDescent="0.25">
      <c r="A1386">
        <v>1021</v>
      </c>
      <c r="B1386">
        <v>21</v>
      </c>
      <c r="C1386">
        <v>6</v>
      </c>
      <c r="D1386">
        <v>10</v>
      </c>
      <c r="E1386">
        <v>10</v>
      </c>
      <c r="F1386">
        <v>0</v>
      </c>
      <c r="G1386">
        <v>20</v>
      </c>
    </row>
    <row r="1387" spans="1:7" x14ac:dyDescent="0.25">
      <c r="A1387">
        <v>2031</v>
      </c>
      <c r="B1387">
        <v>31</v>
      </c>
      <c r="C1387">
        <v>9</v>
      </c>
      <c r="D1387">
        <v>15</v>
      </c>
      <c r="E1387">
        <v>5</v>
      </c>
      <c r="F1387">
        <v>0</v>
      </c>
      <c r="G1387">
        <v>20</v>
      </c>
    </row>
    <row r="1388" spans="1:7" x14ac:dyDescent="0.25">
      <c r="A1388">
        <v>2146</v>
      </c>
      <c r="B1388">
        <v>146</v>
      </c>
      <c r="C1388">
        <v>6</v>
      </c>
      <c r="D1388">
        <v>11</v>
      </c>
      <c r="E1388">
        <v>10</v>
      </c>
      <c r="F1388">
        <v>0</v>
      </c>
      <c r="G1388">
        <v>21</v>
      </c>
    </row>
    <row r="1389" spans="1:7" x14ac:dyDescent="0.25">
      <c r="A1389">
        <v>1074</v>
      </c>
      <c r="B1389">
        <v>74</v>
      </c>
      <c r="C1389">
        <v>8</v>
      </c>
      <c r="D1389">
        <v>2</v>
      </c>
      <c r="E1389">
        <v>3</v>
      </c>
      <c r="F1389">
        <v>0</v>
      </c>
      <c r="G1389">
        <v>5</v>
      </c>
    </row>
    <row r="1390" spans="1:7" x14ac:dyDescent="0.25">
      <c r="A1390">
        <v>1021</v>
      </c>
      <c r="B1390">
        <v>21</v>
      </c>
      <c r="C1390">
        <v>7</v>
      </c>
      <c r="D1390">
        <v>20</v>
      </c>
      <c r="E1390">
        <v>0</v>
      </c>
      <c r="F1390">
        <v>0</v>
      </c>
      <c r="G1390">
        <v>20</v>
      </c>
    </row>
    <row r="1391" spans="1:7" x14ac:dyDescent="0.25">
      <c r="A1391">
        <v>2031</v>
      </c>
      <c r="B1391">
        <v>31</v>
      </c>
      <c r="C1391">
        <v>7</v>
      </c>
      <c r="D1391">
        <v>18</v>
      </c>
      <c r="E1391">
        <v>12</v>
      </c>
      <c r="F1391">
        <v>0</v>
      </c>
      <c r="G1391">
        <v>30</v>
      </c>
    </row>
    <row r="1392" spans="1:7" x14ac:dyDescent="0.25">
      <c r="A1392">
        <v>2020</v>
      </c>
      <c r="B1392">
        <v>20</v>
      </c>
      <c r="C1392">
        <v>7</v>
      </c>
      <c r="D1392">
        <v>12</v>
      </c>
      <c r="E1392">
        <v>4</v>
      </c>
      <c r="F1392">
        <v>0</v>
      </c>
      <c r="G1392">
        <v>16</v>
      </c>
    </row>
    <row r="1393" spans="1:7" x14ac:dyDescent="0.25">
      <c r="A1393">
        <v>1073</v>
      </c>
      <c r="B1393">
        <v>73</v>
      </c>
      <c r="C1393">
        <v>8</v>
      </c>
      <c r="D1393">
        <v>13</v>
      </c>
      <c r="E1393">
        <v>7</v>
      </c>
      <c r="F1393">
        <v>0</v>
      </c>
      <c r="G1393">
        <v>20</v>
      </c>
    </row>
    <row r="1394" spans="1:7" x14ac:dyDescent="0.25">
      <c r="A1394">
        <v>1020</v>
      </c>
      <c r="B1394">
        <v>20</v>
      </c>
      <c r="C1394">
        <v>8</v>
      </c>
      <c r="D1394">
        <v>9</v>
      </c>
      <c r="E1394">
        <v>3</v>
      </c>
      <c r="F1394">
        <v>0</v>
      </c>
      <c r="G1394">
        <v>12</v>
      </c>
    </row>
    <row r="1395" spans="1:7" x14ac:dyDescent="0.25">
      <c r="A1395">
        <v>1147</v>
      </c>
      <c r="B1395">
        <v>147</v>
      </c>
      <c r="C1395">
        <v>6</v>
      </c>
      <c r="D1395">
        <v>5</v>
      </c>
      <c r="E1395">
        <v>5</v>
      </c>
      <c r="F1395">
        <v>0</v>
      </c>
      <c r="G1395">
        <v>10</v>
      </c>
    </row>
    <row r="1396" spans="1:7" x14ac:dyDescent="0.25">
      <c r="A1396">
        <v>1023</v>
      </c>
      <c r="B1396">
        <v>23</v>
      </c>
      <c r="C1396">
        <v>9</v>
      </c>
      <c r="D1396">
        <v>18</v>
      </c>
      <c r="E1396">
        <v>2</v>
      </c>
      <c r="F1396">
        <v>0</v>
      </c>
      <c r="G1396">
        <v>20</v>
      </c>
    </row>
    <row r="1397" spans="1:7" x14ac:dyDescent="0.25">
      <c r="A1397">
        <v>1060</v>
      </c>
      <c r="B1397">
        <v>60</v>
      </c>
      <c r="C1397">
        <v>8</v>
      </c>
      <c r="D1397">
        <v>9</v>
      </c>
      <c r="E1397">
        <v>10</v>
      </c>
      <c r="F1397">
        <v>1</v>
      </c>
      <c r="G1397">
        <v>20</v>
      </c>
    </row>
    <row r="1398" spans="1:7" x14ac:dyDescent="0.25">
      <c r="A1398">
        <v>1071</v>
      </c>
      <c r="B1398">
        <v>71</v>
      </c>
      <c r="C1398">
        <v>8</v>
      </c>
      <c r="D1398">
        <v>9</v>
      </c>
      <c r="E1398">
        <v>9</v>
      </c>
      <c r="F1398">
        <v>3</v>
      </c>
      <c r="G1398">
        <v>21</v>
      </c>
    </row>
    <row r="1399" spans="1:7" x14ac:dyDescent="0.25">
      <c r="A1399">
        <v>2073</v>
      </c>
      <c r="B1399">
        <v>73</v>
      </c>
      <c r="C1399">
        <v>8</v>
      </c>
      <c r="D1399">
        <v>11</v>
      </c>
      <c r="E1399">
        <v>9</v>
      </c>
      <c r="F1399">
        <v>0</v>
      </c>
      <c r="G1399">
        <v>20</v>
      </c>
    </row>
    <row r="1400" spans="1:7" x14ac:dyDescent="0.25">
      <c r="A1400">
        <v>1023</v>
      </c>
      <c r="B1400">
        <v>23</v>
      </c>
      <c r="C1400">
        <v>10</v>
      </c>
      <c r="D1400">
        <v>11</v>
      </c>
      <c r="E1400">
        <v>9</v>
      </c>
      <c r="F1400">
        <v>0</v>
      </c>
      <c r="G1400">
        <v>20</v>
      </c>
    </row>
    <row r="1401" spans="1:7" x14ac:dyDescent="0.25">
      <c r="A1401">
        <v>1059</v>
      </c>
      <c r="B1401">
        <v>59</v>
      </c>
      <c r="C1401">
        <v>8</v>
      </c>
      <c r="D1401">
        <v>4</v>
      </c>
      <c r="E1401">
        <v>12</v>
      </c>
      <c r="F1401">
        <v>0</v>
      </c>
      <c r="G1401">
        <v>16</v>
      </c>
    </row>
    <row r="1402" spans="1:7" x14ac:dyDescent="0.25">
      <c r="A1402">
        <v>2072</v>
      </c>
      <c r="B1402">
        <v>72</v>
      </c>
      <c r="C1402">
        <v>8</v>
      </c>
      <c r="D1402">
        <v>12</v>
      </c>
      <c r="E1402">
        <v>6</v>
      </c>
      <c r="F1402">
        <v>0</v>
      </c>
      <c r="G1402">
        <v>18</v>
      </c>
    </row>
    <row r="1403" spans="1:7" x14ac:dyDescent="0.25">
      <c r="A1403">
        <v>1023</v>
      </c>
      <c r="B1403">
        <v>23</v>
      </c>
      <c r="C1403">
        <v>11</v>
      </c>
      <c r="D1403">
        <v>20</v>
      </c>
      <c r="E1403">
        <v>20</v>
      </c>
      <c r="F1403">
        <v>0</v>
      </c>
      <c r="G1403">
        <v>40</v>
      </c>
    </row>
    <row r="1404" spans="1:7" x14ac:dyDescent="0.25">
      <c r="A1404">
        <v>3058</v>
      </c>
      <c r="B1404">
        <v>58</v>
      </c>
      <c r="C1404">
        <v>8</v>
      </c>
      <c r="D1404">
        <v>16</v>
      </c>
      <c r="E1404">
        <v>2</v>
      </c>
      <c r="F1404">
        <v>0</v>
      </c>
      <c r="G1404">
        <v>18</v>
      </c>
    </row>
    <row r="1405" spans="1:7" x14ac:dyDescent="0.25">
      <c r="A1405">
        <v>2024</v>
      </c>
      <c r="B1405">
        <v>24</v>
      </c>
      <c r="C1405">
        <v>7</v>
      </c>
      <c r="D1405">
        <v>8</v>
      </c>
      <c r="E1405">
        <v>7</v>
      </c>
      <c r="F1405">
        <v>0</v>
      </c>
      <c r="G1405">
        <v>15</v>
      </c>
    </row>
    <row r="1406" spans="1:7" x14ac:dyDescent="0.25">
      <c r="A1406">
        <v>2147</v>
      </c>
      <c r="B1406">
        <v>147</v>
      </c>
      <c r="C1406">
        <v>6</v>
      </c>
      <c r="D1406">
        <v>6</v>
      </c>
      <c r="E1406">
        <v>2</v>
      </c>
      <c r="F1406">
        <v>0</v>
      </c>
      <c r="G1406">
        <v>8</v>
      </c>
    </row>
    <row r="1407" spans="1:7" x14ac:dyDescent="0.25">
      <c r="A1407">
        <v>2059</v>
      </c>
      <c r="B1407">
        <v>59</v>
      </c>
      <c r="C1407">
        <v>8</v>
      </c>
      <c r="D1407">
        <v>6</v>
      </c>
      <c r="E1407">
        <v>19</v>
      </c>
      <c r="F1407">
        <v>0</v>
      </c>
      <c r="G1407">
        <v>25</v>
      </c>
    </row>
    <row r="1408" spans="1:7" x14ac:dyDescent="0.25">
      <c r="A1408">
        <v>2147</v>
      </c>
      <c r="B1408">
        <v>147</v>
      </c>
      <c r="C1408">
        <v>5</v>
      </c>
      <c r="D1408">
        <v>4</v>
      </c>
      <c r="E1408">
        <v>4</v>
      </c>
      <c r="F1408">
        <v>0</v>
      </c>
      <c r="G1408">
        <v>8</v>
      </c>
    </row>
    <row r="1409" spans="1:7" x14ac:dyDescent="0.25">
      <c r="A1409">
        <v>1024</v>
      </c>
      <c r="B1409">
        <v>24</v>
      </c>
      <c r="C1409">
        <v>7</v>
      </c>
      <c r="D1409">
        <v>13</v>
      </c>
      <c r="E1409">
        <v>7</v>
      </c>
      <c r="F1409">
        <v>0</v>
      </c>
      <c r="G1409">
        <v>20</v>
      </c>
    </row>
    <row r="1410" spans="1:7" x14ac:dyDescent="0.25">
      <c r="A1410">
        <v>1072</v>
      </c>
      <c r="B1410">
        <v>72</v>
      </c>
      <c r="C1410">
        <v>8</v>
      </c>
      <c r="D1410">
        <v>13</v>
      </c>
      <c r="E1410">
        <v>7</v>
      </c>
      <c r="F1410">
        <v>0</v>
      </c>
      <c r="G1410">
        <v>20</v>
      </c>
    </row>
    <row r="1411" spans="1:7" x14ac:dyDescent="0.25">
      <c r="A1411">
        <v>4033</v>
      </c>
      <c r="B1411">
        <v>33</v>
      </c>
      <c r="C1411">
        <v>8</v>
      </c>
      <c r="D1411">
        <v>6</v>
      </c>
      <c r="E1411">
        <v>11</v>
      </c>
      <c r="F1411">
        <v>0</v>
      </c>
      <c r="G1411">
        <v>17</v>
      </c>
    </row>
    <row r="1412" spans="1:7" x14ac:dyDescent="0.25">
      <c r="A1412">
        <v>2076</v>
      </c>
      <c r="B1412">
        <v>76</v>
      </c>
      <c r="C1412">
        <v>6</v>
      </c>
      <c r="D1412">
        <v>8</v>
      </c>
      <c r="E1412">
        <v>12</v>
      </c>
      <c r="F1412">
        <v>0</v>
      </c>
      <c r="G1412">
        <v>20</v>
      </c>
    </row>
    <row r="1413" spans="1:7" x14ac:dyDescent="0.25">
      <c r="A1413">
        <v>1026</v>
      </c>
      <c r="B1413">
        <v>26</v>
      </c>
      <c r="C1413">
        <v>9</v>
      </c>
      <c r="D1413">
        <v>10</v>
      </c>
      <c r="E1413">
        <v>0</v>
      </c>
      <c r="F1413">
        <v>0</v>
      </c>
      <c r="G1413">
        <v>10</v>
      </c>
    </row>
    <row r="1414" spans="1:7" x14ac:dyDescent="0.25">
      <c r="A1414">
        <v>2071</v>
      </c>
      <c r="B1414">
        <v>71</v>
      </c>
      <c r="C1414">
        <v>8</v>
      </c>
      <c r="D1414">
        <v>5</v>
      </c>
      <c r="E1414">
        <v>11</v>
      </c>
      <c r="F1414">
        <v>0</v>
      </c>
      <c r="G1414">
        <v>16</v>
      </c>
    </row>
    <row r="1415" spans="1:7" x14ac:dyDescent="0.25">
      <c r="A1415">
        <v>2026</v>
      </c>
      <c r="B1415">
        <v>26</v>
      </c>
      <c r="C1415">
        <v>9</v>
      </c>
      <c r="D1415">
        <v>9</v>
      </c>
      <c r="E1415">
        <v>8</v>
      </c>
      <c r="F1415">
        <v>0</v>
      </c>
      <c r="G1415">
        <v>17</v>
      </c>
    </row>
    <row r="1416" spans="1:7" x14ac:dyDescent="0.25">
      <c r="A1416">
        <v>2078</v>
      </c>
      <c r="B1416">
        <v>78</v>
      </c>
      <c r="C1416">
        <v>6</v>
      </c>
      <c r="D1416">
        <v>5</v>
      </c>
      <c r="E1416">
        <v>10</v>
      </c>
      <c r="F1416">
        <v>1</v>
      </c>
      <c r="G1416">
        <v>16</v>
      </c>
    </row>
    <row r="1417" spans="1:7" x14ac:dyDescent="0.25">
      <c r="A1417">
        <v>2070</v>
      </c>
      <c r="B1417">
        <v>70</v>
      </c>
      <c r="C1417">
        <v>8</v>
      </c>
      <c r="D1417">
        <v>6</v>
      </c>
      <c r="E1417">
        <v>4</v>
      </c>
      <c r="F1417">
        <v>0</v>
      </c>
      <c r="G1417">
        <v>10</v>
      </c>
    </row>
    <row r="1418" spans="1:7" x14ac:dyDescent="0.25">
      <c r="A1418">
        <v>3026</v>
      </c>
      <c r="B1418">
        <v>26</v>
      </c>
      <c r="C1418">
        <v>9</v>
      </c>
      <c r="D1418">
        <v>15</v>
      </c>
      <c r="E1418">
        <v>5</v>
      </c>
      <c r="F1418">
        <v>0</v>
      </c>
      <c r="G1418">
        <v>20</v>
      </c>
    </row>
    <row r="1419" spans="1:7" x14ac:dyDescent="0.25">
      <c r="A1419">
        <v>2055</v>
      </c>
      <c r="B1419">
        <v>55</v>
      </c>
      <c r="C1419">
        <v>8</v>
      </c>
      <c r="D1419">
        <v>8</v>
      </c>
      <c r="E1419">
        <v>8</v>
      </c>
      <c r="F1419">
        <v>0</v>
      </c>
      <c r="G1419">
        <v>16</v>
      </c>
    </row>
    <row r="1420" spans="1:7" x14ac:dyDescent="0.25">
      <c r="A1420">
        <v>2069</v>
      </c>
      <c r="B1420">
        <v>69</v>
      </c>
      <c r="C1420">
        <v>8</v>
      </c>
      <c r="D1420">
        <v>10</v>
      </c>
      <c r="E1420">
        <v>7</v>
      </c>
      <c r="F1420">
        <v>0</v>
      </c>
      <c r="G1420">
        <v>17</v>
      </c>
    </row>
    <row r="1421" spans="1:7" x14ac:dyDescent="0.25">
      <c r="A1421">
        <v>2027</v>
      </c>
      <c r="B1421">
        <v>27</v>
      </c>
      <c r="C1421">
        <v>9</v>
      </c>
      <c r="D1421">
        <v>15</v>
      </c>
      <c r="E1421">
        <v>1</v>
      </c>
      <c r="F1421">
        <v>0</v>
      </c>
      <c r="G1421">
        <v>16</v>
      </c>
    </row>
    <row r="1422" spans="1:7" x14ac:dyDescent="0.25">
      <c r="A1422">
        <v>1069</v>
      </c>
      <c r="B1422">
        <v>69</v>
      </c>
      <c r="C1422">
        <v>8</v>
      </c>
      <c r="D1422">
        <v>10</v>
      </c>
      <c r="E1422">
        <v>4</v>
      </c>
      <c r="F1422">
        <v>0</v>
      </c>
      <c r="G1422">
        <v>14</v>
      </c>
    </row>
    <row r="1423" spans="1:7" x14ac:dyDescent="0.25">
      <c r="A1423">
        <v>3061</v>
      </c>
      <c r="B1423">
        <v>61</v>
      </c>
      <c r="C1423">
        <v>8</v>
      </c>
      <c r="D1423">
        <v>0</v>
      </c>
      <c r="E1423">
        <v>20</v>
      </c>
      <c r="F1423">
        <v>0</v>
      </c>
      <c r="G1423">
        <v>20</v>
      </c>
    </row>
    <row r="1424" spans="1:7" x14ac:dyDescent="0.25">
      <c r="A1424">
        <v>1032</v>
      </c>
      <c r="B1424">
        <v>32</v>
      </c>
      <c r="C1424">
        <v>9</v>
      </c>
      <c r="D1424">
        <v>11</v>
      </c>
      <c r="E1424">
        <v>9</v>
      </c>
      <c r="F1424">
        <v>0</v>
      </c>
      <c r="G1424">
        <v>20</v>
      </c>
    </row>
    <row r="1425" spans="1:7" x14ac:dyDescent="0.25">
      <c r="A1425">
        <v>1079</v>
      </c>
      <c r="B1425">
        <v>79</v>
      </c>
      <c r="C1425">
        <v>6</v>
      </c>
      <c r="D1425">
        <v>17</v>
      </c>
      <c r="E1425">
        <v>1</v>
      </c>
      <c r="F1425">
        <v>0</v>
      </c>
      <c r="G1425">
        <v>18</v>
      </c>
    </row>
    <row r="1426" spans="1:7" x14ac:dyDescent="0.25">
      <c r="A1426">
        <v>3027</v>
      </c>
      <c r="B1426">
        <v>27</v>
      </c>
      <c r="C1426">
        <v>9</v>
      </c>
      <c r="D1426">
        <v>17</v>
      </c>
      <c r="E1426">
        <v>3</v>
      </c>
      <c r="F1426">
        <v>0</v>
      </c>
      <c r="G1426">
        <v>20</v>
      </c>
    </row>
    <row r="1427" spans="1:7" x14ac:dyDescent="0.25">
      <c r="A1427">
        <v>2068</v>
      </c>
      <c r="B1427">
        <v>68</v>
      </c>
      <c r="C1427">
        <v>8</v>
      </c>
      <c r="D1427">
        <v>7</v>
      </c>
      <c r="E1427">
        <v>9</v>
      </c>
      <c r="F1427">
        <v>0</v>
      </c>
      <c r="G1427">
        <v>16</v>
      </c>
    </row>
    <row r="1428" spans="1:7" x14ac:dyDescent="0.25">
      <c r="A1428">
        <v>2033</v>
      </c>
      <c r="B1428">
        <v>33</v>
      </c>
      <c r="C1428">
        <v>9</v>
      </c>
      <c r="D1428">
        <v>11</v>
      </c>
      <c r="E1428">
        <v>8</v>
      </c>
      <c r="F1428">
        <v>0</v>
      </c>
      <c r="G1428">
        <v>19</v>
      </c>
    </row>
    <row r="1429" spans="1:7" x14ac:dyDescent="0.25">
      <c r="A1429">
        <v>2079</v>
      </c>
      <c r="B1429">
        <v>79</v>
      </c>
      <c r="C1429">
        <v>6</v>
      </c>
      <c r="D1429">
        <v>5</v>
      </c>
      <c r="E1429">
        <v>7</v>
      </c>
      <c r="F1429">
        <v>3</v>
      </c>
      <c r="G1429">
        <v>15</v>
      </c>
    </row>
    <row r="1430" spans="1:7" x14ac:dyDescent="0.25">
      <c r="A1430">
        <v>3067</v>
      </c>
      <c r="B1430">
        <v>67</v>
      </c>
      <c r="C1430">
        <v>8</v>
      </c>
      <c r="D1430">
        <v>10</v>
      </c>
      <c r="E1430">
        <v>8</v>
      </c>
      <c r="F1430">
        <v>0</v>
      </c>
      <c r="G1430">
        <v>18</v>
      </c>
    </row>
    <row r="1431" spans="1:7" x14ac:dyDescent="0.25">
      <c r="A1431">
        <v>4033</v>
      </c>
      <c r="B1431">
        <v>33</v>
      </c>
      <c r="C1431">
        <v>9</v>
      </c>
      <c r="D1431">
        <v>3</v>
      </c>
      <c r="E1431">
        <v>0</v>
      </c>
      <c r="F1431">
        <v>6</v>
      </c>
      <c r="G1431">
        <v>9</v>
      </c>
    </row>
    <row r="1432" spans="1:7" x14ac:dyDescent="0.25">
      <c r="A1432">
        <v>2059</v>
      </c>
      <c r="B1432">
        <v>59</v>
      </c>
      <c r="C1432">
        <v>7</v>
      </c>
      <c r="D1432">
        <v>10</v>
      </c>
      <c r="E1432">
        <v>15</v>
      </c>
      <c r="F1432">
        <v>0</v>
      </c>
      <c r="G1432">
        <v>25</v>
      </c>
    </row>
    <row r="1433" spans="1:7" x14ac:dyDescent="0.25">
      <c r="A1433">
        <v>3079</v>
      </c>
      <c r="B1433">
        <v>79</v>
      </c>
      <c r="C1433">
        <v>6</v>
      </c>
      <c r="D1433">
        <v>9</v>
      </c>
      <c r="E1433">
        <v>11</v>
      </c>
      <c r="F1433">
        <v>0</v>
      </c>
      <c r="G1433">
        <v>20</v>
      </c>
    </row>
    <row r="1434" spans="1:7" x14ac:dyDescent="0.25">
      <c r="A1434">
        <v>1082</v>
      </c>
      <c r="B1434">
        <v>82</v>
      </c>
      <c r="C1434">
        <v>8</v>
      </c>
      <c r="D1434">
        <v>5</v>
      </c>
      <c r="E1434">
        <v>12</v>
      </c>
      <c r="F1434">
        <v>0</v>
      </c>
      <c r="G1434">
        <v>17</v>
      </c>
    </row>
    <row r="1435" spans="1:7" x14ac:dyDescent="0.25">
      <c r="A1435">
        <v>3058</v>
      </c>
      <c r="B1435">
        <v>58</v>
      </c>
      <c r="C1435">
        <v>7</v>
      </c>
      <c r="D1435">
        <v>18</v>
      </c>
      <c r="E1435">
        <v>3</v>
      </c>
      <c r="F1435">
        <v>0</v>
      </c>
      <c r="G1435">
        <v>21</v>
      </c>
    </row>
    <row r="1436" spans="1:7" x14ac:dyDescent="0.25">
      <c r="A1436">
        <v>3102</v>
      </c>
      <c r="B1436">
        <v>102</v>
      </c>
      <c r="C1436">
        <v>8</v>
      </c>
      <c r="D1436">
        <v>5</v>
      </c>
      <c r="E1436">
        <v>15</v>
      </c>
      <c r="F1436">
        <v>0</v>
      </c>
      <c r="G1436">
        <v>20</v>
      </c>
    </row>
    <row r="1437" spans="1:7" x14ac:dyDescent="0.25">
      <c r="A1437">
        <v>1058</v>
      </c>
      <c r="B1437">
        <v>58</v>
      </c>
      <c r="C1437">
        <v>7</v>
      </c>
      <c r="D1437">
        <v>14</v>
      </c>
      <c r="E1437">
        <v>6</v>
      </c>
      <c r="F1437">
        <v>0</v>
      </c>
      <c r="G1437">
        <v>20</v>
      </c>
    </row>
    <row r="1438" spans="1:7" x14ac:dyDescent="0.25">
      <c r="A1438">
        <v>1004</v>
      </c>
      <c r="B1438">
        <v>4</v>
      </c>
      <c r="C1438">
        <v>9</v>
      </c>
      <c r="D1438">
        <v>7</v>
      </c>
      <c r="E1438">
        <v>15</v>
      </c>
      <c r="F1438">
        <v>0</v>
      </c>
      <c r="G1438">
        <v>22</v>
      </c>
    </row>
    <row r="1439" spans="1:7" x14ac:dyDescent="0.25">
      <c r="A1439">
        <v>1080</v>
      </c>
      <c r="B1439">
        <v>80</v>
      </c>
      <c r="C1439">
        <v>6</v>
      </c>
      <c r="D1439">
        <v>10</v>
      </c>
      <c r="E1439">
        <v>10</v>
      </c>
      <c r="F1439">
        <v>0</v>
      </c>
      <c r="G1439">
        <v>20</v>
      </c>
    </row>
    <row r="1440" spans="1:7" x14ac:dyDescent="0.25">
      <c r="A1440">
        <v>2102</v>
      </c>
      <c r="B1440">
        <v>102</v>
      </c>
      <c r="C1440">
        <v>8</v>
      </c>
      <c r="D1440">
        <v>11</v>
      </c>
      <c r="E1440">
        <v>8</v>
      </c>
      <c r="F1440">
        <v>0</v>
      </c>
      <c r="G1440">
        <v>19</v>
      </c>
    </row>
    <row r="1441" spans="1:7" x14ac:dyDescent="0.25">
      <c r="A1441">
        <v>2015</v>
      </c>
      <c r="B1441">
        <v>15</v>
      </c>
      <c r="C1441">
        <v>4</v>
      </c>
      <c r="D1441">
        <v>1</v>
      </c>
      <c r="E1441">
        <v>17</v>
      </c>
      <c r="F1441">
        <v>2</v>
      </c>
      <c r="G1441">
        <v>20</v>
      </c>
    </row>
    <row r="1442" spans="1:7" x14ac:dyDescent="0.25">
      <c r="A1442">
        <v>1096</v>
      </c>
      <c r="B1442">
        <v>96</v>
      </c>
      <c r="C1442">
        <v>2</v>
      </c>
      <c r="D1442">
        <v>8</v>
      </c>
      <c r="E1442">
        <v>0</v>
      </c>
      <c r="F1442">
        <v>0</v>
      </c>
      <c r="G1442">
        <v>8</v>
      </c>
    </row>
    <row r="1443" spans="1:7" x14ac:dyDescent="0.25">
      <c r="A1443">
        <v>2151</v>
      </c>
      <c r="B1443">
        <v>151</v>
      </c>
      <c r="C1443">
        <v>4</v>
      </c>
      <c r="D1443">
        <v>8</v>
      </c>
      <c r="E1443">
        <v>6</v>
      </c>
      <c r="F1443">
        <v>0</v>
      </c>
      <c r="G1443">
        <v>14</v>
      </c>
    </row>
    <row r="1444" spans="1:7" x14ac:dyDescent="0.25">
      <c r="A1444">
        <v>1060</v>
      </c>
      <c r="B1444">
        <v>60</v>
      </c>
      <c r="C1444">
        <v>7</v>
      </c>
      <c r="D1444">
        <v>8</v>
      </c>
      <c r="E1444">
        <v>14</v>
      </c>
      <c r="F1444">
        <v>0</v>
      </c>
      <c r="G1444">
        <v>22</v>
      </c>
    </row>
    <row r="1445" spans="1:7" x14ac:dyDescent="0.25">
      <c r="A1445">
        <v>1096</v>
      </c>
      <c r="B1445">
        <v>96</v>
      </c>
      <c r="C1445">
        <v>1</v>
      </c>
      <c r="D1445">
        <v>5</v>
      </c>
      <c r="E1445">
        <v>0</v>
      </c>
      <c r="F1445">
        <v>0</v>
      </c>
      <c r="G1445">
        <v>5</v>
      </c>
    </row>
    <row r="1446" spans="1:7" x14ac:dyDescent="0.25">
      <c r="A1446">
        <v>1059</v>
      </c>
      <c r="B1446">
        <v>59</v>
      </c>
      <c r="C1446">
        <v>7</v>
      </c>
      <c r="D1446">
        <v>0</v>
      </c>
      <c r="E1446">
        <v>20</v>
      </c>
      <c r="F1446">
        <v>0</v>
      </c>
      <c r="G1446">
        <v>20</v>
      </c>
    </row>
    <row r="1447" spans="1:7" x14ac:dyDescent="0.25">
      <c r="A1447">
        <v>2151</v>
      </c>
      <c r="B1447">
        <v>151</v>
      </c>
      <c r="C1447">
        <v>5</v>
      </c>
      <c r="D1447">
        <v>12</v>
      </c>
      <c r="E1447">
        <v>5</v>
      </c>
      <c r="F1447">
        <v>0</v>
      </c>
      <c r="G1447">
        <v>17</v>
      </c>
    </row>
    <row r="1448" spans="1:7" x14ac:dyDescent="0.25">
      <c r="A1448">
        <v>1096</v>
      </c>
      <c r="B1448">
        <v>96</v>
      </c>
      <c r="C1448">
        <v>5</v>
      </c>
      <c r="D1448">
        <v>16</v>
      </c>
      <c r="E1448">
        <v>0</v>
      </c>
      <c r="F1448">
        <v>0</v>
      </c>
      <c r="G1448">
        <v>16</v>
      </c>
    </row>
    <row r="1449" spans="1:7" x14ac:dyDescent="0.25">
      <c r="A1449">
        <v>2004</v>
      </c>
      <c r="B1449">
        <v>4</v>
      </c>
      <c r="C1449">
        <v>7</v>
      </c>
      <c r="D1449">
        <v>4</v>
      </c>
      <c r="E1449">
        <v>6</v>
      </c>
      <c r="F1449">
        <v>0</v>
      </c>
      <c r="G1449">
        <v>10</v>
      </c>
    </row>
    <row r="1450" spans="1:7" x14ac:dyDescent="0.25">
      <c r="A1450">
        <v>1076</v>
      </c>
      <c r="B1450">
        <v>76</v>
      </c>
      <c r="C1450">
        <v>6</v>
      </c>
      <c r="D1450">
        <v>13</v>
      </c>
      <c r="E1450">
        <v>7</v>
      </c>
      <c r="F1450">
        <v>0</v>
      </c>
      <c r="G1450">
        <v>20</v>
      </c>
    </row>
    <row r="1451" spans="1:7" x14ac:dyDescent="0.25">
      <c r="A1451">
        <v>1102</v>
      </c>
      <c r="B1451">
        <v>102</v>
      </c>
      <c r="C1451">
        <v>8</v>
      </c>
      <c r="D1451">
        <v>6</v>
      </c>
      <c r="E1451">
        <v>9</v>
      </c>
      <c r="F1451">
        <v>0</v>
      </c>
      <c r="G1451">
        <v>15</v>
      </c>
    </row>
    <row r="1452" spans="1:7" x14ac:dyDescent="0.25">
      <c r="A1452">
        <v>1135</v>
      </c>
      <c r="B1452">
        <v>135</v>
      </c>
      <c r="C1452">
        <v>2</v>
      </c>
      <c r="D1452">
        <v>16</v>
      </c>
      <c r="E1452">
        <v>5</v>
      </c>
      <c r="F1452">
        <v>0</v>
      </c>
      <c r="G1452">
        <v>21</v>
      </c>
    </row>
    <row r="1453" spans="1:7" x14ac:dyDescent="0.25">
      <c r="A1453">
        <v>2006</v>
      </c>
      <c r="B1453">
        <v>6</v>
      </c>
      <c r="C1453">
        <v>8</v>
      </c>
      <c r="D1453">
        <v>8</v>
      </c>
      <c r="E1453">
        <v>0</v>
      </c>
      <c r="F1453">
        <v>0</v>
      </c>
      <c r="G1453">
        <v>8</v>
      </c>
    </row>
    <row r="1454" spans="1:7" x14ac:dyDescent="0.25">
      <c r="A1454">
        <v>2101</v>
      </c>
      <c r="B1454">
        <v>101</v>
      </c>
      <c r="C1454">
        <v>8</v>
      </c>
      <c r="D1454">
        <v>15</v>
      </c>
      <c r="E1454">
        <v>5</v>
      </c>
      <c r="F1454">
        <v>0</v>
      </c>
      <c r="G1454">
        <v>20</v>
      </c>
    </row>
    <row r="1455" spans="1:7" x14ac:dyDescent="0.25">
      <c r="A1455">
        <v>1101</v>
      </c>
      <c r="B1455">
        <v>101</v>
      </c>
      <c r="C1455">
        <v>8</v>
      </c>
      <c r="D1455">
        <v>13</v>
      </c>
      <c r="E1455">
        <v>7</v>
      </c>
      <c r="F1455">
        <v>0</v>
      </c>
      <c r="G1455">
        <v>20</v>
      </c>
    </row>
    <row r="1456" spans="1:7" x14ac:dyDescent="0.25">
      <c r="A1456">
        <v>1002</v>
      </c>
      <c r="B1456">
        <v>2</v>
      </c>
      <c r="C1456">
        <v>7</v>
      </c>
      <c r="D1456">
        <v>5</v>
      </c>
      <c r="E1456">
        <v>15</v>
      </c>
      <c r="F1456">
        <v>0</v>
      </c>
      <c r="G1456">
        <v>20</v>
      </c>
    </row>
    <row r="1457" spans="1:7" x14ac:dyDescent="0.25">
      <c r="A1457">
        <v>1004</v>
      </c>
      <c r="B1457">
        <v>4</v>
      </c>
      <c r="C1457">
        <v>8</v>
      </c>
      <c r="D1457">
        <v>18</v>
      </c>
      <c r="E1457">
        <v>10</v>
      </c>
      <c r="F1457">
        <v>0</v>
      </c>
      <c r="G1457">
        <v>28</v>
      </c>
    </row>
    <row r="1458" spans="1:7" x14ac:dyDescent="0.25">
      <c r="A1458">
        <v>2084</v>
      </c>
      <c r="B1458">
        <v>84</v>
      </c>
      <c r="C1458">
        <v>8</v>
      </c>
      <c r="D1458">
        <v>10</v>
      </c>
      <c r="E1458">
        <v>6</v>
      </c>
      <c r="F1458">
        <v>2</v>
      </c>
      <c r="G1458">
        <v>18</v>
      </c>
    </row>
    <row r="1459" spans="1:7" x14ac:dyDescent="0.25">
      <c r="A1459">
        <v>3053</v>
      </c>
      <c r="B1459">
        <v>53</v>
      </c>
      <c r="C1459">
        <v>7</v>
      </c>
      <c r="D1459">
        <v>8</v>
      </c>
      <c r="E1459">
        <v>8</v>
      </c>
      <c r="F1459">
        <v>0</v>
      </c>
      <c r="G1459">
        <v>16</v>
      </c>
    </row>
    <row r="1460" spans="1:7" x14ac:dyDescent="0.25">
      <c r="A1460">
        <v>3137</v>
      </c>
      <c r="B1460">
        <v>137</v>
      </c>
      <c r="C1460">
        <v>6</v>
      </c>
      <c r="D1460">
        <v>8</v>
      </c>
      <c r="E1460">
        <v>10</v>
      </c>
      <c r="F1460">
        <v>0</v>
      </c>
      <c r="G1460">
        <v>18</v>
      </c>
    </row>
    <row r="1461" spans="1:7" x14ac:dyDescent="0.25">
      <c r="A1461">
        <v>3137</v>
      </c>
      <c r="B1461">
        <v>137</v>
      </c>
      <c r="C1461">
        <v>7</v>
      </c>
      <c r="D1461">
        <v>12</v>
      </c>
      <c r="E1461">
        <v>7</v>
      </c>
      <c r="F1461">
        <v>0</v>
      </c>
      <c r="G1461">
        <v>19</v>
      </c>
    </row>
    <row r="1462" spans="1:7" x14ac:dyDescent="0.25">
      <c r="A1462">
        <v>2097</v>
      </c>
      <c r="B1462">
        <v>97</v>
      </c>
      <c r="C1462">
        <v>7</v>
      </c>
      <c r="D1462">
        <v>3</v>
      </c>
      <c r="E1462">
        <v>1</v>
      </c>
      <c r="F1462">
        <v>2</v>
      </c>
      <c r="G1462">
        <v>6</v>
      </c>
    </row>
    <row r="1463" spans="1:7" x14ac:dyDescent="0.25">
      <c r="A1463">
        <v>1013</v>
      </c>
      <c r="B1463">
        <v>13</v>
      </c>
      <c r="C1463">
        <v>5</v>
      </c>
      <c r="D1463">
        <v>0</v>
      </c>
      <c r="E1463">
        <v>19</v>
      </c>
      <c r="F1463">
        <v>1</v>
      </c>
      <c r="G1463">
        <v>20</v>
      </c>
    </row>
    <row r="1464" spans="1:7" x14ac:dyDescent="0.25">
      <c r="A1464">
        <v>1137</v>
      </c>
      <c r="B1464">
        <v>137</v>
      </c>
      <c r="C1464">
        <v>6</v>
      </c>
      <c r="D1464">
        <v>9</v>
      </c>
      <c r="E1464">
        <v>3</v>
      </c>
      <c r="F1464">
        <v>0</v>
      </c>
      <c r="G1464">
        <v>12</v>
      </c>
    </row>
    <row r="1465" spans="1:7" x14ac:dyDescent="0.25">
      <c r="A1465">
        <v>1111</v>
      </c>
      <c r="B1465">
        <v>111</v>
      </c>
      <c r="C1465">
        <v>7</v>
      </c>
      <c r="D1465">
        <v>6</v>
      </c>
      <c r="E1465">
        <v>3</v>
      </c>
      <c r="F1465">
        <v>0</v>
      </c>
      <c r="G1465">
        <v>9</v>
      </c>
    </row>
    <row r="1466" spans="1:7" x14ac:dyDescent="0.25">
      <c r="A1466">
        <v>2113</v>
      </c>
      <c r="B1466">
        <v>113</v>
      </c>
      <c r="C1466">
        <v>4</v>
      </c>
      <c r="D1466">
        <v>20</v>
      </c>
      <c r="E1466">
        <v>1</v>
      </c>
      <c r="F1466">
        <v>0</v>
      </c>
      <c r="G1466">
        <v>21</v>
      </c>
    </row>
    <row r="1467" spans="1:7" x14ac:dyDescent="0.25">
      <c r="A1467">
        <v>1137</v>
      </c>
      <c r="B1467">
        <v>137</v>
      </c>
      <c r="C1467">
        <v>7</v>
      </c>
      <c r="D1467">
        <v>12</v>
      </c>
      <c r="E1467">
        <v>0</v>
      </c>
      <c r="F1467">
        <v>0</v>
      </c>
      <c r="G1467">
        <v>12</v>
      </c>
    </row>
    <row r="1468" spans="1:7" x14ac:dyDescent="0.25">
      <c r="A1468">
        <v>1096</v>
      </c>
      <c r="B1468">
        <v>96</v>
      </c>
      <c r="C1468">
        <v>3</v>
      </c>
      <c r="D1468">
        <v>6</v>
      </c>
      <c r="E1468">
        <v>2</v>
      </c>
      <c r="F1468">
        <v>0</v>
      </c>
      <c r="G1468">
        <v>8</v>
      </c>
    </row>
    <row r="1469" spans="1:7" x14ac:dyDescent="0.25">
      <c r="A1469">
        <v>4145</v>
      </c>
      <c r="B1469">
        <v>145</v>
      </c>
      <c r="C1469">
        <v>8</v>
      </c>
      <c r="D1469">
        <v>8</v>
      </c>
      <c r="E1469">
        <v>11</v>
      </c>
      <c r="F1469">
        <v>0</v>
      </c>
      <c r="G1469">
        <v>19</v>
      </c>
    </row>
    <row r="1470" spans="1:7" x14ac:dyDescent="0.25">
      <c r="A1470">
        <v>1114</v>
      </c>
      <c r="B1470">
        <v>114</v>
      </c>
      <c r="C1470">
        <v>4</v>
      </c>
      <c r="D1470">
        <v>10</v>
      </c>
      <c r="E1470">
        <v>1</v>
      </c>
      <c r="F1470">
        <v>0</v>
      </c>
      <c r="G1470">
        <v>11</v>
      </c>
    </row>
    <row r="1471" spans="1:7" x14ac:dyDescent="0.25">
      <c r="A1471">
        <v>1096</v>
      </c>
      <c r="B1471">
        <v>96</v>
      </c>
      <c r="C1471">
        <v>4</v>
      </c>
      <c r="D1471">
        <v>4</v>
      </c>
      <c r="E1471">
        <v>0</v>
      </c>
      <c r="F1471">
        <v>0</v>
      </c>
      <c r="G1471">
        <v>4</v>
      </c>
    </row>
    <row r="1472" spans="1:7" x14ac:dyDescent="0.25">
      <c r="A1472">
        <v>1084</v>
      </c>
      <c r="B1472">
        <v>84</v>
      </c>
      <c r="C1472">
        <v>8</v>
      </c>
      <c r="D1472">
        <v>10</v>
      </c>
      <c r="E1472">
        <v>7</v>
      </c>
      <c r="F1472">
        <v>0</v>
      </c>
      <c r="G1472">
        <v>17</v>
      </c>
    </row>
    <row r="1473" spans="1:7" x14ac:dyDescent="0.25">
      <c r="A1473">
        <v>3109</v>
      </c>
      <c r="B1473">
        <v>109</v>
      </c>
      <c r="C1473">
        <v>7</v>
      </c>
      <c r="D1473">
        <v>18</v>
      </c>
      <c r="E1473">
        <v>15</v>
      </c>
      <c r="F1473">
        <v>0</v>
      </c>
      <c r="G1473">
        <v>33</v>
      </c>
    </row>
    <row r="1474" spans="1:7" x14ac:dyDescent="0.25">
      <c r="A1474">
        <v>2140</v>
      </c>
      <c r="B1474">
        <v>140</v>
      </c>
      <c r="C1474">
        <v>8</v>
      </c>
      <c r="D1474">
        <v>0</v>
      </c>
      <c r="E1474">
        <v>2</v>
      </c>
      <c r="F1474">
        <v>0</v>
      </c>
      <c r="G1474">
        <v>2</v>
      </c>
    </row>
    <row r="1475" spans="1:7" x14ac:dyDescent="0.25">
      <c r="A1475">
        <v>3083</v>
      </c>
      <c r="B1475">
        <v>83</v>
      </c>
      <c r="C1475">
        <v>8</v>
      </c>
      <c r="D1475">
        <v>0</v>
      </c>
      <c r="E1475">
        <v>19</v>
      </c>
      <c r="F1475">
        <v>0</v>
      </c>
      <c r="G1475">
        <v>19</v>
      </c>
    </row>
    <row r="1476" spans="1:7" x14ac:dyDescent="0.25">
      <c r="A1476">
        <v>2136</v>
      </c>
      <c r="B1476">
        <v>136</v>
      </c>
      <c r="C1476">
        <v>8</v>
      </c>
      <c r="D1476">
        <v>5</v>
      </c>
      <c r="E1476">
        <v>15</v>
      </c>
      <c r="F1476">
        <v>0</v>
      </c>
      <c r="G1476">
        <v>20</v>
      </c>
    </row>
    <row r="1477" spans="1:7" x14ac:dyDescent="0.25">
      <c r="A1477">
        <v>2136</v>
      </c>
      <c r="B1477">
        <v>136</v>
      </c>
      <c r="C1477">
        <v>7</v>
      </c>
      <c r="D1477">
        <v>23</v>
      </c>
      <c r="E1477">
        <v>30</v>
      </c>
      <c r="F1477">
        <v>0</v>
      </c>
      <c r="G1477">
        <v>53</v>
      </c>
    </row>
    <row r="1478" spans="1:7" x14ac:dyDescent="0.25">
      <c r="A1478">
        <v>1100</v>
      </c>
      <c r="B1478">
        <v>100</v>
      </c>
      <c r="C1478">
        <v>5</v>
      </c>
      <c r="D1478">
        <v>5</v>
      </c>
      <c r="E1478">
        <v>5</v>
      </c>
      <c r="F1478">
        <v>0</v>
      </c>
      <c r="G1478">
        <v>10</v>
      </c>
    </row>
    <row r="1479" spans="1:7" x14ac:dyDescent="0.25">
      <c r="A1479">
        <v>2083</v>
      </c>
      <c r="B1479">
        <v>83</v>
      </c>
      <c r="C1479">
        <v>8</v>
      </c>
      <c r="D1479">
        <v>10</v>
      </c>
      <c r="E1479">
        <v>6</v>
      </c>
      <c r="F1479">
        <v>0</v>
      </c>
      <c r="G1479">
        <v>16</v>
      </c>
    </row>
    <row r="1480" spans="1:7" x14ac:dyDescent="0.25">
      <c r="A1480">
        <v>1100</v>
      </c>
      <c r="B1480">
        <v>100</v>
      </c>
      <c r="C1480">
        <v>6</v>
      </c>
      <c r="D1480">
        <v>3</v>
      </c>
      <c r="E1480">
        <v>5</v>
      </c>
      <c r="F1480">
        <v>0</v>
      </c>
      <c r="G1480">
        <v>8</v>
      </c>
    </row>
    <row r="1481" spans="1:7" x14ac:dyDescent="0.25">
      <c r="A1481">
        <v>3100</v>
      </c>
      <c r="B1481">
        <v>100</v>
      </c>
      <c r="C1481">
        <v>5</v>
      </c>
      <c r="D1481">
        <v>8</v>
      </c>
      <c r="E1481">
        <v>2</v>
      </c>
      <c r="F1481">
        <v>0</v>
      </c>
      <c r="G1481">
        <v>10</v>
      </c>
    </row>
    <row r="1482" spans="1:7" x14ac:dyDescent="0.25">
      <c r="A1482">
        <v>1083</v>
      </c>
      <c r="B1482">
        <v>83</v>
      </c>
      <c r="C1482">
        <v>8</v>
      </c>
      <c r="D1482">
        <v>5</v>
      </c>
      <c r="E1482">
        <v>6</v>
      </c>
      <c r="F1482">
        <v>0</v>
      </c>
      <c r="G1482">
        <v>11</v>
      </c>
    </row>
    <row r="1483" spans="1:7" x14ac:dyDescent="0.25">
      <c r="A1483">
        <v>1112</v>
      </c>
      <c r="B1483">
        <v>112</v>
      </c>
      <c r="C1483">
        <v>7</v>
      </c>
      <c r="D1483">
        <v>15</v>
      </c>
      <c r="E1483">
        <v>16</v>
      </c>
      <c r="F1483">
        <v>1</v>
      </c>
      <c r="G1483">
        <v>32</v>
      </c>
    </row>
    <row r="1484" spans="1:7" x14ac:dyDescent="0.25">
      <c r="A1484">
        <v>3100</v>
      </c>
      <c r="B1484">
        <v>100</v>
      </c>
      <c r="C1484">
        <v>6</v>
      </c>
      <c r="D1484">
        <v>6</v>
      </c>
      <c r="E1484">
        <v>4</v>
      </c>
      <c r="F1484">
        <v>0</v>
      </c>
      <c r="G1484">
        <v>10</v>
      </c>
    </row>
    <row r="1485" spans="1:7" x14ac:dyDescent="0.25">
      <c r="A1485">
        <v>2115</v>
      </c>
      <c r="B1485">
        <v>115</v>
      </c>
      <c r="C1485">
        <v>4</v>
      </c>
      <c r="D1485">
        <v>0</v>
      </c>
      <c r="E1485">
        <v>3</v>
      </c>
      <c r="F1485">
        <v>0</v>
      </c>
      <c r="G1485">
        <v>3</v>
      </c>
    </row>
    <row r="1486" spans="1:7" x14ac:dyDescent="0.25">
      <c r="A1486">
        <v>3100</v>
      </c>
      <c r="B1486">
        <v>100</v>
      </c>
      <c r="C1486">
        <v>7</v>
      </c>
      <c r="D1486">
        <v>7</v>
      </c>
      <c r="E1486">
        <v>4</v>
      </c>
      <c r="F1486">
        <v>0</v>
      </c>
      <c r="G1486">
        <v>11</v>
      </c>
    </row>
    <row r="1487" spans="1:7" x14ac:dyDescent="0.25">
      <c r="A1487">
        <v>2082</v>
      </c>
      <c r="B1487">
        <v>82</v>
      </c>
      <c r="C1487">
        <v>8</v>
      </c>
      <c r="D1487">
        <v>3</v>
      </c>
      <c r="E1487">
        <v>7</v>
      </c>
      <c r="F1487">
        <v>0</v>
      </c>
      <c r="G1487">
        <v>10</v>
      </c>
    </row>
    <row r="1488" spans="1:7" x14ac:dyDescent="0.25">
      <c r="A1488">
        <v>2115</v>
      </c>
      <c r="B1488">
        <v>115</v>
      </c>
      <c r="C1488">
        <v>7</v>
      </c>
      <c r="D1488">
        <v>3</v>
      </c>
      <c r="E1488">
        <v>6</v>
      </c>
      <c r="F1488">
        <v>0</v>
      </c>
      <c r="G1488">
        <v>9</v>
      </c>
    </row>
    <row r="1489" spans="1:7" x14ac:dyDescent="0.25">
      <c r="A1489">
        <v>3098</v>
      </c>
      <c r="B1489">
        <v>98</v>
      </c>
      <c r="C1489">
        <v>6</v>
      </c>
      <c r="D1489">
        <v>0</v>
      </c>
      <c r="E1489">
        <v>20</v>
      </c>
      <c r="F1489">
        <v>0</v>
      </c>
      <c r="G1489">
        <v>20</v>
      </c>
    </row>
    <row r="1490" spans="1:7" x14ac:dyDescent="0.25">
      <c r="A1490">
        <v>4145</v>
      </c>
      <c r="B1490">
        <v>145</v>
      </c>
      <c r="C1490">
        <v>9</v>
      </c>
      <c r="D1490">
        <v>13</v>
      </c>
      <c r="E1490">
        <v>4</v>
      </c>
      <c r="F1490">
        <v>0</v>
      </c>
      <c r="G1490">
        <v>17</v>
      </c>
    </row>
    <row r="1491" spans="1:7" x14ac:dyDescent="0.25">
      <c r="A1491">
        <v>1023</v>
      </c>
      <c r="B1491">
        <v>23</v>
      </c>
      <c r="C1491">
        <v>7</v>
      </c>
      <c r="D1491">
        <v>15</v>
      </c>
      <c r="E1491">
        <v>5</v>
      </c>
      <c r="F1491">
        <v>0</v>
      </c>
      <c r="G1491">
        <v>20</v>
      </c>
    </row>
    <row r="1492" spans="1:7" x14ac:dyDescent="0.25">
      <c r="A1492">
        <v>3098</v>
      </c>
      <c r="B1492">
        <v>98</v>
      </c>
      <c r="C1492">
        <v>7</v>
      </c>
      <c r="D1492">
        <v>5</v>
      </c>
      <c r="E1492">
        <v>15</v>
      </c>
      <c r="F1492">
        <v>0</v>
      </c>
      <c r="G1492">
        <v>20</v>
      </c>
    </row>
    <row r="1493" spans="1:7" x14ac:dyDescent="0.25">
      <c r="A1493">
        <v>2081</v>
      </c>
      <c r="B1493">
        <v>81</v>
      </c>
      <c r="C1493">
        <v>8</v>
      </c>
      <c r="D1493">
        <v>15</v>
      </c>
      <c r="E1493">
        <v>1</v>
      </c>
      <c r="F1493">
        <v>4</v>
      </c>
      <c r="G1493">
        <v>20</v>
      </c>
    </row>
    <row r="1494" spans="1:7" x14ac:dyDescent="0.25">
      <c r="A1494">
        <v>2100</v>
      </c>
      <c r="B1494">
        <v>100</v>
      </c>
      <c r="C1494">
        <v>6</v>
      </c>
      <c r="D1494">
        <v>8</v>
      </c>
      <c r="E1494">
        <v>9</v>
      </c>
      <c r="F1494">
        <v>3</v>
      </c>
      <c r="G1494">
        <v>20</v>
      </c>
    </row>
    <row r="1495" spans="1:7" x14ac:dyDescent="0.25">
      <c r="A1495">
        <v>1022</v>
      </c>
      <c r="B1495">
        <v>22</v>
      </c>
      <c r="C1495">
        <v>7</v>
      </c>
      <c r="D1495">
        <v>1</v>
      </c>
      <c r="E1495">
        <v>20</v>
      </c>
      <c r="F1495">
        <v>0</v>
      </c>
      <c r="G1495">
        <v>21</v>
      </c>
    </row>
    <row r="1496" spans="1:7" x14ac:dyDescent="0.25">
      <c r="A1496">
        <v>2112</v>
      </c>
      <c r="B1496">
        <v>112</v>
      </c>
      <c r="C1496">
        <v>7</v>
      </c>
      <c r="D1496">
        <v>9</v>
      </c>
      <c r="E1496">
        <v>2</v>
      </c>
      <c r="F1496">
        <v>0</v>
      </c>
      <c r="G1496">
        <v>11</v>
      </c>
    </row>
    <row r="1497" spans="1:7" x14ac:dyDescent="0.25">
      <c r="A1497">
        <v>2124</v>
      </c>
      <c r="B1497">
        <v>124</v>
      </c>
      <c r="C1497">
        <v>5</v>
      </c>
      <c r="D1497">
        <v>9</v>
      </c>
      <c r="E1497">
        <v>10</v>
      </c>
      <c r="F1497">
        <v>0</v>
      </c>
      <c r="G1497">
        <v>19</v>
      </c>
    </row>
    <row r="1498" spans="1:7" x14ac:dyDescent="0.25">
      <c r="A1498">
        <v>2100</v>
      </c>
      <c r="B1498">
        <v>100</v>
      </c>
      <c r="C1498">
        <v>7</v>
      </c>
      <c r="D1498">
        <v>15</v>
      </c>
      <c r="E1498">
        <v>5</v>
      </c>
      <c r="F1498">
        <v>0</v>
      </c>
      <c r="G1498">
        <v>20</v>
      </c>
    </row>
    <row r="1499" spans="1:7" x14ac:dyDescent="0.25">
      <c r="A1499">
        <v>1113</v>
      </c>
      <c r="B1499">
        <v>113</v>
      </c>
      <c r="C1499">
        <v>7</v>
      </c>
      <c r="D1499">
        <v>5</v>
      </c>
      <c r="E1499">
        <v>0</v>
      </c>
      <c r="F1499">
        <v>0</v>
      </c>
      <c r="G1499">
        <v>5</v>
      </c>
    </row>
    <row r="1500" spans="1:7" x14ac:dyDescent="0.25">
      <c r="A1500">
        <v>1081</v>
      </c>
      <c r="B1500">
        <v>81</v>
      </c>
      <c r="C1500">
        <v>8</v>
      </c>
      <c r="D1500">
        <v>23</v>
      </c>
      <c r="E1500">
        <v>3</v>
      </c>
      <c r="F1500">
        <v>2</v>
      </c>
      <c r="G1500">
        <v>28</v>
      </c>
    </row>
    <row r="1501" spans="1:7" x14ac:dyDescent="0.25">
      <c r="A1501">
        <v>2112</v>
      </c>
      <c r="B1501">
        <v>112</v>
      </c>
      <c r="C1501">
        <v>4</v>
      </c>
      <c r="D1501">
        <v>8</v>
      </c>
      <c r="E1501">
        <v>3</v>
      </c>
      <c r="F1501">
        <v>0</v>
      </c>
      <c r="G1501">
        <v>11</v>
      </c>
    </row>
    <row r="1502" spans="1:7" x14ac:dyDescent="0.25">
      <c r="A1502">
        <v>2113</v>
      </c>
      <c r="B1502">
        <v>113</v>
      </c>
      <c r="C1502">
        <v>7</v>
      </c>
      <c r="D1502">
        <v>20</v>
      </c>
      <c r="E1502">
        <v>2</v>
      </c>
      <c r="F1502">
        <v>0</v>
      </c>
      <c r="G1502">
        <v>22</v>
      </c>
    </row>
    <row r="1503" spans="1:7" x14ac:dyDescent="0.25">
      <c r="A1503">
        <v>1154</v>
      </c>
      <c r="B1503">
        <v>154</v>
      </c>
      <c r="C1503">
        <v>4</v>
      </c>
      <c r="D1503">
        <v>6</v>
      </c>
      <c r="E1503">
        <v>12</v>
      </c>
      <c r="F1503">
        <v>2</v>
      </c>
      <c r="G1503">
        <v>20</v>
      </c>
    </row>
    <row r="1504" spans="1:7" x14ac:dyDescent="0.25">
      <c r="A1504">
        <v>2110</v>
      </c>
      <c r="B1504">
        <v>110</v>
      </c>
      <c r="C1504">
        <v>7</v>
      </c>
      <c r="D1504">
        <v>20</v>
      </c>
      <c r="E1504">
        <v>9</v>
      </c>
      <c r="F1504">
        <v>0</v>
      </c>
      <c r="G1504">
        <v>29</v>
      </c>
    </row>
    <row r="1505" spans="1:7" x14ac:dyDescent="0.25">
      <c r="A1505">
        <v>3109</v>
      </c>
      <c r="B1505">
        <v>109</v>
      </c>
      <c r="C1505">
        <v>5</v>
      </c>
      <c r="D1505">
        <v>15</v>
      </c>
      <c r="E1505">
        <v>18</v>
      </c>
      <c r="F1505">
        <v>1</v>
      </c>
      <c r="G1505">
        <v>34</v>
      </c>
    </row>
    <row r="1506" spans="1:7" x14ac:dyDescent="0.25">
      <c r="A1506">
        <v>1154</v>
      </c>
      <c r="B1506">
        <v>154</v>
      </c>
      <c r="C1506">
        <v>5</v>
      </c>
      <c r="D1506">
        <v>8</v>
      </c>
      <c r="E1506">
        <v>12</v>
      </c>
      <c r="F1506">
        <v>0</v>
      </c>
      <c r="G1506">
        <v>20</v>
      </c>
    </row>
    <row r="1507" spans="1:7" x14ac:dyDescent="0.25">
      <c r="A1507">
        <v>1115</v>
      </c>
      <c r="B1507">
        <v>115</v>
      </c>
      <c r="C1507">
        <v>7</v>
      </c>
      <c r="D1507">
        <v>20</v>
      </c>
      <c r="E1507">
        <v>9</v>
      </c>
      <c r="F1507">
        <v>0</v>
      </c>
      <c r="G1507">
        <v>29</v>
      </c>
    </row>
    <row r="1508" spans="1:7" x14ac:dyDescent="0.25">
      <c r="A1508">
        <v>1154</v>
      </c>
      <c r="B1508">
        <v>154</v>
      </c>
      <c r="C1508">
        <v>6</v>
      </c>
      <c r="D1508">
        <v>10</v>
      </c>
      <c r="E1508">
        <v>10</v>
      </c>
      <c r="F1508">
        <v>0</v>
      </c>
      <c r="G1508">
        <v>20</v>
      </c>
    </row>
    <row r="1509" spans="1:7" x14ac:dyDescent="0.25">
      <c r="A1509">
        <v>2111</v>
      </c>
      <c r="B1509">
        <v>111</v>
      </c>
      <c r="C1509">
        <v>5</v>
      </c>
      <c r="D1509">
        <v>1</v>
      </c>
      <c r="E1509">
        <v>4</v>
      </c>
      <c r="F1509">
        <v>0</v>
      </c>
      <c r="G1509">
        <v>5</v>
      </c>
    </row>
    <row r="1510" spans="1:7" x14ac:dyDescent="0.25">
      <c r="A1510">
        <v>2080</v>
      </c>
      <c r="B1510">
        <v>80</v>
      </c>
      <c r="C1510">
        <v>9</v>
      </c>
      <c r="D1510">
        <v>8</v>
      </c>
      <c r="E1510">
        <v>3</v>
      </c>
      <c r="F1510">
        <v>0</v>
      </c>
      <c r="G1510">
        <v>11</v>
      </c>
    </row>
    <row r="1511" spans="1:7" x14ac:dyDescent="0.25">
      <c r="A1511">
        <v>2109</v>
      </c>
      <c r="B1511">
        <v>109</v>
      </c>
      <c r="C1511">
        <v>7</v>
      </c>
      <c r="D1511">
        <v>0</v>
      </c>
      <c r="E1511">
        <v>5</v>
      </c>
      <c r="F1511">
        <v>0</v>
      </c>
      <c r="G1511">
        <v>5</v>
      </c>
    </row>
    <row r="1512" spans="1:7" x14ac:dyDescent="0.25">
      <c r="A1512">
        <v>1112</v>
      </c>
      <c r="B1512">
        <v>112</v>
      </c>
      <c r="C1512">
        <v>5</v>
      </c>
      <c r="D1512">
        <v>20</v>
      </c>
      <c r="E1512">
        <v>17</v>
      </c>
      <c r="F1512">
        <v>0</v>
      </c>
      <c r="G1512">
        <v>37</v>
      </c>
    </row>
    <row r="1513" spans="1:7" x14ac:dyDescent="0.25">
      <c r="A1513">
        <v>1101</v>
      </c>
      <c r="B1513">
        <v>101</v>
      </c>
      <c r="C1513">
        <v>9</v>
      </c>
      <c r="D1513">
        <v>10</v>
      </c>
      <c r="E1513">
        <v>11</v>
      </c>
      <c r="F1513">
        <v>0</v>
      </c>
      <c r="G1513">
        <v>21</v>
      </c>
    </row>
    <row r="1514" spans="1:7" x14ac:dyDescent="0.25">
      <c r="A1514">
        <v>2057</v>
      </c>
      <c r="B1514">
        <v>57</v>
      </c>
      <c r="C1514">
        <v>7</v>
      </c>
      <c r="D1514">
        <v>8</v>
      </c>
      <c r="E1514">
        <v>9</v>
      </c>
      <c r="F1514">
        <v>2</v>
      </c>
      <c r="G1514">
        <v>19</v>
      </c>
    </row>
    <row r="1515" spans="1:7" x14ac:dyDescent="0.25">
      <c r="A1515">
        <v>1064</v>
      </c>
      <c r="B1515">
        <v>64</v>
      </c>
      <c r="C1515">
        <v>7</v>
      </c>
      <c r="D1515">
        <v>14</v>
      </c>
      <c r="E1515">
        <v>6</v>
      </c>
      <c r="F1515">
        <v>0</v>
      </c>
      <c r="G1515">
        <v>20</v>
      </c>
    </row>
    <row r="1516" spans="1:7" x14ac:dyDescent="0.25">
      <c r="A1516">
        <v>2154</v>
      </c>
      <c r="B1516">
        <v>154</v>
      </c>
      <c r="C1516">
        <v>5</v>
      </c>
      <c r="D1516">
        <v>13</v>
      </c>
      <c r="E1516">
        <v>6</v>
      </c>
      <c r="F1516">
        <v>1</v>
      </c>
      <c r="G1516">
        <v>20</v>
      </c>
    </row>
    <row r="1517" spans="1:7" x14ac:dyDescent="0.25">
      <c r="A1517">
        <v>3111</v>
      </c>
      <c r="B1517">
        <v>111</v>
      </c>
      <c r="C1517">
        <v>5</v>
      </c>
      <c r="D1517">
        <v>10</v>
      </c>
      <c r="E1517">
        <v>0</v>
      </c>
      <c r="F1517">
        <v>0</v>
      </c>
      <c r="G1517">
        <v>10</v>
      </c>
    </row>
    <row r="1518" spans="1:7" x14ac:dyDescent="0.25">
      <c r="A1518">
        <v>1064</v>
      </c>
      <c r="B1518">
        <v>64</v>
      </c>
      <c r="C1518">
        <v>8</v>
      </c>
      <c r="D1518">
        <v>17</v>
      </c>
      <c r="E1518">
        <v>6</v>
      </c>
      <c r="F1518">
        <v>0</v>
      </c>
      <c r="G1518">
        <v>23</v>
      </c>
    </row>
    <row r="1519" spans="1:7" x14ac:dyDescent="0.25">
      <c r="A1519">
        <v>5098</v>
      </c>
      <c r="B1519">
        <v>98</v>
      </c>
      <c r="C1519">
        <v>8</v>
      </c>
      <c r="D1519">
        <v>8</v>
      </c>
      <c r="E1519">
        <v>13</v>
      </c>
      <c r="F1519">
        <v>0</v>
      </c>
      <c r="G1519">
        <v>21</v>
      </c>
    </row>
    <row r="1520" spans="1:7" x14ac:dyDescent="0.25">
      <c r="A1520">
        <v>1076</v>
      </c>
      <c r="B1520">
        <v>76</v>
      </c>
      <c r="C1520">
        <v>8</v>
      </c>
      <c r="D1520">
        <v>14</v>
      </c>
      <c r="E1520">
        <v>6</v>
      </c>
      <c r="F1520">
        <v>0</v>
      </c>
      <c r="G1520">
        <v>20</v>
      </c>
    </row>
    <row r="1521" spans="1:7" x14ac:dyDescent="0.25">
      <c r="A1521">
        <v>2099</v>
      </c>
      <c r="B1521">
        <v>99</v>
      </c>
      <c r="C1521">
        <v>7</v>
      </c>
      <c r="D1521">
        <v>1</v>
      </c>
      <c r="E1521">
        <v>3</v>
      </c>
      <c r="F1521">
        <v>1</v>
      </c>
      <c r="G1521">
        <v>5</v>
      </c>
    </row>
    <row r="1522" spans="1:7" x14ac:dyDescent="0.25">
      <c r="A1522">
        <v>2110</v>
      </c>
      <c r="B1522">
        <v>110</v>
      </c>
      <c r="C1522">
        <v>5</v>
      </c>
      <c r="D1522">
        <v>20</v>
      </c>
      <c r="E1522">
        <v>4</v>
      </c>
      <c r="F1522">
        <v>0</v>
      </c>
      <c r="G1522">
        <v>24</v>
      </c>
    </row>
    <row r="1523" spans="1:7" x14ac:dyDescent="0.25">
      <c r="A1523">
        <v>5075</v>
      </c>
      <c r="B1523">
        <v>75</v>
      </c>
      <c r="C1523">
        <v>8</v>
      </c>
      <c r="D1523">
        <v>5</v>
      </c>
      <c r="E1523">
        <v>13</v>
      </c>
      <c r="F1523">
        <v>1</v>
      </c>
      <c r="G1523">
        <v>19</v>
      </c>
    </row>
    <row r="1524" spans="1:7" x14ac:dyDescent="0.25">
      <c r="A1524">
        <v>2020</v>
      </c>
      <c r="B1524">
        <v>20</v>
      </c>
      <c r="C1524">
        <v>3</v>
      </c>
      <c r="D1524">
        <v>13</v>
      </c>
      <c r="E1524">
        <v>6</v>
      </c>
      <c r="F1524">
        <v>0</v>
      </c>
      <c r="G1524">
        <v>19</v>
      </c>
    </row>
    <row r="1525" spans="1:7" x14ac:dyDescent="0.25">
      <c r="A1525">
        <v>2110</v>
      </c>
      <c r="B1525">
        <v>110</v>
      </c>
      <c r="C1525">
        <v>4</v>
      </c>
      <c r="D1525">
        <v>32</v>
      </c>
      <c r="E1525">
        <v>5</v>
      </c>
      <c r="F1525">
        <v>0</v>
      </c>
      <c r="G1525">
        <v>37</v>
      </c>
    </row>
    <row r="1526" spans="1:7" x14ac:dyDescent="0.25">
      <c r="A1526">
        <v>2099</v>
      </c>
      <c r="B1526">
        <v>99</v>
      </c>
      <c r="C1526">
        <v>8</v>
      </c>
      <c r="D1526">
        <v>4</v>
      </c>
      <c r="E1526">
        <v>3</v>
      </c>
      <c r="F1526">
        <v>0</v>
      </c>
      <c r="G1526">
        <v>7</v>
      </c>
    </row>
    <row r="1527" spans="1:7" x14ac:dyDescent="0.25">
      <c r="A1527">
        <v>1080</v>
      </c>
      <c r="B1527">
        <v>80</v>
      </c>
      <c r="C1527">
        <v>8</v>
      </c>
      <c r="D1527">
        <v>11</v>
      </c>
      <c r="E1527">
        <v>14</v>
      </c>
      <c r="F1527">
        <v>0</v>
      </c>
      <c r="G1527">
        <v>25</v>
      </c>
    </row>
    <row r="1528" spans="1:7" x14ac:dyDescent="0.25">
      <c r="A1528">
        <v>2009</v>
      </c>
      <c r="B1528">
        <v>9</v>
      </c>
      <c r="C1528">
        <v>8</v>
      </c>
      <c r="D1528">
        <v>9</v>
      </c>
      <c r="E1528">
        <v>8</v>
      </c>
      <c r="F1528">
        <v>1</v>
      </c>
      <c r="G1528">
        <v>18</v>
      </c>
    </row>
    <row r="1529" spans="1:7" x14ac:dyDescent="0.25">
      <c r="A1529">
        <v>2109</v>
      </c>
      <c r="B1529">
        <v>109</v>
      </c>
      <c r="C1529">
        <v>5</v>
      </c>
      <c r="D1529">
        <v>2</v>
      </c>
      <c r="E1529">
        <v>7</v>
      </c>
      <c r="F1529">
        <v>0</v>
      </c>
      <c r="G1529">
        <v>9</v>
      </c>
    </row>
    <row r="1530" spans="1:7" x14ac:dyDescent="0.25">
      <c r="A1530">
        <v>1009</v>
      </c>
      <c r="B1530">
        <v>9</v>
      </c>
      <c r="C1530">
        <v>8</v>
      </c>
      <c r="D1530">
        <v>9</v>
      </c>
      <c r="E1530">
        <v>10</v>
      </c>
      <c r="F1530">
        <v>2</v>
      </c>
      <c r="G1530">
        <v>21</v>
      </c>
    </row>
    <row r="1531" spans="1:7" x14ac:dyDescent="0.25">
      <c r="A1531">
        <v>3145</v>
      </c>
      <c r="B1531">
        <v>145</v>
      </c>
      <c r="C1531">
        <v>5</v>
      </c>
      <c r="D1531">
        <v>12</v>
      </c>
      <c r="E1531">
        <v>8</v>
      </c>
      <c r="F1531">
        <v>0</v>
      </c>
      <c r="G1531">
        <v>20</v>
      </c>
    </row>
    <row r="1532" spans="1:7" x14ac:dyDescent="0.25">
      <c r="A1532">
        <v>2113</v>
      </c>
      <c r="B1532">
        <v>113</v>
      </c>
      <c r="C1532">
        <v>5</v>
      </c>
      <c r="D1532">
        <v>12</v>
      </c>
      <c r="E1532">
        <v>1</v>
      </c>
      <c r="F1532">
        <v>0</v>
      </c>
      <c r="G1532">
        <v>13</v>
      </c>
    </row>
    <row r="1533" spans="1:7" x14ac:dyDescent="0.25">
      <c r="A1533">
        <v>3079</v>
      </c>
      <c r="B1533">
        <v>79</v>
      </c>
      <c r="C1533">
        <v>8</v>
      </c>
      <c r="D1533">
        <v>12</v>
      </c>
      <c r="E1533">
        <v>8</v>
      </c>
      <c r="F1533">
        <v>0</v>
      </c>
      <c r="G1533">
        <v>20</v>
      </c>
    </row>
    <row r="1534" spans="1:7" x14ac:dyDescent="0.25">
      <c r="A1534">
        <v>3008</v>
      </c>
      <c r="B1534">
        <v>8</v>
      </c>
      <c r="C1534">
        <v>8</v>
      </c>
      <c r="D1534">
        <v>2</v>
      </c>
      <c r="E1534">
        <v>10</v>
      </c>
      <c r="F1534">
        <v>1</v>
      </c>
      <c r="G1534">
        <v>13</v>
      </c>
    </row>
    <row r="1535" spans="1:7" x14ac:dyDescent="0.25">
      <c r="A1535">
        <v>1007</v>
      </c>
      <c r="B1535">
        <v>7</v>
      </c>
      <c r="C1535">
        <v>8</v>
      </c>
      <c r="D1535">
        <v>2</v>
      </c>
      <c r="E1535">
        <v>8</v>
      </c>
      <c r="F1535">
        <v>1</v>
      </c>
      <c r="G1535">
        <v>11</v>
      </c>
    </row>
    <row r="1536" spans="1:7" x14ac:dyDescent="0.25">
      <c r="A1536">
        <v>2079</v>
      </c>
      <c r="B1536">
        <v>79</v>
      </c>
      <c r="C1536">
        <v>8</v>
      </c>
      <c r="D1536">
        <v>6</v>
      </c>
      <c r="E1536">
        <v>5</v>
      </c>
      <c r="F1536">
        <v>0</v>
      </c>
      <c r="G1536">
        <v>11</v>
      </c>
    </row>
    <row r="1537" spans="1:7" x14ac:dyDescent="0.25">
      <c r="A1537">
        <v>5008</v>
      </c>
      <c r="B1537">
        <v>8</v>
      </c>
      <c r="C1537">
        <v>8</v>
      </c>
      <c r="D1537">
        <v>15</v>
      </c>
      <c r="E1537">
        <v>18</v>
      </c>
      <c r="F1537">
        <v>1</v>
      </c>
      <c r="G1537">
        <v>34</v>
      </c>
    </row>
    <row r="1538" spans="1:7" x14ac:dyDescent="0.25">
      <c r="A1538">
        <v>2008</v>
      </c>
      <c r="B1538">
        <v>8</v>
      </c>
      <c r="C1538">
        <v>8</v>
      </c>
      <c r="D1538">
        <v>2</v>
      </c>
      <c r="E1538">
        <v>9</v>
      </c>
      <c r="F1538">
        <v>1</v>
      </c>
      <c r="G1538">
        <v>12</v>
      </c>
    </row>
    <row r="1539" spans="1:7" x14ac:dyDescent="0.25">
      <c r="A1539">
        <v>2025</v>
      </c>
      <c r="B1539">
        <v>25</v>
      </c>
      <c r="C1539">
        <v>5</v>
      </c>
      <c r="D1539">
        <v>16</v>
      </c>
      <c r="E1539">
        <v>4</v>
      </c>
      <c r="F1539">
        <v>0</v>
      </c>
      <c r="G1539">
        <v>20</v>
      </c>
    </row>
    <row r="1540" spans="1:7" x14ac:dyDescent="0.25">
      <c r="A1540">
        <v>1079</v>
      </c>
      <c r="B1540">
        <v>79</v>
      </c>
      <c r="C1540">
        <v>8</v>
      </c>
      <c r="D1540">
        <v>23</v>
      </c>
      <c r="E1540">
        <v>0</v>
      </c>
      <c r="F1540">
        <v>0</v>
      </c>
      <c r="G1540">
        <v>23</v>
      </c>
    </row>
    <row r="1541" spans="1:7" x14ac:dyDescent="0.25">
      <c r="A1541">
        <v>2023</v>
      </c>
      <c r="B1541">
        <v>23</v>
      </c>
      <c r="C1541">
        <v>5</v>
      </c>
      <c r="D1541">
        <v>20</v>
      </c>
      <c r="E1541">
        <v>15</v>
      </c>
      <c r="F1541">
        <v>0</v>
      </c>
      <c r="G1541">
        <v>35</v>
      </c>
    </row>
    <row r="1542" spans="1:7" x14ac:dyDescent="0.25">
      <c r="A1542">
        <v>2078</v>
      </c>
      <c r="B1542">
        <v>78</v>
      </c>
      <c r="C1542">
        <v>8</v>
      </c>
      <c r="D1542">
        <v>4</v>
      </c>
      <c r="E1542">
        <v>4</v>
      </c>
      <c r="F1542">
        <v>1</v>
      </c>
      <c r="G1542">
        <v>9</v>
      </c>
    </row>
    <row r="1543" spans="1:7" x14ac:dyDescent="0.25">
      <c r="A1543">
        <v>2139</v>
      </c>
      <c r="B1543">
        <v>139</v>
      </c>
      <c r="C1543">
        <v>6</v>
      </c>
      <c r="D1543">
        <v>32</v>
      </c>
      <c r="E1543">
        <v>19</v>
      </c>
      <c r="F1543">
        <v>0</v>
      </c>
      <c r="G1543">
        <v>51</v>
      </c>
    </row>
    <row r="1544" spans="1:7" x14ac:dyDescent="0.25">
      <c r="A1544">
        <v>2007</v>
      </c>
      <c r="B1544">
        <v>7</v>
      </c>
      <c r="C1544">
        <v>8</v>
      </c>
      <c r="D1544">
        <v>0</v>
      </c>
      <c r="E1544">
        <v>4</v>
      </c>
      <c r="F1544">
        <v>1</v>
      </c>
      <c r="G1544">
        <v>5</v>
      </c>
    </row>
    <row r="1545" spans="1:7" x14ac:dyDescent="0.25">
      <c r="A1545">
        <v>1078</v>
      </c>
      <c r="B1545">
        <v>78</v>
      </c>
      <c r="C1545">
        <v>8</v>
      </c>
      <c r="D1545">
        <v>13</v>
      </c>
      <c r="E1545">
        <v>7</v>
      </c>
      <c r="F1545">
        <v>0</v>
      </c>
      <c r="G1545">
        <v>20</v>
      </c>
    </row>
    <row r="1546" spans="1:7" x14ac:dyDescent="0.25">
      <c r="A1546">
        <v>1023</v>
      </c>
      <c r="B1546">
        <v>23</v>
      </c>
      <c r="C1546">
        <v>5</v>
      </c>
      <c r="D1546">
        <v>19</v>
      </c>
      <c r="E1546">
        <v>1</v>
      </c>
      <c r="F1546">
        <v>0</v>
      </c>
      <c r="G1546">
        <v>20</v>
      </c>
    </row>
    <row r="1547" spans="1:7" x14ac:dyDescent="0.25">
      <c r="A1547">
        <v>2077</v>
      </c>
      <c r="B1547">
        <v>77</v>
      </c>
      <c r="C1547">
        <v>8</v>
      </c>
      <c r="D1547">
        <v>12</v>
      </c>
      <c r="E1547">
        <v>8</v>
      </c>
      <c r="F1547">
        <v>0</v>
      </c>
      <c r="G1547">
        <v>20</v>
      </c>
    </row>
    <row r="1548" spans="1:7" x14ac:dyDescent="0.25">
      <c r="A1548">
        <v>2120</v>
      </c>
      <c r="B1548">
        <v>120</v>
      </c>
      <c r="C1548">
        <v>7</v>
      </c>
      <c r="D1548">
        <v>5</v>
      </c>
      <c r="E1548">
        <v>14</v>
      </c>
      <c r="F1548">
        <v>0</v>
      </c>
      <c r="G1548">
        <v>19</v>
      </c>
    </row>
    <row r="1549" spans="1:7" x14ac:dyDescent="0.25">
      <c r="A1549">
        <v>1022</v>
      </c>
      <c r="B1549">
        <v>22</v>
      </c>
      <c r="C1549">
        <v>5</v>
      </c>
      <c r="D1549">
        <v>1</v>
      </c>
      <c r="E1549">
        <v>19</v>
      </c>
      <c r="F1549">
        <v>0</v>
      </c>
      <c r="G1549">
        <v>20</v>
      </c>
    </row>
    <row r="1550" spans="1:7" x14ac:dyDescent="0.25">
      <c r="A1550">
        <v>1077</v>
      </c>
      <c r="B1550">
        <v>77</v>
      </c>
      <c r="C1550">
        <v>8</v>
      </c>
      <c r="D1550">
        <v>9</v>
      </c>
      <c r="E1550">
        <v>8</v>
      </c>
      <c r="F1550">
        <v>0</v>
      </c>
      <c r="G1550">
        <v>17</v>
      </c>
    </row>
    <row r="1551" spans="1:7" x14ac:dyDescent="0.25">
      <c r="A1551">
        <v>1120</v>
      </c>
      <c r="B1551">
        <v>120</v>
      </c>
      <c r="C1551">
        <v>7</v>
      </c>
      <c r="D1551">
        <v>5</v>
      </c>
      <c r="E1551">
        <v>14</v>
      </c>
      <c r="F1551">
        <v>0</v>
      </c>
      <c r="G1551">
        <v>19</v>
      </c>
    </row>
    <row r="1552" spans="1:7" x14ac:dyDescent="0.25">
      <c r="A1552">
        <v>1008</v>
      </c>
      <c r="B1552">
        <v>8</v>
      </c>
      <c r="C1552">
        <v>8</v>
      </c>
      <c r="D1552">
        <v>11</v>
      </c>
      <c r="E1552">
        <v>20</v>
      </c>
      <c r="F1552">
        <v>0</v>
      </c>
      <c r="G1552">
        <v>31</v>
      </c>
    </row>
    <row r="1553" spans="1:7" x14ac:dyDescent="0.25">
      <c r="A1553">
        <v>2001</v>
      </c>
      <c r="B1553">
        <v>1</v>
      </c>
      <c r="C1553">
        <v>8</v>
      </c>
      <c r="D1553">
        <v>15</v>
      </c>
      <c r="E1553">
        <v>5</v>
      </c>
      <c r="F1553">
        <v>0</v>
      </c>
      <c r="G1553">
        <v>20</v>
      </c>
    </row>
    <row r="1554" spans="1:7" x14ac:dyDescent="0.25">
      <c r="A1554">
        <v>1116</v>
      </c>
      <c r="B1554">
        <v>116</v>
      </c>
      <c r="C1554">
        <v>7</v>
      </c>
      <c r="D1554">
        <v>3</v>
      </c>
      <c r="E1554">
        <v>0</v>
      </c>
      <c r="F1554">
        <v>0</v>
      </c>
      <c r="G1554">
        <v>3</v>
      </c>
    </row>
    <row r="1555" spans="1:7" x14ac:dyDescent="0.25">
      <c r="A1555">
        <v>2007</v>
      </c>
      <c r="B1555">
        <v>7</v>
      </c>
      <c r="C1555">
        <v>7</v>
      </c>
      <c r="D1555">
        <v>11</v>
      </c>
      <c r="E1555">
        <v>20</v>
      </c>
      <c r="F1555">
        <v>1</v>
      </c>
      <c r="G1555">
        <v>32</v>
      </c>
    </row>
    <row r="1556" spans="1:7" x14ac:dyDescent="0.25">
      <c r="A1556">
        <v>4075</v>
      </c>
      <c r="B1556">
        <v>75</v>
      </c>
      <c r="C1556">
        <v>8</v>
      </c>
      <c r="D1556">
        <v>8</v>
      </c>
      <c r="E1556">
        <v>8</v>
      </c>
      <c r="F1556">
        <v>0</v>
      </c>
      <c r="G1556">
        <v>16</v>
      </c>
    </row>
    <row r="1557" spans="1:7" x14ac:dyDescent="0.25">
      <c r="A1557">
        <v>2116</v>
      </c>
      <c r="B1557">
        <v>116</v>
      </c>
      <c r="C1557">
        <v>7</v>
      </c>
      <c r="D1557">
        <v>2</v>
      </c>
      <c r="E1557">
        <v>7</v>
      </c>
      <c r="F1557">
        <v>0</v>
      </c>
      <c r="G1557">
        <v>9</v>
      </c>
    </row>
    <row r="1558" spans="1:7" x14ac:dyDescent="0.25">
      <c r="A1558">
        <v>2060</v>
      </c>
      <c r="B1558">
        <v>60</v>
      </c>
      <c r="C1558">
        <v>5</v>
      </c>
      <c r="D1558">
        <v>8</v>
      </c>
      <c r="E1558">
        <v>5</v>
      </c>
      <c r="F1558">
        <v>0</v>
      </c>
      <c r="G1558">
        <v>13</v>
      </c>
    </row>
    <row r="1559" spans="1:7" x14ac:dyDescent="0.25">
      <c r="A1559">
        <v>1117</v>
      </c>
      <c r="B1559">
        <v>117</v>
      </c>
      <c r="C1559">
        <v>7</v>
      </c>
      <c r="D1559">
        <v>9</v>
      </c>
      <c r="E1559">
        <v>11</v>
      </c>
      <c r="F1559">
        <v>0</v>
      </c>
      <c r="G1559">
        <v>20</v>
      </c>
    </row>
    <row r="1560" spans="1:7" x14ac:dyDescent="0.25">
      <c r="A1560">
        <v>3075</v>
      </c>
      <c r="B1560">
        <v>75</v>
      </c>
      <c r="C1560">
        <v>8</v>
      </c>
      <c r="D1560">
        <v>4</v>
      </c>
      <c r="E1560">
        <v>13</v>
      </c>
      <c r="F1560">
        <v>0</v>
      </c>
      <c r="G1560">
        <v>17</v>
      </c>
    </row>
    <row r="1561" spans="1:7" x14ac:dyDescent="0.25">
      <c r="A1561">
        <v>2117</v>
      </c>
      <c r="B1561">
        <v>117</v>
      </c>
      <c r="C1561">
        <v>7</v>
      </c>
      <c r="D1561">
        <v>2</v>
      </c>
      <c r="E1561">
        <v>0</v>
      </c>
      <c r="F1561">
        <v>0</v>
      </c>
      <c r="G1561">
        <v>2</v>
      </c>
    </row>
    <row r="1562" spans="1:7" x14ac:dyDescent="0.25">
      <c r="A1562">
        <v>4021</v>
      </c>
      <c r="B1562">
        <v>21</v>
      </c>
      <c r="C1562">
        <v>5</v>
      </c>
      <c r="D1562">
        <v>7</v>
      </c>
      <c r="E1562">
        <v>8</v>
      </c>
      <c r="F1562">
        <v>0</v>
      </c>
      <c r="G1562">
        <v>15</v>
      </c>
    </row>
    <row r="1563" spans="1:7" x14ac:dyDescent="0.25">
      <c r="A1563">
        <v>2118</v>
      </c>
      <c r="B1563">
        <v>118</v>
      </c>
      <c r="C1563">
        <v>7</v>
      </c>
      <c r="D1563">
        <v>5</v>
      </c>
      <c r="E1563">
        <v>2</v>
      </c>
      <c r="F1563">
        <v>0</v>
      </c>
      <c r="G1563">
        <v>7</v>
      </c>
    </row>
    <row r="1564" spans="1:7" x14ac:dyDescent="0.25">
      <c r="A1564">
        <v>1118</v>
      </c>
      <c r="B1564">
        <v>118</v>
      </c>
      <c r="C1564">
        <v>7</v>
      </c>
      <c r="D1564">
        <v>11</v>
      </c>
      <c r="E1564">
        <v>22</v>
      </c>
      <c r="F1564">
        <v>0</v>
      </c>
      <c r="G1564">
        <v>33</v>
      </c>
    </row>
    <row r="1565" spans="1:7" x14ac:dyDescent="0.25">
      <c r="A1565">
        <v>4118</v>
      </c>
      <c r="B1565">
        <v>118</v>
      </c>
      <c r="C1565">
        <v>7</v>
      </c>
      <c r="D1565">
        <v>8</v>
      </c>
      <c r="E1565">
        <v>12</v>
      </c>
      <c r="F1565">
        <v>0</v>
      </c>
      <c r="G1565">
        <v>20</v>
      </c>
    </row>
    <row r="1566" spans="1:7" x14ac:dyDescent="0.25">
      <c r="A1566">
        <v>2095</v>
      </c>
      <c r="B1566">
        <v>95</v>
      </c>
      <c r="C1566">
        <v>5</v>
      </c>
      <c r="D1566">
        <v>1</v>
      </c>
      <c r="E1566">
        <v>17</v>
      </c>
      <c r="F1566">
        <v>1</v>
      </c>
      <c r="G1566">
        <v>19</v>
      </c>
    </row>
    <row r="1567" spans="1:7" x14ac:dyDescent="0.25">
      <c r="A1567">
        <v>2075</v>
      </c>
      <c r="B1567">
        <v>75</v>
      </c>
      <c r="C1567">
        <v>8</v>
      </c>
      <c r="D1567">
        <v>9</v>
      </c>
      <c r="E1567">
        <v>11</v>
      </c>
      <c r="F1567">
        <v>0</v>
      </c>
      <c r="G1567">
        <v>20</v>
      </c>
    </row>
    <row r="1568" spans="1:7" x14ac:dyDescent="0.25">
      <c r="A1568">
        <v>1075</v>
      </c>
      <c r="B1568">
        <v>75</v>
      </c>
      <c r="C1568">
        <v>8</v>
      </c>
      <c r="D1568">
        <v>0</v>
      </c>
      <c r="E1568">
        <v>25</v>
      </c>
      <c r="F1568">
        <v>0</v>
      </c>
      <c r="G1568">
        <v>25</v>
      </c>
    </row>
    <row r="1569" spans="1:7" x14ac:dyDescent="0.25">
      <c r="A1569">
        <v>3118</v>
      </c>
      <c r="B1569">
        <v>118</v>
      </c>
      <c r="C1569">
        <v>7</v>
      </c>
      <c r="D1569">
        <v>19</v>
      </c>
      <c r="E1569">
        <v>12</v>
      </c>
      <c r="F1569">
        <v>0</v>
      </c>
      <c r="G1569">
        <v>31</v>
      </c>
    </row>
    <row r="1570" spans="1:7" x14ac:dyDescent="0.25">
      <c r="A1570">
        <v>1080</v>
      </c>
      <c r="B1570">
        <v>80</v>
      </c>
      <c r="C1570">
        <v>7</v>
      </c>
      <c r="D1570">
        <v>12</v>
      </c>
      <c r="E1570">
        <v>8</v>
      </c>
      <c r="F1570">
        <v>0</v>
      </c>
      <c r="G1570">
        <v>20</v>
      </c>
    </row>
    <row r="1571" spans="1:7" x14ac:dyDescent="0.25">
      <c r="A1571">
        <v>5118</v>
      </c>
      <c r="B1571">
        <v>118</v>
      </c>
      <c r="C1571">
        <v>7</v>
      </c>
      <c r="D1571">
        <v>9</v>
      </c>
      <c r="E1571">
        <v>11</v>
      </c>
      <c r="F1571">
        <v>0</v>
      </c>
      <c r="G1571">
        <v>20</v>
      </c>
    </row>
    <row r="1572" spans="1:7" x14ac:dyDescent="0.25">
      <c r="A1572">
        <v>1022</v>
      </c>
      <c r="B1572">
        <v>22</v>
      </c>
      <c r="C1572">
        <v>6</v>
      </c>
      <c r="D1572">
        <v>1</v>
      </c>
      <c r="E1572">
        <v>19</v>
      </c>
      <c r="F1572">
        <v>0</v>
      </c>
      <c r="G1572">
        <v>20</v>
      </c>
    </row>
    <row r="1573" spans="1:7" x14ac:dyDescent="0.25">
      <c r="A1573">
        <v>1119</v>
      </c>
      <c r="B1573">
        <v>119</v>
      </c>
      <c r="C1573">
        <v>7</v>
      </c>
      <c r="D1573">
        <v>4</v>
      </c>
      <c r="E1573">
        <v>10</v>
      </c>
      <c r="F1573">
        <v>0</v>
      </c>
      <c r="G1573">
        <v>14</v>
      </c>
    </row>
    <row r="1574" spans="1:7" x14ac:dyDescent="0.25">
      <c r="A1574">
        <v>2095</v>
      </c>
      <c r="B1574">
        <v>95</v>
      </c>
      <c r="C1574">
        <v>6</v>
      </c>
      <c r="D1574">
        <v>4</v>
      </c>
      <c r="E1574">
        <v>13</v>
      </c>
      <c r="F1574">
        <v>2</v>
      </c>
      <c r="G1574">
        <v>19</v>
      </c>
    </row>
    <row r="1575" spans="1:7" x14ac:dyDescent="0.25">
      <c r="A1575">
        <v>2119</v>
      </c>
      <c r="B1575">
        <v>119</v>
      </c>
      <c r="C1575">
        <v>7</v>
      </c>
      <c r="D1575">
        <v>2</v>
      </c>
      <c r="E1575">
        <v>5</v>
      </c>
      <c r="F1575">
        <v>0</v>
      </c>
      <c r="G1575">
        <v>7</v>
      </c>
    </row>
    <row r="1576" spans="1:7" x14ac:dyDescent="0.25">
      <c r="A1576">
        <v>1075</v>
      </c>
      <c r="B1576">
        <v>75</v>
      </c>
      <c r="C1576">
        <v>7</v>
      </c>
      <c r="D1576">
        <v>0</v>
      </c>
      <c r="E1576">
        <v>25</v>
      </c>
      <c r="F1576">
        <v>0</v>
      </c>
      <c r="G1576">
        <v>25</v>
      </c>
    </row>
    <row r="1577" spans="1:7" x14ac:dyDescent="0.25">
      <c r="A1577">
        <v>1121</v>
      </c>
      <c r="B1577">
        <v>121</v>
      </c>
      <c r="C1577">
        <v>7</v>
      </c>
      <c r="D1577">
        <v>1</v>
      </c>
      <c r="E1577">
        <v>20</v>
      </c>
      <c r="F1577">
        <v>0</v>
      </c>
      <c r="G1577">
        <v>21</v>
      </c>
    </row>
    <row r="1578" spans="1:7" x14ac:dyDescent="0.25">
      <c r="A1578">
        <v>1073</v>
      </c>
      <c r="B1578">
        <v>73</v>
      </c>
      <c r="C1578">
        <v>2</v>
      </c>
      <c r="D1578">
        <v>14</v>
      </c>
      <c r="E1578">
        <v>6</v>
      </c>
      <c r="F1578">
        <v>0</v>
      </c>
      <c r="G1578">
        <v>20</v>
      </c>
    </row>
    <row r="1579" spans="1:7" x14ac:dyDescent="0.25">
      <c r="A1579">
        <v>1078</v>
      </c>
      <c r="B1579">
        <v>78</v>
      </c>
      <c r="C1579">
        <v>7</v>
      </c>
      <c r="D1579">
        <v>4</v>
      </c>
      <c r="E1579">
        <v>16</v>
      </c>
      <c r="F1579">
        <v>0</v>
      </c>
      <c r="G1579">
        <v>20</v>
      </c>
    </row>
    <row r="1580" spans="1:7" x14ac:dyDescent="0.25">
      <c r="A1580">
        <v>1036</v>
      </c>
      <c r="B1580">
        <v>36</v>
      </c>
      <c r="C1580">
        <v>8</v>
      </c>
      <c r="D1580">
        <v>13</v>
      </c>
      <c r="E1580">
        <v>7</v>
      </c>
      <c r="F1580">
        <v>0</v>
      </c>
      <c r="G1580">
        <v>20</v>
      </c>
    </row>
    <row r="1581" spans="1:7" x14ac:dyDescent="0.25">
      <c r="A1581">
        <v>3079</v>
      </c>
      <c r="B1581">
        <v>79</v>
      </c>
      <c r="C1581">
        <v>7</v>
      </c>
      <c r="D1581">
        <v>15</v>
      </c>
      <c r="E1581">
        <v>5</v>
      </c>
      <c r="F1581">
        <v>0</v>
      </c>
      <c r="G1581">
        <v>20</v>
      </c>
    </row>
    <row r="1582" spans="1:7" x14ac:dyDescent="0.25">
      <c r="A1582">
        <v>1058</v>
      </c>
      <c r="B1582">
        <v>58</v>
      </c>
      <c r="C1582">
        <v>8</v>
      </c>
      <c r="D1582">
        <v>15</v>
      </c>
      <c r="E1582">
        <v>5</v>
      </c>
      <c r="F1582">
        <v>0</v>
      </c>
      <c r="G1582">
        <v>20</v>
      </c>
    </row>
    <row r="1583" spans="1:7" x14ac:dyDescent="0.25">
      <c r="A1583">
        <v>2079</v>
      </c>
      <c r="B1583">
        <v>79</v>
      </c>
      <c r="C1583">
        <v>7</v>
      </c>
      <c r="D1583">
        <v>6</v>
      </c>
      <c r="E1583">
        <v>8</v>
      </c>
      <c r="F1583">
        <v>0</v>
      </c>
      <c r="G1583">
        <v>14</v>
      </c>
    </row>
    <row r="1584" spans="1:7" x14ac:dyDescent="0.25">
      <c r="A1584">
        <v>1065</v>
      </c>
      <c r="B1584">
        <v>65</v>
      </c>
      <c r="C1584">
        <v>8</v>
      </c>
      <c r="D1584">
        <v>10</v>
      </c>
      <c r="E1584">
        <v>11</v>
      </c>
      <c r="F1584">
        <v>0</v>
      </c>
      <c r="G1584">
        <v>21</v>
      </c>
    </row>
    <row r="1585" spans="1:7" x14ac:dyDescent="0.25">
      <c r="A1585">
        <v>2077</v>
      </c>
      <c r="B1585">
        <v>77</v>
      </c>
      <c r="C1585">
        <v>7</v>
      </c>
      <c r="D1585">
        <v>15</v>
      </c>
      <c r="E1585">
        <v>5</v>
      </c>
      <c r="F1585">
        <v>0</v>
      </c>
      <c r="G1585">
        <v>20</v>
      </c>
    </row>
    <row r="1586" spans="1:7" x14ac:dyDescent="0.25">
      <c r="A1586">
        <v>2063</v>
      </c>
      <c r="B1586">
        <v>63</v>
      </c>
      <c r="C1586">
        <v>8</v>
      </c>
      <c r="D1586">
        <v>9</v>
      </c>
      <c r="E1586">
        <v>12</v>
      </c>
      <c r="F1586">
        <v>0</v>
      </c>
      <c r="G1586">
        <v>21</v>
      </c>
    </row>
    <row r="1587" spans="1:7" x14ac:dyDescent="0.25">
      <c r="A1587">
        <v>2078</v>
      </c>
      <c r="B1587">
        <v>78</v>
      </c>
      <c r="C1587">
        <v>7</v>
      </c>
      <c r="D1587">
        <v>4</v>
      </c>
      <c r="E1587">
        <v>3</v>
      </c>
      <c r="F1587">
        <v>0</v>
      </c>
      <c r="G1587">
        <v>7</v>
      </c>
    </row>
    <row r="1588" spans="1:7" x14ac:dyDescent="0.25">
      <c r="A1588">
        <v>3064</v>
      </c>
      <c r="B1588">
        <v>64</v>
      </c>
      <c r="C1588">
        <v>8</v>
      </c>
      <c r="D1588">
        <v>14</v>
      </c>
      <c r="E1588">
        <v>5</v>
      </c>
      <c r="F1588">
        <v>1</v>
      </c>
      <c r="G1588">
        <v>20</v>
      </c>
    </row>
    <row r="1589" spans="1:7" x14ac:dyDescent="0.25">
      <c r="A1589">
        <v>1079</v>
      </c>
      <c r="B1589">
        <v>79</v>
      </c>
      <c r="C1589">
        <v>7</v>
      </c>
      <c r="D1589">
        <v>15</v>
      </c>
      <c r="E1589">
        <v>4</v>
      </c>
      <c r="F1589">
        <v>0</v>
      </c>
      <c r="G1589">
        <v>19</v>
      </c>
    </row>
    <row r="1590" spans="1:7" x14ac:dyDescent="0.25">
      <c r="A1590">
        <v>1077</v>
      </c>
      <c r="B1590">
        <v>77</v>
      </c>
      <c r="C1590">
        <v>7</v>
      </c>
      <c r="D1590">
        <v>7</v>
      </c>
      <c r="E1590">
        <v>14</v>
      </c>
      <c r="F1590">
        <v>0</v>
      </c>
      <c r="G1590">
        <v>21</v>
      </c>
    </row>
    <row r="1591" spans="1:7" x14ac:dyDescent="0.25">
      <c r="A1591">
        <v>2060</v>
      </c>
      <c r="B1591">
        <v>60</v>
      </c>
      <c r="C1591">
        <v>7</v>
      </c>
      <c r="D1591">
        <v>7</v>
      </c>
      <c r="E1591">
        <v>5</v>
      </c>
      <c r="F1591">
        <v>0</v>
      </c>
      <c r="G1591">
        <v>12</v>
      </c>
    </row>
    <row r="1592" spans="1:7" x14ac:dyDescent="0.25">
      <c r="A1592">
        <v>2075</v>
      </c>
      <c r="B1592">
        <v>75</v>
      </c>
      <c r="C1592">
        <v>7</v>
      </c>
      <c r="D1592">
        <v>10</v>
      </c>
      <c r="E1592">
        <v>10</v>
      </c>
      <c r="F1592">
        <v>0</v>
      </c>
      <c r="G1592">
        <v>20</v>
      </c>
    </row>
    <row r="1593" spans="1:7" x14ac:dyDescent="0.25">
      <c r="A1593">
        <v>3067</v>
      </c>
      <c r="B1593">
        <v>67</v>
      </c>
      <c r="C1593">
        <v>2</v>
      </c>
      <c r="D1593">
        <v>25</v>
      </c>
      <c r="E1593">
        <v>6</v>
      </c>
      <c r="F1593">
        <v>0</v>
      </c>
      <c r="G1593">
        <v>31</v>
      </c>
    </row>
    <row r="1594" spans="1:7" x14ac:dyDescent="0.25">
      <c r="A1594">
        <v>2076</v>
      </c>
      <c r="B1594">
        <v>76</v>
      </c>
      <c r="C1594">
        <v>7</v>
      </c>
      <c r="D1594">
        <v>7</v>
      </c>
      <c r="E1594">
        <v>13</v>
      </c>
      <c r="F1594">
        <v>0</v>
      </c>
      <c r="G1594">
        <v>20</v>
      </c>
    </row>
    <row r="1595" spans="1:7" x14ac:dyDescent="0.25">
      <c r="A1595">
        <v>4075</v>
      </c>
      <c r="B1595">
        <v>75</v>
      </c>
      <c r="C1595">
        <v>7</v>
      </c>
      <c r="D1595">
        <v>10</v>
      </c>
      <c r="E1595">
        <v>5</v>
      </c>
      <c r="F1595">
        <v>0</v>
      </c>
      <c r="G1595">
        <v>15</v>
      </c>
    </row>
    <row r="1596" spans="1:7" x14ac:dyDescent="0.25">
      <c r="A1596">
        <v>2095</v>
      </c>
      <c r="B1596">
        <v>95</v>
      </c>
      <c r="C1596">
        <v>7</v>
      </c>
      <c r="D1596">
        <v>0</v>
      </c>
      <c r="E1596">
        <v>11</v>
      </c>
      <c r="F1596">
        <v>0</v>
      </c>
      <c r="G1596">
        <v>11</v>
      </c>
    </row>
    <row r="1597" spans="1:7" x14ac:dyDescent="0.25">
      <c r="A1597">
        <v>2067</v>
      </c>
      <c r="B1597">
        <v>67</v>
      </c>
      <c r="C1597">
        <v>8</v>
      </c>
      <c r="D1597">
        <v>9</v>
      </c>
      <c r="E1597">
        <v>11</v>
      </c>
      <c r="F1597">
        <v>0</v>
      </c>
      <c r="G1597">
        <v>20</v>
      </c>
    </row>
    <row r="1598" spans="1:7" x14ac:dyDescent="0.25">
      <c r="A1598">
        <v>1020</v>
      </c>
      <c r="B1598">
        <v>20</v>
      </c>
      <c r="C1598">
        <v>3</v>
      </c>
      <c r="D1598">
        <v>24</v>
      </c>
      <c r="E1598">
        <v>8</v>
      </c>
      <c r="F1598">
        <v>0</v>
      </c>
      <c r="G1598">
        <v>32</v>
      </c>
    </row>
    <row r="1599" spans="1:7" x14ac:dyDescent="0.25">
      <c r="A1599">
        <v>5075</v>
      </c>
      <c r="B1599">
        <v>75</v>
      </c>
      <c r="C1599">
        <v>7</v>
      </c>
      <c r="D1599">
        <v>13</v>
      </c>
      <c r="E1599">
        <v>7</v>
      </c>
      <c r="F1599">
        <v>0</v>
      </c>
      <c r="G1599">
        <v>20</v>
      </c>
    </row>
    <row r="1600" spans="1:7" x14ac:dyDescent="0.25">
      <c r="A1600">
        <v>2056</v>
      </c>
      <c r="B1600">
        <v>56</v>
      </c>
      <c r="C1600">
        <v>8</v>
      </c>
      <c r="D1600">
        <v>15</v>
      </c>
      <c r="E1600">
        <v>5</v>
      </c>
      <c r="F1600">
        <v>0</v>
      </c>
      <c r="G1600">
        <v>20</v>
      </c>
    </row>
    <row r="1601" spans="1:7" x14ac:dyDescent="0.25">
      <c r="A1601">
        <v>2063</v>
      </c>
      <c r="B1601">
        <v>63</v>
      </c>
      <c r="C1601">
        <v>7</v>
      </c>
      <c r="D1601">
        <v>0</v>
      </c>
      <c r="E1601">
        <v>20</v>
      </c>
      <c r="F1601">
        <v>0</v>
      </c>
      <c r="G1601">
        <v>20</v>
      </c>
    </row>
    <row r="1602" spans="1:7" x14ac:dyDescent="0.25">
      <c r="A1602">
        <v>2024</v>
      </c>
      <c r="B1602">
        <v>24</v>
      </c>
      <c r="C1602">
        <v>5</v>
      </c>
      <c r="D1602">
        <v>10</v>
      </c>
      <c r="E1602">
        <v>8</v>
      </c>
      <c r="F1602">
        <v>2</v>
      </c>
      <c r="G1602">
        <v>20</v>
      </c>
    </row>
    <row r="1603" spans="1:7" x14ac:dyDescent="0.25">
      <c r="A1603">
        <v>1094</v>
      </c>
      <c r="B1603">
        <v>94</v>
      </c>
      <c r="C1603">
        <v>8</v>
      </c>
      <c r="D1603">
        <v>10</v>
      </c>
      <c r="E1603">
        <v>6</v>
      </c>
      <c r="F1603">
        <v>0</v>
      </c>
      <c r="G1603">
        <v>16</v>
      </c>
    </row>
    <row r="1604" spans="1:7" x14ac:dyDescent="0.25">
      <c r="A1604">
        <v>2067</v>
      </c>
      <c r="B1604">
        <v>67</v>
      </c>
      <c r="C1604">
        <v>7</v>
      </c>
      <c r="D1604">
        <v>5</v>
      </c>
      <c r="E1604">
        <v>15</v>
      </c>
      <c r="F1604">
        <v>0</v>
      </c>
      <c r="G1604">
        <v>20</v>
      </c>
    </row>
    <row r="1605" spans="1:7" x14ac:dyDescent="0.25">
      <c r="A1605">
        <v>1067</v>
      </c>
      <c r="B1605">
        <v>67</v>
      </c>
      <c r="C1605">
        <v>7</v>
      </c>
      <c r="D1605">
        <v>15</v>
      </c>
      <c r="E1605">
        <v>5</v>
      </c>
      <c r="F1605">
        <v>0</v>
      </c>
      <c r="G1605">
        <v>20</v>
      </c>
    </row>
    <row r="1606" spans="1:7" x14ac:dyDescent="0.25">
      <c r="A1606">
        <v>2095</v>
      </c>
      <c r="B1606">
        <v>95</v>
      </c>
      <c r="C1606">
        <v>8</v>
      </c>
      <c r="D1606">
        <v>5</v>
      </c>
      <c r="E1606">
        <v>12</v>
      </c>
      <c r="F1606">
        <v>2</v>
      </c>
      <c r="G1606">
        <v>19</v>
      </c>
    </row>
    <row r="1607" spans="1:7" x14ac:dyDescent="0.25">
      <c r="A1607">
        <v>2012</v>
      </c>
      <c r="B1607">
        <v>12</v>
      </c>
      <c r="C1607">
        <v>8</v>
      </c>
      <c r="D1607">
        <v>2</v>
      </c>
      <c r="E1607">
        <v>19</v>
      </c>
      <c r="F1607">
        <v>0</v>
      </c>
      <c r="G1607">
        <v>21</v>
      </c>
    </row>
    <row r="1608" spans="1:7" x14ac:dyDescent="0.25">
      <c r="A1608">
        <v>1011</v>
      </c>
      <c r="B1608">
        <v>11</v>
      </c>
      <c r="C1608">
        <v>8</v>
      </c>
      <c r="D1608">
        <v>10</v>
      </c>
      <c r="E1608">
        <v>20</v>
      </c>
      <c r="F1608">
        <v>1</v>
      </c>
      <c r="G1608">
        <v>31</v>
      </c>
    </row>
    <row r="1609" spans="1:7" x14ac:dyDescent="0.25">
      <c r="A1609">
        <v>2069</v>
      </c>
      <c r="B1609">
        <v>69</v>
      </c>
      <c r="C1609">
        <v>7</v>
      </c>
      <c r="D1609">
        <v>20</v>
      </c>
      <c r="E1609">
        <v>0</v>
      </c>
      <c r="F1609">
        <v>0</v>
      </c>
      <c r="G1609">
        <v>20</v>
      </c>
    </row>
    <row r="1610" spans="1:7" x14ac:dyDescent="0.25">
      <c r="A1610">
        <v>2125</v>
      </c>
      <c r="B1610">
        <v>125</v>
      </c>
      <c r="C1610">
        <v>7</v>
      </c>
      <c r="D1610">
        <v>5</v>
      </c>
      <c r="E1610">
        <v>15</v>
      </c>
      <c r="F1610">
        <v>0</v>
      </c>
      <c r="G1610">
        <v>20</v>
      </c>
    </row>
    <row r="1611" spans="1:7" x14ac:dyDescent="0.25">
      <c r="A1611">
        <v>2057</v>
      </c>
      <c r="B1611">
        <v>57</v>
      </c>
      <c r="C1611">
        <v>8</v>
      </c>
      <c r="D1611">
        <v>9</v>
      </c>
      <c r="E1611">
        <v>6</v>
      </c>
      <c r="F1611">
        <v>4</v>
      </c>
      <c r="G1611">
        <v>19</v>
      </c>
    </row>
    <row r="1612" spans="1:7" x14ac:dyDescent="0.25">
      <c r="A1612">
        <v>1123</v>
      </c>
      <c r="B1612">
        <v>123</v>
      </c>
      <c r="C1612">
        <v>7</v>
      </c>
      <c r="D1612">
        <v>10</v>
      </c>
      <c r="E1612">
        <v>6</v>
      </c>
      <c r="F1612">
        <v>0</v>
      </c>
      <c r="G1612">
        <v>16</v>
      </c>
    </row>
    <row r="1613" spans="1:7" x14ac:dyDescent="0.25">
      <c r="A1613">
        <v>3064</v>
      </c>
      <c r="B1613">
        <v>64</v>
      </c>
      <c r="C1613">
        <v>7</v>
      </c>
      <c r="D1613">
        <v>12</v>
      </c>
      <c r="E1613">
        <v>8</v>
      </c>
      <c r="F1613">
        <v>0</v>
      </c>
      <c r="G1613">
        <v>20</v>
      </c>
    </row>
    <row r="1614" spans="1:7" x14ac:dyDescent="0.25">
      <c r="A1614">
        <v>2124</v>
      </c>
      <c r="B1614">
        <v>124</v>
      </c>
      <c r="C1614">
        <v>7</v>
      </c>
      <c r="D1614">
        <v>7</v>
      </c>
      <c r="E1614">
        <v>10</v>
      </c>
      <c r="F1614">
        <v>0</v>
      </c>
      <c r="G1614">
        <v>17</v>
      </c>
    </row>
    <row r="1615" spans="1:7" x14ac:dyDescent="0.25">
      <c r="A1615">
        <v>4125</v>
      </c>
      <c r="B1615">
        <v>125</v>
      </c>
      <c r="C1615">
        <v>7</v>
      </c>
      <c r="D1615">
        <v>0</v>
      </c>
      <c r="E1615">
        <v>18</v>
      </c>
      <c r="F1615">
        <v>2</v>
      </c>
      <c r="G1615">
        <v>20</v>
      </c>
    </row>
    <row r="1616" spans="1:7" x14ac:dyDescent="0.25">
      <c r="A1616">
        <v>2134</v>
      </c>
      <c r="B1616">
        <v>134</v>
      </c>
      <c r="C1616">
        <v>6</v>
      </c>
      <c r="D1616">
        <v>9</v>
      </c>
      <c r="E1616">
        <v>5</v>
      </c>
      <c r="F1616">
        <v>0</v>
      </c>
      <c r="G1616">
        <v>14</v>
      </c>
    </row>
    <row r="1617" spans="1:7" x14ac:dyDescent="0.25">
      <c r="A1617">
        <v>2095</v>
      </c>
      <c r="B1617">
        <v>95</v>
      </c>
      <c r="C1617">
        <v>4</v>
      </c>
      <c r="D1617">
        <v>0</v>
      </c>
      <c r="E1617">
        <v>15</v>
      </c>
      <c r="F1617">
        <v>3</v>
      </c>
      <c r="G1617">
        <v>18</v>
      </c>
    </row>
    <row r="1618" spans="1:7" x14ac:dyDescent="0.25">
      <c r="A1618">
        <v>3125</v>
      </c>
      <c r="B1618">
        <v>125</v>
      </c>
      <c r="C1618">
        <v>7</v>
      </c>
      <c r="D1618">
        <v>9</v>
      </c>
      <c r="E1618">
        <v>14</v>
      </c>
      <c r="F1618">
        <v>0</v>
      </c>
      <c r="G1618">
        <v>23</v>
      </c>
    </row>
    <row r="1619" spans="1:7" x14ac:dyDescent="0.25">
      <c r="A1619">
        <v>2065</v>
      </c>
      <c r="B1619">
        <v>65</v>
      </c>
      <c r="C1619">
        <v>7</v>
      </c>
      <c r="D1619">
        <v>7</v>
      </c>
      <c r="E1619">
        <v>4</v>
      </c>
      <c r="F1619">
        <v>0</v>
      </c>
      <c r="G1619">
        <v>11</v>
      </c>
    </row>
    <row r="1620" spans="1:7" x14ac:dyDescent="0.25">
      <c r="A1620">
        <v>1135</v>
      </c>
      <c r="B1620">
        <v>135</v>
      </c>
      <c r="C1620">
        <v>4</v>
      </c>
      <c r="D1620">
        <v>17</v>
      </c>
      <c r="E1620">
        <v>4</v>
      </c>
      <c r="F1620">
        <v>0</v>
      </c>
      <c r="G1620">
        <v>21</v>
      </c>
    </row>
    <row r="1621" spans="1:7" x14ac:dyDescent="0.25">
      <c r="A1621">
        <v>1125</v>
      </c>
      <c r="B1621">
        <v>125</v>
      </c>
      <c r="C1621">
        <v>7</v>
      </c>
      <c r="D1621">
        <v>12</v>
      </c>
      <c r="E1621">
        <v>10</v>
      </c>
      <c r="F1621">
        <v>0</v>
      </c>
      <c r="G1621">
        <v>22</v>
      </c>
    </row>
    <row r="1622" spans="1:7" x14ac:dyDescent="0.25">
      <c r="A1622">
        <v>2126</v>
      </c>
      <c r="B1622">
        <v>126</v>
      </c>
      <c r="C1622">
        <v>7</v>
      </c>
      <c r="D1622">
        <v>10</v>
      </c>
      <c r="E1622">
        <v>1</v>
      </c>
      <c r="F1622">
        <v>0</v>
      </c>
      <c r="G1622">
        <v>11</v>
      </c>
    </row>
    <row r="1623" spans="1:7" x14ac:dyDescent="0.25">
      <c r="A1623">
        <v>1066</v>
      </c>
      <c r="B1623">
        <v>66</v>
      </c>
      <c r="C1623">
        <v>7</v>
      </c>
      <c r="D1623">
        <v>5</v>
      </c>
      <c r="E1623">
        <v>15</v>
      </c>
      <c r="F1623">
        <v>0</v>
      </c>
      <c r="G1623">
        <v>20</v>
      </c>
    </row>
    <row r="1624" spans="1:7" x14ac:dyDescent="0.25">
      <c r="A1624">
        <v>1065</v>
      </c>
      <c r="B1624">
        <v>65</v>
      </c>
      <c r="C1624">
        <v>7</v>
      </c>
      <c r="D1624">
        <v>18</v>
      </c>
      <c r="E1624">
        <v>14</v>
      </c>
      <c r="F1624">
        <v>0</v>
      </c>
      <c r="G1624">
        <v>32</v>
      </c>
    </row>
    <row r="1625" spans="1:7" x14ac:dyDescent="0.25">
      <c r="A1625">
        <v>1135</v>
      </c>
      <c r="B1625">
        <v>135</v>
      </c>
      <c r="C1625">
        <v>5</v>
      </c>
      <c r="D1625">
        <v>9</v>
      </c>
      <c r="E1625">
        <v>12</v>
      </c>
      <c r="F1625">
        <v>0</v>
      </c>
      <c r="G1625">
        <v>21</v>
      </c>
    </row>
    <row r="1626" spans="1:7" x14ac:dyDescent="0.25">
      <c r="A1626">
        <v>2127</v>
      </c>
      <c r="B1626">
        <v>127</v>
      </c>
      <c r="C1626">
        <v>7</v>
      </c>
      <c r="D1626">
        <v>3</v>
      </c>
      <c r="E1626">
        <v>17</v>
      </c>
      <c r="F1626">
        <v>0</v>
      </c>
      <c r="G1626">
        <v>20</v>
      </c>
    </row>
    <row r="1627" spans="1:7" x14ac:dyDescent="0.25">
      <c r="A1627">
        <v>2067</v>
      </c>
      <c r="B1627">
        <v>67</v>
      </c>
      <c r="C1627">
        <v>6</v>
      </c>
      <c r="D1627">
        <v>9</v>
      </c>
      <c r="E1627">
        <v>11</v>
      </c>
      <c r="F1627">
        <v>0</v>
      </c>
      <c r="G1627">
        <v>20</v>
      </c>
    </row>
    <row r="1628" spans="1:7" x14ac:dyDescent="0.25">
      <c r="A1628">
        <v>1126</v>
      </c>
      <c r="B1628">
        <v>126</v>
      </c>
      <c r="C1628">
        <v>7</v>
      </c>
      <c r="D1628">
        <v>5</v>
      </c>
      <c r="E1628">
        <v>6</v>
      </c>
      <c r="F1628">
        <v>0</v>
      </c>
      <c r="G1628">
        <v>11</v>
      </c>
    </row>
    <row r="1629" spans="1:7" x14ac:dyDescent="0.25">
      <c r="A1629">
        <v>2065</v>
      </c>
      <c r="B1629">
        <v>65</v>
      </c>
      <c r="C1629">
        <v>6</v>
      </c>
      <c r="D1629">
        <v>9</v>
      </c>
      <c r="E1629">
        <v>4</v>
      </c>
      <c r="F1629">
        <v>0</v>
      </c>
      <c r="G1629">
        <v>13</v>
      </c>
    </row>
    <row r="1630" spans="1:7" x14ac:dyDescent="0.25">
      <c r="A1630">
        <v>2012</v>
      </c>
      <c r="B1630">
        <v>12</v>
      </c>
      <c r="C1630">
        <v>9</v>
      </c>
      <c r="D1630">
        <v>8</v>
      </c>
      <c r="E1630">
        <v>9</v>
      </c>
      <c r="F1630">
        <v>1</v>
      </c>
      <c r="G1630">
        <v>18</v>
      </c>
    </row>
    <row r="1631" spans="1:7" x14ac:dyDescent="0.25">
      <c r="A1631">
        <v>1139</v>
      </c>
      <c r="B1631">
        <v>139</v>
      </c>
      <c r="C1631">
        <v>6</v>
      </c>
      <c r="D1631">
        <v>8</v>
      </c>
      <c r="E1631">
        <v>1</v>
      </c>
      <c r="F1631">
        <v>1</v>
      </c>
      <c r="G1631">
        <v>10</v>
      </c>
    </row>
    <row r="1632" spans="1:7" x14ac:dyDescent="0.25">
      <c r="A1632">
        <v>1053</v>
      </c>
      <c r="B1632">
        <v>53</v>
      </c>
      <c r="C1632">
        <v>8</v>
      </c>
      <c r="D1632">
        <v>6</v>
      </c>
      <c r="E1632">
        <v>2</v>
      </c>
      <c r="F1632">
        <v>0</v>
      </c>
      <c r="G1632">
        <v>8</v>
      </c>
    </row>
    <row r="1633" spans="1:7" x14ac:dyDescent="0.25">
      <c r="A1633">
        <v>1055</v>
      </c>
      <c r="B1633">
        <v>55</v>
      </c>
      <c r="C1633">
        <v>8</v>
      </c>
      <c r="D1633">
        <v>12</v>
      </c>
      <c r="E1633">
        <v>8</v>
      </c>
      <c r="F1633">
        <v>0</v>
      </c>
      <c r="G1633">
        <v>20</v>
      </c>
    </row>
    <row r="1634" spans="1:7" x14ac:dyDescent="0.25">
      <c r="A1634">
        <v>1094</v>
      </c>
      <c r="B1634">
        <v>94</v>
      </c>
      <c r="C1634">
        <v>7</v>
      </c>
      <c r="D1634">
        <v>0</v>
      </c>
      <c r="E1634">
        <v>10</v>
      </c>
      <c r="F1634">
        <v>0</v>
      </c>
      <c r="G1634">
        <v>10</v>
      </c>
    </row>
    <row r="1635" spans="1:7" x14ac:dyDescent="0.25">
      <c r="A1635">
        <v>1145</v>
      </c>
      <c r="B1635">
        <v>145</v>
      </c>
      <c r="C1635">
        <v>8</v>
      </c>
      <c r="D1635">
        <v>2</v>
      </c>
      <c r="E1635">
        <v>12</v>
      </c>
      <c r="F1635">
        <v>0</v>
      </c>
      <c r="G1635">
        <v>14</v>
      </c>
    </row>
    <row r="1636" spans="1:7" x14ac:dyDescent="0.25">
      <c r="A1636">
        <v>2054</v>
      </c>
      <c r="B1636">
        <v>54</v>
      </c>
      <c r="C1636">
        <v>7</v>
      </c>
      <c r="D1636">
        <v>15</v>
      </c>
      <c r="E1636">
        <v>5</v>
      </c>
      <c r="F1636">
        <v>0</v>
      </c>
      <c r="G1636">
        <v>20</v>
      </c>
    </row>
    <row r="1637" spans="1:7" x14ac:dyDescent="0.25">
      <c r="A1637">
        <v>1011</v>
      </c>
      <c r="B1637">
        <v>11</v>
      </c>
      <c r="C1637">
        <v>9</v>
      </c>
      <c r="D1637">
        <v>8</v>
      </c>
      <c r="E1637">
        <v>15</v>
      </c>
      <c r="F1637">
        <v>6</v>
      </c>
      <c r="G1637">
        <v>29</v>
      </c>
    </row>
    <row r="1638" spans="1:7" x14ac:dyDescent="0.25">
      <c r="A1638">
        <v>2148</v>
      </c>
      <c r="B1638">
        <v>148</v>
      </c>
      <c r="C1638">
        <v>7</v>
      </c>
      <c r="D1638">
        <v>10</v>
      </c>
      <c r="E1638">
        <v>0</v>
      </c>
      <c r="F1638">
        <v>0</v>
      </c>
      <c r="G1638">
        <v>10</v>
      </c>
    </row>
    <row r="1639" spans="1:7" x14ac:dyDescent="0.25">
      <c r="A1639">
        <v>1094</v>
      </c>
      <c r="B1639">
        <v>94</v>
      </c>
      <c r="C1639">
        <v>4</v>
      </c>
      <c r="D1639">
        <v>25</v>
      </c>
      <c r="E1639">
        <v>20</v>
      </c>
      <c r="F1639">
        <v>0</v>
      </c>
      <c r="G1639">
        <v>45</v>
      </c>
    </row>
    <row r="1640" spans="1:7" x14ac:dyDescent="0.25">
      <c r="A1640">
        <v>3042</v>
      </c>
      <c r="B1640">
        <v>42</v>
      </c>
      <c r="C1640">
        <v>8</v>
      </c>
      <c r="D1640">
        <v>10</v>
      </c>
      <c r="E1640">
        <v>14</v>
      </c>
      <c r="F1640">
        <v>0</v>
      </c>
      <c r="G1640">
        <v>24</v>
      </c>
    </row>
    <row r="1641" spans="1:7" x14ac:dyDescent="0.25">
      <c r="A1641">
        <v>1009</v>
      </c>
      <c r="B1641">
        <v>9</v>
      </c>
      <c r="C1641">
        <v>9</v>
      </c>
      <c r="D1641">
        <v>6</v>
      </c>
      <c r="E1641">
        <v>19</v>
      </c>
      <c r="F1641">
        <v>1</v>
      </c>
      <c r="G1641">
        <v>26</v>
      </c>
    </row>
    <row r="1642" spans="1:7" x14ac:dyDescent="0.25">
      <c r="A1642">
        <v>4042</v>
      </c>
      <c r="B1642">
        <v>42</v>
      </c>
      <c r="C1642">
        <v>8</v>
      </c>
      <c r="D1642">
        <v>3</v>
      </c>
      <c r="E1642">
        <v>17</v>
      </c>
      <c r="F1642">
        <v>0</v>
      </c>
      <c r="G1642">
        <v>20</v>
      </c>
    </row>
    <row r="1643" spans="1:7" x14ac:dyDescent="0.25">
      <c r="A1643">
        <v>1084</v>
      </c>
      <c r="B1643">
        <v>84</v>
      </c>
      <c r="C1643">
        <v>6</v>
      </c>
      <c r="D1643">
        <v>10</v>
      </c>
      <c r="E1643">
        <v>8</v>
      </c>
      <c r="F1643">
        <v>0</v>
      </c>
      <c r="G1643">
        <v>18</v>
      </c>
    </row>
    <row r="1644" spans="1:7" x14ac:dyDescent="0.25">
      <c r="A1644">
        <v>2066</v>
      </c>
      <c r="B1644">
        <v>66</v>
      </c>
      <c r="C1644">
        <v>8</v>
      </c>
      <c r="D1644">
        <v>13</v>
      </c>
      <c r="E1644">
        <v>7</v>
      </c>
      <c r="F1644">
        <v>0</v>
      </c>
      <c r="G1644">
        <v>20</v>
      </c>
    </row>
    <row r="1645" spans="1:7" x14ac:dyDescent="0.25">
      <c r="A1645">
        <v>5008</v>
      </c>
      <c r="B1645">
        <v>8</v>
      </c>
      <c r="C1645">
        <v>9</v>
      </c>
      <c r="D1645">
        <v>3</v>
      </c>
      <c r="E1645">
        <v>8</v>
      </c>
      <c r="F1645">
        <v>1</v>
      </c>
      <c r="G1645">
        <v>12</v>
      </c>
    </row>
    <row r="1646" spans="1:7" x14ac:dyDescent="0.25">
      <c r="A1646">
        <v>1042</v>
      </c>
      <c r="B1646">
        <v>42</v>
      </c>
      <c r="C1646">
        <v>2</v>
      </c>
      <c r="D1646">
        <v>6</v>
      </c>
      <c r="E1646">
        <v>9</v>
      </c>
      <c r="F1646">
        <v>0</v>
      </c>
      <c r="G1646">
        <v>15</v>
      </c>
    </row>
    <row r="1647" spans="1:7" x14ac:dyDescent="0.25">
      <c r="A1647">
        <v>3008</v>
      </c>
      <c r="B1647">
        <v>8</v>
      </c>
      <c r="C1647">
        <v>9</v>
      </c>
      <c r="D1647">
        <v>6</v>
      </c>
      <c r="E1647">
        <v>18</v>
      </c>
      <c r="F1647">
        <v>0</v>
      </c>
      <c r="G1647">
        <v>24</v>
      </c>
    </row>
    <row r="1648" spans="1:7" x14ac:dyDescent="0.25">
      <c r="A1648">
        <v>2065</v>
      </c>
      <c r="B1648">
        <v>65</v>
      </c>
      <c r="C1648">
        <v>8</v>
      </c>
      <c r="D1648">
        <v>10</v>
      </c>
      <c r="E1648">
        <v>6</v>
      </c>
      <c r="F1648">
        <v>0</v>
      </c>
      <c r="G1648">
        <v>16</v>
      </c>
    </row>
    <row r="1649" spans="1:7" x14ac:dyDescent="0.25">
      <c r="A1649">
        <v>1042</v>
      </c>
      <c r="B1649">
        <v>42</v>
      </c>
      <c r="C1649">
        <v>3</v>
      </c>
      <c r="D1649">
        <v>6</v>
      </c>
      <c r="E1649">
        <v>17</v>
      </c>
      <c r="F1649">
        <v>1</v>
      </c>
      <c r="G1649">
        <v>24</v>
      </c>
    </row>
    <row r="1650" spans="1:7" x14ac:dyDescent="0.25">
      <c r="A1650">
        <v>1028</v>
      </c>
      <c r="B1650">
        <v>28</v>
      </c>
      <c r="C1650">
        <v>11</v>
      </c>
      <c r="D1650">
        <v>6</v>
      </c>
      <c r="E1650">
        <v>3</v>
      </c>
      <c r="F1650">
        <v>0</v>
      </c>
      <c r="G1650">
        <v>9</v>
      </c>
    </row>
    <row r="1651" spans="1:7" x14ac:dyDescent="0.25">
      <c r="A1651">
        <v>2008</v>
      </c>
      <c r="B1651">
        <v>8</v>
      </c>
      <c r="C1651">
        <v>9</v>
      </c>
      <c r="D1651">
        <v>8</v>
      </c>
      <c r="E1651">
        <v>6</v>
      </c>
      <c r="F1651">
        <v>0</v>
      </c>
      <c r="G1651">
        <v>14</v>
      </c>
    </row>
    <row r="1652" spans="1:7" x14ac:dyDescent="0.25">
      <c r="A1652">
        <v>5048</v>
      </c>
      <c r="B1652">
        <v>48</v>
      </c>
      <c r="C1652">
        <v>10</v>
      </c>
      <c r="D1652">
        <v>17</v>
      </c>
      <c r="E1652">
        <v>3</v>
      </c>
      <c r="F1652">
        <v>0</v>
      </c>
      <c r="G1652">
        <v>20</v>
      </c>
    </row>
    <row r="1653" spans="1:7" x14ac:dyDescent="0.25">
      <c r="A1653">
        <v>2042</v>
      </c>
      <c r="B1653">
        <v>42</v>
      </c>
      <c r="C1653">
        <v>3</v>
      </c>
      <c r="D1653">
        <v>19</v>
      </c>
      <c r="E1653">
        <v>20</v>
      </c>
      <c r="F1653">
        <v>0</v>
      </c>
      <c r="G1653">
        <v>39</v>
      </c>
    </row>
    <row r="1654" spans="1:7" x14ac:dyDescent="0.25">
      <c r="A1654">
        <v>2062</v>
      </c>
      <c r="B1654">
        <v>62</v>
      </c>
      <c r="C1654">
        <v>8</v>
      </c>
      <c r="D1654">
        <v>13</v>
      </c>
      <c r="E1654">
        <v>7</v>
      </c>
      <c r="F1654">
        <v>0</v>
      </c>
      <c r="G1654">
        <v>20</v>
      </c>
    </row>
    <row r="1655" spans="1:7" x14ac:dyDescent="0.25">
      <c r="A1655">
        <v>2042</v>
      </c>
      <c r="B1655">
        <v>42</v>
      </c>
      <c r="C1655">
        <v>4</v>
      </c>
      <c r="D1655">
        <v>9</v>
      </c>
      <c r="E1655">
        <v>20</v>
      </c>
      <c r="F1655">
        <v>0</v>
      </c>
      <c r="G1655">
        <v>29</v>
      </c>
    </row>
    <row r="1656" spans="1:7" x14ac:dyDescent="0.25">
      <c r="A1656">
        <v>5061</v>
      </c>
      <c r="B1656">
        <v>61</v>
      </c>
      <c r="C1656">
        <v>8</v>
      </c>
      <c r="D1656">
        <v>17</v>
      </c>
      <c r="E1656">
        <v>3</v>
      </c>
      <c r="F1656">
        <v>0</v>
      </c>
      <c r="G1656">
        <v>20</v>
      </c>
    </row>
    <row r="1657" spans="1:7" x14ac:dyDescent="0.25">
      <c r="A1657">
        <v>2050</v>
      </c>
      <c r="B1657">
        <v>50</v>
      </c>
      <c r="C1657">
        <v>10</v>
      </c>
      <c r="D1657">
        <v>6</v>
      </c>
      <c r="E1657">
        <v>8</v>
      </c>
      <c r="F1657">
        <v>0</v>
      </c>
      <c r="G1657">
        <v>14</v>
      </c>
    </row>
    <row r="1658" spans="1:7" x14ac:dyDescent="0.25">
      <c r="A1658">
        <v>4061</v>
      </c>
      <c r="B1658">
        <v>61</v>
      </c>
      <c r="C1658">
        <v>8</v>
      </c>
      <c r="D1658">
        <v>13</v>
      </c>
      <c r="E1658">
        <v>0</v>
      </c>
      <c r="F1658">
        <v>0</v>
      </c>
      <c r="G1658">
        <v>13</v>
      </c>
    </row>
    <row r="1659" spans="1:7" x14ac:dyDescent="0.25">
      <c r="A1659">
        <v>2042</v>
      </c>
      <c r="B1659">
        <v>42</v>
      </c>
      <c r="C1659">
        <v>5</v>
      </c>
      <c r="D1659">
        <v>20</v>
      </c>
      <c r="E1659">
        <v>29</v>
      </c>
      <c r="F1659">
        <v>0</v>
      </c>
      <c r="G1659">
        <v>49</v>
      </c>
    </row>
    <row r="1660" spans="1:7" x14ac:dyDescent="0.25">
      <c r="A1660">
        <v>2051</v>
      </c>
      <c r="B1660">
        <v>51</v>
      </c>
      <c r="C1660">
        <v>10</v>
      </c>
      <c r="D1660">
        <v>20</v>
      </c>
      <c r="E1660">
        <v>0</v>
      </c>
      <c r="F1660">
        <v>0</v>
      </c>
      <c r="G1660">
        <v>20</v>
      </c>
    </row>
    <row r="1661" spans="1:7" x14ac:dyDescent="0.25">
      <c r="A1661">
        <v>1053</v>
      </c>
      <c r="B1661">
        <v>53</v>
      </c>
      <c r="C1661">
        <v>10</v>
      </c>
      <c r="D1661">
        <v>13</v>
      </c>
      <c r="E1661">
        <v>7</v>
      </c>
      <c r="F1661">
        <v>0</v>
      </c>
      <c r="G1661">
        <v>20</v>
      </c>
    </row>
    <row r="1662" spans="1:7" x14ac:dyDescent="0.25">
      <c r="A1662">
        <v>1007</v>
      </c>
      <c r="B1662">
        <v>7</v>
      </c>
      <c r="C1662">
        <v>9</v>
      </c>
      <c r="D1662">
        <v>3</v>
      </c>
      <c r="E1662">
        <v>9</v>
      </c>
      <c r="F1662">
        <v>1</v>
      </c>
      <c r="G1662">
        <v>13</v>
      </c>
    </row>
    <row r="1663" spans="1:7" x14ac:dyDescent="0.25">
      <c r="A1663">
        <v>1073</v>
      </c>
      <c r="B1663">
        <v>73</v>
      </c>
      <c r="C1663">
        <v>7</v>
      </c>
      <c r="D1663">
        <v>4</v>
      </c>
      <c r="E1663">
        <v>14</v>
      </c>
      <c r="F1663">
        <v>2</v>
      </c>
      <c r="G1663">
        <v>20</v>
      </c>
    </row>
    <row r="1664" spans="1:7" x14ac:dyDescent="0.25">
      <c r="A1664">
        <v>3042</v>
      </c>
      <c r="B1664">
        <v>42</v>
      </c>
      <c r="C1664">
        <v>3</v>
      </c>
      <c r="D1664">
        <v>10</v>
      </c>
      <c r="E1664">
        <v>25</v>
      </c>
      <c r="F1664">
        <v>1</v>
      </c>
      <c r="G1664">
        <v>36</v>
      </c>
    </row>
    <row r="1665" spans="1:7" x14ac:dyDescent="0.25">
      <c r="A1665">
        <v>2049</v>
      </c>
      <c r="B1665">
        <v>49</v>
      </c>
      <c r="C1665">
        <v>10</v>
      </c>
      <c r="D1665">
        <v>17</v>
      </c>
      <c r="E1665">
        <v>14</v>
      </c>
      <c r="F1665">
        <v>0</v>
      </c>
      <c r="G1665">
        <v>31</v>
      </c>
    </row>
    <row r="1666" spans="1:7" x14ac:dyDescent="0.25">
      <c r="A1666">
        <v>3042</v>
      </c>
      <c r="B1666">
        <v>42</v>
      </c>
      <c r="C1666">
        <v>4</v>
      </c>
      <c r="D1666">
        <v>11</v>
      </c>
      <c r="E1666">
        <v>10</v>
      </c>
      <c r="F1666">
        <v>0</v>
      </c>
      <c r="G1666">
        <v>21</v>
      </c>
    </row>
    <row r="1667" spans="1:7" x14ac:dyDescent="0.25">
      <c r="A1667">
        <v>2066</v>
      </c>
      <c r="B1667">
        <v>66</v>
      </c>
      <c r="C1667">
        <v>7</v>
      </c>
      <c r="D1667">
        <v>5</v>
      </c>
      <c r="E1667">
        <v>15</v>
      </c>
      <c r="F1667">
        <v>0</v>
      </c>
      <c r="G1667">
        <v>20</v>
      </c>
    </row>
    <row r="1668" spans="1:7" x14ac:dyDescent="0.25">
      <c r="A1668">
        <v>2096</v>
      </c>
      <c r="B1668">
        <v>96</v>
      </c>
      <c r="C1668">
        <v>10</v>
      </c>
      <c r="D1668">
        <v>14</v>
      </c>
      <c r="E1668">
        <v>6</v>
      </c>
      <c r="F1668">
        <v>0</v>
      </c>
      <c r="G1668">
        <v>20</v>
      </c>
    </row>
    <row r="1669" spans="1:7" x14ac:dyDescent="0.25">
      <c r="A1669">
        <v>3042</v>
      </c>
      <c r="B1669">
        <v>42</v>
      </c>
      <c r="C1669">
        <v>5</v>
      </c>
      <c r="D1669">
        <v>2</v>
      </c>
      <c r="E1669">
        <v>22</v>
      </c>
      <c r="F1669">
        <v>0</v>
      </c>
      <c r="G1669">
        <v>24</v>
      </c>
    </row>
    <row r="1670" spans="1:7" x14ac:dyDescent="0.25">
      <c r="A1670">
        <v>1054</v>
      </c>
      <c r="B1670">
        <v>54</v>
      </c>
      <c r="C1670">
        <v>10</v>
      </c>
      <c r="D1670">
        <v>17</v>
      </c>
      <c r="E1670">
        <v>9</v>
      </c>
      <c r="F1670">
        <v>0</v>
      </c>
      <c r="G1670">
        <v>26</v>
      </c>
    </row>
    <row r="1671" spans="1:7" x14ac:dyDescent="0.25">
      <c r="A1671">
        <v>2095</v>
      </c>
      <c r="B1671">
        <v>95</v>
      </c>
      <c r="C1671">
        <v>10</v>
      </c>
      <c r="D1671">
        <v>1</v>
      </c>
      <c r="E1671">
        <v>19</v>
      </c>
      <c r="F1671">
        <v>0</v>
      </c>
      <c r="G1671">
        <v>20</v>
      </c>
    </row>
    <row r="1672" spans="1:7" x14ac:dyDescent="0.25">
      <c r="A1672">
        <v>1029</v>
      </c>
      <c r="B1672">
        <v>29</v>
      </c>
      <c r="C1672">
        <v>4</v>
      </c>
      <c r="D1672">
        <v>17</v>
      </c>
      <c r="E1672">
        <v>6</v>
      </c>
      <c r="F1672">
        <v>0</v>
      </c>
      <c r="G1672">
        <v>23</v>
      </c>
    </row>
    <row r="1673" spans="1:7" x14ac:dyDescent="0.25">
      <c r="A1673">
        <v>2007</v>
      </c>
      <c r="B1673">
        <v>7</v>
      </c>
      <c r="C1673">
        <v>9</v>
      </c>
      <c r="D1673">
        <v>2</v>
      </c>
      <c r="E1673">
        <v>11</v>
      </c>
      <c r="F1673">
        <v>1</v>
      </c>
      <c r="G1673">
        <v>14</v>
      </c>
    </row>
    <row r="1674" spans="1:7" x14ac:dyDescent="0.25">
      <c r="A1674">
        <v>2153</v>
      </c>
      <c r="B1674">
        <v>153</v>
      </c>
      <c r="C1674">
        <v>10</v>
      </c>
      <c r="D1674">
        <v>4</v>
      </c>
      <c r="E1674">
        <v>11</v>
      </c>
      <c r="F1674">
        <v>0</v>
      </c>
      <c r="G1674">
        <v>15</v>
      </c>
    </row>
    <row r="1675" spans="1:7" x14ac:dyDescent="0.25">
      <c r="A1675">
        <v>2029</v>
      </c>
      <c r="B1675">
        <v>29</v>
      </c>
      <c r="C1675">
        <v>4</v>
      </c>
      <c r="D1675">
        <v>20</v>
      </c>
      <c r="E1675">
        <v>10</v>
      </c>
      <c r="F1675">
        <v>0</v>
      </c>
      <c r="G1675">
        <v>30</v>
      </c>
    </row>
    <row r="1676" spans="1:7" x14ac:dyDescent="0.25">
      <c r="A1676">
        <v>1008</v>
      </c>
      <c r="B1676">
        <v>8</v>
      </c>
      <c r="C1676">
        <v>9</v>
      </c>
      <c r="D1676">
        <v>9</v>
      </c>
      <c r="E1676">
        <v>15</v>
      </c>
      <c r="F1676">
        <v>3</v>
      </c>
      <c r="G1676">
        <v>27</v>
      </c>
    </row>
    <row r="1677" spans="1:7" x14ac:dyDescent="0.25">
      <c r="A1677">
        <v>2028</v>
      </c>
      <c r="B1677">
        <v>28</v>
      </c>
      <c r="C1677">
        <v>10</v>
      </c>
      <c r="D1677">
        <v>5</v>
      </c>
      <c r="E1677">
        <v>7</v>
      </c>
      <c r="F1677">
        <v>0</v>
      </c>
      <c r="G1677">
        <v>12</v>
      </c>
    </row>
    <row r="1678" spans="1:7" x14ac:dyDescent="0.25">
      <c r="A1678">
        <v>1001</v>
      </c>
      <c r="B1678">
        <v>1</v>
      </c>
      <c r="C1678">
        <v>7</v>
      </c>
      <c r="D1678">
        <v>10</v>
      </c>
      <c r="E1678">
        <v>9</v>
      </c>
      <c r="F1678">
        <v>0</v>
      </c>
      <c r="G1678">
        <v>19</v>
      </c>
    </row>
    <row r="1679" spans="1:7" x14ac:dyDescent="0.25">
      <c r="A1679">
        <v>2073</v>
      </c>
      <c r="B1679">
        <v>73</v>
      </c>
      <c r="C1679">
        <v>7</v>
      </c>
      <c r="D1679">
        <v>8</v>
      </c>
      <c r="E1679">
        <v>12</v>
      </c>
      <c r="F1679">
        <v>0</v>
      </c>
      <c r="G1679">
        <v>20</v>
      </c>
    </row>
    <row r="1680" spans="1:7" x14ac:dyDescent="0.25">
      <c r="A1680">
        <v>2036</v>
      </c>
      <c r="B1680">
        <v>36</v>
      </c>
      <c r="C1680">
        <v>10</v>
      </c>
      <c r="D1680">
        <v>6</v>
      </c>
      <c r="E1680">
        <v>7</v>
      </c>
      <c r="F1680">
        <v>0</v>
      </c>
      <c r="G1680">
        <v>13</v>
      </c>
    </row>
    <row r="1681" spans="1:7" x14ac:dyDescent="0.25">
      <c r="A1681">
        <v>1062</v>
      </c>
      <c r="B1681">
        <v>62</v>
      </c>
      <c r="C1681">
        <v>8</v>
      </c>
      <c r="D1681">
        <v>9</v>
      </c>
      <c r="E1681">
        <v>10</v>
      </c>
      <c r="F1681">
        <v>0</v>
      </c>
      <c r="G1681">
        <v>19</v>
      </c>
    </row>
    <row r="1682" spans="1:7" x14ac:dyDescent="0.25">
      <c r="A1682">
        <v>1122</v>
      </c>
      <c r="B1682">
        <v>122</v>
      </c>
      <c r="C1682">
        <v>7</v>
      </c>
      <c r="D1682">
        <v>14</v>
      </c>
      <c r="E1682">
        <v>21</v>
      </c>
      <c r="F1682">
        <v>0</v>
      </c>
      <c r="G1682">
        <v>35</v>
      </c>
    </row>
    <row r="1683" spans="1:7" x14ac:dyDescent="0.25">
      <c r="A1683">
        <v>1056</v>
      </c>
      <c r="B1683">
        <v>56</v>
      </c>
      <c r="C1683">
        <v>10</v>
      </c>
      <c r="D1683">
        <v>7</v>
      </c>
      <c r="E1683">
        <v>0</v>
      </c>
      <c r="F1683">
        <v>0</v>
      </c>
      <c r="G1683">
        <v>7</v>
      </c>
    </row>
    <row r="1684" spans="1:7" x14ac:dyDescent="0.25">
      <c r="A1684">
        <v>2030</v>
      </c>
      <c r="B1684">
        <v>30</v>
      </c>
      <c r="C1684">
        <v>6</v>
      </c>
      <c r="D1684">
        <v>7</v>
      </c>
      <c r="E1684">
        <v>5</v>
      </c>
      <c r="F1684">
        <v>0</v>
      </c>
      <c r="G1684">
        <v>12</v>
      </c>
    </row>
    <row r="1685" spans="1:7" x14ac:dyDescent="0.25">
      <c r="A1685">
        <v>2072</v>
      </c>
      <c r="B1685">
        <v>72</v>
      </c>
      <c r="C1685">
        <v>7</v>
      </c>
      <c r="D1685">
        <v>10</v>
      </c>
      <c r="E1685">
        <v>6</v>
      </c>
      <c r="F1685">
        <v>0</v>
      </c>
      <c r="G1685">
        <v>16</v>
      </c>
    </row>
    <row r="1686" spans="1:7" x14ac:dyDescent="0.25">
      <c r="A1686">
        <v>1061</v>
      </c>
      <c r="B1686">
        <v>61</v>
      </c>
      <c r="C1686">
        <v>10</v>
      </c>
      <c r="D1686">
        <v>11</v>
      </c>
      <c r="E1686">
        <v>9</v>
      </c>
      <c r="F1686">
        <v>0</v>
      </c>
      <c r="G1686">
        <v>20</v>
      </c>
    </row>
    <row r="1687" spans="1:7" x14ac:dyDescent="0.25">
      <c r="A1687">
        <v>1072</v>
      </c>
      <c r="B1687">
        <v>72</v>
      </c>
      <c r="C1687">
        <v>7</v>
      </c>
      <c r="D1687">
        <v>10</v>
      </c>
      <c r="E1687">
        <v>10</v>
      </c>
      <c r="F1687">
        <v>0</v>
      </c>
      <c r="G1687">
        <v>20</v>
      </c>
    </row>
    <row r="1688" spans="1:7" x14ac:dyDescent="0.25">
      <c r="A1688">
        <v>2067</v>
      </c>
      <c r="B1688">
        <v>67</v>
      </c>
      <c r="C1688">
        <v>10</v>
      </c>
      <c r="D1688">
        <v>12</v>
      </c>
      <c r="E1688">
        <v>8</v>
      </c>
      <c r="F1688">
        <v>0</v>
      </c>
      <c r="G1688">
        <v>20</v>
      </c>
    </row>
    <row r="1689" spans="1:7" x14ac:dyDescent="0.25">
      <c r="A1689">
        <v>1031</v>
      </c>
      <c r="B1689">
        <v>31</v>
      </c>
      <c r="C1689">
        <v>2</v>
      </c>
      <c r="D1689">
        <v>14</v>
      </c>
      <c r="E1689">
        <v>5</v>
      </c>
      <c r="F1689">
        <v>0</v>
      </c>
      <c r="G1689">
        <v>19</v>
      </c>
    </row>
    <row r="1690" spans="1:7" x14ac:dyDescent="0.25">
      <c r="A1690">
        <v>2070</v>
      </c>
      <c r="B1690">
        <v>70</v>
      </c>
      <c r="C1690">
        <v>7</v>
      </c>
      <c r="D1690">
        <v>6</v>
      </c>
      <c r="E1690">
        <v>5</v>
      </c>
      <c r="F1690">
        <v>1</v>
      </c>
      <c r="G1690">
        <v>12</v>
      </c>
    </row>
    <row r="1691" spans="1:7" x14ac:dyDescent="0.25">
      <c r="A1691">
        <v>1058</v>
      </c>
      <c r="B1691">
        <v>58</v>
      </c>
      <c r="C1691">
        <v>10</v>
      </c>
      <c r="D1691">
        <v>18</v>
      </c>
      <c r="E1691">
        <v>2</v>
      </c>
      <c r="F1691">
        <v>0</v>
      </c>
      <c r="G1691">
        <v>20</v>
      </c>
    </row>
    <row r="1692" spans="1:7" x14ac:dyDescent="0.25">
      <c r="A1692">
        <v>1067</v>
      </c>
      <c r="B1692">
        <v>67</v>
      </c>
      <c r="C1692">
        <v>10</v>
      </c>
      <c r="D1692">
        <v>10</v>
      </c>
      <c r="E1692">
        <v>10</v>
      </c>
      <c r="F1692">
        <v>0</v>
      </c>
      <c r="G1692">
        <v>20</v>
      </c>
    </row>
    <row r="1693" spans="1:7" x14ac:dyDescent="0.25">
      <c r="A1693">
        <v>1031</v>
      </c>
      <c r="B1693">
        <v>31</v>
      </c>
      <c r="C1693">
        <v>4</v>
      </c>
      <c r="D1693">
        <v>8</v>
      </c>
      <c r="E1693">
        <v>5</v>
      </c>
      <c r="F1693">
        <v>0</v>
      </c>
      <c r="G1693">
        <v>13</v>
      </c>
    </row>
    <row r="1694" spans="1:7" x14ac:dyDescent="0.25">
      <c r="A1694">
        <v>1062</v>
      </c>
      <c r="B1694">
        <v>62</v>
      </c>
      <c r="C1694">
        <v>6</v>
      </c>
      <c r="D1694">
        <v>12</v>
      </c>
      <c r="E1694">
        <v>8</v>
      </c>
      <c r="F1694">
        <v>0</v>
      </c>
      <c r="G1694">
        <v>20</v>
      </c>
    </row>
    <row r="1695" spans="1:7" x14ac:dyDescent="0.25">
      <c r="A1695">
        <v>3058</v>
      </c>
      <c r="B1695">
        <v>58</v>
      </c>
      <c r="C1695">
        <v>10</v>
      </c>
      <c r="D1695">
        <v>12</v>
      </c>
      <c r="E1695">
        <v>8</v>
      </c>
      <c r="F1695">
        <v>0</v>
      </c>
      <c r="G1695">
        <v>20</v>
      </c>
    </row>
    <row r="1696" spans="1:7" x14ac:dyDescent="0.25">
      <c r="A1696">
        <v>2071</v>
      </c>
      <c r="B1696">
        <v>71</v>
      </c>
      <c r="C1696">
        <v>7</v>
      </c>
      <c r="D1696">
        <v>5</v>
      </c>
      <c r="E1696">
        <v>3</v>
      </c>
      <c r="F1696">
        <v>0</v>
      </c>
      <c r="G1696">
        <v>8</v>
      </c>
    </row>
    <row r="1697" spans="1:7" x14ac:dyDescent="0.25">
      <c r="A1697">
        <v>2066</v>
      </c>
      <c r="B1697">
        <v>66</v>
      </c>
      <c r="C1697">
        <v>10</v>
      </c>
      <c r="D1697">
        <v>16</v>
      </c>
      <c r="E1697">
        <v>4</v>
      </c>
      <c r="F1697">
        <v>0</v>
      </c>
      <c r="G1697">
        <v>20</v>
      </c>
    </row>
    <row r="1698" spans="1:7" x14ac:dyDescent="0.25">
      <c r="A1698">
        <v>1059</v>
      </c>
      <c r="B1698">
        <v>59</v>
      </c>
      <c r="C1698">
        <v>10</v>
      </c>
      <c r="D1698">
        <v>0</v>
      </c>
      <c r="E1698">
        <v>10</v>
      </c>
      <c r="F1698">
        <v>0</v>
      </c>
      <c r="G1698">
        <v>10</v>
      </c>
    </row>
    <row r="1699" spans="1:7" x14ac:dyDescent="0.25">
      <c r="A1699">
        <v>2034</v>
      </c>
      <c r="B1699">
        <v>34</v>
      </c>
      <c r="C1699">
        <v>1</v>
      </c>
      <c r="D1699">
        <v>21</v>
      </c>
      <c r="E1699">
        <v>22</v>
      </c>
      <c r="F1699">
        <v>0</v>
      </c>
      <c r="G1699">
        <v>43</v>
      </c>
    </row>
    <row r="1700" spans="1:7" x14ac:dyDescent="0.25">
      <c r="A1700">
        <v>1135</v>
      </c>
      <c r="B1700">
        <v>135</v>
      </c>
      <c r="C1700">
        <v>9</v>
      </c>
      <c r="D1700">
        <v>15</v>
      </c>
      <c r="E1700">
        <v>9</v>
      </c>
      <c r="F1700">
        <v>0</v>
      </c>
      <c r="G1700">
        <v>24</v>
      </c>
    </row>
    <row r="1701" spans="1:7" x14ac:dyDescent="0.25">
      <c r="A1701">
        <v>1065</v>
      </c>
      <c r="B1701">
        <v>65</v>
      </c>
      <c r="C1701">
        <v>10</v>
      </c>
      <c r="D1701">
        <v>7</v>
      </c>
      <c r="E1701">
        <v>11</v>
      </c>
      <c r="F1701">
        <v>0</v>
      </c>
      <c r="G1701">
        <v>18</v>
      </c>
    </row>
    <row r="1702" spans="1:7" x14ac:dyDescent="0.25">
      <c r="A1702">
        <v>3137</v>
      </c>
      <c r="B1702">
        <v>137</v>
      </c>
      <c r="C1702">
        <v>9</v>
      </c>
      <c r="D1702">
        <v>4</v>
      </c>
      <c r="E1702">
        <v>8</v>
      </c>
      <c r="F1702">
        <v>0</v>
      </c>
      <c r="G1702">
        <v>12</v>
      </c>
    </row>
    <row r="1703" spans="1:7" x14ac:dyDescent="0.25">
      <c r="A1703">
        <v>3064</v>
      </c>
      <c r="B1703">
        <v>64</v>
      </c>
      <c r="C1703">
        <v>10</v>
      </c>
      <c r="D1703">
        <v>10</v>
      </c>
      <c r="E1703">
        <v>9</v>
      </c>
      <c r="F1703">
        <v>1</v>
      </c>
      <c r="G1703">
        <v>20</v>
      </c>
    </row>
    <row r="1704" spans="1:7" x14ac:dyDescent="0.25">
      <c r="A1704">
        <v>2034</v>
      </c>
      <c r="B1704">
        <v>34</v>
      </c>
      <c r="C1704">
        <v>2</v>
      </c>
      <c r="D1704">
        <v>15</v>
      </c>
      <c r="E1704">
        <v>7</v>
      </c>
      <c r="F1704">
        <v>0</v>
      </c>
      <c r="G1704">
        <v>22</v>
      </c>
    </row>
    <row r="1705" spans="1:7" x14ac:dyDescent="0.25">
      <c r="A1705">
        <v>1137</v>
      </c>
      <c r="B1705">
        <v>137</v>
      </c>
      <c r="C1705">
        <v>9</v>
      </c>
      <c r="D1705">
        <v>15</v>
      </c>
      <c r="E1705">
        <v>6</v>
      </c>
      <c r="F1705">
        <v>0</v>
      </c>
      <c r="G1705">
        <v>21</v>
      </c>
    </row>
    <row r="1706" spans="1:7" x14ac:dyDescent="0.25">
      <c r="A1706">
        <v>1031</v>
      </c>
      <c r="B1706">
        <v>31</v>
      </c>
      <c r="C1706">
        <v>3</v>
      </c>
      <c r="D1706">
        <v>17</v>
      </c>
      <c r="E1706">
        <v>3</v>
      </c>
      <c r="F1706">
        <v>0</v>
      </c>
      <c r="G1706">
        <v>20</v>
      </c>
    </row>
    <row r="1707" spans="1:7" x14ac:dyDescent="0.25">
      <c r="A1707">
        <v>1105</v>
      </c>
      <c r="B1707">
        <v>105</v>
      </c>
      <c r="C1707">
        <v>9</v>
      </c>
      <c r="D1707">
        <v>7</v>
      </c>
      <c r="E1707">
        <v>13</v>
      </c>
      <c r="F1707">
        <v>0</v>
      </c>
      <c r="G1707">
        <v>20</v>
      </c>
    </row>
    <row r="1708" spans="1:7" x14ac:dyDescent="0.25">
      <c r="A1708">
        <v>1071</v>
      </c>
      <c r="B1708">
        <v>71</v>
      </c>
      <c r="C1708">
        <v>7</v>
      </c>
      <c r="D1708">
        <v>13</v>
      </c>
      <c r="E1708">
        <v>10</v>
      </c>
      <c r="F1708">
        <v>0</v>
      </c>
      <c r="G1708">
        <v>23</v>
      </c>
    </row>
    <row r="1709" spans="1:7" x14ac:dyDescent="0.25">
      <c r="A1709">
        <v>2034</v>
      </c>
      <c r="B1709">
        <v>34</v>
      </c>
      <c r="C1709">
        <v>3</v>
      </c>
      <c r="D1709">
        <v>2</v>
      </c>
      <c r="E1709">
        <v>7</v>
      </c>
      <c r="F1709">
        <v>0</v>
      </c>
      <c r="G1709">
        <v>9</v>
      </c>
    </row>
    <row r="1710" spans="1:7" x14ac:dyDescent="0.25">
      <c r="A1710">
        <v>1031</v>
      </c>
      <c r="B1710">
        <v>31</v>
      </c>
      <c r="C1710">
        <v>6</v>
      </c>
      <c r="D1710">
        <v>12</v>
      </c>
      <c r="E1710">
        <v>0</v>
      </c>
      <c r="F1710">
        <v>0</v>
      </c>
      <c r="G1710">
        <v>12</v>
      </c>
    </row>
    <row r="1711" spans="1:7" x14ac:dyDescent="0.25">
      <c r="A1711">
        <v>2064</v>
      </c>
      <c r="B1711">
        <v>64</v>
      </c>
      <c r="C1711">
        <v>10</v>
      </c>
      <c r="D1711">
        <v>10</v>
      </c>
      <c r="E1711">
        <v>10</v>
      </c>
      <c r="F1711">
        <v>0</v>
      </c>
      <c r="G1711">
        <v>20</v>
      </c>
    </row>
    <row r="1712" spans="1:7" x14ac:dyDescent="0.25">
      <c r="A1712">
        <v>2108</v>
      </c>
      <c r="B1712">
        <v>108</v>
      </c>
      <c r="C1712">
        <v>9</v>
      </c>
      <c r="D1712">
        <v>9</v>
      </c>
      <c r="E1712">
        <v>1</v>
      </c>
      <c r="F1712">
        <v>0</v>
      </c>
      <c r="G1712">
        <v>10</v>
      </c>
    </row>
    <row r="1713" spans="1:7" x14ac:dyDescent="0.25">
      <c r="A1713">
        <v>1069</v>
      </c>
      <c r="B1713">
        <v>69</v>
      </c>
      <c r="C1713">
        <v>9</v>
      </c>
      <c r="D1713">
        <v>12</v>
      </c>
      <c r="E1713">
        <v>6</v>
      </c>
      <c r="F1713">
        <v>0</v>
      </c>
      <c r="G1713">
        <v>18</v>
      </c>
    </row>
    <row r="1714" spans="1:7" x14ac:dyDescent="0.25">
      <c r="A1714">
        <v>2034</v>
      </c>
      <c r="B1714">
        <v>34</v>
      </c>
      <c r="C1714">
        <v>4</v>
      </c>
      <c r="D1714">
        <v>16</v>
      </c>
      <c r="E1714">
        <v>11</v>
      </c>
      <c r="F1714">
        <v>0</v>
      </c>
      <c r="G1714">
        <v>27</v>
      </c>
    </row>
    <row r="1715" spans="1:7" x14ac:dyDescent="0.25">
      <c r="A1715">
        <v>1070</v>
      </c>
      <c r="B1715">
        <v>70</v>
      </c>
      <c r="C1715">
        <v>7</v>
      </c>
      <c r="D1715">
        <v>19</v>
      </c>
      <c r="E1715">
        <v>10</v>
      </c>
      <c r="F1715">
        <v>2</v>
      </c>
      <c r="G1715">
        <v>31</v>
      </c>
    </row>
    <row r="1716" spans="1:7" x14ac:dyDescent="0.25">
      <c r="A1716">
        <v>5102</v>
      </c>
      <c r="B1716">
        <v>102</v>
      </c>
      <c r="C1716">
        <v>9</v>
      </c>
      <c r="D1716">
        <v>4</v>
      </c>
      <c r="E1716">
        <v>10</v>
      </c>
      <c r="F1716">
        <v>0</v>
      </c>
      <c r="G1716">
        <v>14</v>
      </c>
    </row>
    <row r="1717" spans="1:7" x14ac:dyDescent="0.25">
      <c r="A1717">
        <v>2069</v>
      </c>
      <c r="B1717">
        <v>69</v>
      </c>
      <c r="C1717">
        <v>9</v>
      </c>
      <c r="D1717">
        <v>8</v>
      </c>
      <c r="E1717">
        <v>14</v>
      </c>
      <c r="F1717">
        <v>0</v>
      </c>
      <c r="G1717">
        <v>22</v>
      </c>
    </row>
    <row r="1718" spans="1:7" x14ac:dyDescent="0.25">
      <c r="A1718">
        <v>1106</v>
      </c>
      <c r="B1718">
        <v>106</v>
      </c>
      <c r="C1718">
        <v>9</v>
      </c>
      <c r="D1718">
        <v>11</v>
      </c>
      <c r="E1718">
        <v>9</v>
      </c>
      <c r="F1718">
        <v>0</v>
      </c>
      <c r="G1718">
        <v>20</v>
      </c>
    </row>
    <row r="1719" spans="1:7" x14ac:dyDescent="0.25">
      <c r="A1719">
        <v>1031</v>
      </c>
      <c r="B1719">
        <v>31</v>
      </c>
      <c r="C1719">
        <v>5</v>
      </c>
      <c r="D1719">
        <v>12</v>
      </c>
      <c r="E1719">
        <v>8</v>
      </c>
      <c r="F1719">
        <v>0</v>
      </c>
      <c r="G1719">
        <v>20</v>
      </c>
    </row>
    <row r="1720" spans="1:7" x14ac:dyDescent="0.25">
      <c r="A1720">
        <v>3067</v>
      </c>
      <c r="B1720">
        <v>67</v>
      </c>
      <c r="C1720">
        <v>9</v>
      </c>
      <c r="D1720">
        <v>12</v>
      </c>
      <c r="E1720">
        <v>8</v>
      </c>
      <c r="F1720">
        <v>0</v>
      </c>
      <c r="G1720">
        <v>20</v>
      </c>
    </row>
    <row r="1721" spans="1:7" x14ac:dyDescent="0.25">
      <c r="A1721">
        <v>2105</v>
      </c>
      <c r="B1721">
        <v>105</v>
      </c>
      <c r="C1721">
        <v>9</v>
      </c>
      <c r="D1721">
        <v>13</v>
      </c>
      <c r="E1721">
        <v>6</v>
      </c>
      <c r="F1721">
        <v>0</v>
      </c>
      <c r="G1721">
        <v>19</v>
      </c>
    </row>
    <row r="1722" spans="1:7" x14ac:dyDescent="0.25">
      <c r="A1722">
        <v>1104</v>
      </c>
      <c r="B1722">
        <v>104</v>
      </c>
      <c r="C1722">
        <v>9</v>
      </c>
      <c r="D1722">
        <v>10</v>
      </c>
      <c r="E1722">
        <v>10</v>
      </c>
      <c r="F1722">
        <v>0</v>
      </c>
      <c r="G1722">
        <v>20</v>
      </c>
    </row>
    <row r="1723" spans="1:7" x14ac:dyDescent="0.25">
      <c r="A1723">
        <v>2070</v>
      </c>
      <c r="B1723">
        <v>70</v>
      </c>
      <c r="C1723">
        <v>9</v>
      </c>
      <c r="D1723">
        <v>11</v>
      </c>
      <c r="E1723">
        <v>5</v>
      </c>
      <c r="F1723">
        <v>0</v>
      </c>
      <c r="G1723">
        <v>16</v>
      </c>
    </row>
    <row r="1724" spans="1:7" x14ac:dyDescent="0.25">
      <c r="A1724">
        <v>2031</v>
      </c>
      <c r="B1724">
        <v>31</v>
      </c>
      <c r="C1724">
        <v>2</v>
      </c>
      <c r="D1724">
        <v>11</v>
      </c>
      <c r="E1724">
        <v>9</v>
      </c>
      <c r="F1724">
        <v>0</v>
      </c>
      <c r="G1724">
        <v>20</v>
      </c>
    </row>
    <row r="1725" spans="1:7" x14ac:dyDescent="0.25">
      <c r="A1725">
        <v>2103</v>
      </c>
      <c r="B1725">
        <v>103</v>
      </c>
      <c r="C1725">
        <v>9</v>
      </c>
      <c r="D1725">
        <v>12</v>
      </c>
      <c r="E1725">
        <v>8</v>
      </c>
      <c r="F1725">
        <v>0</v>
      </c>
      <c r="G1725">
        <v>20</v>
      </c>
    </row>
    <row r="1726" spans="1:7" x14ac:dyDescent="0.25">
      <c r="A1726">
        <v>2071</v>
      </c>
      <c r="B1726">
        <v>71</v>
      </c>
      <c r="C1726">
        <v>9</v>
      </c>
      <c r="D1726">
        <v>5</v>
      </c>
      <c r="E1726">
        <v>7</v>
      </c>
      <c r="F1726">
        <v>0</v>
      </c>
      <c r="G1726">
        <v>12</v>
      </c>
    </row>
    <row r="1727" spans="1:7" x14ac:dyDescent="0.25">
      <c r="A1727">
        <v>4102</v>
      </c>
      <c r="B1727">
        <v>102</v>
      </c>
      <c r="C1727">
        <v>9</v>
      </c>
      <c r="D1727">
        <v>12</v>
      </c>
      <c r="E1727">
        <v>8</v>
      </c>
      <c r="F1727">
        <v>0</v>
      </c>
      <c r="G1727">
        <v>20</v>
      </c>
    </row>
    <row r="1728" spans="1:7" x14ac:dyDescent="0.25">
      <c r="A1728">
        <v>1110</v>
      </c>
      <c r="B1728">
        <v>110</v>
      </c>
      <c r="C1728">
        <v>7</v>
      </c>
      <c r="D1728">
        <v>10</v>
      </c>
      <c r="E1728">
        <v>2</v>
      </c>
      <c r="F1728">
        <v>0</v>
      </c>
      <c r="G1728">
        <v>12</v>
      </c>
    </row>
    <row r="1729" spans="1:7" x14ac:dyDescent="0.25">
      <c r="A1729">
        <v>2031</v>
      </c>
      <c r="B1729">
        <v>31</v>
      </c>
      <c r="C1729">
        <v>3</v>
      </c>
      <c r="D1729">
        <v>11</v>
      </c>
      <c r="E1729">
        <v>9</v>
      </c>
      <c r="F1729">
        <v>0</v>
      </c>
      <c r="G1729">
        <v>20</v>
      </c>
    </row>
    <row r="1730" spans="1:7" x14ac:dyDescent="0.25">
      <c r="A1730">
        <v>2039</v>
      </c>
      <c r="B1730">
        <v>39</v>
      </c>
      <c r="C1730">
        <v>9</v>
      </c>
      <c r="D1730">
        <v>13</v>
      </c>
      <c r="E1730">
        <v>7</v>
      </c>
      <c r="F1730">
        <v>0</v>
      </c>
      <c r="G1730">
        <v>20</v>
      </c>
    </row>
    <row r="1731" spans="1:7" x14ac:dyDescent="0.25">
      <c r="A1731">
        <v>2034</v>
      </c>
      <c r="B1731">
        <v>34</v>
      </c>
      <c r="C1731">
        <v>5</v>
      </c>
      <c r="D1731">
        <v>11</v>
      </c>
      <c r="E1731">
        <v>11</v>
      </c>
      <c r="F1731">
        <v>0</v>
      </c>
      <c r="G1731">
        <v>22</v>
      </c>
    </row>
    <row r="1732" spans="1:7" x14ac:dyDescent="0.25">
      <c r="A1732">
        <v>2031</v>
      </c>
      <c r="B1732">
        <v>31</v>
      </c>
      <c r="C1732">
        <v>4</v>
      </c>
      <c r="D1732">
        <v>10</v>
      </c>
      <c r="E1732">
        <v>10</v>
      </c>
      <c r="F1732">
        <v>0</v>
      </c>
      <c r="G1732">
        <v>20</v>
      </c>
    </row>
    <row r="1733" spans="1:7" x14ac:dyDescent="0.25">
      <c r="A1733">
        <v>2034</v>
      </c>
      <c r="B1733">
        <v>34</v>
      </c>
      <c r="C1733">
        <v>6</v>
      </c>
      <c r="D1733">
        <v>6</v>
      </c>
      <c r="E1733">
        <v>7</v>
      </c>
      <c r="F1733">
        <v>0</v>
      </c>
      <c r="G1733">
        <v>13</v>
      </c>
    </row>
    <row r="1734" spans="1:7" x14ac:dyDescent="0.25">
      <c r="A1734">
        <v>1096</v>
      </c>
      <c r="B1734">
        <v>96</v>
      </c>
      <c r="C1734">
        <v>9</v>
      </c>
      <c r="D1734">
        <v>15</v>
      </c>
      <c r="E1734">
        <v>5</v>
      </c>
      <c r="F1734">
        <v>0</v>
      </c>
      <c r="G1734">
        <v>20</v>
      </c>
    </row>
    <row r="1735" spans="1:7" x14ac:dyDescent="0.25">
      <c r="A1735">
        <v>1072</v>
      </c>
      <c r="B1735">
        <v>72</v>
      </c>
      <c r="C1735">
        <v>9</v>
      </c>
      <c r="D1735">
        <v>8</v>
      </c>
      <c r="E1735">
        <v>12</v>
      </c>
      <c r="F1735">
        <v>0</v>
      </c>
      <c r="G1735">
        <v>20</v>
      </c>
    </row>
    <row r="1736" spans="1:7" x14ac:dyDescent="0.25">
      <c r="A1736">
        <v>2095</v>
      </c>
      <c r="B1736">
        <v>95</v>
      </c>
      <c r="C1736">
        <v>9</v>
      </c>
      <c r="D1736">
        <v>1</v>
      </c>
      <c r="E1736">
        <v>16</v>
      </c>
      <c r="F1736">
        <v>1</v>
      </c>
      <c r="G1736">
        <v>18</v>
      </c>
    </row>
    <row r="1737" spans="1:7" x14ac:dyDescent="0.25">
      <c r="A1737">
        <v>2034</v>
      </c>
      <c r="B1737">
        <v>34</v>
      </c>
      <c r="C1737">
        <v>7</v>
      </c>
      <c r="D1737">
        <v>4</v>
      </c>
      <c r="E1737">
        <v>9</v>
      </c>
      <c r="F1737">
        <v>0</v>
      </c>
      <c r="G1737">
        <v>13</v>
      </c>
    </row>
    <row r="1738" spans="1:7" x14ac:dyDescent="0.25">
      <c r="A1738">
        <v>2031</v>
      </c>
      <c r="B1738">
        <v>31</v>
      </c>
      <c r="C1738">
        <v>5</v>
      </c>
      <c r="D1738">
        <v>8</v>
      </c>
      <c r="E1738">
        <v>12</v>
      </c>
      <c r="F1738">
        <v>0</v>
      </c>
      <c r="G1738">
        <v>20</v>
      </c>
    </row>
    <row r="1739" spans="1:7" x14ac:dyDescent="0.25">
      <c r="A1739">
        <v>2072</v>
      </c>
      <c r="B1739">
        <v>72</v>
      </c>
      <c r="C1739">
        <v>9</v>
      </c>
      <c r="D1739">
        <v>9</v>
      </c>
      <c r="E1739">
        <v>7</v>
      </c>
      <c r="F1739">
        <v>0</v>
      </c>
      <c r="G1739">
        <v>16</v>
      </c>
    </row>
    <row r="1740" spans="1:7" x14ac:dyDescent="0.25">
      <c r="A1740">
        <v>1095</v>
      </c>
      <c r="B1740">
        <v>95</v>
      </c>
      <c r="C1740">
        <v>9</v>
      </c>
      <c r="D1740">
        <v>5</v>
      </c>
      <c r="E1740">
        <v>14</v>
      </c>
      <c r="F1740">
        <v>0</v>
      </c>
      <c r="G1740">
        <v>19</v>
      </c>
    </row>
    <row r="1741" spans="1:7" x14ac:dyDescent="0.25">
      <c r="A1741">
        <v>2034</v>
      </c>
      <c r="B1741">
        <v>34</v>
      </c>
      <c r="C1741">
        <v>8</v>
      </c>
      <c r="D1741">
        <v>10</v>
      </c>
      <c r="E1741">
        <v>9</v>
      </c>
      <c r="F1741">
        <v>0</v>
      </c>
      <c r="G1741">
        <v>19</v>
      </c>
    </row>
    <row r="1742" spans="1:7" x14ac:dyDescent="0.25">
      <c r="A1742">
        <v>1153</v>
      </c>
      <c r="B1742">
        <v>153</v>
      </c>
      <c r="C1742">
        <v>9</v>
      </c>
      <c r="D1742">
        <v>10</v>
      </c>
      <c r="E1742">
        <v>3</v>
      </c>
      <c r="F1742">
        <v>0</v>
      </c>
      <c r="G1742">
        <v>13</v>
      </c>
    </row>
    <row r="1743" spans="1:7" x14ac:dyDescent="0.25">
      <c r="A1743">
        <v>2074</v>
      </c>
      <c r="B1743">
        <v>74</v>
      </c>
      <c r="C1743">
        <v>9</v>
      </c>
      <c r="D1743">
        <v>6</v>
      </c>
      <c r="E1743">
        <v>3</v>
      </c>
      <c r="F1743">
        <v>0</v>
      </c>
      <c r="G1743">
        <v>9</v>
      </c>
    </row>
    <row r="1744" spans="1:7" x14ac:dyDescent="0.25">
      <c r="A1744">
        <v>2034</v>
      </c>
      <c r="B1744">
        <v>34</v>
      </c>
      <c r="C1744">
        <v>9</v>
      </c>
      <c r="D1744">
        <v>6</v>
      </c>
      <c r="E1744">
        <v>4</v>
      </c>
      <c r="F1744">
        <v>0</v>
      </c>
      <c r="G1744">
        <v>10</v>
      </c>
    </row>
    <row r="1745" spans="1:7" x14ac:dyDescent="0.25">
      <c r="A1745">
        <v>1154</v>
      </c>
      <c r="B1745">
        <v>154</v>
      </c>
      <c r="C1745">
        <v>9</v>
      </c>
      <c r="D1745">
        <v>14</v>
      </c>
      <c r="E1745">
        <v>6</v>
      </c>
      <c r="F1745">
        <v>0</v>
      </c>
      <c r="G1745">
        <v>20</v>
      </c>
    </row>
    <row r="1746" spans="1:7" x14ac:dyDescent="0.25">
      <c r="A1746">
        <v>1071</v>
      </c>
      <c r="B1746">
        <v>71</v>
      </c>
      <c r="C1746">
        <v>9</v>
      </c>
      <c r="D1746">
        <v>8</v>
      </c>
      <c r="E1746">
        <v>9</v>
      </c>
      <c r="F1746">
        <v>0</v>
      </c>
      <c r="G1746">
        <v>17</v>
      </c>
    </row>
    <row r="1747" spans="1:7" x14ac:dyDescent="0.25">
      <c r="A1747">
        <v>2153</v>
      </c>
      <c r="B1747">
        <v>153</v>
      </c>
      <c r="C1747">
        <v>9</v>
      </c>
      <c r="D1747">
        <v>12</v>
      </c>
      <c r="E1747">
        <v>0</v>
      </c>
      <c r="F1747">
        <v>0</v>
      </c>
      <c r="G1747">
        <v>12</v>
      </c>
    </row>
    <row r="1748" spans="1:7" x14ac:dyDescent="0.25">
      <c r="A1748">
        <v>1057</v>
      </c>
      <c r="B1748">
        <v>57</v>
      </c>
      <c r="C1748">
        <v>9</v>
      </c>
      <c r="D1748">
        <v>10</v>
      </c>
      <c r="E1748">
        <v>6</v>
      </c>
      <c r="F1748">
        <v>0</v>
      </c>
      <c r="G1748">
        <v>16</v>
      </c>
    </row>
    <row r="1749" spans="1:7" x14ac:dyDescent="0.25">
      <c r="A1749">
        <v>2073</v>
      </c>
      <c r="B1749">
        <v>73</v>
      </c>
      <c r="C1749">
        <v>9</v>
      </c>
      <c r="D1749">
        <v>9</v>
      </c>
      <c r="E1749">
        <v>11</v>
      </c>
      <c r="F1749">
        <v>0</v>
      </c>
      <c r="G1749">
        <v>20</v>
      </c>
    </row>
    <row r="1750" spans="1:7" x14ac:dyDescent="0.25">
      <c r="A1750">
        <v>1069</v>
      </c>
      <c r="B1750">
        <v>69</v>
      </c>
      <c r="C1750">
        <v>7</v>
      </c>
      <c r="D1750">
        <v>4</v>
      </c>
      <c r="E1750">
        <v>2</v>
      </c>
      <c r="F1750">
        <v>0</v>
      </c>
      <c r="G1750">
        <v>6</v>
      </c>
    </row>
    <row r="1751" spans="1:7" x14ac:dyDescent="0.25">
      <c r="A1751">
        <v>2057</v>
      </c>
      <c r="B1751">
        <v>57</v>
      </c>
      <c r="C1751">
        <v>9</v>
      </c>
      <c r="D1751">
        <v>4</v>
      </c>
      <c r="E1751">
        <v>7</v>
      </c>
      <c r="F1751">
        <v>0</v>
      </c>
      <c r="G1751">
        <v>11</v>
      </c>
    </row>
    <row r="1752" spans="1:7" x14ac:dyDescent="0.25">
      <c r="A1752">
        <v>2034</v>
      </c>
      <c r="B1752">
        <v>34</v>
      </c>
      <c r="C1752">
        <v>10</v>
      </c>
      <c r="D1752">
        <v>13</v>
      </c>
      <c r="E1752">
        <v>5</v>
      </c>
      <c r="F1752">
        <v>0</v>
      </c>
      <c r="G1752">
        <v>18</v>
      </c>
    </row>
    <row r="1753" spans="1:7" x14ac:dyDescent="0.25">
      <c r="A1753">
        <v>2068</v>
      </c>
      <c r="B1753">
        <v>68</v>
      </c>
      <c r="C1753">
        <v>7</v>
      </c>
      <c r="D1753">
        <v>20</v>
      </c>
      <c r="E1753">
        <v>16</v>
      </c>
      <c r="F1753">
        <v>0</v>
      </c>
      <c r="G1753">
        <v>36</v>
      </c>
    </row>
    <row r="1754" spans="1:7" x14ac:dyDescent="0.25">
      <c r="A1754">
        <v>3058</v>
      </c>
      <c r="B1754">
        <v>58</v>
      </c>
      <c r="C1754">
        <v>9</v>
      </c>
      <c r="D1754">
        <v>5</v>
      </c>
      <c r="E1754">
        <v>5</v>
      </c>
      <c r="F1754">
        <v>5</v>
      </c>
      <c r="G1754">
        <v>15</v>
      </c>
    </row>
    <row r="1755" spans="1:7" x14ac:dyDescent="0.25">
      <c r="A1755">
        <v>1074</v>
      </c>
      <c r="B1755">
        <v>74</v>
      </c>
      <c r="C1755">
        <v>9</v>
      </c>
      <c r="D1755">
        <v>1</v>
      </c>
      <c r="E1755">
        <v>6</v>
      </c>
      <c r="F1755">
        <v>0</v>
      </c>
      <c r="G1755">
        <v>7</v>
      </c>
    </row>
    <row r="1756" spans="1:7" x14ac:dyDescent="0.25">
      <c r="A1756">
        <v>1059</v>
      </c>
      <c r="B1756">
        <v>59</v>
      </c>
      <c r="C1756">
        <v>9</v>
      </c>
      <c r="D1756">
        <v>0</v>
      </c>
      <c r="E1756">
        <v>9</v>
      </c>
      <c r="F1756">
        <v>0</v>
      </c>
      <c r="G1756">
        <v>9</v>
      </c>
    </row>
    <row r="1757" spans="1:7" x14ac:dyDescent="0.25">
      <c r="A1757">
        <v>3042</v>
      </c>
      <c r="B1757">
        <v>42</v>
      </c>
      <c r="C1757">
        <v>9</v>
      </c>
      <c r="D1757">
        <v>13</v>
      </c>
      <c r="E1757">
        <v>15</v>
      </c>
      <c r="F1757">
        <v>0</v>
      </c>
      <c r="G1757">
        <v>28</v>
      </c>
    </row>
    <row r="1758" spans="1:7" x14ac:dyDescent="0.25">
      <c r="A1758">
        <v>3067</v>
      </c>
      <c r="B1758">
        <v>67</v>
      </c>
      <c r="C1758">
        <v>7</v>
      </c>
      <c r="D1758">
        <v>9</v>
      </c>
      <c r="E1758">
        <v>6</v>
      </c>
      <c r="F1758">
        <v>0</v>
      </c>
      <c r="G1758">
        <v>15</v>
      </c>
    </row>
    <row r="1759" spans="1:7" x14ac:dyDescent="0.25">
      <c r="A1759">
        <v>3111</v>
      </c>
      <c r="B1759">
        <v>111</v>
      </c>
      <c r="C1759">
        <v>8</v>
      </c>
      <c r="D1759">
        <v>6</v>
      </c>
      <c r="E1759">
        <v>7</v>
      </c>
      <c r="F1759">
        <v>0</v>
      </c>
      <c r="G1759">
        <v>13</v>
      </c>
    </row>
    <row r="1760" spans="1:7" x14ac:dyDescent="0.25">
      <c r="A1760">
        <v>1135</v>
      </c>
      <c r="B1760">
        <v>135</v>
      </c>
      <c r="C1760">
        <v>8</v>
      </c>
      <c r="D1760">
        <v>12</v>
      </c>
      <c r="E1760">
        <v>9</v>
      </c>
      <c r="F1760">
        <v>0</v>
      </c>
      <c r="G1760">
        <v>21</v>
      </c>
    </row>
    <row r="1761" spans="1:7" x14ac:dyDescent="0.25">
      <c r="A1761">
        <v>2071</v>
      </c>
      <c r="B1761">
        <v>71</v>
      </c>
      <c r="C1761">
        <v>6</v>
      </c>
      <c r="D1761">
        <v>8</v>
      </c>
      <c r="E1761">
        <v>6</v>
      </c>
      <c r="F1761">
        <v>0</v>
      </c>
      <c r="G1761">
        <v>14</v>
      </c>
    </row>
    <row r="1762" spans="1:7" x14ac:dyDescent="0.25">
      <c r="A1762">
        <v>4042</v>
      </c>
      <c r="B1762">
        <v>42</v>
      </c>
      <c r="C1762">
        <v>9</v>
      </c>
      <c r="D1762">
        <v>5</v>
      </c>
      <c r="E1762">
        <v>15</v>
      </c>
      <c r="F1762">
        <v>0</v>
      </c>
      <c r="G1762">
        <v>20</v>
      </c>
    </row>
    <row r="1763" spans="1:7" x14ac:dyDescent="0.25">
      <c r="A1763">
        <v>1110</v>
      </c>
      <c r="B1763">
        <v>110</v>
      </c>
      <c r="C1763">
        <v>8</v>
      </c>
      <c r="D1763">
        <v>12</v>
      </c>
      <c r="E1763">
        <v>6</v>
      </c>
      <c r="F1763">
        <v>0</v>
      </c>
      <c r="G1763">
        <v>18</v>
      </c>
    </row>
    <row r="1764" spans="1:7" x14ac:dyDescent="0.25">
      <c r="A1764">
        <v>1073</v>
      </c>
      <c r="B1764">
        <v>73</v>
      </c>
      <c r="C1764">
        <v>5</v>
      </c>
      <c r="D1764">
        <v>9</v>
      </c>
      <c r="E1764">
        <v>8</v>
      </c>
      <c r="F1764">
        <v>3</v>
      </c>
      <c r="G1764">
        <v>20</v>
      </c>
    </row>
    <row r="1765" spans="1:7" x14ac:dyDescent="0.25">
      <c r="A1765">
        <v>2067</v>
      </c>
      <c r="B1765">
        <v>67</v>
      </c>
      <c r="C1765">
        <v>9</v>
      </c>
      <c r="D1765">
        <v>9</v>
      </c>
      <c r="E1765">
        <v>11</v>
      </c>
      <c r="F1765">
        <v>0</v>
      </c>
      <c r="G1765">
        <v>20</v>
      </c>
    </row>
    <row r="1766" spans="1:7" x14ac:dyDescent="0.25">
      <c r="A1766">
        <v>1111</v>
      </c>
      <c r="B1766">
        <v>111</v>
      </c>
      <c r="C1766">
        <v>8</v>
      </c>
      <c r="D1766">
        <v>4</v>
      </c>
      <c r="E1766">
        <v>0</v>
      </c>
      <c r="F1766">
        <v>0</v>
      </c>
      <c r="G1766">
        <v>4</v>
      </c>
    </row>
    <row r="1767" spans="1:7" x14ac:dyDescent="0.25">
      <c r="A1767">
        <v>3137</v>
      </c>
      <c r="B1767">
        <v>137</v>
      </c>
      <c r="C1767">
        <v>8</v>
      </c>
      <c r="D1767">
        <v>6</v>
      </c>
      <c r="E1767">
        <v>15</v>
      </c>
      <c r="F1767">
        <v>0</v>
      </c>
      <c r="G1767">
        <v>21</v>
      </c>
    </row>
    <row r="1768" spans="1:7" x14ac:dyDescent="0.25">
      <c r="A1768">
        <v>2111</v>
      </c>
      <c r="B1768">
        <v>111</v>
      </c>
      <c r="C1768">
        <v>8</v>
      </c>
      <c r="D1768">
        <v>3</v>
      </c>
      <c r="E1768">
        <v>0</v>
      </c>
      <c r="F1768">
        <v>0</v>
      </c>
      <c r="G1768">
        <v>3</v>
      </c>
    </row>
    <row r="1769" spans="1:7" x14ac:dyDescent="0.25">
      <c r="A1769">
        <v>2134</v>
      </c>
      <c r="B1769">
        <v>134</v>
      </c>
      <c r="C1769">
        <v>8</v>
      </c>
      <c r="D1769">
        <v>14</v>
      </c>
      <c r="E1769">
        <v>1</v>
      </c>
      <c r="F1769">
        <v>0</v>
      </c>
      <c r="G1769">
        <v>15</v>
      </c>
    </row>
    <row r="1770" spans="1:7" x14ac:dyDescent="0.25">
      <c r="A1770">
        <v>1128</v>
      </c>
      <c r="B1770">
        <v>128</v>
      </c>
      <c r="C1770">
        <v>6</v>
      </c>
      <c r="D1770">
        <v>12</v>
      </c>
      <c r="E1770">
        <v>4</v>
      </c>
      <c r="F1770">
        <v>0</v>
      </c>
      <c r="G1770">
        <v>16</v>
      </c>
    </row>
    <row r="1771" spans="1:7" x14ac:dyDescent="0.25">
      <c r="A1771">
        <v>2133</v>
      </c>
      <c r="B1771">
        <v>133</v>
      </c>
      <c r="C1771">
        <v>8</v>
      </c>
      <c r="D1771">
        <v>5</v>
      </c>
      <c r="E1771">
        <v>3</v>
      </c>
      <c r="F1771">
        <v>1</v>
      </c>
      <c r="G1771">
        <v>9</v>
      </c>
    </row>
    <row r="1772" spans="1:7" x14ac:dyDescent="0.25">
      <c r="A1772">
        <v>1137</v>
      </c>
      <c r="B1772">
        <v>137</v>
      </c>
      <c r="C1772">
        <v>8</v>
      </c>
      <c r="D1772">
        <v>8</v>
      </c>
      <c r="E1772">
        <v>4</v>
      </c>
      <c r="F1772">
        <v>0</v>
      </c>
      <c r="G1772">
        <v>12</v>
      </c>
    </row>
    <row r="1773" spans="1:7" x14ac:dyDescent="0.25">
      <c r="A1773">
        <v>1067</v>
      </c>
      <c r="B1773">
        <v>67</v>
      </c>
      <c r="C1773">
        <v>9</v>
      </c>
      <c r="D1773">
        <v>20</v>
      </c>
      <c r="E1773">
        <v>0</v>
      </c>
      <c r="F1773">
        <v>0</v>
      </c>
      <c r="G1773">
        <v>20</v>
      </c>
    </row>
    <row r="1774" spans="1:7" x14ac:dyDescent="0.25">
      <c r="A1774">
        <v>1105</v>
      </c>
      <c r="B1774">
        <v>105</v>
      </c>
      <c r="C1774">
        <v>8</v>
      </c>
      <c r="D1774">
        <v>11</v>
      </c>
      <c r="E1774">
        <v>9</v>
      </c>
      <c r="F1774">
        <v>0</v>
      </c>
      <c r="G1774">
        <v>20</v>
      </c>
    </row>
    <row r="1775" spans="1:7" x14ac:dyDescent="0.25">
      <c r="A1775">
        <v>2066</v>
      </c>
      <c r="B1775">
        <v>66</v>
      </c>
      <c r="C1775">
        <v>9</v>
      </c>
      <c r="D1775">
        <v>17</v>
      </c>
      <c r="E1775">
        <v>3</v>
      </c>
      <c r="F1775">
        <v>0</v>
      </c>
      <c r="G1775">
        <v>20</v>
      </c>
    </row>
    <row r="1776" spans="1:7" x14ac:dyDescent="0.25">
      <c r="A1776">
        <v>1108</v>
      </c>
      <c r="B1776">
        <v>108</v>
      </c>
      <c r="C1776">
        <v>8</v>
      </c>
      <c r="D1776">
        <v>17</v>
      </c>
      <c r="E1776">
        <v>3</v>
      </c>
      <c r="F1776">
        <v>0</v>
      </c>
      <c r="G1776">
        <v>20</v>
      </c>
    </row>
    <row r="1777" spans="1:7" x14ac:dyDescent="0.25">
      <c r="A1777">
        <v>2065</v>
      </c>
      <c r="B1777">
        <v>65</v>
      </c>
      <c r="C1777">
        <v>9</v>
      </c>
      <c r="D1777">
        <v>7</v>
      </c>
      <c r="E1777">
        <v>10</v>
      </c>
      <c r="F1777">
        <v>0</v>
      </c>
      <c r="G1777">
        <v>17</v>
      </c>
    </row>
    <row r="1778" spans="1:7" x14ac:dyDescent="0.25">
      <c r="A1778">
        <v>2108</v>
      </c>
      <c r="B1778">
        <v>108</v>
      </c>
      <c r="C1778">
        <v>8</v>
      </c>
      <c r="D1778">
        <v>1</v>
      </c>
      <c r="E1778">
        <v>1</v>
      </c>
      <c r="F1778">
        <v>0</v>
      </c>
      <c r="G1778">
        <v>2</v>
      </c>
    </row>
    <row r="1779" spans="1:7" x14ac:dyDescent="0.25">
      <c r="A1779">
        <v>1065</v>
      </c>
      <c r="B1779">
        <v>65</v>
      </c>
      <c r="C1779">
        <v>9</v>
      </c>
      <c r="D1779">
        <v>11</v>
      </c>
      <c r="E1779">
        <v>9</v>
      </c>
      <c r="F1779">
        <v>0</v>
      </c>
      <c r="G1779">
        <v>20</v>
      </c>
    </row>
    <row r="1780" spans="1:7" x14ac:dyDescent="0.25">
      <c r="A1780">
        <v>1104</v>
      </c>
      <c r="B1780">
        <v>104</v>
      </c>
      <c r="C1780">
        <v>8</v>
      </c>
      <c r="D1780">
        <v>10</v>
      </c>
      <c r="E1780">
        <v>10</v>
      </c>
      <c r="F1780">
        <v>0</v>
      </c>
      <c r="G1780">
        <v>20</v>
      </c>
    </row>
    <row r="1781" spans="1:7" x14ac:dyDescent="0.25">
      <c r="A1781">
        <v>1112</v>
      </c>
      <c r="B1781">
        <v>112</v>
      </c>
      <c r="C1781">
        <v>8</v>
      </c>
      <c r="D1781">
        <v>13</v>
      </c>
      <c r="E1781">
        <v>11</v>
      </c>
      <c r="F1781">
        <v>0</v>
      </c>
      <c r="G1781">
        <v>24</v>
      </c>
    </row>
    <row r="1782" spans="1:7" x14ac:dyDescent="0.25">
      <c r="A1782">
        <v>2103</v>
      </c>
      <c r="B1782">
        <v>103</v>
      </c>
      <c r="C1782">
        <v>8</v>
      </c>
      <c r="D1782">
        <v>13</v>
      </c>
      <c r="E1782">
        <v>7</v>
      </c>
      <c r="F1782">
        <v>0</v>
      </c>
      <c r="G1782">
        <v>20</v>
      </c>
    </row>
    <row r="1783" spans="1:7" x14ac:dyDescent="0.25">
      <c r="A1783">
        <v>3064</v>
      </c>
      <c r="B1783">
        <v>64</v>
      </c>
      <c r="C1783">
        <v>9</v>
      </c>
      <c r="D1783">
        <v>8</v>
      </c>
      <c r="E1783">
        <v>12</v>
      </c>
      <c r="F1783">
        <v>0</v>
      </c>
      <c r="G1783">
        <v>20</v>
      </c>
    </row>
    <row r="1784" spans="1:7" x14ac:dyDescent="0.25">
      <c r="A1784">
        <v>2112</v>
      </c>
      <c r="B1784">
        <v>112</v>
      </c>
      <c r="C1784">
        <v>8</v>
      </c>
      <c r="D1784">
        <v>13</v>
      </c>
      <c r="E1784">
        <v>7</v>
      </c>
      <c r="F1784">
        <v>0</v>
      </c>
      <c r="G1784">
        <v>20</v>
      </c>
    </row>
    <row r="1785" spans="1:7" x14ac:dyDescent="0.25">
      <c r="A1785">
        <v>2105</v>
      </c>
      <c r="B1785">
        <v>105</v>
      </c>
      <c r="C1785">
        <v>11</v>
      </c>
      <c r="D1785">
        <v>0</v>
      </c>
      <c r="E1785">
        <v>9</v>
      </c>
      <c r="F1785">
        <v>0</v>
      </c>
      <c r="G1785">
        <v>9</v>
      </c>
    </row>
    <row r="1786" spans="1:7" x14ac:dyDescent="0.25">
      <c r="A1786">
        <v>2113</v>
      </c>
      <c r="B1786">
        <v>113</v>
      </c>
      <c r="C1786">
        <v>8</v>
      </c>
      <c r="D1786">
        <v>20</v>
      </c>
      <c r="E1786">
        <v>4</v>
      </c>
      <c r="F1786">
        <v>0</v>
      </c>
      <c r="G1786">
        <v>24</v>
      </c>
    </row>
    <row r="1787" spans="1:7" x14ac:dyDescent="0.25">
      <c r="A1787">
        <v>2115</v>
      </c>
      <c r="B1787">
        <v>115</v>
      </c>
      <c r="C1787">
        <v>8</v>
      </c>
      <c r="D1787">
        <v>4</v>
      </c>
      <c r="E1787">
        <v>9</v>
      </c>
      <c r="F1787">
        <v>0</v>
      </c>
      <c r="G1787">
        <v>13</v>
      </c>
    </row>
    <row r="1788" spans="1:7" x14ac:dyDescent="0.25">
      <c r="A1788">
        <v>4102</v>
      </c>
      <c r="B1788">
        <v>102</v>
      </c>
      <c r="C1788">
        <v>8</v>
      </c>
      <c r="D1788">
        <v>5</v>
      </c>
      <c r="E1788">
        <v>15</v>
      </c>
      <c r="F1788">
        <v>0</v>
      </c>
      <c r="G1788">
        <v>20</v>
      </c>
    </row>
    <row r="1789" spans="1:7" x14ac:dyDescent="0.25">
      <c r="A1789">
        <v>2109</v>
      </c>
      <c r="B1789">
        <v>109</v>
      </c>
      <c r="C1789">
        <v>8</v>
      </c>
      <c r="D1789">
        <v>10</v>
      </c>
      <c r="E1789">
        <v>3</v>
      </c>
      <c r="F1789">
        <v>0</v>
      </c>
      <c r="G1789">
        <v>13</v>
      </c>
    </row>
    <row r="1790" spans="1:7" x14ac:dyDescent="0.25">
      <c r="A1790">
        <v>2064</v>
      </c>
      <c r="B1790">
        <v>64</v>
      </c>
      <c r="C1790">
        <v>9</v>
      </c>
      <c r="D1790">
        <v>16</v>
      </c>
      <c r="E1790">
        <v>4</v>
      </c>
      <c r="F1790">
        <v>0</v>
      </c>
      <c r="G1790">
        <v>20</v>
      </c>
    </row>
    <row r="1791" spans="1:7" x14ac:dyDescent="0.25">
      <c r="A1791">
        <v>1113</v>
      </c>
      <c r="B1791">
        <v>113</v>
      </c>
      <c r="C1791">
        <v>8</v>
      </c>
      <c r="D1791">
        <v>2</v>
      </c>
      <c r="E1791">
        <v>5</v>
      </c>
      <c r="F1791">
        <v>0</v>
      </c>
      <c r="G1791">
        <v>7</v>
      </c>
    </row>
    <row r="1792" spans="1:7" x14ac:dyDescent="0.25">
      <c r="A1792">
        <v>1096</v>
      </c>
      <c r="B1792">
        <v>96</v>
      </c>
      <c r="C1792">
        <v>8</v>
      </c>
      <c r="D1792">
        <v>7</v>
      </c>
      <c r="E1792">
        <v>0</v>
      </c>
      <c r="F1792">
        <v>0</v>
      </c>
      <c r="G1792">
        <v>7</v>
      </c>
    </row>
    <row r="1793" spans="1:7" x14ac:dyDescent="0.25">
      <c r="A1793">
        <v>1103</v>
      </c>
      <c r="B1793">
        <v>103</v>
      </c>
      <c r="C1793">
        <v>8</v>
      </c>
      <c r="D1793">
        <v>15</v>
      </c>
      <c r="E1793">
        <v>17</v>
      </c>
      <c r="F1793">
        <v>0</v>
      </c>
      <c r="G1793">
        <v>32</v>
      </c>
    </row>
    <row r="1794" spans="1:7" x14ac:dyDescent="0.25">
      <c r="A1794">
        <v>2110</v>
      </c>
      <c r="B1794">
        <v>110</v>
      </c>
      <c r="C1794">
        <v>8</v>
      </c>
      <c r="D1794">
        <v>15</v>
      </c>
      <c r="E1794">
        <v>1</v>
      </c>
      <c r="F1794">
        <v>0</v>
      </c>
      <c r="G1794">
        <v>16</v>
      </c>
    </row>
    <row r="1795" spans="1:7" x14ac:dyDescent="0.25">
      <c r="A1795">
        <v>1095</v>
      </c>
      <c r="B1795">
        <v>95</v>
      </c>
      <c r="C1795">
        <v>8</v>
      </c>
      <c r="D1795">
        <v>7</v>
      </c>
      <c r="E1795">
        <v>11</v>
      </c>
      <c r="F1795">
        <v>0</v>
      </c>
      <c r="G1795">
        <v>18</v>
      </c>
    </row>
    <row r="1796" spans="1:7" x14ac:dyDescent="0.25">
      <c r="A1796">
        <v>1064</v>
      </c>
      <c r="B1796">
        <v>64</v>
      </c>
      <c r="C1796">
        <v>9</v>
      </c>
      <c r="D1796">
        <v>14</v>
      </c>
      <c r="E1796">
        <v>9</v>
      </c>
      <c r="F1796">
        <v>0</v>
      </c>
      <c r="G1796">
        <v>23</v>
      </c>
    </row>
    <row r="1797" spans="1:7" x14ac:dyDescent="0.25">
      <c r="A1797">
        <v>2063</v>
      </c>
      <c r="B1797">
        <v>63</v>
      </c>
      <c r="C1797">
        <v>9</v>
      </c>
      <c r="D1797">
        <v>12</v>
      </c>
      <c r="E1797">
        <v>8</v>
      </c>
      <c r="F1797">
        <v>0</v>
      </c>
      <c r="G1797">
        <v>20</v>
      </c>
    </row>
    <row r="1798" spans="1:7" x14ac:dyDescent="0.25">
      <c r="A1798">
        <v>1115</v>
      </c>
      <c r="B1798">
        <v>115</v>
      </c>
      <c r="C1798">
        <v>8</v>
      </c>
      <c r="D1798">
        <v>20</v>
      </c>
      <c r="E1798">
        <v>11</v>
      </c>
      <c r="F1798">
        <v>0</v>
      </c>
      <c r="G1798">
        <v>31</v>
      </c>
    </row>
    <row r="1799" spans="1:7" x14ac:dyDescent="0.25">
      <c r="A1799">
        <v>1038</v>
      </c>
      <c r="B1799">
        <v>38</v>
      </c>
      <c r="C1799">
        <v>9</v>
      </c>
      <c r="D1799">
        <v>9</v>
      </c>
      <c r="E1799">
        <v>0</v>
      </c>
      <c r="F1799">
        <v>0</v>
      </c>
      <c r="G1799">
        <v>9</v>
      </c>
    </row>
    <row r="1800" spans="1:7" x14ac:dyDescent="0.25">
      <c r="A1800">
        <v>2040</v>
      </c>
      <c r="B1800">
        <v>40</v>
      </c>
      <c r="C1800">
        <v>9</v>
      </c>
      <c r="D1800">
        <v>17</v>
      </c>
      <c r="E1800">
        <v>5</v>
      </c>
      <c r="F1800">
        <v>0</v>
      </c>
      <c r="G1800">
        <v>22</v>
      </c>
    </row>
    <row r="1801" spans="1:7" x14ac:dyDescent="0.25">
      <c r="A1801">
        <v>2062</v>
      </c>
      <c r="B1801">
        <v>62</v>
      </c>
      <c r="C1801">
        <v>9</v>
      </c>
      <c r="D1801">
        <v>6</v>
      </c>
      <c r="E1801">
        <v>12</v>
      </c>
      <c r="F1801">
        <v>2</v>
      </c>
      <c r="G1801">
        <v>20</v>
      </c>
    </row>
    <row r="1802" spans="1:7" x14ac:dyDescent="0.25">
      <c r="A1802">
        <v>2038</v>
      </c>
      <c r="B1802">
        <v>38</v>
      </c>
      <c r="C1802">
        <v>9</v>
      </c>
      <c r="D1802">
        <v>6</v>
      </c>
      <c r="E1802">
        <v>11</v>
      </c>
      <c r="F1802">
        <v>0</v>
      </c>
      <c r="G1802">
        <v>17</v>
      </c>
    </row>
    <row r="1803" spans="1:7" x14ac:dyDescent="0.25">
      <c r="A1803">
        <v>2105</v>
      </c>
      <c r="B1803">
        <v>105</v>
      </c>
      <c r="C1803">
        <v>8</v>
      </c>
      <c r="D1803">
        <v>10</v>
      </c>
      <c r="E1803">
        <v>10</v>
      </c>
      <c r="F1803">
        <v>0</v>
      </c>
      <c r="G1803">
        <v>20</v>
      </c>
    </row>
    <row r="1804" spans="1:7" x14ac:dyDescent="0.25">
      <c r="A1804">
        <v>2068</v>
      </c>
      <c r="B1804">
        <v>68</v>
      </c>
      <c r="C1804">
        <v>9</v>
      </c>
      <c r="D1804">
        <v>5</v>
      </c>
      <c r="E1804">
        <v>6</v>
      </c>
      <c r="F1804">
        <v>0</v>
      </c>
      <c r="G1804">
        <v>11</v>
      </c>
    </row>
    <row r="1805" spans="1:7" x14ac:dyDescent="0.25">
      <c r="A1805">
        <v>1063</v>
      </c>
      <c r="B1805">
        <v>63</v>
      </c>
      <c r="C1805">
        <v>9</v>
      </c>
      <c r="D1805">
        <v>17</v>
      </c>
      <c r="E1805">
        <v>2</v>
      </c>
      <c r="F1805">
        <v>0</v>
      </c>
      <c r="G1805">
        <v>19</v>
      </c>
    </row>
    <row r="1806" spans="1:7" x14ac:dyDescent="0.25">
      <c r="A1806">
        <v>1135</v>
      </c>
      <c r="B1806">
        <v>135</v>
      </c>
      <c r="C1806">
        <v>7</v>
      </c>
      <c r="D1806">
        <v>11</v>
      </c>
      <c r="E1806">
        <v>7</v>
      </c>
      <c r="F1806">
        <v>0</v>
      </c>
      <c r="G1806">
        <v>18</v>
      </c>
    </row>
    <row r="1807" spans="1:7" x14ac:dyDescent="0.25">
      <c r="A1807">
        <v>1062</v>
      </c>
      <c r="B1807">
        <v>62</v>
      </c>
      <c r="C1807">
        <v>9</v>
      </c>
      <c r="D1807">
        <v>6</v>
      </c>
      <c r="E1807">
        <v>14</v>
      </c>
      <c r="F1807">
        <v>0</v>
      </c>
      <c r="G1807">
        <v>20</v>
      </c>
    </row>
    <row r="1808" spans="1:7" x14ac:dyDescent="0.25">
      <c r="A1808">
        <v>1135</v>
      </c>
      <c r="B1808">
        <v>135</v>
      </c>
      <c r="C1808">
        <v>6</v>
      </c>
      <c r="D1808">
        <v>12</v>
      </c>
      <c r="E1808">
        <v>8</v>
      </c>
      <c r="F1808">
        <v>0</v>
      </c>
      <c r="G1808">
        <v>20</v>
      </c>
    </row>
    <row r="1809" spans="1:7" x14ac:dyDescent="0.25">
      <c r="A1809">
        <v>5061</v>
      </c>
      <c r="B1809">
        <v>61</v>
      </c>
      <c r="C1809">
        <v>9</v>
      </c>
      <c r="D1809">
        <v>16</v>
      </c>
      <c r="E1809">
        <v>9</v>
      </c>
      <c r="F1809">
        <v>0</v>
      </c>
      <c r="G1809">
        <v>25</v>
      </c>
    </row>
    <row r="1810" spans="1:7" x14ac:dyDescent="0.25">
      <c r="A1810">
        <v>2090</v>
      </c>
      <c r="B1810">
        <v>90</v>
      </c>
      <c r="C1810">
        <v>9</v>
      </c>
      <c r="D1810">
        <v>6</v>
      </c>
      <c r="E1810">
        <v>10</v>
      </c>
      <c r="F1810">
        <v>0</v>
      </c>
      <c r="G1810">
        <v>16</v>
      </c>
    </row>
    <row r="1811" spans="1:7" x14ac:dyDescent="0.25">
      <c r="A1811">
        <v>4061</v>
      </c>
      <c r="B1811">
        <v>61</v>
      </c>
      <c r="C1811">
        <v>9</v>
      </c>
      <c r="D1811">
        <v>11</v>
      </c>
      <c r="E1811">
        <v>0</v>
      </c>
      <c r="F1811">
        <v>0</v>
      </c>
      <c r="G1811">
        <v>11</v>
      </c>
    </row>
    <row r="1812" spans="1:7" x14ac:dyDescent="0.25">
      <c r="A1812">
        <v>1125</v>
      </c>
      <c r="B1812">
        <v>125</v>
      </c>
      <c r="C1812">
        <v>5</v>
      </c>
      <c r="D1812">
        <v>8</v>
      </c>
      <c r="E1812">
        <v>10</v>
      </c>
      <c r="F1812">
        <v>2</v>
      </c>
      <c r="G1812">
        <v>20</v>
      </c>
    </row>
    <row r="1813" spans="1:7" x14ac:dyDescent="0.25">
      <c r="A1813">
        <v>1085</v>
      </c>
      <c r="B1813">
        <v>85</v>
      </c>
      <c r="C1813">
        <v>9</v>
      </c>
      <c r="D1813">
        <v>11</v>
      </c>
      <c r="E1813">
        <v>9</v>
      </c>
      <c r="F1813">
        <v>0</v>
      </c>
      <c r="G1813">
        <v>20</v>
      </c>
    </row>
    <row r="1814" spans="1:7" x14ac:dyDescent="0.25">
      <c r="A1814">
        <v>1128</v>
      </c>
      <c r="B1814">
        <v>128</v>
      </c>
      <c r="C1814">
        <v>8</v>
      </c>
      <c r="D1814">
        <v>8</v>
      </c>
      <c r="E1814">
        <v>0</v>
      </c>
      <c r="F1814">
        <v>0</v>
      </c>
      <c r="G1814">
        <v>8</v>
      </c>
    </row>
    <row r="1815" spans="1:7" x14ac:dyDescent="0.25">
      <c r="A1815">
        <v>3102</v>
      </c>
      <c r="B1815">
        <v>102</v>
      </c>
      <c r="C1815">
        <v>6</v>
      </c>
      <c r="D1815">
        <v>1</v>
      </c>
      <c r="E1815">
        <v>19</v>
      </c>
      <c r="F1815">
        <v>0</v>
      </c>
      <c r="G1815">
        <v>20</v>
      </c>
    </row>
    <row r="1816" spans="1:7" x14ac:dyDescent="0.25">
      <c r="A1816">
        <v>1133</v>
      </c>
      <c r="B1816">
        <v>133</v>
      </c>
      <c r="C1816">
        <v>8</v>
      </c>
      <c r="D1816">
        <v>5</v>
      </c>
      <c r="E1816">
        <v>4</v>
      </c>
      <c r="F1816">
        <v>0</v>
      </c>
      <c r="G1816">
        <v>9</v>
      </c>
    </row>
    <row r="1817" spans="1:7" x14ac:dyDescent="0.25">
      <c r="A1817">
        <v>2082</v>
      </c>
      <c r="B1817">
        <v>82</v>
      </c>
      <c r="C1817">
        <v>6</v>
      </c>
      <c r="D1817">
        <v>8</v>
      </c>
      <c r="E1817">
        <v>1</v>
      </c>
      <c r="F1817">
        <v>0</v>
      </c>
      <c r="G1817">
        <v>9</v>
      </c>
    </row>
    <row r="1818" spans="1:7" x14ac:dyDescent="0.25">
      <c r="A1818">
        <v>1132</v>
      </c>
      <c r="B1818">
        <v>132</v>
      </c>
      <c r="C1818">
        <v>8</v>
      </c>
      <c r="D1818">
        <v>1</v>
      </c>
      <c r="E1818">
        <v>13</v>
      </c>
      <c r="F1818">
        <v>0</v>
      </c>
      <c r="G1818">
        <v>14</v>
      </c>
    </row>
    <row r="1819" spans="1:7" x14ac:dyDescent="0.25">
      <c r="A1819">
        <v>1087</v>
      </c>
      <c r="B1819">
        <v>87</v>
      </c>
      <c r="C1819">
        <v>9</v>
      </c>
      <c r="D1819">
        <v>10</v>
      </c>
      <c r="E1819">
        <v>8</v>
      </c>
      <c r="F1819">
        <v>0</v>
      </c>
      <c r="G1819">
        <v>18</v>
      </c>
    </row>
    <row r="1820" spans="1:7" x14ac:dyDescent="0.25">
      <c r="A1820">
        <v>2131</v>
      </c>
      <c r="B1820">
        <v>131</v>
      </c>
      <c r="C1820">
        <v>8</v>
      </c>
      <c r="D1820">
        <v>9</v>
      </c>
      <c r="E1820">
        <v>4</v>
      </c>
      <c r="F1820">
        <v>0</v>
      </c>
      <c r="G1820">
        <v>13</v>
      </c>
    </row>
    <row r="1821" spans="1:7" x14ac:dyDescent="0.25">
      <c r="A1821">
        <v>1082</v>
      </c>
      <c r="B1821">
        <v>82</v>
      </c>
      <c r="C1821">
        <v>6</v>
      </c>
      <c r="D1821">
        <v>4</v>
      </c>
      <c r="E1821">
        <v>8</v>
      </c>
      <c r="F1821">
        <v>0</v>
      </c>
      <c r="G1821">
        <v>12</v>
      </c>
    </row>
    <row r="1822" spans="1:7" x14ac:dyDescent="0.25">
      <c r="A1822">
        <v>1157</v>
      </c>
      <c r="B1822">
        <v>157</v>
      </c>
      <c r="C1822">
        <v>8</v>
      </c>
      <c r="D1822">
        <v>12</v>
      </c>
      <c r="E1822">
        <v>8</v>
      </c>
      <c r="F1822">
        <v>0</v>
      </c>
      <c r="G1822">
        <v>20</v>
      </c>
    </row>
    <row r="1823" spans="1:7" x14ac:dyDescent="0.25">
      <c r="A1823">
        <v>2102</v>
      </c>
      <c r="B1823">
        <v>102</v>
      </c>
      <c r="C1823">
        <v>6</v>
      </c>
      <c r="D1823">
        <v>4</v>
      </c>
      <c r="E1823">
        <v>9</v>
      </c>
      <c r="F1823">
        <v>2</v>
      </c>
      <c r="G1823">
        <v>15</v>
      </c>
    </row>
    <row r="1824" spans="1:7" x14ac:dyDescent="0.25">
      <c r="A1824">
        <v>2087</v>
      </c>
      <c r="B1824">
        <v>87</v>
      </c>
      <c r="C1824">
        <v>9</v>
      </c>
      <c r="D1824">
        <v>9</v>
      </c>
      <c r="E1824">
        <v>5</v>
      </c>
      <c r="F1824">
        <v>0</v>
      </c>
      <c r="G1824">
        <v>14</v>
      </c>
    </row>
    <row r="1825" spans="1:7" x14ac:dyDescent="0.25">
      <c r="A1825">
        <v>1064</v>
      </c>
      <c r="B1825">
        <v>64</v>
      </c>
      <c r="C1825">
        <v>5</v>
      </c>
      <c r="D1825">
        <v>14</v>
      </c>
      <c r="E1825">
        <v>6</v>
      </c>
      <c r="F1825">
        <v>0</v>
      </c>
      <c r="G1825">
        <v>20</v>
      </c>
    </row>
    <row r="1826" spans="1:7" x14ac:dyDescent="0.25">
      <c r="A1826">
        <v>2088</v>
      </c>
      <c r="B1826">
        <v>88</v>
      </c>
      <c r="C1826">
        <v>9</v>
      </c>
      <c r="D1826">
        <v>4</v>
      </c>
      <c r="E1826">
        <v>14</v>
      </c>
      <c r="F1826">
        <v>2</v>
      </c>
      <c r="G1826">
        <v>20</v>
      </c>
    </row>
    <row r="1827" spans="1:7" x14ac:dyDescent="0.25">
      <c r="A1827">
        <v>2081</v>
      </c>
      <c r="B1827">
        <v>81</v>
      </c>
      <c r="C1827">
        <v>6</v>
      </c>
      <c r="D1827">
        <v>19</v>
      </c>
      <c r="E1827">
        <v>0</v>
      </c>
      <c r="F1827">
        <v>0</v>
      </c>
      <c r="G1827">
        <v>19</v>
      </c>
    </row>
    <row r="1828" spans="1:7" x14ac:dyDescent="0.25">
      <c r="A1828">
        <v>2067</v>
      </c>
      <c r="B1828">
        <v>67</v>
      </c>
      <c r="C1828">
        <v>3</v>
      </c>
      <c r="D1828">
        <v>15</v>
      </c>
      <c r="E1828">
        <v>5</v>
      </c>
      <c r="F1828">
        <v>0</v>
      </c>
      <c r="G1828">
        <v>20</v>
      </c>
    </row>
    <row r="1829" spans="1:7" x14ac:dyDescent="0.25">
      <c r="A1829">
        <v>2155</v>
      </c>
      <c r="B1829">
        <v>155</v>
      </c>
      <c r="C1829">
        <v>8</v>
      </c>
      <c r="D1829">
        <v>16</v>
      </c>
      <c r="E1829">
        <v>4</v>
      </c>
      <c r="F1829">
        <v>0</v>
      </c>
      <c r="G1829">
        <v>20</v>
      </c>
    </row>
    <row r="1830" spans="1:7" x14ac:dyDescent="0.25">
      <c r="A1830">
        <v>1155</v>
      </c>
      <c r="B1830">
        <v>155</v>
      </c>
      <c r="C1830">
        <v>8</v>
      </c>
      <c r="D1830">
        <v>9</v>
      </c>
      <c r="E1830">
        <v>2</v>
      </c>
      <c r="F1830">
        <v>0</v>
      </c>
      <c r="G1830">
        <v>11</v>
      </c>
    </row>
    <row r="1831" spans="1:7" x14ac:dyDescent="0.25">
      <c r="A1831">
        <v>5086</v>
      </c>
      <c r="B1831">
        <v>86</v>
      </c>
      <c r="C1831">
        <v>9</v>
      </c>
      <c r="D1831">
        <v>10</v>
      </c>
      <c r="E1831">
        <v>7</v>
      </c>
      <c r="F1831">
        <v>0</v>
      </c>
      <c r="G1831">
        <v>17</v>
      </c>
    </row>
    <row r="1832" spans="1:7" x14ac:dyDescent="0.25">
      <c r="A1832">
        <v>1102</v>
      </c>
      <c r="B1832">
        <v>102</v>
      </c>
      <c r="C1832">
        <v>6</v>
      </c>
      <c r="D1832">
        <v>6</v>
      </c>
      <c r="E1832">
        <v>4</v>
      </c>
      <c r="F1832">
        <v>0</v>
      </c>
      <c r="G1832">
        <v>10</v>
      </c>
    </row>
    <row r="1833" spans="1:7" x14ac:dyDescent="0.25">
      <c r="A1833">
        <v>1077</v>
      </c>
      <c r="B1833">
        <v>77</v>
      </c>
      <c r="C1833">
        <v>5</v>
      </c>
      <c r="D1833">
        <v>39</v>
      </c>
      <c r="E1833">
        <v>25</v>
      </c>
      <c r="F1833">
        <v>0</v>
      </c>
      <c r="G1833">
        <v>64</v>
      </c>
    </row>
    <row r="1834" spans="1:7" x14ac:dyDescent="0.25">
      <c r="A1834">
        <v>2130</v>
      </c>
      <c r="B1834">
        <v>130</v>
      </c>
      <c r="C1834">
        <v>8</v>
      </c>
      <c r="D1834">
        <v>19</v>
      </c>
      <c r="E1834">
        <v>1</v>
      </c>
      <c r="F1834">
        <v>0</v>
      </c>
      <c r="G1834">
        <v>20</v>
      </c>
    </row>
    <row r="1835" spans="1:7" x14ac:dyDescent="0.25">
      <c r="A1835">
        <v>2087</v>
      </c>
      <c r="B1835">
        <v>87</v>
      </c>
      <c r="C1835">
        <v>8</v>
      </c>
      <c r="D1835">
        <v>9</v>
      </c>
      <c r="E1835">
        <v>4</v>
      </c>
      <c r="F1835">
        <v>0</v>
      </c>
      <c r="G1835">
        <v>13</v>
      </c>
    </row>
    <row r="1836" spans="1:7" x14ac:dyDescent="0.25">
      <c r="A1836">
        <v>2129</v>
      </c>
      <c r="B1836">
        <v>129</v>
      </c>
      <c r="C1836">
        <v>8</v>
      </c>
      <c r="D1836">
        <v>9</v>
      </c>
      <c r="E1836">
        <v>1</v>
      </c>
      <c r="F1836">
        <v>2</v>
      </c>
      <c r="G1836">
        <v>12</v>
      </c>
    </row>
    <row r="1837" spans="1:7" x14ac:dyDescent="0.25">
      <c r="A1837">
        <v>1053</v>
      </c>
      <c r="B1837">
        <v>53</v>
      </c>
      <c r="C1837">
        <v>9</v>
      </c>
      <c r="D1837">
        <v>9</v>
      </c>
      <c r="E1837">
        <v>3</v>
      </c>
      <c r="F1837">
        <v>1</v>
      </c>
      <c r="G1837">
        <v>13</v>
      </c>
    </row>
    <row r="1838" spans="1:7" x14ac:dyDescent="0.25">
      <c r="A1838">
        <v>2101</v>
      </c>
      <c r="B1838">
        <v>101</v>
      </c>
      <c r="C1838">
        <v>6</v>
      </c>
      <c r="D1838">
        <v>8</v>
      </c>
      <c r="E1838">
        <v>12</v>
      </c>
      <c r="F1838">
        <v>0</v>
      </c>
      <c r="G1838">
        <v>20</v>
      </c>
    </row>
    <row r="1839" spans="1:7" x14ac:dyDescent="0.25">
      <c r="A1839">
        <v>2128</v>
      </c>
      <c r="B1839">
        <v>128</v>
      </c>
      <c r="C1839">
        <v>8</v>
      </c>
      <c r="D1839">
        <v>2</v>
      </c>
      <c r="E1839">
        <v>11</v>
      </c>
      <c r="F1839">
        <v>0</v>
      </c>
      <c r="G1839">
        <v>13</v>
      </c>
    </row>
    <row r="1840" spans="1:7" x14ac:dyDescent="0.25">
      <c r="A1840">
        <v>1130</v>
      </c>
      <c r="B1840">
        <v>130</v>
      </c>
      <c r="C1840">
        <v>8</v>
      </c>
      <c r="D1840">
        <v>5</v>
      </c>
      <c r="E1840">
        <v>4</v>
      </c>
      <c r="F1840">
        <v>0</v>
      </c>
      <c r="G1840">
        <v>9</v>
      </c>
    </row>
    <row r="1841" spans="1:7" x14ac:dyDescent="0.25">
      <c r="A1841">
        <v>3053</v>
      </c>
      <c r="B1841">
        <v>53</v>
      </c>
      <c r="C1841">
        <v>9</v>
      </c>
      <c r="D1841">
        <v>12</v>
      </c>
      <c r="E1841">
        <v>2</v>
      </c>
      <c r="F1841">
        <v>1</v>
      </c>
      <c r="G1841">
        <v>15</v>
      </c>
    </row>
    <row r="1842" spans="1:7" x14ac:dyDescent="0.25">
      <c r="A1842">
        <v>2084</v>
      </c>
      <c r="B1842">
        <v>84</v>
      </c>
      <c r="C1842">
        <v>1</v>
      </c>
      <c r="D1842">
        <v>18</v>
      </c>
      <c r="E1842">
        <v>12</v>
      </c>
      <c r="F1842">
        <v>1</v>
      </c>
      <c r="G1842">
        <v>31</v>
      </c>
    </row>
    <row r="1843" spans="1:7" x14ac:dyDescent="0.25">
      <c r="A1843">
        <v>2084</v>
      </c>
      <c r="B1843">
        <v>84</v>
      </c>
      <c r="C1843">
        <v>2</v>
      </c>
      <c r="D1843">
        <v>22</v>
      </c>
      <c r="E1843">
        <v>18</v>
      </c>
      <c r="F1843">
        <v>3</v>
      </c>
      <c r="G1843">
        <v>43</v>
      </c>
    </row>
    <row r="1844" spans="1:7" x14ac:dyDescent="0.25">
      <c r="A1844">
        <v>1131</v>
      </c>
      <c r="B1844">
        <v>131</v>
      </c>
      <c r="C1844">
        <v>8</v>
      </c>
      <c r="D1844">
        <v>8</v>
      </c>
      <c r="E1844">
        <v>0</v>
      </c>
      <c r="F1844">
        <v>0</v>
      </c>
      <c r="G1844">
        <v>8</v>
      </c>
    </row>
    <row r="1845" spans="1:7" x14ac:dyDescent="0.25">
      <c r="A1845">
        <v>2135</v>
      </c>
      <c r="B1845">
        <v>135</v>
      </c>
      <c r="C1845">
        <v>6</v>
      </c>
      <c r="D1845">
        <v>53</v>
      </c>
      <c r="E1845">
        <v>35</v>
      </c>
      <c r="F1845">
        <v>0</v>
      </c>
      <c r="G1845">
        <v>88</v>
      </c>
    </row>
    <row r="1846" spans="1:7" x14ac:dyDescent="0.25">
      <c r="A1846">
        <v>2084</v>
      </c>
      <c r="B1846">
        <v>84</v>
      </c>
      <c r="C1846">
        <v>3</v>
      </c>
      <c r="D1846">
        <v>10</v>
      </c>
      <c r="E1846">
        <v>13</v>
      </c>
      <c r="F1846">
        <v>2</v>
      </c>
      <c r="G1846">
        <v>25</v>
      </c>
    </row>
    <row r="1847" spans="1:7" x14ac:dyDescent="0.25">
      <c r="A1847">
        <v>4145</v>
      </c>
      <c r="B1847">
        <v>145</v>
      </c>
      <c r="C1847">
        <v>4</v>
      </c>
      <c r="D1847">
        <v>8</v>
      </c>
      <c r="E1847">
        <v>23</v>
      </c>
      <c r="F1847">
        <v>0</v>
      </c>
      <c r="G1847">
        <v>31</v>
      </c>
    </row>
    <row r="1848" spans="1:7" x14ac:dyDescent="0.25">
      <c r="A1848">
        <v>2012</v>
      </c>
      <c r="B1848">
        <v>12</v>
      </c>
      <c r="C1848">
        <v>10</v>
      </c>
      <c r="D1848">
        <v>5</v>
      </c>
      <c r="E1848">
        <v>9</v>
      </c>
      <c r="F1848">
        <v>0</v>
      </c>
      <c r="G1848">
        <v>14</v>
      </c>
    </row>
    <row r="1849" spans="1:7" x14ac:dyDescent="0.25">
      <c r="A1849">
        <v>1100</v>
      </c>
      <c r="B1849">
        <v>100</v>
      </c>
      <c r="C1849">
        <v>9</v>
      </c>
      <c r="D1849">
        <v>9</v>
      </c>
      <c r="E1849">
        <v>6</v>
      </c>
      <c r="F1849">
        <v>0</v>
      </c>
      <c r="G1849">
        <v>15</v>
      </c>
    </row>
    <row r="1850" spans="1:7" x14ac:dyDescent="0.25">
      <c r="A1850">
        <v>1143</v>
      </c>
      <c r="B1850">
        <v>143</v>
      </c>
      <c r="C1850">
        <v>8</v>
      </c>
      <c r="D1850">
        <v>7</v>
      </c>
      <c r="E1850">
        <v>11</v>
      </c>
      <c r="F1850">
        <v>1</v>
      </c>
      <c r="G1850">
        <v>19</v>
      </c>
    </row>
    <row r="1851" spans="1:7" x14ac:dyDescent="0.25">
      <c r="A1851">
        <v>2009</v>
      </c>
      <c r="B1851">
        <v>9</v>
      </c>
      <c r="C1851">
        <v>10</v>
      </c>
      <c r="D1851">
        <v>2</v>
      </c>
      <c r="E1851">
        <v>9</v>
      </c>
      <c r="F1851">
        <v>0</v>
      </c>
      <c r="G1851">
        <v>11</v>
      </c>
    </row>
    <row r="1852" spans="1:7" x14ac:dyDescent="0.25">
      <c r="A1852">
        <v>1011</v>
      </c>
      <c r="B1852">
        <v>11</v>
      </c>
      <c r="C1852">
        <v>10</v>
      </c>
      <c r="D1852">
        <v>2</v>
      </c>
      <c r="E1852">
        <v>9</v>
      </c>
      <c r="F1852">
        <v>1</v>
      </c>
      <c r="G1852">
        <v>12</v>
      </c>
    </row>
    <row r="1853" spans="1:7" x14ac:dyDescent="0.25">
      <c r="A1853">
        <v>2143</v>
      </c>
      <c r="B1853">
        <v>143</v>
      </c>
      <c r="C1853">
        <v>8</v>
      </c>
      <c r="D1853">
        <v>11</v>
      </c>
      <c r="E1853">
        <v>1</v>
      </c>
      <c r="F1853">
        <v>0</v>
      </c>
      <c r="G1853">
        <v>12</v>
      </c>
    </row>
    <row r="1854" spans="1:7" x14ac:dyDescent="0.25">
      <c r="A1854">
        <v>1009</v>
      </c>
      <c r="B1854">
        <v>9</v>
      </c>
      <c r="C1854">
        <v>10</v>
      </c>
      <c r="D1854">
        <v>6</v>
      </c>
      <c r="E1854">
        <v>18</v>
      </c>
      <c r="F1854">
        <v>1</v>
      </c>
      <c r="G1854">
        <v>25</v>
      </c>
    </row>
    <row r="1855" spans="1:7" x14ac:dyDescent="0.25">
      <c r="A1855">
        <v>1144</v>
      </c>
      <c r="B1855">
        <v>144</v>
      </c>
      <c r="C1855">
        <v>8</v>
      </c>
      <c r="D1855">
        <v>2</v>
      </c>
      <c r="E1855">
        <v>0</v>
      </c>
      <c r="F1855">
        <v>0</v>
      </c>
      <c r="G1855">
        <v>2</v>
      </c>
    </row>
    <row r="1856" spans="1:7" x14ac:dyDescent="0.25">
      <c r="A1856">
        <v>3144</v>
      </c>
      <c r="B1856">
        <v>144</v>
      </c>
      <c r="C1856">
        <v>8</v>
      </c>
      <c r="D1856">
        <v>17</v>
      </c>
      <c r="E1856">
        <v>3</v>
      </c>
      <c r="F1856">
        <v>0</v>
      </c>
      <c r="G1856">
        <v>20</v>
      </c>
    </row>
    <row r="1857" spans="1:7" x14ac:dyDescent="0.25">
      <c r="A1857">
        <v>5008</v>
      </c>
      <c r="B1857">
        <v>8</v>
      </c>
      <c r="C1857">
        <v>10</v>
      </c>
      <c r="D1857">
        <v>5</v>
      </c>
      <c r="E1857">
        <v>9</v>
      </c>
      <c r="F1857">
        <v>1</v>
      </c>
      <c r="G1857">
        <v>15</v>
      </c>
    </row>
    <row r="1858" spans="1:7" x14ac:dyDescent="0.25">
      <c r="A1858">
        <v>2141</v>
      </c>
      <c r="B1858">
        <v>141</v>
      </c>
      <c r="C1858">
        <v>8</v>
      </c>
      <c r="D1858">
        <v>5</v>
      </c>
      <c r="E1858">
        <v>11</v>
      </c>
      <c r="F1858">
        <v>0</v>
      </c>
      <c r="G1858">
        <v>16</v>
      </c>
    </row>
    <row r="1859" spans="1:7" x14ac:dyDescent="0.25">
      <c r="A1859">
        <v>3098</v>
      </c>
      <c r="B1859">
        <v>98</v>
      </c>
      <c r="C1859">
        <v>9</v>
      </c>
      <c r="D1859">
        <v>1</v>
      </c>
      <c r="E1859">
        <v>19</v>
      </c>
      <c r="F1859">
        <v>0</v>
      </c>
      <c r="G1859">
        <v>20</v>
      </c>
    </row>
    <row r="1860" spans="1:7" x14ac:dyDescent="0.25">
      <c r="A1860">
        <v>3008</v>
      </c>
      <c r="B1860">
        <v>8</v>
      </c>
      <c r="C1860">
        <v>10</v>
      </c>
      <c r="D1860">
        <v>2</v>
      </c>
      <c r="E1860">
        <v>8</v>
      </c>
      <c r="F1860">
        <v>1</v>
      </c>
      <c r="G1860">
        <v>11</v>
      </c>
    </row>
    <row r="1861" spans="1:7" x14ac:dyDescent="0.25">
      <c r="A1861">
        <v>1095</v>
      </c>
      <c r="B1861">
        <v>95</v>
      </c>
      <c r="C1861">
        <v>7</v>
      </c>
      <c r="D1861">
        <v>3</v>
      </c>
      <c r="E1861">
        <v>16</v>
      </c>
      <c r="F1861">
        <v>0</v>
      </c>
      <c r="G1861">
        <v>19</v>
      </c>
    </row>
    <row r="1862" spans="1:7" x14ac:dyDescent="0.25">
      <c r="A1862">
        <v>3142</v>
      </c>
      <c r="B1862">
        <v>142</v>
      </c>
      <c r="C1862">
        <v>8</v>
      </c>
      <c r="D1862">
        <v>3</v>
      </c>
      <c r="E1862">
        <v>10</v>
      </c>
      <c r="F1862">
        <v>0</v>
      </c>
      <c r="G1862">
        <v>13</v>
      </c>
    </row>
    <row r="1863" spans="1:7" x14ac:dyDescent="0.25">
      <c r="A1863">
        <v>2008</v>
      </c>
      <c r="B1863">
        <v>8</v>
      </c>
      <c r="C1863">
        <v>10</v>
      </c>
      <c r="D1863">
        <v>6</v>
      </c>
      <c r="E1863">
        <v>16</v>
      </c>
      <c r="F1863">
        <v>1</v>
      </c>
      <c r="G1863">
        <v>23</v>
      </c>
    </row>
    <row r="1864" spans="1:7" x14ac:dyDescent="0.25">
      <c r="A1864">
        <v>2056</v>
      </c>
      <c r="B1864">
        <v>56</v>
      </c>
      <c r="C1864">
        <v>9</v>
      </c>
      <c r="D1864">
        <v>14</v>
      </c>
      <c r="E1864">
        <v>6</v>
      </c>
      <c r="F1864">
        <v>0</v>
      </c>
      <c r="G1864">
        <v>20</v>
      </c>
    </row>
    <row r="1865" spans="1:7" x14ac:dyDescent="0.25">
      <c r="A1865">
        <v>1092</v>
      </c>
      <c r="B1865">
        <v>92</v>
      </c>
      <c r="C1865">
        <v>7</v>
      </c>
      <c r="D1865">
        <v>11</v>
      </c>
      <c r="E1865">
        <v>8</v>
      </c>
      <c r="F1865">
        <v>0</v>
      </c>
      <c r="G1865">
        <v>19</v>
      </c>
    </row>
    <row r="1866" spans="1:7" x14ac:dyDescent="0.25">
      <c r="A1866">
        <v>5048</v>
      </c>
      <c r="B1866">
        <v>48</v>
      </c>
      <c r="C1866">
        <v>8</v>
      </c>
      <c r="D1866">
        <v>13</v>
      </c>
      <c r="E1866">
        <v>7</v>
      </c>
      <c r="F1866">
        <v>0</v>
      </c>
      <c r="G1866">
        <v>20</v>
      </c>
    </row>
    <row r="1867" spans="1:7" x14ac:dyDescent="0.25">
      <c r="A1867">
        <v>1008</v>
      </c>
      <c r="B1867">
        <v>8</v>
      </c>
      <c r="C1867">
        <v>10</v>
      </c>
      <c r="D1867">
        <v>5</v>
      </c>
      <c r="E1867">
        <v>8</v>
      </c>
      <c r="F1867">
        <v>1</v>
      </c>
      <c r="G1867">
        <v>14</v>
      </c>
    </row>
    <row r="1868" spans="1:7" x14ac:dyDescent="0.25">
      <c r="A1868">
        <v>3038</v>
      </c>
      <c r="B1868">
        <v>38</v>
      </c>
      <c r="C1868">
        <v>5</v>
      </c>
      <c r="D1868">
        <v>30</v>
      </c>
      <c r="E1868">
        <v>9</v>
      </c>
      <c r="F1868">
        <v>1</v>
      </c>
      <c r="G1868">
        <v>40</v>
      </c>
    </row>
    <row r="1869" spans="1:7" x14ac:dyDescent="0.25">
      <c r="A1869">
        <v>2096</v>
      </c>
      <c r="B1869">
        <v>96</v>
      </c>
      <c r="C1869">
        <v>8</v>
      </c>
      <c r="D1869">
        <v>16</v>
      </c>
      <c r="E1869">
        <v>3</v>
      </c>
      <c r="F1869">
        <v>1</v>
      </c>
      <c r="G1869">
        <v>20</v>
      </c>
    </row>
    <row r="1870" spans="1:7" x14ac:dyDescent="0.25">
      <c r="A1870">
        <v>5086</v>
      </c>
      <c r="B1870">
        <v>86</v>
      </c>
      <c r="C1870">
        <v>8</v>
      </c>
      <c r="D1870">
        <v>8</v>
      </c>
      <c r="E1870">
        <v>10</v>
      </c>
      <c r="F1870">
        <v>0</v>
      </c>
      <c r="G1870">
        <v>18</v>
      </c>
    </row>
    <row r="1871" spans="1:7" x14ac:dyDescent="0.25">
      <c r="A1871">
        <v>2007</v>
      </c>
      <c r="B1871">
        <v>7</v>
      </c>
      <c r="C1871">
        <v>10</v>
      </c>
      <c r="D1871">
        <v>8</v>
      </c>
      <c r="E1871">
        <v>9</v>
      </c>
      <c r="F1871">
        <v>1</v>
      </c>
      <c r="G1871">
        <v>18</v>
      </c>
    </row>
    <row r="1872" spans="1:7" x14ac:dyDescent="0.25">
      <c r="A1872">
        <v>2096</v>
      </c>
      <c r="B1872">
        <v>96</v>
      </c>
      <c r="C1872">
        <v>7</v>
      </c>
      <c r="D1872">
        <v>10</v>
      </c>
      <c r="E1872">
        <v>4</v>
      </c>
      <c r="F1872">
        <v>0</v>
      </c>
      <c r="G1872">
        <v>14</v>
      </c>
    </row>
    <row r="1873" spans="1:7" x14ac:dyDescent="0.25">
      <c r="A1873">
        <v>1096</v>
      </c>
      <c r="B1873">
        <v>96</v>
      </c>
      <c r="C1873">
        <v>6</v>
      </c>
      <c r="D1873">
        <v>12</v>
      </c>
      <c r="E1873">
        <v>1</v>
      </c>
      <c r="F1873">
        <v>0</v>
      </c>
      <c r="G1873">
        <v>13</v>
      </c>
    </row>
    <row r="1874" spans="1:7" x14ac:dyDescent="0.25">
      <c r="A1874">
        <v>1116</v>
      </c>
      <c r="B1874">
        <v>116</v>
      </c>
      <c r="C1874">
        <v>8</v>
      </c>
      <c r="D1874">
        <v>2</v>
      </c>
      <c r="E1874">
        <v>1</v>
      </c>
      <c r="F1874">
        <v>0</v>
      </c>
      <c r="G1874">
        <v>3</v>
      </c>
    </row>
    <row r="1875" spans="1:7" x14ac:dyDescent="0.25">
      <c r="A1875">
        <v>2116</v>
      </c>
      <c r="B1875">
        <v>116</v>
      </c>
      <c r="C1875">
        <v>8</v>
      </c>
      <c r="D1875">
        <v>4</v>
      </c>
      <c r="E1875">
        <v>0</v>
      </c>
      <c r="F1875">
        <v>0</v>
      </c>
      <c r="G1875">
        <v>4</v>
      </c>
    </row>
    <row r="1876" spans="1:7" x14ac:dyDescent="0.25">
      <c r="A1876">
        <v>1096</v>
      </c>
      <c r="B1876">
        <v>96</v>
      </c>
      <c r="C1876">
        <v>7</v>
      </c>
      <c r="D1876">
        <v>10</v>
      </c>
      <c r="E1876">
        <v>0</v>
      </c>
      <c r="F1876">
        <v>0</v>
      </c>
      <c r="G1876">
        <v>10</v>
      </c>
    </row>
    <row r="1877" spans="1:7" x14ac:dyDescent="0.25">
      <c r="A1877">
        <v>1007</v>
      </c>
      <c r="B1877">
        <v>7</v>
      </c>
      <c r="C1877">
        <v>10</v>
      </c>
      <c r="D1877">
        <v>16</v>
      </c>
      <c r="E1877">
        <v>19</v>
      </c>
      <c r="F1877">
        <v>7</v>
      </c>
      <c r="G1877">
        <v>42</v>
      </c>
    </row>
    <row r="1878" spans="1:7" x14ac:dyDescent="0.25">
      <c r="A1878">
        <v>1117</v>
      </c>
      <c r="B1878">
        <v>117</v>
      </c>
      <c r="C1878">
        <v>8</v>
      </c>
      <c r="D1878">
        <v>7</v>
      </c>
      <c r="E1878">
        <v>13</v>
      </c>
      <c r="F1878">
        <v>0</v>
      </c>
      <c r="G1878">
        <v>20</v>
      </c>
    </row>
    <row r="1879" spans="1:7" x14ac:dyDescent="0.25">
      <c r="A1879">
        <v>2117</v>
      </c>
      <c r="B1879">
        <v>117</v>
      </c>
      <c r="C1879">
        <v>8</v>
      </c>
      <c r="D1879">
        <v>3</v>
      </c>
      <c r="E1879">
        <v>7</v>
      </c>
      <c r="F1879">
        <v>0</v>
      </c>
      <c r="G1879">
        <v>10</v>
      </c>
    </row>
    <row r="1880" spans="1:7" x14ac:dyDescent="0.25">
      <c r="A1880">
        <v>2108</v>
      </c>
      <c r="B1880">
        <v>108</v>
      </c>
      <c r="C1880">
        <v>6</v>
      </c>
      <c r="D1880">
        <v>9</v>
      </c>
      <c r="E1880">
        <v>0</v>
      </c>
      <c r="F1880">
        <v>0</v>
      </c>
      <c r="G1880">
        <v>9</v>
      </c>
    </row>
    <row r="1881" spans="1:7" x14ac:dyDescent="0.25">
      <c r="A1881">
        <v>2085</v>
      </c>
      <c r="B1881">
        <v>85</v>
      </c>
      <c r="C1881">
        <v>8</v>
      </c>
      <c r="D1881">
        <v>16</v>
      </c>
      <c r="E1881">
        <v>9</v>
      </c>
      <c r="F1881">
        <v>9</v>
      </c>
      <c r="G1881">
        <v>34</v>
      </c>
    </row>
    <row r="1882" spans="1:7" x14ac:dyDescent="0.25">
      <c r="A1882">
        <v>2150</v>
      </c>
      <c r="B1882">
        <v>150</v>
      </c>
      <c r="C1882">
        <v>4</v>
      </c>
      <c r="D1882">
        <v>10</v>
      </c>
      <c r="E1882">
        <v>7</v>
      </c>
      <c r="F1882">
        <v>0</v>
      </c>
      <c r="G1882">
        <v>17</v>
      </c>
    </row>
    <row r="1883" spans="1:7" x14ac:dyDescent="0.25">
      <c r="A1883">
        <v>1118</v>
      </c>
      <c r="B1883">
        <v>118</v>
      </c>
      <c r="C1883">
        <v>8</v>
      </c>
      <c r="D1883">
        <v>13</v>
      </c>
      <c r="E1883">
        <v>11</v>
      </c>
      <c r="F1883">
        <v>0</v>
      </c>
      <c r="G1883">
        <v>24</v>
      </c>
    </row>
    <row r="1884" spans="1:7" x14ac:dyDescent="0.25">
      <c r="A1884">
        <v>1150</v>
      </c>
      <c r="B1884">
        <v>150</v>
      </c>
      <c r="C1884">
        <v>6</v>
      </c>
      <c r="D1884">
        <v>5</v>
      </c>
      <c r="E1884">
        <v>10</v>
      </c>
      <c r="F1884">
        <v>0</v>
      </c>
      <c r="G1884">
        <v>15</v>
      </c>
    </row>
    <row r="1885" spans="1:7" x14ac:dyDescent="0.25">
      <c r="A1885">
        <v>2088</v>
      </c>
      <c r="B1885">
        <v>88</v>
      </c>
      <c r="C1885">
        <v>8</v>
      </c>
      <c r="D1885">
        <v>8</v>
      </c>
      <c r="E1885">
        <v>12</v>
      </c>
      <c r="F1885">
        <v>0</v>
      </c>
      <c r="G1885">
        <v>20</v>
      </c>
    </row>
    <row r="1886" spans="1:7" x14ac:dyDescent="0.25">
      <c r="A1886">
        <v>2118</v>
      </c>
      <c r="B1886">
        <v>118</v>
      </c>
      <c r="C1886">
        <v>8</v>
      </c>
      <c r="D1886">
        <v>10</v>
      </c>
      <c r="E1886">
        <v>7</v>
      </c>
      <c r="F1886">
        <v>2</v>
      </c>
      <c r="G1886">
        <v>19</v>
      </c>
    </row>
    <row r="1887" spans="1:7" x14ac:dyDescent="0.25">
      <c r="A1887">
        <v>1150</v>
      </c>
      <c r="B1887">
        <v>150</v>
      </c>
      <c r="C1887">
        <v>5</v>
      </c>
      <c r="D1887">
        <v>18</v>
      </c>
      <c r="E1887">
        <v>4</v>
      </c>
      <c r="F1887">
        <v>0</v>
      </c>
      <c r="G1887">
        <v>22</v>
      </c>
    </row>
    <row r="1888" spans="1:7" x14ac:dyDescent="0.25">
      <c r="A1888">
        <v>2052</v>
      </c>
      <c r="B1888">
        <v>52</v>
      </c>
      <c r="C1888">
        <v>7</v>
      </c>
      <c r="D1888">
        <v>0</v>
      </c>
      <c r="E1888">
        <v>2</v>
      </c>
      <c r="F1888">
        <v>0</v>
      </c>
      <c r="G1888">
        <v>2</v>
      </c>
    </row>
    <row r="1889" spans="1:7" x14ac:dyDescent="0.25">
      <c r="A1889">
        <v>2090</v>
      </c>
      <c r="B1889">
        <v>90</v>
      </c>
      <c r="C1889">
        <v>8</v>
      </c>
      <c r="D1889">
        <v>13</v>
      </c>
      <c r="E1889">
        <v>6</v>
      </c>
      <c r="F1889">
        <v>0</v>
      </c>
      <c r="G1889">
        <v>19</v>
      </c>
    </row>
    <row r="1890" spans="1:7" x14ac:dyDescent="0.25">
      <c r="A1890">
        <v>2149</v>
      </c>
      <c r="B1890">
        <v>149</v>
      </c>
      <c r="C1890">
        <v>5</v>
      </c>
      <c r="D1890">
        <v>10</v>
      </c>
      <c r="E1890">
        <v>7</v>
      </c>
      <c r="F1890">
        <v>0</v>
      </c>
      <c r="G1890">
        <v>17</v>
      </c>
    </row>
    <row r="1891" spans="1:7" x14ac:dyDescent="0.25">
      <c r="A1891">
        <v>2051</v>
      </c>
      <c r="B1891">
        <v>51</v>
      </c>
      <c r="C1891">
        <v>7</v>
      </c>
      <c r="D1891">
        <v>14</v>
      </c>
      <c r="E1891">
        <v>3</v>
      </c>
      <c r="F1891">
        <v>0</v>
      </c>
      <c r="G1891">
        <v>17</v>
      </c>
    </row>
    <row r="1892" spans="1:7" x14ac:dyDescent="0.25">
      <c r="A1892">
        <v>1149</v>
      </c>
      <c r="B1892">
        <v>149</v>
      </c>
      <c r="C1892">
        <v>6</v>
      </c>
      <c r="D1892">
        <v>1</v>
      </c>
      <c r="E1892">
        <v>7</v>
      </c>
      <c r="F1892">
        <v>0</v>
      </c>
      <c r="G1892">
        <v>8</v>
      </c>
    </row>
    <row r="1893" spans="1:7" x14ac:dyDescent="0.25">
      <c r="A1893">
        <v>3118</v>
      </c>
      <c r="B1893">
        <v>118</v>
      </c>
      <c r="C1893">
        <v>8</v>
      </c>
      <c r="D1893">
        <v>13</v>
      </c>
      <c r="E1893">
        <v>6</v>
      </c>
      <c r="F1893">
        <v>0</v>
      </c>
      <c r="G1893">
        <v>19</v>
      </c>
    </row>
    <row r="1894" spans="1:7" x14ac:dyDescent="0.25">
      <c r="A1894">
        <v>2050</v>
      </c>
      <c r="B1894">
        <v>50</v>
      </c>
      <c r="C1894">
        <v>7</v>
      </c>
      <c r="D1894">
        <v>16</v>
      </c>
      <c r="E1894">
        <v>10</v>
      </c>
      <c r="F1894">
        <v>0</v>
      </c>
      <c r="G1894">
        <v>26</v>
      </c>
    </row>
    <row r="1895" spans="1:7" x14ac:dyDescent="0.25">
      <c r="A1895">
        <v>2103</v>
      </c>
      <c r="B1895">
        <v>103</v>
      </c>
      <c r="C1895">
        <v>7</v>
      </c>
      <c r="D1895">
        <v>18</v>
      </c>
      <c r="E1895">
        <v>2</v>
      </c>
      <c r="F1895">
        <v>0</v>
      </c>
      <c r="G1895">
        <v>20</v>
      </c>
    </row>
    <row r="1896" spans="1:7" x14ac:dyDescent="0.25">
      <c r="A1896">
        <v>1149</v>
      </c>
      <c r="B1896">
        <v>149</v>
      </c>
      <c r="C1896">
        <v>5</v>
      </c>
      <c r="D1896">
        <v>14</v>
      </c>
      <c r="E1896">
        <v>2</v>
      </c>
      <c r="F1896">
        <v>0</v>
      </c>
      <c r="G1896">
        <v>16</v>
      </c>
    </row>
    <row r="1897" spans="1:7" x14ac:dyDescent="0.25">
      <c r="A1897">
        <v>4118</v>
      </c>
      <c r="B1897">
        <v>118</v>
      </c>
      <c r="C1897">
        <v>8</v>
      </c>
      <c r="D1897">
        <v>9</v>
      </c>
      <c r="E1897">
        <v>13</v>
      </c>
      <c r="F1897">
        <v>0</v>
      </c>
      <c r="G1897">
        <v>22</v>
      </c>
    </row>
    <row r="1898" spans="1:7" x14ac:dyDescent="0.25">
      <c r="A1898">
        <v>5148</v>
      </c>
      <c r="B1898">
        <v>148</v>
      </c>
      <c r="C1898">
        <v>6</v>
      </c>
      <c r="D1898">
        <v>10</v>
      </c>
      <c r="E1898">
        <v>6</v>
      </c>
      <c r="F1898">
        <v>0</v>
      </c>
      <c r="G1898">
        <v>16</v>
      </c>
    </row>
    <row r="1899" spans="1:7" x14ac:dyDescent="0.25">
      <c r="A1899">
        <v>1010</v>
      </c>
      <c r="B1899">
        <v>10</v>
      </c>
      <c r="C1899">
        <v>7</v>
      </c>
      <c r="D1899">
        <v>5</v>
      </c>
      <c r="E1899">
        <v>0</v>
      </c>
      <c r="F1899">
        <v>0</v>
      </c>
      <c r="G1899">
        <v>5</v>
      </c>
    </row>
    <row r="1900" spans="1:7" x14ac:dyDescent="0.25">
      <c r="A1900">
        <v>5118</v>
      </c>
      <c r="B1900">
        <v>118</v>
      </c>
      <c r="C1900">
        <v>8</v>
      </c>
      <c r="D1900">
        <v>14</v>
      </c>
      <c r="E1900">
        <v>6</v>
      </c>
      <c r="F1900">
        <v>0</v>
      </c>
      <c r="G1900">
        <v>20</v>
      </c>
    </row>
    <row r="1901" spans="1:7" x14ac:dyDescent="0.25">
      <c r="A1901">
        <v>1056</v>
      </c>
      <c r="B1901">
        <v>56</v>
      </c>
      <c r="C1901">
        <v>9</v>
      </c>
      <c r="D1901">
        <v>8</v>
      </c>
      <c r="E1901">
        <v>3</v>
      </c>
      <c r="F1901">
        <v>0</v>
      </c>
      <c r="G1901">
        <v>11</v>
      </c>
    </row>
    <row r="1902" spans="1:7" x14ac:dyDescent="0.25">
      <c r="A1902">
        <v>5148</v>
      </c>
      <c r="B1902">
        <v>148</v>
      </c>
      <c r="C1902">
        <v>5</v>
      </c>
      <c r="D1902">
        <v>4</v>
      </c>
      <c r="E1902">
        <v>7</v>
      </c>
      <c r="F1902">
        <v>0</v>
      </c>
      <c r="G1902">
        <v>11</v>
      </c>
    </row>
    <row r="1903" spans="1:7" x14ac:dyDescent="0.25">
      <c r="A1903">
        <v>2119</v>
      </c>
      <c r="B1903">
        <v>119</v>
      </c>
      <c r="C1903">
        <v>8</v>
      </c>
      <c r="D1903">
        <v>7</v>
      </c>
      <c r="E1903">
        <v>12</v>
      </c>
      <c r="F1903">
        <v>1</v>
      </c>
      <c r="G1903">
        <v>20</v>
      </c>
    </row>
    <row r="1904" spans="1:7" x14ac:dyDescent="0.25">
      <c r="A1904">
        <v>2119</v>
      </c>
      <c r="B1904">
        <v>119</v>
      </c>
      <c r="C1904">
        <v>6</v>
      </c>
      <c r="D1904">
        <v>5</v>
      </c>
      <c r="E1904">
        <v>11</v>
      </c>
      <c r="F1904">
        <v>0</v>
      </c>
      <c r="G1904">
        <v>16</v>
      </c>
    </row>
    <row r="1905" spans="1:7" x14ac:dyDescent="0.25">
      <c r="A1905">
        <v>1120</v>
      </c>
      <c r="B1905">
        <v>120</v>
      </c>
      <c r="C1905">
        <v>8</v>
      </c>
      <c r="D1905">
        <v>6</v>
      </c>
      <c r="E1905">
        <v>11</v>
      </c>
      <c r="F1905">
        <v>0</v>
      </c>
      <c r="G1905">
        <v>17</v>
      </c>
    </row>
    <row r="1906" spans="1:7" x14ac:dyDescent="0.25">
      <c r="A1906">
        <v>2055</v>
      </c>
      <c r="B1906">
        <v>55</v>
      </c>
      <c r="C1906">
        <v>9</v>
      </c>
      <c r="D1906">
        <v>0</v>
      </c>
      <c r="E1906">
        <v>16</v>
      </c>
      <c r="F1906">
        <v>0</v>
      </c>
      <c r="G1906">
        <v>16</v>
      </c>
    </row>
    <row r="1907" spans="1:7" x14ac:dyDescent="0.25">
      <c r="A1907">
        <v>2120</v>
      </c>
      <c r="B1907">
        <v>120</v>
      </c>
      <c r="C1907">
        <v>8</v>
      </c>
      <c r="D1907">
        <v>9</v>
      </c>
      <c r="E1907">
        <v>14</v>
      </c>
      <c r="F1907">
        <v>0</v>
      </c>
      <c r="G1907">
        <v>23</v>
      </c>
    </row>
    <row r="1908" spans="1:7" x14ac:dyDescent="0.25">
      <c r="A1908">
        <v>2053</v>
      </c>
      <c r="B1908">
        <v>53</v>
      </c>
      <c r="C1908">
        <v>6</v>
      </c>
      <c r="D1908">
        <v>14</v>
      </c>
      <c r="E1908">
        <v>37</v>
      </c>
      <c r="F1908">
        <v>0</v>
      </c>
      <c r="G1908">
        <v>51</v>
      </c>
    </row>
    <row r="1909" spans="1:7" x14ac:dyDescent="0.25">
      <c r="A1909">
        <v>2121</v>
      </c>
      <c r="B1909">
        <v>121</v>
      </c>
      <c r="C1909">
        <v>8</v>
      </c>
      <c r="D1909">
        <v>4</v>
      </c>
      <c r="E1909">
        <v>7</v>
      </c>
      <c r="F1909">
        <v>0</v>
      </c>
      <c r="G1909">
        <v>11</v>
      </c>
    </row>
    <row r="1910" spans="1:7" x14ac:dyDescent="0.25">
      <c r="A1910">
        <v>1105</v>
      </c>
      <c r="B1910">
        <v>105</v>
      </c>
      <c r="C1910">
        <v>7</v>
      </c>
      <c r="D1910">
        <v>9</v>
      </c>
      <c r="E1910">
        <v>16</v>
      </c>
      <c r="F1910">
        <v>0</v>
      </c>
      <c r="G1910">
        <v>25</v>
      </c>
    </row>
    <row r="1911" spans="1:7" x14ac:dyDescent="0.25">
      <c r="A1911">
        <v>1141</v>
      </c>
      <c r="B1911">
        <v>141</v>
      </c>
      <c r="C1911">
        <v>8</v>
      </c>
      <c r="D1911">
        <v>10</v>
      </c>
      <c r="E1911">
        <v>5</v>
      </c>
      <c r="F1911">
        <v>0</v>
      </c>
      <c r="G1911">
        <v>15</v>
      </c>
    </row>
    <row r="1912" spans="1:7" x14ac:dyDescent="0.25">
      <c r="A1912">
        <v>1121</v>
      </c>
      <c r="B1912">
        <v>121</v>
      </c>
      <c r="C1912">
        <v>8</v>
      </c>
      <c r="D1912">
        <v>2</v>
      </c>
      <c r="E1912">
        <v>20</v>
      </c>
      <c r="F1912">
        <v>0</v>
      </c>
      <c r="G1912">
        <v>22</v>
      </c>
    </row>
    <row r="1913" spans="1:7" x14ac:dyDescent="0.25">
      <c r="A1913">
        <v>1060</v>
      </c>
      <c r="B1913">
        <v>60</v>
      </c>
      <c r="C1913">
        <v>5</v>
      </c>
      <c r="D1913">
        <v>12</v>
      </c>
      <c r="E1913">
        <v>8</v>
      </c>
      <c r="F1913">
        <v>0</v>
      </c>
      <c r="G1913">
        <v>20</v>
      </c>
    </row>
    <row r="1914" spans="1:7" x14ac:dyDescent="0.25">
      <c r="A1914">
        <v>3145</v>
      </c>
      <c r="B1914">
        <v>145</v>
      </c>
      <c r="C1914">
        <v>7</v>
      </c>
      <c r="D1914">
        <v>7</v>
      </c>
      <c r="E1914">
        <v>13</v>
      </c>
      <c r="F1914">
        <v>0</v>
      </c>
      <c r="G1914">
        <v>20</v>
      </c>
    </row>
    <row r="1915" spans="1:7" x14ac:dyDescent="0.25">
      <c r="A1915">
        <v>2103</v>
      </c>
      <c r="B1915">
        <v>103</v>
      </c>
      <c r="C1915">
        <v>6</v>
      </c>
      <c r="D1915">
        <v>8</v>
      </c>
      <c r="E1915">
        <v>12</v>
      </c>
      <c r="F1915">
        <v>0</v>
      </c>
      <c r="G1915">
        <v>20</v>
      </c>
    </row>
    <row r="1916" spans="1:7" x14ac:dyDescent="0.25">
      <c r="A1916">
        <v>2148</v>
      </c>
      <c r="B1916">
        <v>148</v>
      </c>
      <c r="C1916">
        <v>5</v>
      </c>
      <c r="D1916">
        <v>22</v>
      </c>
      <c r="E1916">
        <v>2</v>
      </c>
      <c r="F1916">
        <v>0</v>
      </c>
      <c r="G1916">
        <v>24</v>
      </c>
    </row>
    <row r="1917" spans="1:7" x14ac:dyDescent="0.25">
      <c r="A1917">
        <v>1056</v>
      </c>
      <c r="B1917">
        <v>56</v>
      </c>
      <c r="C1917">
        <v>5</v>
      </c>
      <c r="D1917">
        <v>8</v>
      </c>
      <c r="E1917">
        <v>3</v>
      </c>
      <c r="F1917">
        <v>0</v>
      </c>
      <c r="G1917">
        <v>11</v>
      </c>
    </row>
    <row r="1918" spans="1:7" x14ac:dyDescent="0.25">
      <c r="A1918">
        <v>1055</v>
      </c>
      <c r="B1918">
        <v>55</v>
      </c>
      <c r="C1918">
        <v>9</v>
      </c>
      <c r="D1918">
        <v>10</v>
      </c>
      <c r="E1918">
        <v>10</v>
      </c>
      <c r="F1918">
        <v>0</v>
      </c>
      <c r="G1918">
        <v>20</v>
      </c>
    </row>
    <row r="1919" spans="1:7" x14ac:dyDescent="0.25">
      <c r="A1919">
        <v>1149</v>
      </c>
      <c r="B1919">
        <v>149</v>
      </c>
      <c r="C1919">
        <v>7</v>
      </c>
      <c r="D1919">
        <v>12</v>
      </c>
      <c r="E1919">
        <v>7</v>
      </c>
      <c r="F1919">
        <v>0</v>
      </c>
      <c r="G1919">
        <v>19</v>
      </c>
    </row>
    <row r="1920" spans="1:7" x14ac:dyDescent="0.25">
      <c r="A1920">
        <v>1058</v>
      </c>
      <c r="B1920">
        <v>58</v>
      </c>
      <c r="C1920">
        <v>5</v>
      </c>
      <c r="D1920">
        <v>21</v>
      </c>
      <c r="E1920">
        <v>4</v>
      </c>
      <c r="F1920">
        <v>0</v>
      </c>
      <c r="G1920">
        <v>25</v>
      </c>
    </row>
    <row r="1921" spans="1:7" x14ac:dyDescent="0.25">
      <c r="A1921">
        <v>4145</v>
      </c>
      <c r="B1921">
        <v>145</v>
      </c>
      <c r="C1921">
        <v>7</v>
      </c>
      <c r="D1921">
        <v>12</v>
      </c>
      <c r="E1921">
        <v>8</v>
      </c>
      <c r="F1921">
        <v>0</v>
      </c>
      <c r="G1921">
        <v>20</v>
      </c>
    </row>
    <row r="1922" spans="1:7" x14ac:dyDescent="0.25">
      <c r="A1922">
        <v>2055</v>
      </c>
      <c r="B1922">
        <v>55</v>
      </c>
      <c r="C1922">
        <v>5</v>
      </c>
      <c r="D1922">
        <v>7</v>
      </c>
      <c r="E1922">
        <v>7</v>
      </c>
      <c r="F1922">
        <v>0</v>
      </c>
      <c r="G1922">
        <v>14</v>
      </c>
    </row>
    <row r="1923" spans="1:7" x14ac:dyDescent="0.25">
      <c r="A1923">
        <v>1032</v>
      </c>
      <c r="B1923">
        <v>32</v>
      </c>
      <c r="C1923">
        <v>8</v>
      </c>
      <c r="D1923">
        <v>10</v>
      </c>
      <c r="E1923">
        <v>7</v>
      </c>
      <c r="F1923">
        <v>0</v>
      </c>
      <c r="G1923">
        <v>17</v>
      </c>
    </row>
    <row r="1924" spans="1:7" x14ac:dyDescent="0.25">
      <c r="A1924">
        <v>1061</v>
      </c>
      <c r="B1924">
        <v>61</v>
      </c>
      <c r="C1924">
        <v>9</v>
      </c>
      <c r="D1924">
        <v>13</v>
      </c>
      <c r="E1924">
        <v>6</v>
      </c>
      <c r="F1924">
        <v>1</v>
      </c>
      <c r="G1924">
        <v>20</v>
      </c>
    </row>
    <row r="1925" spans="1:7" x14ac:dyDescent="0.25">
      <c r="A1925">
        <v>3058</v>
      </c>
      <c r="B1925">
        <v>58</v>
      </c>
      <c r="C1925">
        <v>5</v>
      </c>
      <c r="D1925">
        <v>13</v>
      </c>
      <c r="E1925">
        <v>7</v>
      </c>
      <c r="F1925">
        <v>0</v>
      </c>
      <c r="G1925">
        <v>20</v>
      </c>
    </row>
    <row r="1926" spans="1:7" x14ac:dyDescent="0.25">
      <c r="A1926">
        <v>2049</v>
      </c>
      <c r="B1926">
        <v>49</v>
      </c>
      <c r="C1926">
        <v>8</v>
      </c>
      <c r="D1926">
        <v>10</v>
      </c>
      <c r="E1926">
        <v>18</v>
      </c>
      <c r="F1926">
        <v>0</v>
      </c>
      <c r="G1926">
        <v>28</v>
      </c>
    </row>
    <row r="1927" spans="1:7" x14ac:dyDescent="0.25">
      <c r="A1927">
        <v>1154</v>
      </c>
      <c r="B1927">
        <v>154</v>
      </c>
      <c r="C1927">
        <v>8</v>
      </c>
      <c r="D1927">
        <v>4</v>
      </c>
      <c r="E1927">
        <v>16</v>
      </c>
      <c r="F1927">
        <v>0</v>
      </c>
      <c r="G1927">
        <v>20</v>
      </c>
    </row>
    <row r="1928" spans="1:7" x14ac:dyDescent="0.25">
      <c r="A1928">
        <v>4148</v>
      </c>
      <c r="B1928">
        <v>148</v>
      </c>
      <c r="C1928">
        <v>5</v>
      </c>
      <c r="D1928">
        <v>13</v>
      </c>
      <c r="E1928">
        <v>11</v>
      </c>
      <c r="F1928">
        <v>0</v>
      </c>
      <c r="G1928">
        <v>24</v>
      </c>
    </row>
    <row r="1929" spans="1:7" x14ac:dyDescent="0.25">
      <c r="A1929">
        <v>1032</v>
      </c>
      <c r="B1929">
        <v>32</v>
      </c>
      <c r="C1929">
        <v>7</v>
      </c>
      <c r="D1929">
        <v>9</v>
      </c>
      <c r="E1929">
        <v>7</v>
      </c>
      <c r="F1929">
        <v>0</v>
      </c>
      <c r="G1929">
        <v>16</v>
      </c>
    </row>
    <row r="1930" spans="1:7" x14ac:dyDescent="0.25">
      <c r="A1930">
        <v>4148</v>
      </c>
      <c r="B1930">
        <v>148</v>
      </c>
      <c r="C1930">
        <v>6</v>
      </c>
      <c r="D1930">
        <v>24</v>
      </c>
      <c r="E1930">
        <v>3</v>
      </c>
      <c r="F1930">
        <v>0</v>
      </c>
      <c r="G1930">
        <v>27</v>
      </c>
    </row>
    <row r="1931" spans="1:7" x14ac:dyDescent="0.25">
      <c r="A1931">
        <v>3148</v>
      </c>
      <c r="B1931">
        <v>148</v>
      </c>
      <c r="C1931">
        <v>5</v>
      </c>
      <c r="D1931">
        <v>11</v>
      </c>
      <c r="E1931">
        <v>9</v>
      </c>
      <c r="F1931">
        <v>0</v>
      </c>
      <c r="G1931">
        <v>20</v>
      </c>
    </row>
    <row r="1932" spans="1:7" x14ac:dyDescent="0.25">
      <c r="A1932">
        <v>3148</v>
      </c>
      <c r="B1932">
        <v>148</v>
      </c>
      <c r="C1932">
        <v>6</v>
      </c>
      <c r="D1932">
        <v>16</v>
      </c>
      <c r="E1932">
        <v>8</v>
      </c>
      <c r="F1932">
        <v>0</v>
      </c>
      <c r="G1932">
        <v>24</v>
      </c>
    </row>
    <row r="1933" spans="1:7" x14ac:dyDescent="0.25">
      <c r="A1933">
        <v>1148</v>
      </c>
      <c r="B1933">
        <v>148</v>
      </c>
      <c r="C1933">
        <v>4</v>
      </c>
      <c r="D1933">
        <v>6</v>
      </c>
      <c r="E1933">
        <v>9</v>
      </c>
      <c r="F1933">
        <v>0</v>
      </c>
      <c r="G1933">
        <v>15</v>
      </c>
    </row>
    <row r="1934" spans="1:7" x14ac:dyDescent="0.25">
      <c r="A1934">
        <v>2147</v>
      </c>
      <c r="B1934">
        <v>147</v>
      </c>
      <c r="C1934">
        <v>4</v>
      </c>
      <c r="D1934">
        <v>0</v>
      </c>
      <c r="E1934">
        <v>6</v>
      </c>
      <c r="F1934">
        <v>0</v>
      </c>
      <c r="G1934">
        <v>6</v>
      </c>
    </row>
    <row r="1935" spans="1:7" x14ac:dyDescent="0.25">
      <c r="A1935">
        <v>1147</v>
      </c>
      <c r="B1935">
        <v>147</v>
      </c>
      <c r="C1935">
        <v>5</v>
      </c>
      <c r="D1935">
        <v>2</v>
      </c>
      <c r="E1935">
        <v>14</v>
      </c>
      <c r="F1935">
        <v>0</v>
      </c>
      <c r="G1935">
        <v>16</v>
      </c>
    </row>
    <row r="1936" spans="1:7" x14ac:dyDescent="0.25">
      <c r="A1936">
        <v>2076</v>
      </c>
      <c r="B1936">
        <v>76</v>
      </c>
      <c r="C1936">
        <v>9</v>
      </c>
      <c r="D1936">
        <v>15</v>
      </c>
      <c r="E1936">
        <v>5</v>
      </c>
      <c r="F1936">
        <v>0</v>
      </c>
      <c r="G1936">
        <v>20</v>
      </c>
    </row>
    <row r="1937" spans="1:7" x14ac:dyDescent="0.25">
      <c r="A1937">
        <v>1055</v>
      </c>
      <c r="B1937">
        <v>55</v>
      </c>
      <c r="C1937">
        <v>12</v>
      </c>
      <c r="D1937">
        <v>15</v>
      </c>
      <c r="E1937">
        <v>6</v>
      </c>
      <c r="F1937">
        <v>0</v>
      </c>
      <c r="G1937">
        <v>21</v>
      </c>
    </row>
    <row r="1938" spans="1:7" x14ac:dyDescent="0.25">
      <c r="A1938">
        <v>2054</v>
      </c>
      <c r="B1938">
        <v>54</v>
      </c>
      <c r="C1938">
        <v>12</v>
      </c>
      <c r="D1938">
        <v>19</v>
      </c>
      <c r="E1938">
        <v>12</v>
      </c>
      <c r="F1938">
        <v>0</v>
      </c>
      <c r="G1938">
        <v>31</v>
      </c>
    </row>
    <row r="1939" spans="1:7" x14ac:dyDescent="0.25">
      <c r="A1939">
        <v>1139</v>
      </c>
      <c r="B1939">
        <v>139</v>
      </c>
      <c r="C1939">
        <v>9</v>
      </c>
      <c r="D1939">
        <v>10</v>
      </c>
      <c r="E1939">
        <v>5</v>
      </c>
      <c r="F1939">
        <v>0</v>
      </c>
      <c r="G1939">
        <v>15</v>
      </c>
    </row>
    <row r="1940" spans="1:7" x14ac:dyDescent="0.25">
      <c r="A1940">
        <v>2138</v>
      </c>
      <c r="B1940">
        <v>138</v>
      </c>
      <c r="C1940">
        <v>9</v>
      </c>
      <c r="D1940">
        <v>7</v>
      </c>
      <c r="E1940">
        <v>8</v>
      </c>
      <c r="F1940">
        <v>0</v>
      </c>
      <c r="G1940">
        <v>15</v>
      </c>
    </row>
    <row r="1941" spans="1:7" x14ac:dyDescent="0.25">
      <c r="A1941">
        <v>2040</v>
      </c>
      <c r="B1941">
        <v>40</v>
      </c>
      <c r="C1941">
        <v>12</v>
      </c>
      <c r="D1941">
        <v>4</v>
      </c>
      <c r="E1941">
        <v>16</v>
      </c>
      <c r="F1941">
        <v>0</v>
      </c>
      <c r="G1941">
        <v>20</v>
      </c>
    </row>
    <row r="1942" spans="1:7" x14ac:dyDescent="0.25">
      <c r="A1942">
        <v>5086</v>
      </c>
      <c r="B1942">
        <v>86</v>
      </c>
      <c r="C1942">
        <v>10</v>
      </c>
      <c r="D1942">
        <v>13</v>
      </c>
      <c r="E1942">
        <v>7</v>
      </c>
      <c r="F1942">
        <v>0</v>
      </c>
      <c r="G1942">
        <v>20</v>
      </c>
    </row>
    <row r="1943" spans="1:7" x14ac:dyDescent="0.25">
      <c r="A1943">
        <v>1040</v>
      </c>
      <c r="B1943">
        <v>40</v>
      </c>
      <c r="C1943">
        <v>12</v>
      </c>
      <c r="D1943">
        <v>4</v>
      </c>
      <c r="E1943">
        <v>16</v>
      </c>
      <c r="F1943">
        <v>0</v>
      </c>
      <c r="G1943">
        <v>20</v>
      </c>
    </row>
    <row r="1944" spans="1:7" x14ac:dyDescent="0.25">
      <c r="A1944">
        <v>2039</v>
      </c>
      <c r="B1944">
        <v>39</v>
      </c>
      <c r="C1944">
        <v>12</v>
      </c>
      <c r="D1944">
        <v>0</v>
      </c>
      <c r="E1944">
        <v>5</v>
      </c>
      <c r="F1944">
        <v>0</v>
      </c>
      <c r="G1944">
        <v>5</v>
      </c>
    </row>
    <row r="1945" spans="1:7" x14ac:dyDescent="0.25">
      <c r="A1945">
        <v>1087</v>
      </c>
      <c r="B1945">
        <v>87</v>
      </c>
      <c r="C1945">
        <v>10</v>
      </c>
      <c r="D1945">
        <v>13</v>
      </c>
      <c r="E1945">
        <v>7</v>
      </c>
      <c r="F1945">
        <v>0</v>
      </c>
      <c r="G1945">
        <v>20</v>
      </c>
    </row>
    <row r="1946" spans="1:7" x14ac:dyDescent="0.25">
      <c r="A1946">
        <v>2085</v>
      </c>
      <c r="B1946">
        <v>85</v>
      </c>
      <c r="C1946">
        <v>1</v>
      </c>
      <c r="D1946">
        <v>5</v>
      </c>
      <c r="E1946">
        <v>0</v>
      </c>
      <c r="F1946">
        <v>15</v>
      </c>
      <c r="G1946">
        <v>20</v>
      </c>
    </row>
    <row r="1947" spans="1:7" x14ac:dyDescent="0.25">
      <c r="A1947">
        <v>2075</v>
      </c>
      <c r="B1947">
        <v>75</v>
      </c>
      <c r="C1947">
        <v>12</v>
      </c>
      <c r="D1947">
        <v>17</v>
      </c>
      <c r="E1947">
        <v>3</v>
      </c>
      <c r="F1947">
        <v>0</v>
      </c>
      <c r="G1947">
        <v>20</v>
      </c>
    </row>
    <row r="1948" spans="1:7" x14ac:dyDescent="0.25">
      <c r="A1948">
        <v>1046</v>
      </c>
      <c r="B1948">
        <v>46</v>
      </c>
      <c r="C1948">
        <v>9</v>
      </c>
      <c r="D1948">
        <v>9</v>
      </c>
      <c r="E1948">
        <v>6</v>
      </c>
      <c r="F1948">
        <v>0</v>
      </c>
      <c r="G1948">
        <v>15</v>
      </c>
    </row>
    <row r="1949" spans="1:7" x14ac:dyDescent="0.25">
      <c r="A1949">
        <v>1076</v>
      </c>
      <c r="B1949">
        <v>76</v>
      </c>
      <c r="C1949">
        <v>12</v>
      </c>
      <c r="D1949">
        <v>16</v>
      </c>
      <c r="E1949">
        <v>4</v>
      </c>
      <c r="F1949">
        <v>0</v>
      </c>
      <c r="G1949">
        <v>20</v>
      </c>
    </row>
    <row r="1950" spans="1:7" x14ac:dyDescent="0.25">
      <c r="A1950">
        <v>1045</v>
      </c>
      <c r="B1950">
        <v>45</v>
      </c>
      <c r="C1950">
        <v>9</v>
      </c>
      <c r="D1950">
        <v>15</v>
      </c>
      <c r="E1950">
        <v>5</v>
      </c>
      <c r="F1950">
        <v>0</v>
      </c>
      <c r="G1950">
        <v>20</v>
      </c>
    </row>
    <row r="1951" spans="1:7" x14ac:dyDescent="0.25">
      <c r="A1951">
        <v>2085</v>
      </c>
      <c r="B1951">
        <v>85</v>
      </c>
      <c r="C1951">
        <v>10</v>
      </c>
      <c r="D1951">
        <v>15</v>
      </c>
      <c r="E1951">
        <v>5</v>
      </c>
      <c r="F1951">
        <v>0</v>
      </c>
      <c r="G1951">
        <v>20</v>
      </c>
    </row>
    <row r="1952" spans="1:7" x14ac:dyDescent="0.25">
      <c r="A1952">
        <v>2059</v>
      </c>
      <c r="B1952">
        <v>59</v>
      </c>
      <c r="C1952">
        <v>5</v>
      </c>
      <c r="D1952">
        <v>12</v>
      </c>
      <c r="E1952">
        <v>44</v>
      </c>
      <c r="F1952">
        <v>0</v>
      </c>
      <c r="G1952">
        <v>56</v>
      </c>
    </row>
    <row r="1953" spans="1:7" x14ac:dyDescent="0.25">
      <c r="A1953">
        <v>2076</v>
      </c>
      <c r="B1953">
        <v>76</v>
      </c>
      <c r="C1953">
        <v>12</v>
      </c>
      <c r="D1953">
        <v>17</v>
      </c>
      <c r="E1953">
        <v>3</v>
      </c>
      <c r="F1953">
        <v>0</v>
      </c>
      <c r="G1953">
        <v>20</v>
      </c>
    </row>
    <row r="1954" spans="1:7" x14ac:dyDescent="0.25">
      <c r="A1954">
        <v>1044</v>
      </c>
      <c r="B1954">
        <v>44</v>
      </c>
      <c r="C1954">
        <v>9</v>
      </c>
      <c r="D1954">
        <v>10</v>
      </c>
      <c r="E1954">
        <v>10</v>
      </c>
      <c r="F1954">
        <v>0</v>
      </c>
      <c r="G1954">
        <v>20</v>
      </c>
    </row>
    <row r="1955" spans="1:7" x14ac:dyDescent="0.25">
      <c r="A1955">
        <v>3092</v>
      </c>
      <c r="B1955">
        <v>92</v>
      </c>
      <c r="C1955">
        <v>13</v>
      </c>
      <c r="D1955">
        <v>13</v>
      </c>
      <c r="E1955">
        <v>7</v>
      </c>
      <c r="F1955">
        <v>0</v>
      </c>
      <c r="G1955">
        <v>20</v>
      </c>
    </row>
    <row r="1956" spans="1:7" x14ac:dyDescent="0.25">
      <c r="A1956">
        <v>1077</v>
      </c>
      <c r="B1956">
        <v>77</v>
      </c>
      <c r="C1956">
        <v>12</v>
      </c>
      <c r="D1956">
        <v>9</v>
      </c>
      <c r="E1956">
        <v>12</v>
      </c>
      <c r="F1956">
        <v>0</v>
      </c>
      <c r="G1956">
        <v>21</v>
      </c>
    </row>
    <row r="1957" spans="1:7" x14ac:dyDescent="0.25">
      <c r="A1957">
        <v>2047</v>
      </c>
      <c r="B1957">
        <v>47</v>
      </c>
      <c r="C1957">
        <v>11</v>
      </c>
      <c r="D1957">
        <v>7</v>
      </c>
      <c r="E1957">
        <v>13</v>
      </c>
      <c r="F1957">
        <v>0</v>
      </c>
      <c r="G1957">
        <v>20</v>
      </c>
    </row>
    <row r="1958" spans="1:7" x14ac:dyDescent="0.25">
      <c r="A1958">
        <v>5098</v>
      </c>
      <c r="B1958">
        <v>98</v>
      </c>
      <c r="C1958">
        <v>13</v>
      </c>
      <c r="D1958">
        <v>2</v>
      </c>
      <c r="E1958">
        <v>18</v>
      </c>
      <c r="F1958">
        <v>0</v>
      </c>
      <c r="G1958">
        <v>20</v>
      </c>
    </row>
    <row r="1959" spans="1:7" x14ac:dyDescent="0.25">
      <c r="A1959">
        <v>2153</v>
      </c>
      <c r="B1959">
        <v>153</v>
      </c>
      <c r="C1959">
        <v>13</v>
      </c>
      <c r="D1959">
        <v>10</v>
      </c>
      <c r="E1959">
        <v>2</v>
      </c>
      <c r="F1959">
        <v>0</v>
      </c>
      <c r="G1959">
        <v>12</v>
      </c>
    </row>
    <row r="1960" spans="1:7" x14ac:dyDescent="0.25">
      <c r="A1960">
        <v>2008</v>
      </c>
      <c r="B1960">
        <v>8</v>
      </c>
      <c r="C1960">
        <v>11</v>
      </c>
      <c r="D1960">
        <v>9</v>
      </c>
      <c r="E1960">
        <v>11</v>
      </c>
      <c r="F1960">
        <v>0</v>
      </c>
      <c r="G1960">
        <v>20</v>
      </c>
    </row>
    <row r="1961" spans="1:7" x14ac:dyDescent="0.25">
      <c r="A1961">
        <v>1099</v>
      </c>
      <c r="B1961">
        <v>99</v>
      </c>
      <c r="C1961">
        <v>13</v>
      </c>
      <c r="D1961">
        <v>9</v>
      </c>
      <c r="E1961">
        <v>7</v>
      </c>
      <c r="F1961">
        <v>1</v>
      </c>
      <c r="G1961">
        <v>17</v>
      </c>
    </row>
    <row r="1962" spans="1:7" x14ac:dyDescent="0.25">
      <c r="A1962">
        <v>2095</v>
      </c>
      <c r="B1962">
        <v>95</v>
      </c>
      <c r="C1962">
        <v>11</v>
      </c>
      <c r="D1962">
        <v>3</v>
      </c>
      <c r="E1962">
        <v>15</v>
      </c>
      <c r="F1962">
        <v>1</v>
      </c>
      <c r="G1962">
        <v>19</v>
      </c>
    </row>
    <row r="1963" spans="1:7" x14ac:dyDescent="0.25">
      <c r="A1963">
        <v>5046</v>
      </c>
      <c r="B1963">
        <v>46</v>
      </c>
      <c r="C1963">
        <v>9</v>
      </c>
      <c r="D1963">
        <v>9</v>
      </c>
      <c r="E1963">
        <v>11</v>
      </c>
      <c r="F1963">
        <v>0</v>
      </c>
      <c r="G1963">
        <v>20</v>
      </c>
    </row>
    <row r="1964" spans="1:7" x14ac:dyDescent="0.25">
      <c r="A1964">
        <v>1053</v>
      </c>
      <c r="B1964">
        <v>53</v>
      </c>
      <c r="C1964">
        <v>13</v>
      </c>
      <c r="D1964">
        <v>12</v>
      </c>
      <c r="E1964">
        <v>7</v>
      </c>
      <c r="F1964">
        <v>0</v>
      </c>
      <c r="G1964">
        <v>19</v>
      </c>
    </row>
    <row r="1965" spans="1:7" x14ac:dyDescent="0.25">
      <c r="A1965">
        <v>1078</v>
      </c>
      <c r="B1965">
        <v>78</v>
      </c>
      <c r="C1965">
        <v>12</v>
      </c>
      <c r="D1965">
        <v>12</v>
      </c>
      <c r="E1965">
        <v>8</v>
      </c>
      <c r="F1965">
        <v>0</v>
      </c>
      <c r="G1965">
        <v>20</v>
      </c>
    </row>
    <row r="1966" spans="1:7" x14ac:dyDescent="0.25">
      <c r="A1966">
        <v>2057</v>
      </c>
      <c r="B1966">
        <v>57</v>
      </c>
      <c r="C1966">
        <v>5</v>
      </c>
      <c r="D1966">
        <v>6</v>
      </c>
      <c r="E1966">
        <v>4</v>
      </c>
      <c r="F1966">
        <v>2</v>
      </c>
      <c r="G1966">
        <v>12</v>
      </c>
    </row>
    <row r="1967" spans="1:7" x14ac:dyDescent="0.25">
      <c r="A1967">
        <v>5048</v>
      </c>
      <c r="B1967">
        <v>48</v>
      </c>
      <c r="C1967">
        <v>13</v>
      </c>
      <c r="D1967">
        <v>14</v>
      </c>
      <c r="E1967">
        <v>6</v>
      </c>
      <c r="F1967">
        <v>0</v>
      </c>
      <c r="G1967">
        <v>20</v>
      </c>
    </row>
    <row r="1968" spans="1:7" x14ac:dyDescent="0.25">
      <c r="A1968">
        <v>1079</v>
      </c>
      <c r="B1968">
        <v>79</v>
      </c>
      <c r="C1968">
        <v>12</v>
      </c>
      <c r="D1968">
        <v>17</v>
      </c>
      <c r="E1968">
        <v>3</v>
      </c>
      <c r="F1968">
        <v>0</v>
      </c>
      <c r="G1968">
        <v>20</v>
      </c>
    </row>
    <row r="1969" spans="1:7" x14ac:dyDescent="0.25">
      <c r="A1969">
        <v>2049</v>
      </c>
      <c r="B1969">
        <v>49</v>
      </c>
      <c r="C1969">
        <v>13</v>
      </c>
      <c r="D1969">
        <v>15</v>
      </c>
      <c r="E1969">
        <v>20</v>
      </c>
      <c r="F1969">
        <v>0</v>
      </c>
      <c r="G1969">
        <v>35</v>
      </c>
    </row>
    <row r="1970" spans="1:7" x14ac:dyDescent="0.25">
      <c r="A1970">
        <v>2079</v>
      </c>
      <c r="B1970">
        <v>79</v>
      </c>
      <c r="C1970">
        <v>12</v>
      </c>
      <c r="D1970">
        <v>3</v>
      </c>
      <c r="E1970">
        <v>3</v>
      </c>
      <c r="F1970">
        <v>0</v>
      </c>
      <c r="G1970">
        <v>6</v>
      </c>
    </row>
    <row r="1971" spans="1:7" x14ac:dyDescent="0.25">
      <c r="A1971">
        <v>3079</v>
      </c>
      <c r="B1971">
        <v>79</v>
      </c>
      <c r="C1971">
        <v>12</v>
      </c>
      <c r="D1971">
        <v>12</v>
      </c>
      <c r="E1971">
        <v>8</v>
      </c>
      <c r="F1971">
        <v>0</v>
      </c>
      <c r="G1971">
        <v>20</v>
      </c>
    </row>
    <row r="1972" spans="1:7" x14ac:dyDescent="0.25">
      <c r="A1972">
        <v>3075</v>
      </c>
      <c r="B1972">
        <v>75</v>
      </c>
      <c r="C1972">
        <v>12</v>
      </c>
      <c r="D1972">
        <v>25</v>
      </c>
      <c r="E1972">
        <v>19</v>
      </c>
      <c r="F1972">
        <v>0</v>
      </c>
      <c r="G1972">
        <v>44</v>
      </c>
    </row>
    <row r="1973" spans="1:7" x14ac:dyDescent="0.25">
      <c r="A1973">
        <v>1080</v>
      </c>
      <c r="B1973">
        <v>80</v>
      </c>
      <c r="C1973">
        <v>12</v>
      </c>
      <c r="D1973">
        <v>14</v>
      </c>
      <c r="E1973">
        <v>11</v>
      </c>
      <c r="F1973">
        <v>0</v>
      </c>
      <c r="G1973">
        <v>25</v>
      </c>
    </row>
    <row r="1974" spans="1:7" x14ac:dyDescent="0.25">
      <c r="A1974">
        <v>2051</v>
      </c>
      <c r="B1974">
        <v>51</v>
      </c>
      <c r="C1974">
        <v>13</v>
      </c>
      <c r="D1974">
        <v>7</v>
      </c>
      <c r="E1974">
        <v>8</v>
      </c>
      <c r="F1974">
        <v>0</v>
      </c>
      <c r="G1974">
        <v>15</v>
      </c>
    </row>
    <row r="1975" spans="1:7" x14ac:dyDescent="0.25">
      <c r="A1975">
        <v>1047</v>
      </c>
      <c r="B1975">
        <v>47</v>
      </c>
      <c r="C1975">
        <v>9</v>
      </c>
      <c r="D1975">
        <v>10</v>
      </c>
      <c r="E1975">
        <v>1</v>
      </c>
      <c r="F1975">
        <v>0</v>
      </c>
      <c r="G1975">
        <v>11</v>
      </c>
    </row>
    <row r="1976" spans="1:7" x14ac:dyDescent="0.25">
      <c r="A1976">
        <v>1137</v>
      </c>
      <c r="B1976">
        <v>137</v>
      </c>
      <c r="C1976">
        <v>12</v>
      </c>
      <c r="D1976">
        <v>12</v>
      </c>
      <c r="E1976">
        <v>4</v>
      </c>
      <c r="F1976">
        <v>1</v>
      </c>
      <c r="G1976">
        <v>17</v>
      </c>
    </row>
    <row r="1977" spans="1:7" x14ac:dyDescent="0.25">
      <c r="A1977">
        <v>1048</v>
      </c>
      <c r="B1977">
        <v>48</v>
      </c>
      <c r="C1977">
        <v>9</v>
      </c>
      <c r="D1977">
        <v>16</v>
      </c>
      <c r="E1977">
        <v>4</v>
      </c>
      <c r="F1977">
        <v>0</v>
      </c>
      <c r="G1977">
        <v>20</v>
      </c>
    </row>
    <row r="1978" spans="1:7" x14ac:dyDescent="0.25">
      <c r="A1978">
        <v>2094</v>
      </c>
      <c r="B1978">
        <v>94</v>
      </c>
      <c r="C1978">
        <v>9</v>
      </c>
      <c r="D1978">
        <v>12</v>
      </c>
      <c r="E1978">
        <v>6</v>
      </c>
      <c r="F1978">
        <v>0</v>
      </c>
      <c r="G1978">
        <v>18</v>
      </c>
    </row>
    <row r="1979" spans="1:7" x14ac:dyDescent="0.25">
      <c r="A1979">
        <v>2133</v>
      </c>
      <c r="B1979">
        <v>133</v>
      </c>
      <c r="C1979">
        <v>12</v>
      </c>
      <c r="D1979">
        <v>9</v>
      </c>
      <c r="E1979">
        <v>6</v>
      </c>
      <c r="F1979">
        <v>0</v>
      </c>
      <c r="G1979">
        <v>15</v>
      </c>
    </row>
    <row r="1980" spans="1:7" x14ac:dyDescent="0.25">
      <c r="A1980">
        <v>2047</v>
      </c>
      <c r="B1980">
        <v>47</v>
      </c>
      <c r="C1980">
        <v>9</v>
      </c>
      <c r="D1980">
        <v>9</v>
      </c>
      <c r="E1980">
        <v>11</v>
      </c>
      <c r="F1980">
        <v>0</v>
      </c>
      <c r="G1980">
        <v>20</v>
      </c>
    </row>
    <row r="1981" spans="1:7" x14ac:dyDescent="0.25">
      <c r="A1981">
        <v>4102</v>
      </c>
      <c r="B1981">
        <v>102</v>
      </c>
      <c r="C1981">
        <v>12</v>
      </c>
      <c r="D1981">
        <v>8</v>
      </c>
      <c r="E1981">
        <v>12</v>
      </c>
      <c r="F1981">
        <v>0</v>
      </c>
      <c r="G1981">
        <v>20</v>
      </c>
    </row>
    <row r="1982" spans="1:7" x14ac:dyDescent="0.25">
      <c r="A1982">
        <v>1138</v>
      </c>
      <c r="B1982">
        <v>138</v>
      </c>
      <c r="C1982">
        <v>9</v>
      </c>
      <c r="D1982">
        <v>9</v>
      </c>
      <c r="E1982">
        <v>7</v>
      </c>
      <c r="F1982">
        <v>0</v>
      </c>
      <c r="G1982">
        <v>16</v>
      </c>
    </row>
    <row r="1983" spans="1:7" x14ac:dyDescent="0.25">
      <c r="A1983">
        <v>1107</v>
      </c>
      <c r="B1983">
        <v>107</v>
      </c>
      <c r="C1983">
        <v>12</v>
      </c>
      <c r="D1983">
        <v>14</v>
      </c>
      <c r="E1983">
        <v>6</v>
      </c>
      <c r="F1983">
        <v>2</v>
      </c>
      <c r="G1983">
        <v>22</v>
      </c>
    </row>
    <row r="1984" spans="1:7" x14ac:dyDescent="0.25">
      <c r="A1984">
        <v>2093</v>
      </c>
      <c r="B1984">
        <v>93</v>
      </c>
      <c r="C1984">
        <v>9</v>
      </c>
      <c r="D1984">
        <v>3</v>
      </c>
      <c r="E1984">
        <v>0</v>
      </c>
      <c r="F1984">
        <v>0</v>
      </c>
      <c r="G1984">
        <v>3</v>
      </c>
    </row>
    <row r="1985" spans="1:7" x14ac:dyDescent="0.25">
      <c r="A1985">
        <v>2108</v>
      </c>
      <c r="B1985">
        <v>108</v>
      </c>
      <c r="C1985">
        <v>12</v>
      </c>
      <c r="D1985">
        <v>12</v>
      </c>
      <c r="E1985">
        <v>0</v>
      </c>
      <c r="F1985">
        <v>0</v>
      </c>
      <c r="G1985">
        <v>12</v>
      </c>
    </row>
    <row r="1986" spans="1:7" x14ac:dyDescent="0.25">
      <c r="A1986">
        <v>2052</v>
      </c>
      <c r="B1986">
        <v>52</v>
      </c>
      <c r="C1986">
        <v>13</v>
      </c>
      <c r="D1986">
        <v>2</v>
      </c>
      <c r="E1986">
        <v>0</v>
      </c>
      <c r="F1986">
        <v>0</v>
      </c>
      <c r="G1986">
        <v>2</v>
      </c>
    </row>
    <row r="1987" spans="1:7" x14ac:dyDescent="0.25">
      <c r="A1987">
        <v>2134</v>
      </c>
      <c r="B1987">
        <v>134</v>
      </c>
      <c r="C1987">
        <v>9</v>
      </c>
      <c r="D1987">
        <v>8</v>
      </c>
      <c r="E1987">
        <v>2</v>
      </c>
      <c r="F1987">
        <v>2</v>
      </c>
      <c r="G1987">
        <v>12</v>
      </c>
    </row>
    <row r="1988" spans="1:7" x14ac:dyDescent="0.25">
      <c r="A1988">
        <v>2103</v>
      </c>
      <c r="B1988">
        <v>103</v>
      </c>
      <c r="C1988">
        <v>12</v>
      </c>
      <c r="D1988">
        <v>9</v>
      </c>
      <c r="E1988">
        <v>11</v>
      </c>
      <c r="F1988">
        <v>0</v>
      </c>
      <c r="G1988">
        <v>20</v>
      </c>
    </row>
    <row r="1989" spans="1:7" x14ac:dyDescent="0.25">
      <c r="A1989">
        <v>2094</v>
      </c>
      <c r="B1989">
        <v>94</v>
      </c>
      <c r="C1989">
        <v>8</v>
      </c>
      <c r="D1989">
        <v>13</v>
      </c>
      <c r="E1989">
        <v>7</v>
      </c>
      <c r="F1989">
        <v>0</v>
      </c>
      <c r="G1989">
        <v>20</v>
      </c>
    </row>
    <row r="1990" spans="1:7" x14ac:dyDescent="0.25">
      <c r="A1990">
        <v>2053</v>
      </c>
      <c r="B1990">
        <v>53</v>
      </c>
      <c r="C1990">
        <v>13</v>
      </c>
      <c r="D1990">
        <v>11</v>
      </c>
      <c r="E1990">
        <v>14</v>
      </c>
      <c r="F1990">
        <v>0</v>
      </c>
      <c r="G1990">
        <v>25</v>
      </c>
    </row>
    <row r="1991" spans="1:7" x14ac:dyDescent="0.25">
      <c r="A1991">
        <v>1134</v>
      </c>
      <c r="B1991">
        <v>134</v>
      </c>
      <c r="C1991">
        <v>9</v>
      </c>
      <c r="D1991">
        <v>7</v>
      </c>
      <c r="E1991">
        <v>8</v>
      </c>
      <c r="F1991">
        <v>0</v>
      </c>
      <c r="G1991">
        <v>15</v>
      </c>
    </row>
    <row r="1992" spans="1:7" x14ac:dyDescent="0.25">
      <c r="A1992">
        <v>1103</v>
      </c>
      <c r="B1992">
        <v>103</v>
      </c>
      <c r="C1992">
        <v>12</v>
      </c>
      <c r="D1992">
        <v>19</v>
      </c>
      <c r="E1992">
        <v>1</v>
      </c>
      <c r="F1992">
        <v>0</v>
      </c>
      <c r="G1992">
        <v>20</v>
      </c>
    </row>
    <row r="1993" spans="1:7" x14ac:dyDescent="0.25">
      <c r="A1993">
        <v>1054</v>
      </c>
      <c r="B1993">
        <v>54</v>
      </c>
      <c r="C1993">
        <v>13</v>
      </c>
      <c r="D1993">
        <v>5</v>
      </c>
      <c r="E1993">
        <v>11</v>
      </c>
      <c r="F1993">
        <v>0</v>
      </c>
      <c r="G1993">
        <v>16</v>
      </c>
    </row>
    <row r="1994" spans="1:7" x14ac:dyDescent="0.25">
      <c r="A1994">
        <v>2094</v>
      </c>
      <c r="B1994">
        <v>94</v>
      </c>
      <c r="C1994">
        <v>11</v>
      </c>
      <c r="D1994">
        <v>14</v>
      </c>
      <c r="E1994">
        <v>6</v>
      </c>
      <c r="F1994">
        <v>0</v>
      </c>
      <c r="G1994">
        <v>20</v>
      </c>
    </row>
    <row r="1995" spans="1:7" x14ac:dyDescent="0.25">
      <c r="A1995">
        <v>1039</v>
      </c>
      <c r="B1995">
        <v>39</v>
      </c>
      <c r="C1995">
        <v>7</v>
      </c>
      <c r="D1995">
        <v>14</v>
      </c>
      <c r="E1995">
        <v>9</v>
      </c>
      <c r="F1995">
        <v>1</v>
      </c>
      <c r="G1995">
        <v>24</v>
      </c>
    </row>
    <row r="1996" spans="1:7" x14ac:dyDescent="0.25">
      <c r="A1996">
        <v>2110</v>
      </c>
      <c r="B1996">
        <v>110</v>
      </c>
      <c r="C1996">
        <v>12</v>
      </c>
      <c r="D1996">
        <v>13</v>
      </c>
      <c r="E1996">
        <v>6</v>
      </c>
      <c r="F1996">
        <v>0</v>
      </c>
      <c r="G1996">
        <v>19</v>
      </c>
    </row>
    <row r="1997" spans="1:7" x14ac:dyDescent="0.25">
      <c r="A1997">
        <v>2054</v>
      </c>
      <c r="B1997">
        <v>54</v>
      </c>
      <c r="C1997">
        <v>13</v>
      </c>
      <c r="D1997">
        <v>12</v>
      </c>
      <c r="E1997">
        <v>15</v>
      </c>
      <c r="F1997">
        <v>0</v>
      </c>
      <c r="G1997">
        <v>27</v>
      </c>
    </row>
    <row r="1998" spans="1:7" x14ac:dyDescent="0.25">
      <c r="A1998">
        <v>1110</v>
      </c>
      <c r="B1998">
        <v>110</v>
      </c>
      <c r="C1998">
        <v>12</v>
      </c>
      <c r="D1998">
        <v>9</v>
      </c>
      <c r="E1998">
        <v>4</v>
      </c>
      <c r="F1998">
        <v>0</v>
      </c>
      <c r="G1998">
        <v>13</v>
      </c>
    </row>
    <row r="1999" spans="1:7" x14ac:dyDescent="0.25">
      <c r="A1999">
        <v>2111</v>
      </c>
      <c r="B1999">
        <v>111</v>
      </c>
      <c r="C1999">
        <v>10</v>
      </c>
      <c r="D1999">
        <v>2</v>
      </c>
      <c r="E1999">
        <v>0</v>
      </c>
      <c r="F1999">
        <v>1</v>
      </c>
      <c r="G1999">
        <v>3</v>
      </c>
    </row>
    <row r="2000" spans="1:7" x14ac:dyDescent="0.25">
      <c r="A2000">
        <v>3053</v>
      </c>
      <c r="B2000">
        <v>53</v>
      </c>
      <c r="C2000">
        <v>13</v>
      </c>
      <c r="D2000">
        <v>16</v>
      </c>
      <c r="E2000">
        <v>12</v>
      </c>
      <c r="F2000">
        <v>0</v>
      </c>
      <c r="G2000">
        <v>28</v>
      </c>
    </row>
    <row r="2001" spans="1:7" x14ac:dyDescent="0.25">
      <c r="A2001">
        <v>1055</v>
      </c>
      <c r="B2001">
        <v>55</v>
      </c>
      <c r="C2001">
        <v>13</v>
      </c>
      <c r="D2001">
        <v>17</v>
      </c>
      <c r="E2001">
        <v>3</v>
      </c>
      <c r="F2001">
        <v>0</v>
      </c>
      <c r="G2001">
        <v>20</v>
      </c>
    </row>
    <row r="2002" spans="1:7" x14ac:dyDescent="0.25">
      <c r="A2002">
        <v>1110</v>
      </c>
      <c r="B2002">
        <v>110</v>
      </c>
      <c r="C2002">
        <v>11</v>
      </c>
      <c r="D2002">
        <v>10</v>
      </c>
      <c r="E2002">
        <v>2</v>
      </c>
      <c r="F2002">
        <v>0</v>
      </c>
      <c r="G2002">
        <v>12</v>
      </c>
    </row>
    <row r="2003" spans="1:7" x14ac:dyDescent="0.25">
      <c r="A2003">
        <v>1039</v>
      </c>
      <c r="B2003">
        <v>39</v>
      </c>
      <c r="C2003">
        <v>8</v>
      </c>
      <c r="D2003">
        <v>5</v>
      </c>
      <c r="E2003">
        <v>20</v>
      </c>
      <c r="F2003">
        <v>0</v>
      </c>
      <c r="G2003">
        <v>25</v>
      </c>
    </row>
    <row r="2004" spans="1:7" x14ac:dyDescent="0.25">
      <c r="A2004">
        <v>1094</v>
      </c>
      <c r="B2004">
        <v>94</v>
      </c>
      <c r="C2004">
        <v>11</v>
      </c>
      <c r="D2004">
        <v>9</v>
      </c>
      <c r="E2004">
        <v>7</v>
      </c>
      <c r="F2004">
        <v>0</v>
      </c>
      <c r="G2004">
        <v>16</v>
      </c>
    </row>
    <row r="2005" spans="1:7" x14ac:dyDescent="0.25">
      <c r="A2005">
        <v>2092</v>
      </c>
      <c r="B2005">
        <v>92</v>
      </c>
      <c r="C2005">
        <v>10</v>
      </c>
      <c r="D2005">
        <v>8</v>
      </c>
      <c r="E2005">
        <v>12</v>
      </c>
      <c r="F2005">
        <v>0</v>
      </c>
      <c r="G2005">
        <v>20</v>
      </c>
    </row>
    <row r="2006" spans="1:7" x14ac:dyDescent="0.25">
      <c r="A2006">
        <v>2093</v>
      </c>
      <c r="B2006">
        <v>93</v>
      </c>
      <c r="C2006">
        <v>11</v>
      </c>
      <c r="D2006">
        <v>2</v>
      </c>
      <c r="E2006">
        <v>0</v>
      </c>
      <c r="F2006">
        <v>0</v>
      </c>
      <c r="G2006">
        <v>2</v>
      </c>
    </row>
    <row r="2007" spans="1:7" x14ac:dyDescent="0.25">
      <c r="A2007">
        <v>3092</v>
      </c>
      <c r="B2007">
        <v>92</v>
      </c>
      <c r="C2007">
        <v>11</v>
      </c>
      <c r="D2007">
        <v>13</v>
      </c>
      <c r="E2007">
        <v>7</v>
      </c>
      <c r="F2007">
        <v>0</v>
      </c>
      <c r="G2007">
        <v>20</v>
      </c>
    </row>
    <row r="2008" spans="1:7" x14ac:dyDescent="0.25">
      <c r="A2008">
        <v>3109</v>
      </c>
      <c r="B2008">
        <v>109</v>
      </c>
      <c r="C2008">
        <v>9</v>
      </c>
      <c r="D2008">
        <v>20</v>
      </c>
      <c r="E2008">
        <v>20</v>
      </c>
      <c r="F2008">
        <v>0</v>
      </c>
      <c r="G2008">
        <v>40</v>
      </c>
    </row>
    <row r="2009" spans="1:7" x14ac:dyDescent="0.25">
      <c r="A2009">
        <v>1111</v>
      </c>
      <c r="B2009">
        <v>111</v>
      </c>
      <c r="C2009">
        <v>11</v>
      </c>
      <c r="D2009">
        <v>4</v>
      </c>
      <c r="E2009">
        <v>1</v>
      </c>
      <c r="F2009">
        <v>0</v>
      </c>
      <c r="G2009">
        <v>5</v>
      </c>
    </row>
    <row r="2010" spans="1:7" x14ac:dyDescent="0.25">
      <c r="A2010">
        <v>1093</v>
      </c>
      <c r="B2010">
        <v>93</v>
      </c>
      <c r="C2010">
        <v>11</v>
      </c>
      <c r="D2010">
        <v>16</v>
      </c>
      <c r="E2010">
        <v>4</v>
      </c>
      <c r="F2010">
        <v>0</v>
      </c>
      <c r="G2010">
        <v>20</v>
      </c>
    </row>
    <row r="2011" spans="1:7" x14ac:dyDescent="0.25">
      <c r="A2011">
        <v>2100</v>
      </c>
      <c r="B2011">
        <v>100</v>
      </c>
      <c r="C2011">
        <v>10</v>
      </c>
      <c r="D2011">
        <v>14</v>
      </c>
      <c r="E2011">
        <v>6</v>
      </c>
      <c r="F2011">
        <v>0</v>
      </c>
      <c r="G2011">
        <v>20</v>
      </c>
    </row>
    <row r="2012" spans="1:7" x14ac:dyDescent="0.25">
      <c r="A2012">
        <v>1106</v>
      </c>
      <c r="B2012">
        <v>106</v>
      </c>
      <c r="C2012">
        <v>8</v>
      </c>
      <c r="D2012">
        <v>6</v>
      </c>
      <c r="E2012">
        <v>14</v>
      </c>
      <c r="F2012">
        <v>0</v>
      </c>
      <c r="G2012">
        <v>20</v>
      </c>
    </row>
    <row r="2013" spans="1:7" x14ac:dyDescent="0.25">
      <c r="A2013">
        <v>1109</v>
      </c>
      <c r="B2013">
        <v>109</v>
      </c>
      <c r="C2013">
        <v>7</v>
      </c>
      <c r="D2013">
        <v>10</v>
      </c>
      <c r="E2013">
        <v>0</v>
      </c>
      <c r="F2013">
        <v>0</v>
      </c>
      <c r="G2013">
        <v>10</v>
      </c>
    </row>
    <row r="2014" spans="1:7" x14ac:dyDescent="0.25">
      <c r="A2014">
        <v>2092</v>
      </c>
      <c r="B2014">
        <v>92</v>
      </c>
      <c r="C2014">
        <v>11</v>
      </c>
      <c r="D2014">
        <v>10</v>
      </c>
      <c r="E2014">
        <v>10</v>
      </c>
      <c r="F2014">
        <v>0</v>
      </c>
      <c r="G2014">
        <v>20</v>
      </c>
    </row>
    <row r="2015" spans="1:7" x14ac:dyDescent="0.25">
      <c r="A2015">
        <v>2150</v>
      </c>
      <c r="B2015">
        <v>150</v>
      </c>
      <c r="C2015">
        <v>7</v>
      </c>
      <c r="D2015">
        <v>5</v>
      </c>
      <c r="E2015">
        <v>9</v>
      </c>
      <c r="F2015">
        <v>0</v>
      </c>
      <c r="G2015">
        <v>14</v>
      </c>
    </row>
    <row r="2016" spans="1:7" x14ac:dyDescent="0.25">
      <c r="A2016">
        <v>1092</v>
      </c>
      <c r="B2016">
        <v>92</v>
      </c>
      <c r="C2016">
        <v>11</v>
      </c>
      <c r="D2016">
        <v>9</v>
      </c>
      <c r="E2016">
        <v>17</v>
      </c>
      <c r="F2016">
        <v>0</v>
      </c>
      <c r="G2016">
        <v>26</v>
      </c>
    </row>
    <row r="2017" spans="1:7" x14ac:dyDescent="0.25">
      <c r="A2017">
        <v>1151</v>
      </c>
      <c r="B2017">
        <v>151</v>
      </c>
      <c r="C2017">
        <v>7</v>
      </c>
      <c r="D2017">
        <v>18</v>
      </c>
      <c r="E2017">
        <v>6</v>
      </c>
      <c r="F2017">
        <v>0</v>
      </c>
      <c r="G2017">
        <v>24</v>
      </c>
    </row>
    <row r="2018" spans="1:7" x14ac:dyDescent="0.25">
      <c r="A2018">
        <v>1100</v>
      </c>
      <c r="B2018">
        <v>100</v>
      </c>
      <c r="C2018">
        <v>10</v>
      </c>
      <c r="D2018">
        <v>1</v>
      </c>
      <c r="E2018">
        <v>9</v>
      </c>
      <c r="F2018">
        <v>0</v>
      </c>
      <c r="G2018">
        <v>10</v>
      </c>
    </row>
    <row r="2019" spans="1:7" x14ac:dyDescent="0.25">
      <c r="A2019">
        <v>1061</v>
      </c>
      <c r="B2019">
        <v>61</v>
      </c>
      <c r="C2019">
        <v>12</v>
      </c>
      <c r="D2019">
        <v>8</v>
      </c>
      <c r="E2019">
        <v>3</v>
      </c>
      <c r="F2019">
        <v>0</v>
      </c>
      <c r="G2019">
        <v>11</v>
      </c>
    </row>
    <row r="2020" spans="1:7" x14ac:dyDescent="0.25">
      <c r="A2020">
        <v>1153</v>
      </c>
      <c r="B2020">
        <v>153</v>
      </c>
      <c r="C2020">
        <v>11</v>
      </c>
      <c r="D2020">
        <v>9</v>
      </c>
      <c r="E2020">
        <v>4</v>
      </c>
      <c r="F2020">
        <v>0</v>
      </c>
      <c r="G2020">
        <v>13</v>
      </c>
    </row>
    <row r="2021" spans="1:7" x14ac:dyDescent="0.25">
      <c r="A2021">
        <v>3100</v>
      </c>
      <c r="B2021">
        <v>100</v>
      </c>
      <c r="C2021">
        <v>10</v>
      </c>
      <c r="D2021">
        <v>6</v>
      </c>
      <c r="E2021">
        <v>7</v>
      </c>
      <c r="F2021">
        <v>0</v>
      </c>
      <c r="G2021">
        <v>13</v>
      </c>
    </row>
    <row r="2022" spans="1:7" x14ac:dyDescent="0.25">
      <c r="A2022">
        <v>2108</v>
      </c>
      <c r="B2022">
        <v>108</v>
      </c>
      <c r="C2022">
        <v>7</v>
      </c>
      <c r="D2022">
        <v>15</v>
      </c>
      <c r="E2022">
        <v>3</v>
      </c>
      <c r="F2022">
        <v>0</v>
      </c>
      <c r="G2022">
        <v>18</v>
      </c>
    </row>
    <row r="2023" spans="1:7" x14ac:dyDescent="0.25">
      <c r="A2023">
        <v>2100</v>
      </c>
      <c r="B2023">
        <v>100</v>
      </c>
      <c r="C2023">
        <v>11</v>
      </c>
      <c r="D2023">
        <v>8</v>
      </c>
      <c r="E2023">
        <v>12</v>
      </c>
      <c r="F2023">
        <v>0</v>
      </c>
      <c r="G2023">
        <v>20</v>
      </c>
    </row>
    <row r="2024" spans="1:7" x14ac:dyDescent="0.25">
      <c r="A2024">
        <v>1060</v>
      </c>
      <c r="B2024">
        <v>60</v>
      </c>
      <c r="C2024">
        <v>12</v>
      </c>
      <c r="D2024">
        <v>2</v>
      </c>
      <c r="E2024">
        <v>18</v>
      </c>
      <c r="F2024">
        <v>0</v>
      </c>
      <c r="G2024">
        <v>20</v>
      </c>
    </row>
    <row r="2025" spans="1:7" x14ac:dyDescent="0.25">
      <c r="A2025">
        <v>1108</v>
      </c>
      <c r="B2025">
        <v>108</v>
      </c>
      <c r="C2025">
        <v>7</v>
      </c>
      <c r="D2025">
        <v>15</v>
      </c>
      <c r="E2025">
        <v>6</v>
      </c>
      <c r="F2025">
        <v>0</v>
      </c>
      <c r="G2025">
        <v>21</v>
      </c>
    </row>
    <row r="2026" spans="1:7" x14ac:dyDescent="0.25">
      <c r="A2026">
        <v>1100</v>
      </c>
      <c r="B2026">
        <v>100</v>
      </c>
      <c r="C2026">
        <v>11</v>
      </c>
      <c r="D2026">
        <v>4</v>
      </c>
      <c r="E2026">
        <v>4</v>
      </c>
      <c r="F2026">
        <v>0</v>
      </c>
      <c r="G2026">
        <v>8</v>
      </c>
    </row>
    <row r="2027" spans="1:7" x14ac:dyDescent="0.25">
      <c r="A2027">
        <v>3097</v>
      </c>
      <c r="B2027">
        <v>97</v>
      </c>
      <c r="C2027">
        <v>11</v>
      </c>
      <c r="D2027">
        <v>7</v>
      </c>
      <c r="E2027">
        <v>7</v>
      </c>
      <c r="F2027">
        <v>0</v>
      </c>
      <c r="G2027">
        <v>14</v>
      </c>
    </row>
    <row r="2028" spans="1:7" x14ac:dyDescent="0.25">
      <c r="A2028">
        <v>1106</v>
      </c>
      <c r="B2028">
        <v>106</v>
      </c>
      <c r="C2028">
        <v>7</v>
      </c>
      <c r="D2028">
        <v>9</v>
      </c>
      <c r="E2028">
        <v>11</v>
      </c>
      <c r="F2028">
        <v>0</v>
      </c>
      <c r="G2028">
        <v>20</v>
      </c>
    </row>
    <row r="2029" spans="1:7" x14ac:dyDescent="0.25">
      <c r="A2029">
        <v>2037</v>
      </c>
      <c r="B2029">
        <v>37</v>
      </c>
      <c r="C2029">
        <v>10</v>
      </c>
      <c r="D2029">
        <v>0</v>
      </c>
      <c r="E2029">
        <v>20</v>
      </c>
      <c r="F2029">
        <v>0</v>
      </c>
      <c r="G2029">
        <v>20</v>
      </c>
    </row>
    <row r="2030" spans="1:7" x14ac:dyDescent="0.25">
      <c r="A2030">
        <v>1056</v>
      </c>
      <c r="B2030">
        <v>56</v>
      </c>
      <c r="C2030">
        <v>11</v>
      </c>
      <c r="D2030">
        <v>14</v>
      </c>
      <c r="E2030">
        <v>5</v>
      </c>
      <c r="F2030">
        <v>0</v>
      </c>
      <c r="G2030">
        <v>19</v>
      </c>
    </row>
    <row r="2031" spans="1:7" x14ac:dyDescent="0.25">
      <c r="A2031">
        <v>5098</v>
      </c>
      <c r="B2031">
        <v>98</v>
      </c>
      <c r="C2031">
        <v>11</v>
      </c>
      <c r="D2031">
        <v>4</v>
      </c>
      <c r="E2031">
        <v>16</v>
      </c>
      <c r="F2031">
        <v>0</v>
      </c>
      <c r="G2031">
        <v>20</v>
      </c>
    </row>
    <row r="2032" spans="1:7" x14ac:dyDescent="0.25">
      <c r="A2032">
        <v>2087</v>
      </c>
      <c r="B2032">
        <v>87</v>
      </c>
      <c r="C2032">
        <v>10</v>
      </c>
      <c r="D2032">
        <v>3</v>
      </c>
      <c r="E2032">
        <v>3</v>
      </c>
      <c r="F2032">
        <v>0</v>
      </c>
      <c r="G2032">
        <v>6</v>
      </c>
    </row>
    <row r="2033" spans="1:7" x14ac:dyDescent="0.25">
      <c r="A2033">
        <v>1075</v>
      </c>
      <c r="B2033">
        <v>75</v>
      </c>
      <c r="C2033">
        <v>12</v>
      </c>
      <c r="D2033">
        <v>2</v>
      </c>
      <c r="E2033">
        <v>17</v>
      </c>
      <c r="F2033">
        <v>1</v>
      </c>
      <c r="G2033">
        <v>20</v>
      </c>
    </row>
    <row r="2034" spans="1:7" x14ac:dyDescent="0.25">
      <c r="A2034">
        <v>2045</v>
      </c>
      <c r="B2034">
        <v>45</v>
      </c>
      <c r="C2034">
        <v>9</v>
      </c>
      <c r="D2034">
        <v>11</v>
      </c>
      <c r="E2034">
        <v>6</v>
      </c>
      <c r="F2034">
        <v>0</v>
      </c>
      <c r="G2034">
        <v>17</v>
      </c>
    </row>
    <row r="2035" spans="1:7" x14ac:dyDescent="0.25">
      <c r="A2035">
        <v>2044</v>
      </c>
      <c r="B2035">
        <v>44</v>
      </c>
      <c r="C2035">
        <v>9</v>
      </c>
      <c r="D2035">
        <v>20</v>
      </c>
      <c r="E2035">
        <v>0</v>
      </c>
      <c r="F2035">
        <v>0</v>
      </c>
      <c r="G2035">
        <v>20</v>
      </c>
    </row>
    <row r="2036" spans="1:7" x14ac:dyDescent="0.25">
      <c r="A2036">
        <v>1093</v>
      </c>
      <c r="B2036">
        <v>93</v>
      </c>
      <c r="C2036">
        <v>9</v>
      </c>
      <c r="D2036">
        <v>9</v>
      </c>
      <c r="E2036">
        <v>6</v>
      </c>
      <c r="F2036">
        <v>3</v>
      </c>
      <c r="G2036">
        <v>18</v>
      </c>
    </row>
    <row r="2037" spans="1:7" x14ac:dyDescent="0.25">
      <c r="A2037">
        <v>2133</v>
      </c>
      <c r="B2037">
        <v>133</v>
      </c>
      <c r="C2037">
        <v>9</v>
      </c>
      <c r="D2037">
        <v>3</v>
      </c>
      <c r="E2037">
        <v>2</v>
      </c>
      <c r="F2037">
        <v>0</v>
      </c>
      <c r="G2037">
        <v>5</v>
      </c>
    </row>
    <row r="2038" spans="1:7" x14ac:dyDescent="0.25">
      <c r="A2038">
        <v>1115</v>
      </c>
      <c r="B2038">
        <v>115</v>
      </c>
      <c r="C2038">
        <v>9</v>
      </c>
      <c r="D2038">
        <v>20</v>
      </c>
      <c r="E2038">
        <v>13</v>
      </c>
      <c r="F2038">
        <v>0</v>
      </c>
      <c r="G2038">
        <v>33</v>
      </c>
    </row>
    <row r="2039" spans="1:7" x14ac:dyDescent="0.25">
      <c r="A2039">
        <v>1153</v>
      </c>
      <c r="B2039">
        <v>153</v>
      </c>
      <c r="C2039">
        <v>10</v>
      </c>
      <c r="D2039">
        <v>9</v>
      </c>
      <c r="E2039">
        <v>8</v>
      </c>
      <c r="F2039">
        <v>1</v>
      </c>
      <c r="G2039">
        <v>18</v>
      </c>
    </row>
    <row r="2040" spans="1:7" x14ac:dyDescent="0.25">
      <c r="A2040">
        <v>2153</v>
      </c>
      <c r="B2040">
        <v>153</v>
      </c>
      <c r="C2040">
        <v>11</v>
      </c>
      <c r="D2040">
        <v>16</v>
      </c>
      <c r="E2040">
        <v>2</v>
      </c>
      <c r="F2040">
        <v>0</v>
      </c>
      <c r="G2040">
        <v>18</v>
      </c>
    </row>
    <row r="2041" spans="1:7" x14ac:dyDescent="0.25">
      <c r="A2041">
        <v>1059</v>
      </c>
      <c r="B2041">
        <v>59</v>
      </c>
      <c r="C2041">
        <v>12</v>
      </c>
      <c r="D2041">
        <v>0</v>
      </c>
      <c r="E2041">
        <v>15</v>
      </c>
      <c r="F2041">
        <v>0</v>
      </c>
      <c r="G2041">
        <v>15</v>
      </c>
    </row>
    <row r="2042" spans="1:7" x14ac:dyDescent="0.25">
      <c r="A2042">
        <v>2105</v>
      </c>
      <c r="B2042">
        <v>105</v>
      </c>
      <c r="C2042">
        <v>7</v>
      </c>
      <c r="D2042">
        <v>7</v>
      </c>
      <c r="E2042">
        <v>12</v>
      </c>
      <c r="F2042">
        <v>0</v>
      </c>
      <c r="G2042">
        <v>19</v>
      </c>
    </row>
    <row r="2043" spans="1:7" x14ac:dyDescent="0.25">
      <c r="A2043">
        <v>1083</v>
      </c>
      <c r="B2043">
        <v>83</v>
      </c>
      <c r="C2043">
        <v>11</v>
      </c>
      <c r="D2043">
        <v>6</v>
      </c>
      <c r="E2043">
        <v>8</v>
      </c>
      <c r="F2043">
        <v>0</v>
      </c>
      <c r="G2043">
        <v>14</v>
      </c>
    </row>
  </sheetData>
  <customSheetViews>
    <customSheetView guid="{FD329D6D-133B-41A2-9E62-45727D40D6B4}">
      <selection activeCell="B1104" sqref="B1104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Y1111"/>
  <sheetViews>
    <sheetView topLeftCell="A338" zoomScaleNormal="100" workbookViewId="0">
      <selection activeCell="E12" sqref="E12"/>
    </sheetView>
  </sheetViews>
  <sheetFormatPr baseColWidth="10" defaultRowHeight="15" customHeight="1" x14ac:dyDescent="0.2"/>
  <cols>
    <col min="1" max="1" width="2.85546875" style="60" customWidth="1"/>
    <col min="2" max="2" width="14.5703125" style="103" customWidth="1"/>
    <col min="3" max="3" width="8" style="60" bestFit="1" customWidth="1"/>
    <col min="4" max="4" width="8.7109375" style="60" bestFit="1" customWidth="1"/>
    <col min="5" max="5" width="7.7109375" style="66" customWidth="1"/>
    <col min="6" max="23" width="6.7109375" style="66" customWidth="1"/>
    <col min="24" max="25" width="6.7109375" style="60" customWidth="1"/>
    <col min="26" max="16384" width="11.42578125" style="60"/>
  </cols>
  <sheetData>
    <row r="1" spans="2:25" ht="15" customHeight="1" thickBot="1" x14ac:dyDescent="0.25"/>
    <row r="2" spans="2:25" ht="12" thickBot="1" x14ac:dyDescent="0.25">
      <c r="B2" s="104" t="s">
        <v>3</v>
      </c>
      <c r="C2" s="90" t="s">
        <v>226</v>
      </c>
      <c r="D2" s="76" t="s">
        <v>4</v>
      </c>
      <c r="E2" s="65" t="s">
        <v>225</v>
      </c>
      <c r="F2" s="77">
        <v>1</v>
      </c>
      <c r="G2" s="77">
        <v>2</v>
      </c>
      <c r="H2" s="77">
        <v>3</v>
      </c>
      <c r="I2" s="77">
        <v>4</v>
      </c>
      <c r="J2" s="77">
        <v>5</v>
      </c>
      <c r="K2" s="77">
        <v>6</v>
      </c>
      <c r="L2" s="77">
        <v>7</v>
      </c>
      <c r="M2" s="77">
        <v>8</v>
      </c>
      <c r="N2" s="77">
        <v>9</v>
      </c>
      <c r="O2" s="77">
        <v>10</v>
      </c>
      <c r="P2" s="77">
        <v>11</v>
      </c>
      <c r="Q2" s="77">
        <v>12</v>
      </c>
      <c r="R2" s="77">
        <v>13</v>
      </c>
      <c r="S2" s="77">
        <v>14</v>
      </c>
      <c r="T2" s="77">
        <v>15</v>
      </c>
      <c r="U2" s="77">
        <v>16</v>
      </c>
      <c r="V2" s="77">
        <v>17</v>
      </c>
      <c r="W2" s="77">
        <v>18</v>
      </c>
      <c r="X2" s="77">
        <v>19</v>
      </c>
      <c r="Y2" s="78">
        <v>20</v>
      </c>
    </row>
    <row r="3" spans="2:25" s="22" customFormat="1" ht="15" customHeight="1" x14ac:dyDescent="0.2">
      <c r="B3" s="262" t="s">
        <v>31</v>
      </c>
      <c r="C3" s="95">
        <f t="shared" ref="C3:C5" si="0">E3/SUM($E$3:$E$5)</f>
        <v>0.60930561187418175</v>
      </c>
      <c r="D3" s="81" t="s">
        <v>0</v>
      </c>
      <c r="E3" s="82">
        <f>SUM(F3:Y3)</f>
        <v>6.7023617306159995</v>
      </c>
      <c r="F3" s="82">
        <f>F12</f>
        <v>0.38709677419354838</v>
      </c>
      <c r="G3" s="82">
        <f t="shared" ref="G3:W3" si="1">G12</f>
        <v>0.66666666666666663</v>
      </c>
      <c r="H3" s="82">
        <f t="shared" si="1"/>
        <v>0</v>
      </c>
      <c r="I3" s="82">
        <f t="shared" si="1"/>
        <v>0.47058823529411764</v>
      </c>
      <c r="J3" s="82">
        <f t="shared" si="1"/>
        <v>0.51428571428571423</v>
      </c>
      <c r="K3" s="82">
        <f t="shared" si="1"/>
        <v>1</v>
      </c>
      <c r="L3" s="82">
        <f t="shared" si="1"/>
        <v>0</v>
      </c>
      <c r="M3" s="82">
        <f t="shared" si="1"/>
        <v>0.75</v>
      </c>
      <c r="N3" s="82">
        <f t="shared" si="1"/>
        <v>0.88</v>
      </c>
      <c r="O3" s="82">
        <f t="shared" si="1"/>
        <v>0.39393939393939392</v>
      </c>
      <c r="P3" s="82">
        <f t="shared" si="1"/>
        <v>0.80645161290322576</v>
      </c>
      <c r="Q3" s="82">
        <f t="shared" si="1"/>
        <v>0</v>
      </c>
      <c r="R3" s="82">
        <f t="shared" si="1"/>
        <v>0.83333333333333337</v>
      </c>
      <c r="S3" s="82">
        <f t="shared" si="1"/>
        <v>0</v>
      </c>
      <c r="T3" s="82">
        <f t="shared" si="1"/>
        <v>0</v>
      </c>
      <c r="U3" s="82">
        <f t="shared" si="1"/>
        <v>0</v>
      </c>
      <c r="V3" s="82">
        <f t="shared" si="1"/>
        <v>0</v>
      </c>
      <c r="W3" s="82">
        <f t="shared" si="1"/>
        <v>0</v>
      </c>
      <c r="X3" s="82">
        <f t="shared" ref="X3:Y5" si="2">X12</f>
        <v>0</v>
      </c>
      <c r="Y3" s="83">
        <f t="shared" si="2"/>
        <v>0</v>
      </c>
    </row>
    <row r="4" spans="2:25" s="22" customFormat="1" ht="15" customHeight="1" x14ac:dyDescent="0.2">
      <c r="B4" s="263"/>
      <c r="C4" s="96">
        <f t="shared" si="0"/>
        <v>0.3853421645917765</v>
      </c>
      <c r="D4" s="79" t="s">
        <v>1</v>
      </c>
      <c r="E4" s="80">
        <f t="shared" ref="E4:E11" si="3">SUM(F4:Y4)</f>
        <v>4.2387638105095418</v>
      </c>
      <c r="F4" s="80">
        <f>F13</f>
        <v>0.61290322580645162</v>
      </c>
      <c r="G4" s="80">
        <f t="shared" ref="G4:W4" si="4">G13</f>
        <v>0.33333333333333331</v>
      </c>
      <c r="H4" s="80">
        <f t="shared" si="4"/>
        <v>0</v>
      </c>
      <c r="I4" s="80">
        <f t="shared" si="4"/>
        <v>0.52941176470588236</v>
      </c>
      <c r="J4" s="80">
        <f t="shared" si="4"/>
        <v>0.45714285714285713</v>
      </c>
      <c r="K4" s="80">
        <f t="shared" si="4"/>
        <v>0</v>
      </c>
      <c r="L4" s="80">
        <f t="shared" si="4"/>
        <v>1</v>
      </c>
      <c r="M4" s="80">
        <f t="shared" si="4"/>
        <v>0.25</v>
      </c>
      <c r="N4" s="80">
        <f t="shared" si="4"/>
        <v>0.12</v>
      </c>
      <c r="O4" s="80">
        <f t="shared" si="4"/>
        <v>0.5757575757575758</v>
      </c>
      <c r="P4" s="80">
        <f t="shared" si="4"/>
        <v>0.19354838709677419</v>
      </c>
      <c r="Q4" s="80">
        <f t="shared" si="4"/>
        <v>0</v>
      </c>
      <c r="R4" s="80">
        <f t="shared" si="4"/>
        <v>0.16666666666666666</v>
      </c>
      <c r="S4" s="80">
        <f t="shared" si="4"/>
        <v>0</v>
      </c>
      <c r="T4" s="80">
        <f t="shared" si="4"/>
        <v>0</v>
      </c>
      <c r="U4" s="80">
        <f t="shared" si="4"/>
        <v>0</v>
      </c>
      <c r="V4" s="80">
        <f t="shared" si="4"/>
        <v>0</v>
      </c>
      <c r="W4" s="80">
        <f t="shared" si="4"/>
        <v>0</v>
      </c>
      <c r="X4" s="80">
        <f t="shared" si="2"/>
        <v>0</v>
      </c>
      <c r="Y4" s="84">
        <f t="shared" si="2"/>
        <v>0</v>
      </c>
    </row>
    <row r="5" spans="2:25" s="22" customFormat="1" ht="15" customHeight="1" thickBot="1" x14ac:dyDescent="0.25">
      <c r="B5" s="263"/>
      <c r="C5" s="97">
        <f t="shared" si="0"/>
        <v>5.3522235340417159E-3</v>
      </c>
      <c r="D5" s="86" t="s">
        <v>2</v>
      </c>
      <c r="E5" s="87">
        <f t="shared" si="3"/>
        <v>5.8874458874458871E-2</v>
      </c>
      <c r="F5" s="87">
        <f>F14</f>
        <v>0</v>
      </c>
      <c r="G5" s="87">
        <f t="shared" ref="G5:W5" si="5">G14</f>
        <v>0</v>
      </c>
      <c r="H5" s="87">
        <f t="shared" si="5"/>
        <v>0</v>
      </c>
      <c r="I5" s="87">
        <f t="shared" si="5"/>
        <v>0</v>
      </c>
      <c r="J5" s="87">
        <f t="shared" si="5"/>
        <v>2.8571428571428571E-2</v>
      </c>
      <c r="K5" s="87">
        <f t="shared" si="5"/>
        <v>0</v>
      </c>
      <c r="L5" s="87">
        <f t="shared" si="5"/>
        <v>0</v>
      </c>
      <c r="M5" s="87">
        <f t="shared" si="5"/>
        <v>0</v>
      </c>
      <c r="N5" s="87">
        <f t="shared" si="5"/>
        <v>0</v>
      </c>
      <c r="O5" s="87">
        <f t="shared" si="5"/>
        <v>3.0303030303030304E-2</v>
      </c>
      <c r="P5" s="87">
        <f t="shared" si="5"/>
        <v>0</v>
      </c>
      <c r="Q5" s="87">
        <f t="shared" si="5"/>
        <v>0</v>
      </c>
      <c r="R5" s="87">
        <f t="shared" si="5"/>
        <v>0</v>
      </c>
      <c r="S5" s="87">
        <f t="shared" si="5"/>
        <v>0</v>
      </c>
      <c r="T5" s="87">
        <f t="shared" si="5"/>
        <v>0</v>
      </c>
      <c r="U5" s="87">
        <f t="shared" si="5"/>
        <v>0</v>
      </c>
      <c r="V5" s="87">
        <f t="shared" si="5"/>
        <v>0</v>
      </c>
      <c r="W5" s="87">
        <f t="shared" si="5"/>
        <v>0</v>
      </c>
      <c r="X5" s="87">
        <f t="shared" si="2"/>
        <v>0</v>
      </c>
      <c r="Y5" s="88">
        <f t="shared" si="2"/>
        <v>0</v>
      </c>
    </row>
    <row r="6" spans="2:25" s="22" customFormat="1" ht="15" customHeight="1" x14ac:dyDescent="0.2">
      <c r="B6" s="263"/>
      <c r="C6" s="98">
        <f>E6/SUM($E$6:$E$8)</f>
        <v>0.58762886597938147</v>
      </c>
      <c r="D6" s="85" t="s">
        <v>0</v>
      </c>
      <c r="E6" s="151">
        <f t="shared" ref="E6:F8" si="6">E12</f>
        <v>0.58762886597938147</v>
      </c>
      <c r="F6" s="151">
        <f t="shared" si="6"/>
        <v>0.38709677419354838</v>
      </c>
      <c r="G6" s="151">
        <f t="shared" ref="G6:Y6" si="7">G12</f>
        <v>0.66666666666666663</v>
      </c>
      <c r="H6" s="151">
        <f t="shared" si="7"/>
        <v>0</v>
      </c>
      <c r="I6" s="151">
        <f t="shared" si="7"/>
        <v>0.47058823529411764</v>
      </c>
      <c r="J6" s="151">
        <f t="shared" si="7"/>
        <v>0.51428571428571423</v>
      </c>
      <c r="K6" s="151">
        <f t="shared" si="7"/>
        <v>1</v>
      </c>
      <c r="L6" s="151">
        <f t="shared" si="7"/>
        <v>0</v>
      </c>
      <c r="M6" s="151">
        <f t="shared" si="7"/>
        <v>0.75</v>
      </c>
      <c r="N6" s="151">
        <f t="shared" si="7"/>
        <v>0.88</v>
      </c>
      <c r="O6" s="151">
        <f t="shared" si="7"/>
        <v>0.39393939393939392</v>
      </c>
      <c r="P6" s="151">
        <f t="shared" si="7"/>
        <v>0.80645161290322576</v>
      </c>
      <c r="Q6" s="151">
        <f t="shared" si="7"/>
        <v>0</v>
      </c>
      <c r="R6" s="151">
        <f t="shared" si="7"/>
        <v>0.83333333333333337</v>
      </c>
      <c r="S6" s="151">
        <f t="shared" si="7"/>
        <v>0</v>
      </c>
      <c r="T6" s="151">
        <f t="shared" si="7"/>
        <v>0</v>
      </c>
      <c r="U6" s="151">
        <f t="shared" si="7"/>
        <v>0</v>
      </c>
      <c r="V6" s="151">
        <f t="shared" si="7"/>
        <v>0</v>
      </c>
      <c r="W6" s="151">
        <f t="shared" si="7"/>
        <v>0</v>
      </c>
      <c r="X6" s="151">
        <f t="shared" si="7"/>
        <v>0</v>
      </c>
      <c r="Y6" s="156">
        <f t="shared" si="7"/>
        <v>0</v>
      </c>
    </row>
    <row r="7" spans="2:25" s="22" customFormat="1" ht="15" customHeight="1" x14ac:dyDescent="0.2">
      <c r="B7" s="263"/>
      <c r="C7" s="96">
        <f t="shared" ref="C7:C8" si="8">E7/SUM($E$6:$E$8)</f>
        <v>0.40206185567010311</v>
      </c>
      <c r="D7" s="79" t="s">
        <v>1</v>
      </c>
      <c r="E7" s="152">
        <f t="shared" si="6"/>
        <v>0.40206185567010311</v>
      </c>
      <c r="F7" s="152">
        <f t="shared" si="6"/>
        <v>0.61290322580645162</v>
      </c>
      <c r="G7" s="152">
        <f t="shared" ref="G7:Y7" si="9">G13</f>
        <v>0.33333333333333331</v>
      </c>
      <c r="H7" s="152">
        <f t="shared" si="9"/>
        <v>0</v>
      </c>
      <c r="I7" s="152">
        <f t="shared" si="9"/>
        <v>0.52941176470588236</v>
      </c>
      <c r="J7" s="152">
        <f t="shared" si="9"/>
        <v>0.45714285714285713</v>
      </c>
      <c r="K7" s="152">
        <f t="shared" si="9"/>
        <v>0</v>
      </c>
      <c r="L7" s="152">
        <f t="shared" si="9"/>
        <v>1</v>
      </c>
      <c r="M7" s="152">
        <f t="shared" si="9"/>
        <v>0.25</v>
      </c>
      <c r="N7" s="152">
        <f t="shared" si="9"/>
        <v>0.12</v>
      </c>
      <c r="O7" s="152">
        <f t="shared" si="9"/>
        <v>0.5757575757575758</v>
      </c>
      <c r="P7" s="152">
        <f t="shared" si="9"/>
        <v>0.19354838709677419</v>
      </c>
      <c r="Q7" s="152">
        <f t="shared" si="9"/>
        <v>0</v>
      </c>
      <c r="R7" s="152">
        <f t="shared" si="9"/>
        <v>0.16666666666666666</v>
      </c>
      <c r="S7" s="152">
        <f t="shared" si="9"/>
        <v>0</v>
      </c>
      <c r="T7" s="152">
        <f t="shared" si="9"/>
        <v>0</v>
      </c>
      <c r="U7" s="152">
        <f t="shared" si="9"/>
        <v>0</v>
      </c>
      <c r="V7" s="152">
        <f t="shared" si="9"/>
        <v>0</v>
      </c>
      <c r="W7" s="152">
        <f t="shared" si="9"/>
        <v>0</v>
      </c>
      <c r="X7" s="152">
        <f t="shared" si="9"/>
        <v>0</v>
      </c>
      <c r="Y7" s="157">
        <f t="shared" si="9"/>
        <v>0</v>
      </c>
    </row>
    <row r="8" spans="2:25" s="22" customFormat="1" ht="15" customHeight="1" thickBot="1" x14ac:dyDescent="0.25">
      <c r="B8" s="264"/>
      <c r="C8" s="99">
        <f t="shared" si="8"/>
        <v>1.0309278350515464E-2</v>
      </c>
      <c r="D8" s="89" t="s">
        <v>2</v>
      </c>
      <c r="E8" s="153">
        <f t="shared" si="6"/>
        <v>1.0309278350515464E-2</v>
      </c>
      <c r="F8" s="153">
        <f t="shared" si="6"/>
        <v>0</v>
      </c>
      <c r="G8" s="153">
        <f t="shared" ref="G8:Y8" si="10">G14</f>
        <v>0</v>
      </c>
      <c r="H8" s="153">
        <f t="shared" si="10"/>
        <v>0</v>
      </c>
      <c r="I8" s="153">
        <f t="shared" si="10"/>
        <v>0</v>
      </c>
      <c r="J8" s="153">
        <f t="shared" si="10"/>
        <v>2.8571428571428571E-2</v>
      </c>
      <c r="K8" s="153">
        <f t="shared" si="10"/>
        <v>0</v>
      </c>
      <c r="L8" s="153">
        <f t="shared" si="10"/>
        <v>0</v>
      </c>
      <c r="M8" s="153">
        <f t="shared" si="10"/>
        <v>0</v>
      </c>
      <c r="N8" s="153">
        <f t="shared" si="10"/>
        <v>0</v>
      </c>
      <c r="O8" s="153">
        <f t="shared" si="10"/>
        <v>3.0303030303030304E-2</v>
      </c>
      <c r="P8" s="153">
        <f t="shared" si="10"/>
        <v>0</v>
      </c>
      <c r="Q8" s="153">
        <f t="shared" si="10"/>
        <v>0</v>
      </c>
      <c r="R8" s="153">
        <f t="shared" si="10"/>
        <v>0</v>
      </c>
      <c r="S8" s="153">
        <f t="shared" si="10"/>
        <v>0</v>
      </c>
      <c r="T8" s="153">
        <f t="shared" si="10"/>
        <v>0</v>
      </c>
      <c r="U8" s="153">
        <f t="shared" si="10"/>
        <v>0</v>
      </c>
      <c r="V8" s="153">
        <f t="shared" si="10"/>
        <v>0</v>
      </c>
      <c r="W8" s="153">
        <f t="shared" si="10"/>
        <v>0</v>
      </c>
      <c r="X8" s="153">
        <f t="shared" si="10"/>
        <v>0</v>
      </c>
      <c r="Y8" s="158">
        <f t="shared" si="10"/>
        <v>0</v>
      </c>
    </row>
    <row r="9" spans="2:25" s="22" customFormat="1" ht="15" customHeight="1" x14ac:dyDescent="0.2">
      <c r="B9" s="265" t="s">
        <v>32</v>
      </c>
      <c r="C9" s="91">
        <f>E9/SUM(E9:E11)</f>
        <v>0.58762886597938147</v>
      </c>
      <c r="D9" s="67" t="s">
        <v>0</v>
      </c>
      <c r="E9" s="68">
        <f t="shared" si="3"/>
        <v>114</v>
      </c>
      <c r="F9" s="68">
        <f>SUMIFS([0]!Chavez,[0]!Centro,$B11,[0]!Turno,F$2)</f>
        <v>12</v>
      </c>
      <c r="G9" s="68">
        <f>SUMIFS([0]!Chavez,[0]!Centro,$B11,[0]!Turno,G$2)</f>
        <v>2</v>
      </c>
      <c r="H9" s="68">
        <f>SUMIFS([0]!Chavez,[0]!Centro,$B11,[0]!Turno,H$2)</f>
        <v>0</v>
      </c>
      <c r="I9" s="68">
        <f>SUMIFS([0]!Chavez,[0]!Centro,$B11,[0]!Turno,I$2)</f>
        <v>8</v>
      </c>
      <c r="J9" s="68">
        <f>SUMIFS([0]!Chavez,[0]!Centro,$B11,[0]!Turno,J$2)</f>
        <v>18</v>
      </c>
      <c r="K9" s="68">
        <f>SUMIFS([0]!Chavez,[0]!Centro,$B11,[0]!Turno,K$2)</f>
        <v>1</v>
      </c>
      <c r="L9" s="68">
        <f>SUMIFS([0]!Chavez,[0]!Centro,$B11,[0]!Turno,L$2)</f>
        <v>0</v>
      </c>
      <c r="M9" s="68">
        <f>SUMIFS([0]!Chavez,[0]!Centro,$B11,[0]!Turno,M$2)</f>
        <v>3</v>
      </c>
      <c r="N9" s="68">
        <f>SUMIFS([0]!Chavez,[0]!Centro,$B11,[0]!Turno,N$2)</f>
        <v>22</v>
      </c>
      <c r="O9" s="68">
        <f>SUMIFS([0]!Chavez,[0]!Centro,$B11,[0]!Turno,O$2)</f>
        <v>13</v>
      </c>
      <c r="P9" s="68">
        <f>SUMIFS([0]!Chavez,[0]!Centro,$B11,[0]!Turno,P$2)</f>
        <v>25</v>
      </c>
      <c r="Q9" s="68">
        <f>SUMIFS([0]!Chavez,[0]!Centro,$B11,[0]!Turno,Q$2)</f>
        <v>0</v>
      </c>
      <c r="R9" s="68">
        <f>SUMIFS([0]!Chavez,[0]!Centro,$B11,[0]!Turno,R$2)</f>
        <v>10</v>
      </c>
      <c r="S9" s="68">
        <f>SUMIFS([0]!Chavez,[0]!Centro,$B11,[0]!Turno,S$2)</f>
        <v>0</v>
      </c>
      <c r="T9" s="68">
        <f>SUMIFS([0]!Chavez,[0]!Centro,$B11,[0]!Turno,T$2)</f>
        <v>0</v>
      </c>
      <c r="U9" s="68">
        <f>SUMIFS([0]!Chavez,[0]!Centro,$B11,[0]!Turno,U$2)</f>
        <v>0</v>
      </c>
      <c r="V9" s="68">
        <f>SUMIFS([0]!Chavez,[0]!Centro,$B11,[0]!Turno,V$2)</f>
        <v>0</v>
      </c>
      <c r="W9" s="68">
        <f>SUMIFS([0]!Chavez,[0]!Centro,$B11,[0]!Turno,W$2)</f>
        <v>0</v>
      </c>
      <c r="X9" s="68">
        <f>SUMIFS([0]!Chavez,[0]!Centro,$B11,[0]!Turno,X$2)</f>
        <v>0</v>
      </c>
      <c r="Y9" s="69">
        <f>SUMIFS([0]!Chavez,[0]!Centro,$B11,[0]!Turno,Y$2)</f>
        <v>0</v>
      </c>
    </row>
    <row r="10" spans="2:25" s="22" customFormat="1" ht="15" customHeight="1" x14ac:dyDescent="0.2">
      <c r="B10" s="265"/>
      <c r="C10" s="92">
        <f>E10/SUM(E9:E11)</f>
        <v>0.40206185567010311</v>
      </c>
      <c r="D10" s="61" t="s">
        <v>1</v>
      </c>
      <c r="E10" s="62">
        <f t="shared" si="3"/>
        <v>78</v>
      </c>
      <c r="F10" s="62">
        <f>SUMIFS([0]!Capriles,[0]!Centro,$B11,[0]!Turno,F$2)</f>
        <v>19</v>
      </c>
      <c r="G10" s="62">
        <f>SUMIFS([0]!Capriles,[0]!Centro,$B11,[0]!Turno,G$2)</f>
        <v>1</v>
      </c>
      <c r="H10" s="62">
        <f>SUMIFS([0]!Capriles,[0]!Centro,$B11,[0]!Turno,H$2)</f>
        <v>0</v>
      </c>
      <c r="I10" s="62">
        <f>SUMIFS([0]!Capriles,[0]!Centro,$B11,[0]!Turno,I$2)</f>
        <v>9</v>
      </c>
      <c r="J10" s="62">
        <f>SUMIFS([0]!Capriles,[0]!Centro,$B11,[0]!Turno,J$2)</f>
        <v>16</v>
      </c>
      <c r="K10" s="62">
        <f>SUMIFS([0]!Capriles,[0]!Centro,$B11,[0]!Turno,K$2)</f>
        <v>0</v>
      </c>
      <c r="L10" s="62">
        <f>SUMIFS([0]!Capriles,[0]!Centro,$B11,[0]!Turno,L$2)</f>
        <v>2</v>
      </c>
      <c r="M10" s="62">
        <f>SUMIFS([0]!Capriles,[0]!Centro,$B11,[0]!Turno,M$2)</f>
        <v>1</v>
      </c>
      <c r="N10" s="62">
        <f>SUMIFS([0]!Capriles,[0]!Centro,$B11,[0]!Turno,N$2)</f>
        <v>3</v>
      </c>
      <c r="O10" s="62">
        <f>SUMIFS([0]!Capriles,[0]!Centro,$B11,[0]!Turno,O$2)</f>
        <v>19</v>
      </c>
      <c r="P10" s="62">
        <f>SUMIFS([0]!Capriles,[0]!Centro,$B11,[0]!Turno,P$2)</f>
        <v>6</v>
      </c>
      <c r="Q10" s="62">
        <f>SUMIFS([0]!Capriles,[0]!Centro,$B11,[0]!Turno,Q$2)</f>
        <v>0</v>
      </c>
      <c r="R10" s="62">
        <f>SUMIFS([0]!Capriles,[0]!Centro,$B11,[0]!Turno,R$2)</f>
        <v>2</v>
      </c>
      <c r="S10" s="62">
        <f>SUMIFS([0]!Capriles,[0]!Centro,$B11,[0]!Turno,S$2)</f>
        <v>0</v>
      </c>
      <c r="T10" s="62">
        <f>SUMIFS([0]!Capriles,[0]!Centro,$B11,[0]!Turno,T$2)</f>
        <v>0</v>
      </c>
      <c r="U10" s="62">
        <f>SUMIFS([0]!Capriles,[0]!Centro,$B11,[0]!Turno,U$2)</f>
        <v>0</v>
      </c>
      <c r="V10" s="62">
        <f>SUMIFS([0]!Capriles,[0]!Centro,$B11,[0]!Turno,V$2)</f>
        <v>0</v>
      </c>
      <c r="W10" s="62">
        <f>SUMIFS([0]!Capriles,[0]!Centro,$B11,[0]!Turno,W$2)</f>
        <v>0</v>
      </c>
      <c r="X10" s="62">
        <f>SUMIFS([0]!Capriles,[0]!Centro,$B11,[0]!Turno,X$2)</f>
        <v>0</v>
      </c>
      <c r="Y10" s="70">
        <f>SUMIFS([0]!Capriles,[0]!Centro,$B11,[0]!Turno,Y$2)</f>
        <v>0</v>
      </c>
    </row>
    <row r="11" spans="2:25" s="22" customFormat="1" ht="15" customHeight="1" thickBot="1" x14ac:dyDescent="0.25">
      <c r="B11" s="261">
        <v>153</v>
      </c>
      <c r="C11" s="100">
        <f>E11/SUM(E9:E11)</f>
        <v>1.0309278350515464E-2</v>
      </c>
      <c r="D11" s="71" t="s">
        <v>2</v>
      </c>
      <c r="E11" s="72">
        <f t="shared" si="3"/>
        <v>2</v>
      </c>
      <c r="F11" s="72">
        <f>SUMIFS([0]!Otro,[0]!Centro,$B11,[0]!Turno,F$2)</f>
        <v>0</v>
      </c>
      <c r="G11" s="72">
        <f>SUMIFS([0]!Otro,[0]!Centro,$B11,[0]!Turno,G$2)</f>
        <v>0</v>
      </c>
      <c r="H11" s="72">
        <f>SUMIFS([0]!Otro,[0]!Centro,$B11,[0]!Turno,H$2)</f>
        <v>0</v>
      </c>
      <c r="I11" s="72">
        <f>SUMIFS([0]!Otro,[0]!Centro,$B11,[0]!Turno,I$2)</f>
        <v>0</v>
      </c>
      <c r="J11" s="72">
        <f>SUMIFS([0]!Otro,[0]!Centro,$B11,[0]!Turno,J$2)</f>
        <v>1</v>
      </c>
      <c r="K11" s="72">
        <f>SUMIFS([0]!Otro,[0]!Centro,$B11,[0]!Turno,K$2)</f>
        <v>0</v>
      </c>
      <c r="L11" s="72">
        <f>SUMIFS([0]!Otro,[0]!Centro,$B11,[0]!Turno,L$2)</f>
        <v>0</v>
      </c>
      <c r="M11" s="72">
        <f>SUMIFS([0]!Otro,[0]!Centro,$B11,[0]!Turno,M$2)</f>
        <v>0</v>
      </c>
      <c r="N11" s="72">
        <f>SUMIFS([0]!Otro,[0]!Centro,$B11,[0]!Turno,N$2)</f>
        <v>0</v>
      </c>
      <c r="O11" s="72">
        <f>SUMIFS([0]!Otro,[0]!Centro,$B11,[0]!Turno,O$2)</f>
        <v>1</v>
      </c>
      <c r="P11" s="72">
        <f>SUMIFS([0]!Otro,[0]!Centro,$B11,[0]!Turno,P$2)</f>
        <v>0</v>
      </c>
      <c r="Q11" s="72">
        <f>SUMIFS([0]!Otro,[0]!Centro,$B11,[0]!Turno,Q$2)</f>
        <v>0</v>
      </c>
      <c r="R11" s="72">
        <f>SUMIFS([0]!Otro,[0]!Centro,$B11,[0]!Turno,R$2)</f>
        <v>0</v>
      </c>
      <c r="S11" s="72">
        <f>SUMIFS([0]!Otro,[0]!Centro,$B11,[0]!Turno,S$2)</f>
        <v>0</v>
      </c>
      <c r="T11" s="72">
        <f>SUMIFS([0]!Otro,[0]!Centro,$B11,[0]!Turno,T$2)</f>
        <v>0</v>
      </c>
      <c r="U11" s="72">
        <f>SUMIFS([0]!Otro,[0]!Centro,$B11,[0]!Turno,U$2)</f>
        <v>0</v>
      </c>
      <c r="V11" s="72">
        <f>SUMIFS([0]!Otro,[0]!Centro,$B11,[0]!Turno,V$2)</f>
        <v>0</v>
      </c>
      <c r="W11" s="72">
        <f>SUMIFS([0]!Otro,[0]!Centro,$B11,[0]!Turno,W$2)</f>
        <v>0</v>
      </c>
      <c r="X11" s="72">
        <f>SUMIFS([0]!Otro,[0]!Centro,$B11,[0]!Turno,X$2)</f>
        <v>0</v>
      </c>
      <c r="Y11" s="73">
        <f>SUMIFS([0]!Otro,[0]!Centro,$B11,[0]!Turno,Y$2)</f>
        <v>0</v>
      </c>
    </row>
    <row r="12" spans="2:25" s="22" customFormat="1" ht="15" customHeight="1" x14ac:dyDescent="0.2">
      <c r="B12" s="261"/>
      <c r="C12" s="94">
        <f>E12/SUM(E12:E14)</f>
        <v>0.58762886597938147</v>
      </c>
      <c r="D12" s="63" t="s">
        <v>0</v>
      </c>
      <c r="E12" s="150">
        <f>IF((E9+E10+E11)=0,0,(E9*$B13)/(E9+E10+E11))</f>
        <v>0.58762886597938147</v>
      </c>
      <c r="F12" s="150">
        <f>IF((F9+F10+F11)=0,0,(F9*$B13)/(F9+F10+F11))</f>
        <v>0.38709677419354838</v>
      </c>
      <c r="G12" s="150">
        <f t="shared" ref="G12" si="11">IF((G9+G10+G11)=0,0,(G9*$B13)/(G9+G10+G11))</f>
        <v>0.66666666666666663</v>
      </c>
      <c r="H12" s="150">
        <f t="shared" ref="H12" si="12">IF((H9+H10+H11)=0,0,(H9*$B13)/(H9+H10+H11))</f>
        <v>0</v>
      </c>
      <c r="I12" s="150">
        <f t="shared" ref="I12" si="13">IF((I9+I10+I11)=0,0,(I9*$B13)/(I9+I10+I11))</f>
        <v>0.47058823529411764</v>
      </c>
      <c r="J12" s="150">
        <f t="shared" ref="J12" si="14">IF((J9+J10+J11)=0,0,(J9*$B13)/(J9+J10+J11))</f>
        <v>0.51428571428571423</v>
      </c>
      <c r="K12" s="150">
        <f t="shared" ref="K12" si="15">IF((K9+K10+K11)=0,0,(K9*$B13)/(K9+K10+K11))</f>
        <v>1</v>
      </c>
      <c r="L12" s="150">
        <f t="shared" ref="L12" si="16">IF((L9+L10+L11)=0,0,(L9*$B13)/(L9+L10+L11))</f>
        <v>0</v>
      </c>
      <c r="M12" s="150">
        <f t="shared" ref="M12" si="17">IF((M9+M10+M11)=0,0,(M9*$B13)/(M9+M10+M11))</f>
        <v>0.75</v>
      </c>
      <c r="N12" s="150">
        <f t="shared" ref="N12" si="18">IF((N9+N10+N11)=0,0,(N9*$B13)/(N9+N10+N11))</f>
        <v>0.88</v>
      </c>
      <c r="O12" s="150">
        <f t="shared" ref="O12" si="19">IF((O9+O10+O11)=0,0,(O9*$B13)/(O9+O10+O11))</f>
        <v>0.39393939393939392</v>
      </c>
      <c r="P12" s="150">
        <f t="shared" ref="P12" si="20">IF((P9+P10+P11)=0,0,(P9*$B13)/(P9+P10+P11))</f>
        <v>0.80645161290322576</v>
      </c>
      <c r="Q12" s="150">
        <f t="shared" ref="Q12" si="21">IF((Q9+Q10+Q11)=0,0,(Q9*$B13)/(Q9+Q10+Q11))</f>
        <v>0</v>
      </c>
      <c r="R12" s="150">
        <f t="shared" ref="R12" si="22">IF((R9+R10+R11)=0,0,(R9*$B13)/(R9+R10+R11))</f>
        <v>0.83333333333333337</v>
      </c>
      <c r="S12" s="150">
        <f t="shared" ref="S12" si="23">IF((S9+S10+S11)=0,0,(S9*$B13)/(S9+S10+S11))</f>
        <v>0</v>
      </c>
      <c r="T12" s="150">
        <f t="shared" ref="T12" si="24">IF((T9+T10+T11)=0,0,(T9*$B13)/(T9+T10+T11))</f>
        <v>0</v>
      </c>
      <c r="U12" s="150">
        <f t="shared" ref="U12" si="25">IF((U9+U10+U11)=0,0,(U9*$B13)/(U9+U10+U11))</f>
        <v>0</v>
      </c>
      <c r="V12" s="150">
        <f t="shared" ref="V12" si="26">IF((V9+V10+V11)=0,0,(V9*$B13)/(V9+V10+V11))</f>
        <v>0</v>
      </c>
      <c r="W12" s="150">
        <f t="shared" ref="W12" si="27">IF((W9+W10+W11)=0,0,(W9*$B13)/(W9+W10+W11))</f>
        <v>0</v>
      </c>
      <c r="X12" s="150">
        <f t="shared" ref="X12" si="28">IF((X9+X10+X11)=0,0,(X9*$B13)/(X9+X10+X11))</f>
        <v>0</v>
      </c>
      <c r="Y12" s="163">
        <f t="shared" ref="Y12" si="29">IF((Y9+Y10+Y11)=0,0,(Y9*$B13)/(Y9+Y10+Y11))</f>
        <v>0</v>
      </c>
    </row>
    <row r="13" spans="2:25" s="22" customFormat="1" ht="15" customHeight="1" x14ac:dyDescent="0.2">
      <c r="B13" s="254">
        <v>1</v>
      </c>
      <c r="C13" s="92">
        <f>E13/SUM(E12:E14)</f>
        <v>0.40206185567010311</v>
      </c>
      <c r="D13" s="61" t="s">
        <v>1</v>
      </c>
      <c r="E13" s="154">
        <f>IF((E9+E10+E11)=0,0,(E10*$B13)/(E9+E10+E11))</f>
        <v>0.40206185567010311</v>
      </c>
      <c r="F13" s="154">
        <f>IF((F9+F10+F11)=0,0,(F10*$B13)/(F9+F10+F11))</f>
        <v>0.61290322580645162</v>
      </c>
      <c r="G13" s="154">
        <f t="shared" ref="G13:Y13" si="30">IF((G9+G10+G11)=0,0,(G10*$B13)/(G9+G10+G11))</f>
        <v>0.33333333333333331</v>
      </c>
      <c r="H13" s="154">
        <f t="shared" si="30"/>
        <v>0</v>
      </c>
      <c r="I13" s="154">
        <f t="shared" si="30"/>
        <v>0.52941176470588236</v>
      </c>
      <c r="J13" s="154">
        <f t="shared" si="30"/>
        <v>0.45714285714285713</v>
      </c>
      <c r="K13" s="154">
        <f t="shared" si="30"/>
        <v>0</v>
      </c>
      <c r="L13" s="154">
        <f t="shared" si="30"/>
        <v>1</v>
      </c>
      <c r="M13" s="154">
        <f t="shared" si="30"/>
        <v>0.25</v>
      </c>
      <c r="N13" s="154">
        <f t="shared" si="30"/>
        <v>0.12</v>
      </c>
      <c r="O13" s="154">
        <f t="shared" si="30"/>
        <v>0.5757575757575758</v>
      </c>
      <c r="P13" s="154">
        <f>IF((P9+P10+P11)=0,0,(P10*$B13)/(P9+P10+P11))</f>
        <v>0.19354838709677419</v>
      </c>
      <c r="Q13" s="154">
        <f t="shared" si="30"/>
        <v>0</v>
      </c>
      <c r="R13" s="154">
        <f t="shared" si="30"/>
        <v>0.16666666666666666</v>
      </c>
      <c r="S13" s="154">
        <f t="shared" si="30"/>
        <v>0</v>
      </c>
      <c r="T13" s="154">
        <f t="shared" si="30"/>
        <v>0</v>
      </c>
      <c r="U13" s="154">
        <f t="shared" si="30"/>
        <v>0</v>
      </c>
      <c r="V13" s="154">
        <f t="shared" si="30"/>
        <v>0</v>
      </c>
      <c r="W13" s="154">
        <f t="shared" si="30"/>
        <v>0</v>
      </c>
      <c r="X13" s="154">
        <f t="shared" si="30"/>
        <v>0</v>
      </c>
      <c r="Y13" s="159">
        <f t="shared" si="30"/>
        <v>0</v>
      </c>
    </row>
    <row r="14" spans="2:25" s="22" customFormat="1" ht="15" customHeight="1" thickBot="1" x14ac:dyDescent="0.25">
      <c r="B14" s="255"/>
      <c r="C14" s="93">
        <f>E14/SUM(E12:E14)</f>
        <v>1.0309278350515464E-2</v>
      </c>
      <c r="D14" s="75" t="s">
        <v>2</v>
      </c>
      <c r="E14" s="155">
        <f>IF((E9+E10+E11)=0,0,(E11*$B13)/(E9+E10+E11))</f>
        <v>1.0309278350515464E-2</v>
      </c>
      <c r="F14" s="155">
        <f>IF((F9+F10+F11)=0,0,(F11*$B13)/(F9+F10+F11))</f>
        <v>0</v>
      </c>
      <c r="G14" s="155">
        <f t="shared" ref="G14" si="31">IF((G9+G10+G11)=0,0,(G11*$B13)/(G9+G10+G11))</f>
        <v>0</v>
      </c>
      <c r="H14" s="155">
        <f t="shared" ref="H14" si="32">IF((H9+H10+H11)=0,0,(H11*$B13)/(H9+H10+H11))</f>
        <v>0</v>
      </c>
      <c r="I14" s="155">
        <f t="shared" ref="I14" si="33">IF((I9+I10+I11)=0,0,(I11*$B13)/(I9+I10+I11))</f>
        <v>0</v>
      </c>
      <c r="J14" s="155">
        <f t="shared" ref="J14" si="34">IF((J9+J10+J11)=0,0,(J11*$B13)/(J9+J10+J11))</f>
        <v>2.8571428571428571E-2</v>
      </c>
      <c r="K14" s="155">
        <f t="shared" ref="K14" si="35">IF((K9+K10+K11)=0,0,(K11*$B13)/(K9+K10+K11))</f>
        <v>0</v>
      </c>
      <c r="L14" s="155">
        <f t="shared" ref="L14" si="36">IF((L9+L10+L11)=0,0,(L11*$B13)/(L9+L10+L11))</f>
        <v>0</v>
      </c>
      <c r="M14" s="155">
        <f t="shared" ref="M14" si="37">IF((M9+M10+M11)=0,0,(M11*$B13)/(M9+M10+M11))</f>
        <v>0</v>
      </c>
      <c r="N14" s="155">
        <f t="shared" ref="N14" si="38">IF((N9+N10+N11)=0,0,(N11*$B13)/(N9+N10+N11))</f>
        <v>0</v>
      </c>
      <c r="O14" s="155">
        <f t="shared" ref="O14" si="39">IF((O9+O10+O11)=0,0,(O11*$B13)/(O9+O10+O11))</f>
        <v>3.0303030303030304E-2</v>
      </c>
      <c r="P14" s="155">
        <f t="shared" ref="P14" si="40">IF((P9+P10+P11)=0,0,(P11*$B13)/(P9+P10+P11))</f>
        <v>0</v>
      </c>
      <c r="Q14" s="155">
        <f t="shared" ref="Q14" si="41">IF((Q9+Q10+Q11)=0,0,(Q11*$B13)/(Q9+Q10+Q11))</f>
        <v>0</v>
      </c>
      <c r="R14" s="155">
        <f t="shared" ref="R14" si="42">IF((R9+R10+R11)=0,0,(R11*$B13)/(R9+R10+R11))</f>
        <v>0</v>
      </c>
      <c r="S14" s="155">
        <f t="shared" ref="S14" si="43">IF((S9+S10+S11)=0,0,(S11*$B13)/(S9+S10+S11))</f>
        <v>0</v>
      </c>
      <c r="T14" s="155">
        <f t="shared" ref="T14" si="44">IF((T9+T10+T11)=0,0,(T11*$B13)/(T9+T10+T11))</f>
        <v>0</v>
      </c>
      <c r="U14" s="155">
        <f t="shared" ref="U14" si="45">IF((U9+U10+U11)=0,0,(U11*$B13)/(U9+U10+U11))</f>
        <v>0</v>
      </c>
      <c r="V14" s="155">
        <f t="shared" ref="V14" si="46">IF((V9+V10+V11)=0,0,(V11*$B13)/(V9+V10+V11))</f>
        <v>0</v>
      </c>
      <c r="W14" s="155">
        <f t="shared" ref="W14" si="47">IF((W9+W10+W11)=0,0,(W11*$B13)/(W9+W10+W11))</f>
        <v>0</v>
      </c>
      <c r="X14" s="155">
        <f t="shared" ref="X14" si="48">IF((X9+X10+X11)=0,0,(X11*$B13)/(X9+X10+X11))</f>
        <v>0</v>
      </c>
      <c r="Y14" s="160">
        <f t="shared" ref="Y14" si="49">IF((Y9+Y10+Y11)=0,0,(Y11*$B13)/(Y9+Y10+Y11))</f>
        <v>0</v>
      </c>
    </row>
    <row r="15" spans="2:25" s="15" customFormat="1" ht="15" customHeight="1" thickBot="1" x14ac:dyDescent="0.25">
      <c r="B15" s="101" t="s">
        <v>3</v>
      </c>
      <c r="C15" s="12" t="s">
        <v>226</v>
      </c>
      <c r="D15" s="21" t="s">
        <v>4</v>
      </c>
      <c r="E15" s="13" t="s">
        <v>225</v>
      </c>
      <c r="F15" s="14">
        <v>1</v>
      </c>
      <c r="G15" s="14">
        <v>2</v>
      </c>
      <c r="H15" s="14">
        <v>3</v>
      </c>
      <c r="I15" s="14">
        <v>4</v>
      </c>
      <c r="J15" s="14">
        <v>5</v>
      </c>
      <c r="K15" s="14">
        <v>6</v>
      </c>
      <c r="L15" s="14">
        <v>7</v>
      </c>
      <c r="M15" s="14">
        <v>8</v>
      </c>
      <c r="N15" s="14">
        <v>9</v>
      </c>
      <c r="O15" s="14">
        <v>10</v>
      </c>
      <c r="P15" s="14">
        <v>11</v>
      </c>
      <c r="Q15" s="14">
        <v>12</v>
      </c>
      <c r="R15" s="14">
        <v>13</v>
      </c>
      <c r="S15" s="14">
        <v>14</v>
      </c>
      <c r="T15" s="14">
        <v>15</v>
      </c>
      <c r="U15" s="14">
        <v>16</v>
      </c>
      <c r="V15" s="14">
        <v>17</v>
      </c>
      <c r="W15" s="14">
        <v>18</v>
      </c>
      <c r="X15" s="14">
        <v>19</v>
      </c>
      <c r="Y15" s="102">
        <v>20</v>
      </c>
    </row>
    <row r="16" spans="2:25" s="15" customFormat="1" ht="15" customHeight="1" x14ac:dyDescent="0.2">
      <c r="B16" s="258" t="s">
        <v>33</v>
      </c>
      <c r="C16" s="95">
        <f>E16/SUM($E$16:$E$18)</f>
        <v>0.63695369969710081</v>
      </c>
      <c r="D16" s="81" t="s">
        <v>0</v>
      </c>
      <c r="E16" s="82">
        <f>SUM(F16:Y16)</f>
        <v>1472</v>
      </c>
      <c r="F16" s="82">
        <f t="shared" ref="F16:Y16" si="50">SUM(F22,F28,F34,F40,F46,F52,F58,F64)</f>
        <v>189</v>
      </c>
      <c r="G16" s="82">
        <f t="shared" si="50"/>
        <v>117</v>
      </c>
      <c r="H16" s="82">
        <f t="shared" si="50"/>
        <v>184</v>
      </c>
      <c r="I16" s="82">
        <f t="shared" si="50"/>
        <v>186</v>
      </c>
      <c r="J16" s="82">
        <f t="shared" si="50"/>
        <v>206</v>
      </c>
      <c r="K16" s="82">
        <f t="shared" si="50"/>
        <v>147</v>
      </c>
      <c r="L16" s="82">
        <f t="shared" si="50"/>
        <v>193</v>
      </c>
      <c r="M16" s="82">
        <f t="shared" si="50"/>
        <v>123</v>
      </c>
      <c r="N16" s="82">
        <f t="shared" si="50"/>
        <v>96</v>
      </c>
      <c r="O16" s="82">
        <f t="shared" si="50"/>
        <v>11</v>
      </c>
      <c r="P16" s="82">
        <f t="shared" si="50"/>
        <v>20</v>
      </c>
      <c r="Q16" s="82">
        <f t="shared" si="50"/>
        <v>0</v>
      </c>
      <c r="R16" s="82">
        <f t="shared" si="50"/>
        <v>0</v>
      </c>
      <c r="S16" s="82">
        <f t="shared" si="50"/>
        <v>0</v>
      </c>
      <c r="T16" s="82">
        <f t="shared" si="50"/>
        <v>0</v>
      </c>
      <c r="U16" s="82">
        <f t="shared" si="50"/>
        <v>0</v>
      </c>
      <c r="V16" s="82">
        <f t="shared" si="50"/>
        <v>0</v>
      </c>
      <c r="W16" s="82">
        <f t="shared" si="50"/>
        <v>0</v>
      </c>
      <c r="X16" s="82">
        <f t="shared" si="50"/>
        <v>0</v>
      </c>
      <c r="Y16" s="83">
        <f t="shared" si="50"/>
        <v>0</v>
      </c>
    </row>
    <row r="17" spans="1:25" s="15" customFormat="1" ht="15" customHeight="1" x14ac:dyDescent="0.2">
      <c r="B17" s="259"/>
      <c r="C17" s="96">
        <f>E17/SUM($E$16:$E$18)</f>
        <v>0.35352661185633927</v>
      </c>
      <c r="D17" s="79" t="s">
        <v>1</v>
      </c>
      <c r="E17" s="80">
        <f t="shared" ref="E17:E66" si="51">SUM(F17:Y17)</f>
        <v>817</v>
      </c>
      <c r="F17" s="80">
        <f t="shared" ref="F17:Y17" si="52">SUM(F23,F29,F35,F41,F47,F53,F59,F65)</f>
        <v>115</v>
      </c>
      <c r="G17" s="80">
        <f t="shared" si="52"/>
        <v>60</v>
      </c>
      <c r="H17" s="80">
        <f t="shared" si="52"/>
        <v>86</v>
      </c>
      <c r="I17" s="80">
        <f t="shared" si="52"/>
        <v>120</v>
      </c>
      <c r="J17" s="80">
        <f t="shared" si="52"/>
        <v>125</v>
      </c>
      <c r="K17" s="80">
        <f t="shared" si="52"/>
        <v>78</v>
      </c>
      <c r="L17" s="80">
        <f t="shared" si="52"/>
        <v>99</v>
      </c>
      <c r="M17" s="80">
        <f t="shared" si="52"/>
        <v>58</v>
      </c>
      <c r="N17" s="80">
        <f t="shared" si="52"/>
        <v>47</v>
      </c>
      <c r="O17" s="80">
        <f t="shared" si="52"/>
        <v>9</v>
      </c>
      <c r="P17" s="80">
        <f t="shared" si="52"/>
        <v>20</v>
      </c>
      <c r="Q17" s="80">
        <f t="shared" si="52"/>
        <v>0</v>
      </c>
      <c r="R17" s="80">
        <f t="shared" si="52"/>
        <v>0</v>
      </c>
      <c r="S17" s="80">
        <f t="shared" si="52"/>
        <v>0</v>
      </c>
      <c r="T17" s="80">
        <f t="shared" si="52"/>
        <v>0</v>
      </c>
      <c r="U17" s="80">
        <f t="shared" si="52"/>
        <v>0</v>
      </c>
      <c r="V17" s="80">
        <f t="shared" si="52"/>
        <v>0</v>
      </c>
      <c r="W17" s="80">
        <f t="shared" si="52"/>
        <v>0</v>
      </c>
      <c r="X17" s="80">
        <f t="shared" si="52"/>
        <v>0</v>
      </c>
      <c r="Y17" s="84">
        <f t="shared" si="52"/>
        <v>0</v>
      </c>
    </row>
    <row r="18" spans="1:25" s="15" customFormat="1" ht="15" customHeight="1" thickBot="1" x14ac:dyDescent="0.25">
      <c r="B18" s="259"/>
      <c r="C18" s="97">
        <f>E18/SUM($E$16:$E$18)</f>
        <v>9.5196884465599315E-3</v>
      </c>
      <c r="D18" s="86" t="s">
        <v>2</v>
      </c>
      <c r="E18" s="87">
        <f t="shared" si="51"/>
        <v>22</v>
      </c>
      <c r="F18" s="87">
        <f t="shared" ref="F18:Y18" si="53">SUM(F24,F30,F36,F42,F48,F54,F60,F66)</f>
        <v>5</v>
      </c>
      <c r="G18" s="87">
        <f t="shared" si="53"/>
        <v>2</v>
      </c>
      <c r="H18" s="87">
        <f t="shared" si="53"/>
        <v>3</v>
      </c>
      <c r="I18" s="87">
        <f t="shared" si="53"/>
        <v>0</v>
      </c>
      <c r="J18" s="87">
        <f t="shared" si="53"/>
        <v>2</v>
      </c>
      <c r="K18" s="87">
        <f t="shared" si="53"/>
        <v>2</v>
      </c>
      <c r="L18" s="87">
        <f t="shared" si="53"/>
        <v>3</v>
      </c>
      <c r="M18" s="87">
        <f t="shared" si="53"/>
        <v>5</v>
      </c>
      <c r="N18" s="87">
        <f t="shared" si="53"/>
        <v>0</v>
      </c>
      <c r="O18" s="87">
        <f t="shared" si="53"/>
        <v>0</v>
      </c>
      <c r="P18" s="87">
        <f t="shared" si="53"/>
        <v>0</v>
      </c>
      <c r="Q18" s="87">
        <f t="shared" si="53"/>
        <v>0</v>
      </c>
      <c r="R18" s="87">
        <f t="shared" si="53"/>
        <v>0</v>
      </c>
      <c r="S18" s="87">
        <f t="shared" si="53"/>
        <v>0</v>
      </c>
      <c r="T18" s="87">
        <f t="shared" si="53"/>
        <v>0</v>
      </c>
      <c r="U18" s="87">
        <f t="shared" si="53"/>
        <v>0</v>
      </c>
      <c r="V18" s="87">
        <f t="shared" si="53"/>
        <v>0</v>
      </c>
      <c r="W18" s="87">
        <f t="shared" si="53"/>
        <v>0</v>
      </c>
      <c r="X18" s="87">
        <f t="shared" si="53"/>
        <v>0</v>
      </c>
      <c r="Y18" s="88">
        <f t="shared" si="53"/>
        <v>0</v>
      </c>
    </row>
    <row r="19" spans="1:25" s="15" customFormat="1" ht="15" customHeight="1" x14ac:dyDescent="0.2">
      <c r="B19" s="259"/>
      <c r="C19" s="98">
        <f>E19/SUM($E$19:$E$21)</f>
        <v>0.64587417898931376</v>
      </c>
      <c r="D19" s="85" t="s">
        <v>0</v>
      </c>
      <c r="E19" s="151">
        <f>SUM(E25,E31,E37,E43,E49,E55,E61,E67)</f>
        <v>0.64587417898931365</v>
      </c>
      <c r="F19" s="151">
        <f t="shared" ref="F19:Y19" si="54">SUM(F25,F31,F37,F43,F49,F55,F61,F67)</f>
        <v>0.61948413440130257</v>
      </c>
      <c r="G19" s="151">
        <f t="shared" si="54"/>
        <v>0.59614116187737065</v>
      </c>
      <c r="H19" s="151">
        <f t="shared" si="54"/>
        <v>0.63532182906711698</v>
      </c>
      <c r="I19" s="151">
        <f t="shared" si="54"/>
        <v>0.61104209155735945</v>
      </c>
      <c r="J19" s="151">
        <f t="shared" si="54"/>
        <v>0.6150924260948426</v>
      </c>
      <c r="K19" s="151">
        <f t="shared" si="54"/>
        <v>0.59469779511186571</v>
      </c>
      <c r="L19" s="151">
        <f t="shared" si="54"/>
        <v>0.65421345891139482</v>
      </c>
      <c r="M19" s="151">
        <f t="shared" si="54"/>
        <v>0.65607989641354703</v>
      </c>
      <c r="N19" s="151">
        <f t="shared" si="54"/>
        <v>0.41306543079525848</v>
      </c>
      <c r="O19" s="151">
        <f t="shared" si="54"/>
        <v>3.6191789501146036E-2</v>
      </c>
      <c r="P19" s="151">
        <f t="shared" si="54"/>
        <v>3.2901626819223671E-2</v>
      </c>
      <c r="Q19" s="151">
        <f t="shared" si="54"/>
        <v>0</v>
      </c>
      <c r="R19" s="151">
        <f t="shared" si="54"/>
        <v>0</v>
      </c>
      <c r="S19" s="151">
        <f t="shared" si="54"/>
        <v>0</v>
      </c>
      <c r="T19" s="151">
        <f t="shared" si="54"/>
        <v>0</v>
      </c>
      <c r="U19" s="151">
        <f t="shared" si="54"/>
        <v>0</v>
      </c>
      <c r="V19" s="151">
        <f t="shared" si="54"/>
        <v>0</v>
      </c>
      <c r="W19" s="151">
        <f t="shared" si="54"/>
        <v>0</v>
      </c>
      <c r="X19" s="151">
        <f t="shared" si="54"/>
        <v>0</v>
      </c>
      <c r="Y19" s="156">
        <f t="shared" si="54"/>
        <v>0</v>
      </c>
    </row>
    <row r="20" spans="1:25" s="15" customFormat="1" ht="15" customHeight="1" x14ac:dyDescent="0.2">
      <c r="B20" s="259"/>
      <c r="C20" s="96">
        <f>E20/SUM($E$19:$E$21)</f>
        <v>0.34507589287938811</v>
      </c>
      <c r="D20" s="79" t="s">
        <v>1</v>
      </c>
      <c r="E20" s="152">
        <f t="shared" ref="E20" si="55">SUM(E26,E32,E38,E44,E50,E56,E62,E68)</f>
        <v>0.34507589287938806</v>
      </c>
      <c r="F20" s="152">
        <f t="shared" ref="F20:Y20" si="56">SUM(F26,F32,F38,F44,F50,F56,F62,F68)</f>
        <v>0.37110950864263204</v>
      </c>
      <c r="G20" s="152">
        <f t="shared" si="56"/>
        <v>0.22858933810423337</v>
      </c>
      <c r="H20" s="152">
        <f t="shared" si="56"/>
        <v>0.2860991051744069</v>
      </c>
      <c r="I20" s="152">
        <f t="shared" si="56"/>
        <v>0.38895790844264055</v>
      </c>
      <c r="J20" s="152">
        <f t="shared" si="56"/>
        <v>0.37848800486627887</v>
      </c>
      <c r="K20" s="152">
        <f t="shared" si="56"/>
        <v>0.33712301252095389</v>
      </c>
      <c r="L20" s="152">
        <f t="shared" si="56"/>
        <v>0.29648758308067347</v>
      </c>
      <c r="M20" s="152">
        <f t="shared" si="56"/>
        <v>0.25490862813749288</v>
      </c>
      <c r="N20" s="152">
        <f t="shared" si="56"/>
        <v>0.15208622552908663</v>
      </c>
      <c r="O20" s="152">
        <f t="shared" si="56"/>
        <v>2.9611464137301303E-2</v>
      </c>
      <c r="P20" s="152">
        <f t="shared" si="56"/>
        <v>3.2901626819223671E-2</v>
      </c>
      <c r="Q20" s="152">
        <f t="shared" si="56"/>
        <v>0</v>
      </c>
      <c r="R20" s="152">
        <f t="shared" si="56"/>
        <v>0</v>
      </c>
      <c r="S20" s="152">
        <f t="shared" si="56"/>
        <v>0</v>
      </c>
      <c r="T20" s="152">
        <f t="shared" si="56"/>
        <v>0</v>
      </c>
      <c r="U20" s="152">
        <f t="shared" si="56"/>
        <v>0</v>
      </c>
      <c r="V20" s="152">
        <f t="shared" si="56"/>
        <v>0</v>
      </c>
      <c r="W20" s="152">
        <f t="shared" si="56"/>
        <v>0</v>
      </c>
      <c r="X20" s="152">
        <f t="shared" si="56"/>
        <v>0</v>
      </c>
      <c r="Y20" s="157">
        <f t="shared" si="56"/>
        <v>0</v>
      </c>
    </row>
    <row r="21" spans="1:25" s="15" customFormat="1" ht="15" customHeight="1" thickBot="1" x14ac:dyDescent="0.25">
      <c r="B21" s="260"/>
      <c r="C21" s="99">
        <f>E21/SUM($E$19:$E$21)</f>
        <v>9.0499281312981933E-3</v>
      </c>
      <c r="D21" s="89" t="s">
        <v>2</v>
      </c>
      <c r="E21" s="164">
        <f t="shared" ref="E21" si="57">SUM(E27,E33,E39,E45,E51,E57,E63,E69)</f>
        <v>9.0499281312981916E-3</v>
      </c>
      <c r="F21" s="164">
        <f t="shared" ref="F21:Y21" si="58">SUM(F27,F33,F39,F45,F51,F57,F63,F69)</f>
        <v>9.4063569560653218E-3</v>
      </c>
      <c r="G21" s="164">
        <f t="shared" si="58"/>
        <v>3.3745258276126843E-3</v>
      </c>
      <c r="H21" s="164">
        <f t="shared" si="58"/>
        <v>1.4383375369691746E-2</v>
      </c>
      <c r="I21" s="164">
        <f t="shared" si="58"/>
        <v>0</v>
      </c>
      <c r="J21" s="164">
        <f t="shared" si="58"/>
        <v>6.4195690388784326E-3</v>
      </c>
      <c r="K21" s="164">
        <f t="shared" si="58"/>
        <v>3.9835019783960399E-3</v>
      </c>
      <c r="L21" s="164">
        <f t="shared" si="58"/>
        <v>9.4639382239713049E-3</v>
      </c>
      <c r="M21" s="164">
        <f t="shared" si="58"/>
        <v>2.4815785060175732E-2</v>
      </c>
      <c r="N21" s="164">
        <f t="shared" si="58"/>
        <v>0</v>
      </c>
      <c r="O21" s="164">
        <f t="shared" si="58"/>
        <v>0</v>
      </c>
      <c r="P21" s="164">
        <f t="shared" si="58"/>
        <v>0</v>
      </c>
      <c r="Q21" s="164">
        <f t="shared" si="58"/>
        <v>0</v>
      </c>
      <c r="R21" s="164">
        <f t="shared" si="58"/>
        <v>0</v>
      </c>
      <c r="S21" s="164">
        <f t="shared" si="58"/>
        <v>0</v>
      </c>
      <c r="T21" s="164">
        <f t="shared" si="58"/>
        <v>0</v>
      </c>
      <c r="U21" s="164">
        <f t="shared" si="58"/>
        <v>0</v>
      </c>
      <c r="V21" s="164">
        <f t="shared" si="58"/>
        <v>0</v>
      </c>
      <c r="W21" s="164">
        <f t="shared" si="58"/>
        <v>0</v>
      </c>
      <c r="X21" s="164">
        <f t="shared" si="58"/>
        <v>0</v>
      </c>
      <c r="Y21" s="165">
        <f t="shared" si="58"/>
        <v>0</v>
      </c>
    </row>
    <row r="22" spans="1:25" s="16" customFormat="1" ht="15" customHeight="1" x14ac:dyDescent="0.2">
      <c r="A22" s="23"/>
      <c r="B22" s="256" t="s">
        <v>34</v>
      </c>
      <c r="C22" s="91">
        <f>E22/SUM(E22:E24)</f>
        <v>0.67886178861788615</v>
      </c>
      <c r="D22" s="67" t="s">
        <v>0</v>
      </c>
      <c r="E22" s="68">
        <f t="shared" si="51"/>
        <v>167</v>
      </c>
      <c r="F22" s="68">
        <f>SUMIFS([0]!Chavez,[0]!Centro,$B24,[0]!Turno,F$15)</f>
        <v>6</v>
      </c>
      <c r="G22" s="68">
        <f>SUMIFS([0]!Chavez,[0]!Centro,$B24,[0]!Turno,G$15)</f>
        <v>0</v>
      </c>
      <c r="H22" s="68">
        <f>SUMIFS([0]!Chavez,[0]!Centro,$B24,[0]!Turno,H$15)</f>
        <v>37</v>
      </c>
      <c r="I22" s="68">
        <f>SUMIFS([0]!Chavez,[0]!Centro,$B24,[0]!Turno,I$15)</f>
        <v>34</v>
      </c>
      <c r="J22" s="68">
        <f>SUMIFS([0]!Chavez,[0]!Centro,$B24,[0]!Turno,J$15)</f>
        <v>30</v>
      </c>
      <c r="K22" s="68">
        <f>SUMIFS([0]!Chavez,[0]!Centro,$B24,[0]!Turno,K$15)</f>
        <v>10</v>
      </c>
      <c r="L22" s="68">
        <f>SUMIFS([0]!Chavez,[0]!Centro,$B24,[0]!Turno,L$15)</f>
        <v>29</v>
      </c>
      <c r="M22" s="68">
        <f>SUMIFS([0]!Chavez,[0]!Centro,$B24,[0]!Turno,M$15)</f>
        <v>9</v>
      </c>
      <c r="N22" s="68">
        <f>SUMIFS([0]!Chavez,[0]!Centro,$B24,[0]!Turno,N$15)</f>
        <v>12</v>
      </c>
      <c r="O22" s="68">
        <f>SUMIFS([0]!Chavez,[0]!Centro,$B24,[0]!Turno,O$15)</f>
        <v>0</v>
      </c>
      <c r="P22" s="68">
        <f>SUMIFS([0]!Chavez,[0]!Centro,$B24,[0]!Turno,P$15)</f>
        <v>0</v>
      </c>
      <c r="Q22" s="68">
        <f>SUMIFS([0]!Chavez,[0]!Centro,$B24,[0]!Turno,Q$15)</f>
        <v>0</v>
      </c>
      <c r="R22" s="68">
        <f>SUMIFS([0]!Chavez,[0]!Centro,$B24,[0]!Turno,R$15)</f>
        <v>0</v>
      </c>
      <c r="S22" s="68">
        <f>SUMIFS([0]!Chavez,[0]!Centro,$B24,[0]!Turno,S$15)</f>
        <v>0</v>
      </c>
      <c r="T22" s="68">
        <f>SUMIFS([0]!Chavez,[0]!Centro,$B24,[0]!Turno,T$15)</f>
        <v>0</v>
      </c>
      <c r="U22" s="68">
        <f>SUMIFS([0]!Chavez,[0]!Centro,$B24,[0]!Turno,U$15)</f>
        <v>0</v>
      </c>
      <c r="V22" s="68">
        <f>SUMIFS([0]!Chavez,[0]!Centro,$B24,[0]!Turno,V$15)</f>
        <v>0</v>
      </c>
      <c r="W22" s="68">
        <f>SUMIFS([0]!Chavez,[0]!Centro,$B24,[0]!Turno,W$15)</f>
        <v>0</v>
      </c>
      <c r="X22" s="68">
        <f>SUMIFS([0]!Chavez,[0]!Centro,$B24,[0]!Turno,X$15)</f>
        <v>0</v>
      </c>
      <c r="Y22" s="69">
        <f>SUMIFS([0]!Chavez,[0]!Centro,$B24,[0]!Turno,Y$15)</f>
        <v>0</v>
      </c>
    </row>
    <row r="23" spans="1:25" s="16" customFormat="1" ht="15" customHeight="1" x14ac:dyDescent="0.2">
      <c r="A23" s="23"/>
      <c r="B23" s="256"/>
      <c r="C23" s="92">
        <f>E23/SUM(E22:E24)</f>
        <v>0.32113821138211385</v>
      </c>
      <c r="D23" s="61" t="s">
        <v>1</v>
      </c>
      <c r="E23" s="62">
        <f t="shared" si="51"/>
        <v>79</v>
      </c>
      <c r="F23" s="62">
        <f>SUMIFS([0]!Capriles,[0]!Centro,$B24,[0]!Turno,F$15)</f>
        <v>5</v>
      </c>
      <c r="G23" s="62">
        <f>SUMIFS([0]!Capriles,[0]!Centro,$B24,[0]!Turno,G$15)</f>
        <v>0</v>
      </c>
      <c r="H23" s="62">
        <f>SUMIFS([0]!Capriles,[0]!Centro,$B24,[0]!Turno,H$15)</f>
        <v>14</v>
      </c>
      <c r="I23" s="62">
        <f>SUMIFS([0]!Capriles,[0]!Centro,$B24,[0]!Turno,I$15)</f>
        <v>8</v>
      </c>
      <c r="J23" s="62">
        <f>SUMIFS([0]!Capriles,[0]!Centro,$B24,[0]!Turno,J$15)</f>
        <v>22</v>
      </c>
      <c r="K23" s="62">
        <f>SUMIFS([0]!Capriles,[0]!Centro,$B24,[0]!Turno,K$15)</f>
        <v>10</v>
      </c>
      <c r="L23" s="62">
        <f>SUMIFS([0]!Capriles,[0]!Centro,$B24,[0]!Turno,L$15)</f>
        <v>9</v>
      </c>
      <c r="M23" s="62">
        <f>SUMIFS([0]!Capriles,[0]!Centro,$B24,[0]!Turno,M$15)</f>
        <v>3</v>
      </c>
      <c r="N23" s="62">
        <f>SUMIFS([0]!Capriles,[0]!Centro,$B24,[0]!Turno,N$15)</f>
        <v>8</v>
      </c>
      <c r="O23" s="62">
        <f>SUMIFS([0]!Capriles,[0]!Centro,$B24,[0]!Turno,O$15)</f>
        <v>0</v>
      </c>
      <c r="P23" s="62">
        <f>SUMIFS([0]!Capriles,[0]!Centro,$B24,[0]!Turno,P$15)</f>
        <v>0</v>
      </c>
      <c r="Q23" s="62">
        <f>SUMIFS([0]!Capriles,[0]!Centro,$B24,[0]!Turno,Q$15)</f>
        <v>0</v>
      </c>
      <c r="R23" s="62">
        <f>SUMIFS([0]!Capriles,[0]!Centro,$B24,[0]!Turno,R$15)</f>
        <v>0</v>
      </c>
      <c r="S23" s="62">
        <f>SUMIFS([0]!Capriles,[0]!Centro,$B24,[0]!Turno,S$15)</f>
        <v>0</v>
      </c>
      <c r="T23" s="62">
        <f>SUMIFS([0]!Capriles,[0]!Centro,$B24,[0]!Turno,T$15)</f>
        <v>0</v>
      </c>
      <c r="U23" s="62">
        <f>SUMIFS([0]!Capriles,[0]!Centro,$B24,[0]!Turno,U$15)</f>
        <v>0</v>
      </c>
      <c r="V23" s="62">
        <f>SUMIFS([0]!Capriles,[0]!Centro,$B24,[0]!Turno,V$15)</f>
        <v>0</v>
      </c>
      <c r="W23" s="62">
        <f>SUMIFS([0]!Capriles,[0]!Centro,$B24,[0]!Turno,W$15)</f>
        <v>0</v>
      </c>
      <c r="X23" s="62">
        <f>SUMIFS([0]!Capriles,[0]!Centro,$B24,[0]!Turno,X$15)</f>
        <v>0</v>
      </c>
      <c r="Y23" s="70">
        <f>SUMIFS([0]!Capriles,[0]!Centro,$B24,[0]!Turno,Y$15)</f>
        <v>0</v>
      </c>
    </row>
    <row r="24" spans="1:25" s="16" customFormat="1" ht="15" customHeight="1" thickBot="1" x14ac:dyDescent="0.25">
      <c r="A24" s="23"/>
      <c r="B24" s="256">
        <v>20</v>
      </c>
      <c r="C24" s="100">
        <f>E24/SUM(E22:E24)</f>
        <v>0</v>
      </c>
      <c r="D24" s="71" t="s">
        <v>2</v>
      </c>
      <c r="E24" s="72">
        <f t="shared" si="51"/>
        <v>0</v>
      </c>
      <c r="F24" s="72">
        <f>SUMIFS([0]!Otro,[0]!Centro,$B24,[0]!Turno,F$15)</f>
        <v>0</v>
      </c>
      <c r="G24" s="72">
        <f>SUMIFS([0]!Otro,[0]!Centro,$B24,[0]!Turno,G$15)</f>
        <v>0</v>
      </c>
      <c r="H24" s="72">
        <f>SUMIFS([0]!Otro,[0]!Centro,$B24,[0]!Turno,H$15)</f>
        <v>0</v>
      </c>
      <c r="I24" s="72">
        <f>SUMIFS([0]!Otro,[0]!Centro,$B24,[0]!Turno,I$15)</f>
        <v>0</v>
      </c>
      <c r="J24" s="72">
        <f>SUMIFS([0]!Otro,[0]!Centro,$B24,[0]!Turno,J$15)</f>
        <v>0</v>
      </c>
      <c r="K24" s="72">
        <f>SUMIFS([0]!Otro,[0]!Centro,$B24,[0]!Turno,K$15)</f>
        <v>0</v>
      </c>
      <c r="L24" s="72">
        <f>SUMIFS([0]!Otro,[0]!Centro,$B24,[0]!Turno,L$15)</f>
        <v>0</v>
      </c>
      <c r="M24" s="72">
        <f>SUMIFS([0]!Otro,[0]!Centro,$B24,[0]!Turno,M$15)</f>
        <v>0</v>
      </c>
      <c r="N24" s="72">
        <f>SUMIFS([0]!Otro,[0]!Centro,$B24,[0]!Turno,N$15)</f>
        <v>0</v>
      </c>
      <c r="O24" s="72">
        <f>SUMIFS([0]!Otro,[0]!Centro,$B24,[0]!Turno,O$15)</f>
        <v>0</v>
      </c>
      <c r="P24" s="72">
        <f>SUMIFS([0]!Otro,[0]!Centro,$B24,[0]!Turno,P$15)</f>
        <v>0</v>
      </c>
      <c r="Q24" s="72">
        <f>SUMIFS([0]!Otro,[0]!Centro,$B24,[0]!Turno,Q$15)</f>
        <v>0</v>
      </c>
      <c r="R24" s="72">
        <f>SUMIFS([0]!Otro,[0]!Centro,$B24,[0]!Turno,R$15)</f>
        <v>0</v>
      </c>
      <c r="S24" s="72">
        <f>SUMIFS([0]!Otro,[0]!Centro,$B24,[0]!Turno,S$15)</f>
        <v>0</v>
      </c>
      <c r="T24" s="72">
        <f>SUMIFS([0]!Otro,[0]!Centro,$B24,[0]!Turno,T$15)</f>
        <v>0</v>
      </c>
      <c r="U24" s="72">
        <f>SUMIFS([0]!Otro,[0]!Centro,$B24,[0]!Turno,U$15)</f>
        <v>0</v>
      </c>
      <c r="V24" s="72">
        <f>SUMIFS([0]!Otro,[0]!Centro,$B24,[0]!Turno,V$15)</f>
        <v>0</v>
      </c>
      <c r="W24" s="72">
        <f>SUMIFS([0]!Otro,[0]!Centro,$B24,[0]!Turno,W$15)</f>
        <v>0</v>
      </c>
      <c r="X24" s="72">
        <f>SUMIFS([0]!Otro,[0]!Centro,$B24,[0]!Turno,X$15)</f>
        <v>0</v>
      </c>
      <c r="Y24" s="73">
        <f>SUMIFS([0]!Otro,[0]!Centro,$B24,[0]!Turno,Y$15)</f>
        <v>0</v>
      </c>
    </row>
    <row r="25" spans="1:25" s="16" customFormat="1" ht="15" customHeight="1" x14ac:dyDescent="0.2">
      <c r="A25" s="23"/>
      <c r="B25" s="256"/>
      <c r="C25" s="94">
        <f>E25/SUM(E25:E27)</f>
        <v>0.67886178861788615</v>
      </c>
      <c r="D25" s="63" t="s">
        <v>0</v>
      </c>
      <c r="E25" s="150">
        <f>IF((E22+E23+E24)=0,0,(E22*$B26)/(E22+E23+E24))</f>
        <v>7.3112928434690305E-2</v>
      </c>
      <c r="F25" s="150">
        <f>IF((F22+F23+F24)=0,0,(F22*$B26)/(F22+F23+F24))</f>
        <v>5.8745063891999398E-2</v>
      </c>
      <c r="G25" s="150">
        <f t="shared" ref="G25" si="59">IF((G22+G23+G24)=0,0,(G22*$B26)/(G22+G23+G24))</f>
        <v>0</v>
      </c>
      <c r="H25" s="150">
        <f t="shared" ref="H25" si="60">IF((H22+H23+H24)=0,0,(H22*$B26)/(H22+H23+H24))</f>
        <v>7.8134774523018799E-2</v>
      </c>
      <c r="I25" s="150">
        <f t="shared" ref="I25" si="61">IF((I22+I23+I24)=0,0,(I22*$B26)/(I22+I23+I24))</f>
        <v>8.718513450638006E-2</v>
      </c>
      <c r="J25" s="150">
        <f t="shared" ref="J25" si="62">IF((J22+J23+J24)=0,0,(J22*$B26)/(J22+J23+J24))</f>
        <v>6.2134202193460893E-2</v>
      </c>
      <c r="K25" s="150">
        <f t="shared" ref="K25" si="63">IF((K22+K23+K24)=0,0,(K22*$B26)/(K22+K23+K24))</f>
        <v>5.3849641900999445E-2</v>
      </c>
      <c r="L25" s="150">
        <f t="shared" ref="L25" si="64">IF((L22+L23+L24)=0,0,(L22*$B26)/(L22+L23+L24))</f>
        <v>8.2191558690999159E-2</v>
      </c>
      <c r="M25" s="150">
        <f t="shared" ref="M25" si="65">IF((M22+M23+M24)=0,0,(M22*$B26)/(M22+M23+M24))</f>
        <v>8.0774462851499168E-2</v>
      </c>
      <c r="N25" s="150">
        <f t="shared" ref="N25" si="66">IF((N22+N23+N24)=0,0,(N22*$B26)/(N22+N23+N24))</f>
        <v>6.4619570281199329E-2</v>
      </c>
      <c r="O25" s="150">
        <f t="shared" ref="O25" si="67">IF((O22+O23+O24)=0,0,(O22*$B26)/(O22+O23+O24))</f>
        <v>0</v>
      </c>
      <c r="P25" s="150">
        <f t="shared" ref="P25" si="68">IF((P22+P23+P24)=0,0,(P22*$B26)/(P22+P23+P24))</f>
        <v>0</v>
      </c>
      <c r="Q25" s="150">
        <f t="shared" ref="Q25" si="69">IF((Q22+Q23+Q24)=0,0,(Q22*$B26)/(Q22+Q23+Q24))</f>
        <v>0</v>
      </c>
      <c r="R25" s="150">
        <f t="shared" ref="R25" si="70">IF((R22+R23+R24)=0,0,(R22*$B26)/(R22+R23+R24))</f>
        <v>0</v>
      </c>
      <c r="S25" s="150">
        <f t="shared" ref="S25" si="71">IF((S22+S23+S24)=0,0,(S22*$B26)/(S22+S23+S24))</f>
        <v>0</v>
      </c>
      <c r="T25" s="150">
        <f t="shared" ref="T25" si="72">IF((T22+T23+T24)=0,0,(T22*$B26)/(T22+T23+T24))</f>
        <v>0</v>
      </c>
      <c r="U25" s="150">
        <f t="shared" ref="U25" si="73">IF((U22+U23+U24)=0,0,(U22*$B26)/(U22+U23+U24))</f>
        <v>0</v>
      </c>
      <c r="V25" s="150">
        <f t="shared" ref="V25" si="74">IF((V22+V23+V24)=0,0,(V22*$B26)/(V22+V23+V24))</f>
        <v>0</v>
      </c>
      <c r="W25" s="150">
        <f t="shared" ref="W25" si="75">IF((W22+W23+W24)=0,0,(W22*$B26)/(W22+W23+W24))</f>
        <v>0</v>
      </c>
      <c r="X25" s="150">
        <f t="shared" ref="X25" si="76">IF((X22+X23+X24)=0,0,(X22*$B26)/(X22+X23+X24))</f>
        <v>0</v>
      </c>
      <c r="Y25" s="163">
        <f t="shared" ref="Y25" si="77">IF((Y22+Y23+Y24)=0,0,(Y22*$B26)/(Y22+Y23+Y24))</f>
        <v>0</v>
      </c>
    </row>
    <row r="26" spans="1:25" s="16" customFormat="1" ht="15" customHeight="1" x14ac:dyDescent="0.2">
      <c r="A26" s="23"/>
      <c r="B26" s="254">
        <v>0.10769928380199889</v>
      </c>
      <c r="C26" s="92">
        <f>E26/SUM(E25:E27)</f>
        <v>0.32113821138211379</v>
      </c>
      <c r="D26" s="61" t="s">
        <v>1</v>
      </c>
      <c r="E26" s="154">
        <f>IF((E22+E23+E24)=0,0,(E23*$B26)/(E22+E23+E24))</f>
        <v>3.4586355367308586E-2</v>
      </c>
      <c r="F26" s="154">
        <f>IF((F22+F23+F24)=0,0,(F23*$B26)/(F22+F23+F24))</f>
        <v>4.8954219909999493E-2</v>
      </c>
      <c r="G26" s="154">
        <f t="shared" ref="G26:O26" si="78">IF((G22+G23+G24)=0,0,(G23*$B26)/(G22+G23+G24))</f>
        <v>0</v>
      </c>
      <c r="H26" s="154">
        <f t="shared" si="78"/>
        <v>2.9564509278980088E-2</v>
      </c>
      <c r="I26" s="154">
        <f t="shared" si="78"/>
        <v>2.0514149295618837E-2</v>
      </c>
      <c r="J26" s="154">
        <f t="shared" si="78"/>
        <v>4.5565081608537991E-2</v>
      </c>
      <c r="K26" s="154">
        <f t="shared" si="78"/>
        <v>5.3849641900999445E-2</v>
      </c>
      <c r="L26" s="154">
        <f t="shared" si="78"/>
        <v>2.5507725110999736E-2</v>
      </c>
      <c r="M26" s="154">
        <f t="shared" si="78"/>
        <v>2.6924820950499723E-2</v>
      </c>
      <c r="N26" s="154">
        <f t="shared" si="78"/>
        <v>4.3079713520799555E-2</v>
      </c>
      <c r="O26" s="154">
        <f t="shared" si="78"/>
        <v>0</v>
      </c>
      <c r="P26" s="154">
        <f>IF((P22+P23+P24)=0,0,(P23*$B26)/(P22+P23+P24))</f>
        <v>0</v>
      </c>
      <c r="Q26" s="154">
        <f t="shared" ref="Q26:Y26" si="79">IF((Q22+Q23+Q24)=0,0,(Q23*$B26)/(Q22+Q23+Q24))</f>
        <v>0</v>
      </c>
      <c r="R26" s="154">
        <f t="shared" si="79"/>
        <v>0</v>
      </c>
      <c r="S26" s="154">
        <f t="shared" si="79"/>
        <v>0</v>
      </c>
      <c r="T26" s="154">
        <f t="shared" si="79"/>
        <v>0</v>
      </c>
      <c r="U26" s="154">
        <f t="shared" si="79"/>
        <v>0</v>
      </c>
      <c r="V26" s="154">
        <f t="shared" si="79"/>
        <v>0</v>
      </c>
      <c r="W26" s="154">
        <f t="shared" si="79"/>
        <v>0</v>
      </c>
      <c r="X26" s="154">
        <f t="shared" si="79"/>
        <v>0</v>
      </c>
      <c r="Y26" s="159">
        <f t="shared" si="79"/>
        <v>0</v>
      </c>
    </row>
    <row r="27" spans="1:25" s="16" customFormat="1" ht="15" customHeight="1" thickBot="1" x14ac:dyDescent="0.25">
      <c r="A27" s="23"/>
      <c r="B27" s="254"/>
      <c r="C27" s="93">
        <f>E27/SUM(E25:E27)</f>
        <v>0</v>
      </c>
      <c r="D27" s="75" t="s">
        <v>2</v>
      </c>
      <c r="E27" s="155">
        <f>IF((E22+E23+E24)=0,0,(E24*$B26)/(E22+E23+E24))</f>
        <v>0</v>
      </c>
      <c r="F27" s="155">
        <f>IF((F22+F23+F24)=0,0,(F24*$B26)/(F22+F23+F24))</f>
        <v>0</v>
      </c>
      <c r="G27" s="155">
        <f t="shared" ref="G27" si="80">IF((G22+G23+G24)=0,0,(G24*$B26)/(G22+G23+G24))</f>
        <v>0</v>
      </c>
      <c r="H27" s="155">
        <f t="shared" ref="H27" si="81">IF((H22+H23+H24)=0,0,(H24*$B26)/(H22+H23+H24))</f>
        <v>0</v>
      </c>
      <c r="I27" s="155">
        <f t="shared" ref="I27" si="82">IF((I22+I23+I24)=0,0,(I24*$B26)/(I22+I23+I24))</f>
        <v>0</v>
      </c>
      <c r="J27" s="155">
        <f t="shared" ref="J27" si="83">IF((J22+J23+J24)=0,0,(J24*$B26)/(J22+J23+J24))</f>
        <v>0</v>
      </c>
      <c r="K27" s="155">
        <f t="shared" ref="K27" si="84">IF((K22+K23+K24)=0,0,(K24*$B26)/(K22+K23+K24))</f>
        <v>0</v>
      </c>
      <c r="L27" s="155">
        <f t="shared" ref="L27" si="85">IF((L22+L23+L24)=0,0,(L24*$B26)/(L22+L23+L24))</f>
        <v>0</v>
      </c>
      <c r="M27" s="155">
        <f t="shared" ref="M27" si="86">IF((M22+M23+M24)=0,0,(M24*$B26)/(M22+M23+M24))</f>
        <v>0</v>
      </c>
      <c r="N27" s="155">
        <f t="shared" ref="N27" si="87">IF((N22+N23+N24)=0,0,(N24*$B26)/(N22+N23+N24))</f>
        <v>0</v>
      </c>
      <c r="O27" s="155">
        <f t="shared" ref="O27" si="88">IF((O22+O23+O24)=0,0,(O24*$B26)/(O22+O23+O24))</f>
        <v>0</v>
      </c>
      <c r="P27" s="155">
        <f t="shared" ref="P27" si="89">IF((P22+P23+P24)=0,0,(P24*$B26)/(P22+P23+P24))</f>
        <v>0</v>
      </c>
      <c r="Q27" s="155">
        <f t="shared" ref="Q27" si="90">IF((Q22+Q23+Q24)=0,0,(Q24*$B26)/(Q22+Q23+Q24))</f>
        <v>0</v>
      </c>
      <c r="R27" s="155">
        <f t="shared" ref="R27" si="91">IF((R22+R23+R24)=0,0,(R24*$B26)/(R22+R23+R24))</f>
        <v>0</v>
      </c>
      <c r="S27" s="155">
        <f t="shared" ref="S27" si="92">IF((S22+S23+S24)=0,0,(S24*$B26)/(S22+S23+S24))</f>
        <v>0</v>
      </c>
      <c r="T27" s="155">
        <f t="shared" ref="T27" si="93">IF((T22+T23+T24)=0,0,(T24*$B26)/(T22+T23+T24))</f>
        <v>0</v>
      </c>
      <c r="U27" s="155">
        <f t="shared" ref="U27" si="94">IF((U22+U23+U24)=0,0,(U24*$B26)/(U22+U23+U24))</f>
        <v>0</v>
      </c>
      <c r="V27" s="155">
        <f t="shared" ref="V27" si="95">IF((V22+V23+V24)=0,0,(V24*$B26)/(V22+V23+V24))</f>
        <v>0</v>
      </c>
      <c r="W27" s="155">
        <f t="shared" ref="W27" si="96">IF((W22+W23+W24)=0,0,(W24*$B26)/(W22+W23+W24))</f>
        <v>0</v>
      </c>
      <c r="X27" s="155">
        <f t="shared" ref="X27" si="97">IF((X22+X23+X24)=0,0,(X24*$B26)/(X22+X23+X24))</f>
        <v>0</v>
      </c>
      <c r="Y27" s="160">
        <f t="shared" ref="Y27" si="98">IF((Y22+Y23+Y24)=0,0,(Y24*$B26)/(Y22+Y23+Y24))</f>
        <v>0</v>
      </c>
    </row>
    <row r="28" spans="1:25" s="16" customFormat="1" ht="15" customHeight="1" x14ac:dyDescent="0.2">
      <c r="A28" s="20"/>
      <c r="B28" s="257" t="s">
        <v>35</v>
      </c>
      <c r="C28" s="94">
        <f>E28/SUM(E28:E30)</f>
        <v>0.58371040723981904</v>
      </c>
      <c r="D28" s="63" t="s">
        <v>0</v>
      </c>
      <c r="E28" s="64">
        <f t="shared" si="51"/>
        <v>258</v>
      </c>
      <c r="F28" s="64">
        <f>SUMIFS([0]!Chavez,[0]!Centro,$B30,[0]!Turno,F$15)</f>
        <v>51</v>
      </c>
      <c r="G28" s="64">
        <f>SUMIFS([0]!Chavez,[0]!Centro,$B30,[0]!Turno,G$15)</f>
        <v>13</v>
      </c>
      <c r="H28" s="64">
        <f>SUMIFS([0]!Chavez,[0]!Centro,$B30,[0]!Turno,H$15)</f>
        <v>35</v>
      </c>
      <c r="I28" s="64">
        <f>SUMIFS([0]!Chavez,[0]!Centro,$B30,[0]!Turno,I$15)</f>
        <v>37</v>
      </c>
      <c r="J28" s="64">
        <f>SUMIFS([0]!Chavez,[0]!Centro,$B30,[0]!Turno,J$15)</f>
        <v>31</v>
      </c>
      <c r="K28" s="64">
        <f>SUMIFS([0]!Chavez,[0]!Centro,$B30,[0]!Turno,K$15)</f>
        <v>27</v>
      </c>
      <c r="L28" s="64">
        <f>SUMIFS([0]!Chavez,[0]!Centro,$B30,[0]!Turno,L$15)</f>
        <v>41</v>
      </c>
      <c r="M28" s="64">
        <f>SUMIFS([0]!Chavez,[0]!Centro,$B30,[0]!Turno,M$15)</f>
        <v>23</v>
      </c>
      <c r="N28" s="64">
        <f>SUMIFS([0]!Chavez,[0]!Centro,$B30,[0]!Turno,N$15)</f>
        <v>0</v>
      </c>
      <c r="O28" s="64">
        <f>SUMIFS([0]!Chavez,[0]!Centro,$B30,[0]!Turno,O$15)</f>
        <v>0</v>
      </c>
      <c r="P28" s="64">
        <f>SUMIFS([0]!Chavez,[0]!Centro,$B30,[0]!Turno,P$15)</f>
        <v>0</v>
      </c>
      <c r="Q28" s="64">
        <f>SUMIFS([0]!Chavez,[0]!Centro,$B30,[0]!Turno,Q$15)</f>
        <v>0</v>
      </c>
      <c r="R28" s="64">
        <f>SUMIFS([0]!Chavez,[0]!Centro,$B30,[0]!Turno,R$15)</f>
        <v>0</v>
      </c>
      <c r="S28" s="64">
        <f>SUMIFS([0]!Chavez,[0]!Centro,$B30,[0]!Turno,S$15)</f>
        <v>0</v>
      </c>
      <c r="T28" s="64">
        <f>SUMIFS([0]!Chavez,[0]!Centro,$B30,[0]!Turno,T$15)</f>
        <v>0</v>
      </c>
      <c r="U28" s="64">
        <f>SUMIFS([0]!Chavez,[0]!Centro,$B30,[0]!Turno,U$15)</f>
        <v>0</v>
      </c>
      <c r="V28" s="64">
        <f>SUMIFS([0]!Chavez,[0]!Centro,$B30,[0]!Turno,V$15)</f>
        <v>0</v>
      </c>
      <c r="W28" s="64">
        <f>SUMIFS([0]!Chavez,[0]!Centro,$B30,[0]!Turno,W$15)</f>
        <v>0</v>
      </c>
      <c r="X28" s="64">
        <f>SUMIFS([0]!Chavez,[0]!Centro,$B30,[0]!Turno,X$15)</f>
        <v>0</v>
      </c>
      <c r="Y28" s="74">
        <f>SUMIFS([0]!Chavez,[0]!Centro,$B30,[0]!Turno,Y$15)</f>
        <v>0</v>
      </c>
    </row>
    <row r="29" spans="1:25" s="16" customFormat="1" ht="15" customHeight="1" x14ac:dyDescent="0.2">
      <c r="A29" s="20"/>
      <c r="B29" s="256"/>
      <c r="C29" s="92">
        <f>E29/SUM(E28:E30)</f>
        <v>0.40497737556561086</v>
      </c>
      <c r="D29" s="61" t="s">
        <v>1</v>
      </c>
      <c r="E29" s="62">
        <f t="shared" si="51"/>
        <v>179</v>
      </c>
      <c r="F29" s="62">
        <f>SUMIFS([0]!Capriles,[0]!Centro,$B30,[0]!Turno,F$15)</f>
        <v>41</v>
      </c>
      <c r="G29" s="62">
        <f>SUMIFS([0]!Capriles,[0]!Centro,$B30,[0]!Turno,G$15)</f>
        <v>7</v>
      </c>
      <c r="H29" s="62">
        <f>SUMIFS([0]!Capriles,[0]!Centro,$B30,[0]!Turno,H$15)</f>
        <v>31</v>
      </c>
      <c r="I29" s="62">
        <f>SUMIFS([0]!Capriles,[0]!Centro,$B30,[0]!Turno,I$15)</f>
        <v>24</v>
      </c>
      <c r="J29" s="62">
        <f>SUMIFS([0]!Capriles,[0]!Centro,$B30,[0]!Turno,J$15)</f>
        <v>24</v>
      </c>
      <c r="K29" s="62">
        <f>SUMIFS([0]!Capriles,[0]!Centro,$B30,[0]!Turno,K$15)</f>
        <v>26</v>
      </c>
      <c r="L29" s="62">
        <f>SUMIFS([0]!Capriles,[0]!Centro,$B30,[0]!Turno,L$15)</f>
        <v>16</v>
      </c>
      <c r="M29" s="62">
        <f>SUMIFS([0]!Capriles,[0]!Centro,$B30,[0]!Turno,M$15)</f>
        <v>10</v>
      </c>
      <c r="N29" s="62">
        <f>SUMIFS([0]!Capriles,[0]!Centro,$B30,[0]!Turno,N$15)</f>
        <v>0</v>
      </c>
      <c r="O29" s="62">
        <f>SUMIFS([0]!Capriles,[0]!Centro,$B30,[0]!Turno,O$15)</f>
        <v>0</v>
      </c>
      <c r="P29" s="62">
        <f>SUMIFS([0]!Capriles,[0]!Centro,$B30,[0]!Turno,P$15)</f>
        <v>0</v>
      </c>
      <c r="Q29" s="62">
        <f>SUMIFS([0]!Capriles,[0]!Centro,$B30,[0]!Turno,Q$15)</f>
        <v>0</v>
      </c>
      <c r="R29" s="62">
        <f>SUMIFS([0]!Capriles,[0]!Centro,$B30,[0]!Turno,R$15)</f>
        <v>0</v>
      </c>
      <c r="S29" s="62">
        <f>SUMIFS([0]!Capriles,[0]!Centro,$B30,[0]!Turno,S$15)</f>
        <v>0</v>
      </c>
      <c r="T29" s="62">
        <f>SUMIFS([0]!Capriles,[0]!Centro,$B30,[0]!Turno,T$15)</f>
        <v>0</v>
      </c>
      <c r="U29" s="62">
        <f>SUMIFS([0]!Capriles,[0]!Centro,$B30,[0]!Turno,U$15)</f>
        <v>0</v>
      </c>
      <c r="V29" s="62">
        <f>SUMIFS([0]!Capriles,[0]!Centro,$B30,[0]!Turno,V$15)</f>
        <v>0</v>
      </c>
      <c r="W29" s="62">
        <f>SUMIFS([0]!Capriles,[0]!Centro,$B30,[0]!Turno,W$15)</f>
        <v>0</v>
      </c>
      <c r="X29" s="62">
        <f>SUMIFS([0]!Capriles,[0]!Centro,$B30,[0]!Turno,X$15)</f>
        <v>0</v>
      </c>
      <c r="Y29" s="70">
        <f>SUMIFS([0]!Capriles,[0]!Centro,$B30,[0]!Turno,Y$15)</f>
        <v>0</v>
      </c>
    </row>
    <row r="30" spans="1:25" s="16" customFormat="1" ht="15" customHeight="1" thickBot="1" x14ac:dyDescent="0.25">
      <c r="A30" s="20"/>
      <c r="B30" s="256">
        <v>21</v>
      </c>
      <c r="C30" s="100">
        <f>E30/SUM(E28:E30)</f>
        <v>1.1312217194570135E-2</v>
      </c>
      <c r="D30" s="71" t="s">
        <v>2</v>
      </c>
      <c r="E30" s="72">
        <f t="shared" si="51"/>
        <v>5</v>
      </c>
      <c r="F30" s="72">
        <f>SUMIFS([0]!Otro,[0]!Centro,$B30,[0]!Turno,F$15)</f>
        <v>1</v>
      </c>
      <c r="G30" s="72">
        <f>SUMIFS([0]!Otro,[0]!Centro,$B30,[0]!Turno,G$15)</f>
        <v>0</v>
      </c>
      <c r="H30" s="72">
        <f>SUMIFS([0]!Otro,[0]!Centro,$B30,[0]!Turno,H$15)</f>
        <v>3</v>
      </c>
      <c r="I30" s="72">
        <f>SUMIFS([0]!Otro,[0]!Centro,$B30,[0]!Turno,I$15)</f>
        <v>0</v>
      </c>
      <c r="J30" s="72">
        <f>SUMIFS([0]!Otro,[0]!Centro,$B30,[0]!Turno,J$15)</f>
        <v>0</v>
      </c>
      <c r="K30" s="72">
        <f>SUMIFS([0]!Otro,[0]!Centro,$B30,[0]!Turno,K$15)</f>
        <v>0</v>
      </c>
      <c r="L30" s="72">
        <f>SUMIFS([0]!Otro,[0]!Centro,$B30,[0]!Turno,L$15)</f>
        <v>1</v>
      </c>
      <c r="M30" s="72">
        <f>SUMIFS([0]!Otro,[0]!Centro,$B30,[0]!Turno,M$15)</f>
        <v>0</v>
      </c>
      <c r="N30" s="72">
        <f>SUMIFS([0]!Otro,[0]!Centro,$B30,[0]!Turno,N$15)</f>
        <v>0</v>
      </c>
      <c r="O30" s="72">
        <f>SUMIFS([0]!Otro,[0]!Centro,$B30,[0]!Turno,O$15)</f>
        <v>0</v>
      </c>
      <c r="P30" s="72">
        <f>SUMIFS([0]!Otro,[0]!Centro,$B30,[0]!Turno,P$15)</f>
        <v>0</v>
      </c>
      <c r="Q30" s="72">
        <f>SUMIFS([0]!Otro,[0]!Centro,$B30,[0]!Turno,Q$15)</f>
        <v>0</v>
      </c>
      <c r="R30" s="72">
        <f>SUMIFS([0]!Otro,[0]!Centro,$B30,[0]!Turno,R$15)</f>
        <v>0</v>
      </c>
      <c r="S30" s="72">
        <f>SUMIFS([0]!Otro,[0]!Centro,$B30,[0]!Turno,S$15)</f>
        <v>0</v>
      </c>
      <c r="T30" s="72">
        <f>SUMIFS([0]!Otro,[0]!Centro,$B30,[0]!Turno,T$15)</f>
        <v>0</v>
      </c>
      <c r="U30" s="72">
        <f>SUMIFS([0]!Otro,[0]!Centro,$B30,[0]!Turno,U$15)</f>
        <v>0</v>
      </c>
      <c r="V30" s="72">
        <f>SUMIFS([0]!Otro,[0]!Centro,$B30,[0]!Turno,V$15)</f>
        <v>0</v>
      </c>
      <c r="W30" s="72">
        <f>SUMIFS([0]!Otro,[0]!Centro,$B30,[0]!Turno,W$15)</f>
        <v>0</v>
      </c>
      <c r="X30" s="72">
        <f>SUMIFS([0]!Otro,[0]!Centro,$B30,[0]!Turno,X$15)</f>
        <v>0</v>
      </c>
      <c r="Y30" s="73">
        <f>SUMIFS([0]!Otro,[0]!Centro,$B30,[0]!Turno,Y$15)</f>
        <v>0</v>
      </c>
    </row>
    <row r="31" spans="1:25" s="16" customFormat="1" ht="15" customHeight="1" x14ac:dyDescent="0.2">
      <c r="A31" s="20"/>
      <c r="B31" s="256"/>
      <c r="C31" s="94">
        <f>E31/SUM(E31:E33)</f>
        <v>0.58371040723981893</v>
      </c>
      <c r="D31" s="63" t="s">
        <v>0</v>
      </c>
      <c r="E31" s="150">
        <f>IF((E28+E29+E30)=0,0,(E28*$B32)/(E28+E29+E30))</f>
        <v>0.19310169557409687</v>
      </c>
      <c r="F31" s="150">
        <f>IF((F28+F29+F30)=0,0,(F28*$B32)/(F28+F29+F30))</f>
        <v>0.18141612159837006</v>
      </c>
      <c r="G31" s="150">
        <f t="shared" ref="G31" si="99">IF((G28+G29+G30)=0,0,(G28*$B32)/(G28+G29+G30))</f>
        <v>0.21503146177689159</v>
      </c>
      <c r="H31" s="150">
        <f t="shared" ref="H31" si="100">IF((H28+H29+H30)=0,0,(H28*$B32)/(H28+H29+H30))</f>
        <v>0.16780604597973703</v>
      </c>
      <c r="I31" s="150">
        <f t="shared" ref="I31" si="101">IF((I28+I29+I30)=0,0,(I28*$B32)/(I28+I29+I30))</f>
        <v>0.20065987605914223</v>
      </c>
      <c r="J31" s="150">
        <f t="shared" ref="J31" si="102">IF((J28+J29+J30)=0,0,(J28*$B32)/(J28+J29+J30))</f>
        <v>0.18646084797436754</v>
      </c>
      <c r="K31" s="150">
        <f t="shared" ref="K31" si="103">IF((K28+K29+K30)=0,0,(K28*$B32)/(K28+K29+K30))</f>
        <v>0.16852973782223724</v>
      </c>
      <c r="L31" s="150">
        <f t="shared" ref="L31" si="104">IF((L28+L29+L30)=0,0,(L28*$B32)/(L28+L29+L30))</f>
        <v>0.23385384437274681</v>
      </c>
      <c r="M31" s="150">
        <f t="shared" ref="M31" si="105">IF((M28+M29+M30)=0,0,(M28*$B32)/(M28+M29+M30))</f>
        <v>0.23056986577475555</v>
      </c>
      <c r="N31" s="150">
        <f t="shared" ref="N31" si="106">IF((N28+N29+N30)=0,0,(N28*$B32)/(N28+N29+N30))</f>
        <v>0</v>
      </c>
      <c r="O31" s="150">
        <f t="shared" ref="O31" si="107">IF((O28+O29+O30)=0,0,(O28*$B32)/(O28+O29+O30))</f>
        <v>0</v>
      </c>
      <c r="P31" s="150">
        <f t="shared" ref="P31" si="108">IF((P28+P29+P30)=0,0,(P28*$B32)/(P28+P29+P30))</f>
        <v>0</v>
      </c>
      <c r="Q31" s="150">
        <f t="shared" ref="Q31" si="109">IF((Q28+Q29+Q30)=0,0,(Q28*$B32)/(Q28+Q29+Q30))</f>
        <v>0</v>
      </c>
      <c r="R31" s="150">
        <f t="shared" ref="R31" si="110">IF((R28+R29+R30)=0,0,(R28*$B32)/(R28+R29+R30))</f>
        <v>0</v>
      </c>
      <c r="S31" s="150">
        <f t="shared" ref="S31" si="111">IF((S28+S29+S30)=0,0,(S28*$B32)/(S28+S29+S30))</f>
        <v>0</v>
      </c>
      <c r="T31" s="150">
        <f t="shared" ref="T31" si="112">IF((T28+T29+T30)=0,0,(T28*$B32)/(T28+T29+T30))</f>
        <v>0</v>
      </c>
      <c r="U31" s="150">
        <f t="shared" ref="U31" si="113">IF((U28+U29+U30)=0,0,(U28*$B32)/(U28+U29+U30))</f>
        <v>0</v>
      </c>
      <c r="V31" s="150">
        <f t="shared" ref="V31" si="114">IF((V28+V29+V30)=0,0,(V28*$B32)/(V28+V29+V30))</f>
        <v>0</v>
      </c>
      <c r="W31" s="150">
        <f t="shared" ref="W31" si="115">IF((W28+W29+W30)=0,0,(W28*$B32)/(W28+W29+W30))</f>
        <v>0</v>
      </c>
      <c r="X31" s="150">
        <f t="shared" ref="X31" si="116">IF((X28+X29+X30)=0,0,(X28*$B32)/(X28+X29+X30))</f>
        <v>0</v>
      </c>
      <c r="Y31" s="163">
        <f t="shared" ref="Y31" si="117">IF((Y28+Y29+Y30)=0,0,(Y28*$B32)/(Y28+Y29+Y30))</f>
        <v>0</v>
      </c>
    </row>
    <row r="32" spans="1:25" s="16" customFormat="1" ht="15" customHeight="1" x14ac:dyDescent="0.2">
      <c r="A32" s="20"/>
      <c r="B32" s="254">
        <v>0.33081763350291016</v>
      </c>
      <c r="C32" s="92">
        <f>E32/SUM(E31:E33)</f>
        <v>0.40497737556561081</v>
      </c>
      <c r="D32" s="61" t="s">
        <v>1</v>
      </c>
      <c r="E32" s="154">
        <f>IF((E28+E29+E30)=0,0,(E29*$B32)/(E28+E29+E30))</f>
        <v>0.13397365700683464</v>
      </c>
      <c r="F32" s="154">
        <f>IF((F28+F29+F30)=0,0,(F29*$B32)/(F28+F29+F30))</f>
        <v>0.14584433304967007</v>
      </c>
      <c r="G32" s="154">
        <f t="shared" ref="G32:O32" si="118">IF((G28+G29+G30)=0,0,(G29*$B32)/(G28+G29+G30))</f>
        <v>0.11578617172601854</v>
      </c>
      <c r="H32" s="154">
        <f t="shared" si="118"/>
        <v>0.14862821215348138</v>
      </c>
      <c r="I32" s="154">
        <f t="shared" si="118"/>
        <v>0.13015775744376792</v>
      </c>
      <c r="J32" s="154">
        <f t="shared" si="118"/>
        <v>0.14435678552854261</v>
      </c>
      <c r="K32" s="154">
        <f t="shared" si="118"/>
        <v>0.16228789568067289</v>
      </c>
      <c r="L32" s="154">
        <f t="shared" si="118"/>
        <v>9.1260036828389013E-2</v>
      </c>
      <c r="M32" s="154">
        <f t="shared" si="118"/>
        <v>0.10024776772815459</v>
      </c>
      <c r="N32" s="154">
        <f t="shared" si="118"/>
        <v>0</v>
      </c>
      <c r="O32" s="154">
        <f t="shared" si="118"/>
        <v>0</v>
      </c>
      <c r="P32" s="154">
        <f>IF((P28+P29+P30)=0,0,(P29*$B32)/(P28+P29+P30))</f>
        <v>0</v>
      </c>
      <c r="Q32" s="154">
        <f t="shared" ref="Q32:Y32" si="119">IF((Q28+Q29+Q30)=0,0,(Q29*$B32)/(Q28+Q29+Q30))</f>
        <v>0</v>
      </c>
      <c r="R32" s="154">
        <f t="shared" si="119"/>
        <v>0</v>
      </c>
      <c r="S32" s="154">
        <f t="shared" si="119"/>
        <v>0</v>
      </c>
      <c r="T32" s="154">
        <f t="shared" si="119"/>
        <v>0</v>
      </c>
      <c r="U32" s="154">
        <f t="shared" si="119"/>
        <v>0</v>
      </c>
      <c r="V32" s="154">
        <f t="shared" si="119"/>
        <v>0</v>
      </c>
      <c r="W32" s="154">
        <f t="shared" si="119"/>
        <v>0</v>
      </c>
      <c r="X32" s="154">
        <f t="shared" si="119"/>
        <v>0</v>
      </c>
      <c r="Y32" s="159">
        <f t="shared" si="119"/>
        <v>0</v>
      </c>
    </row>
    <row r="33" spans="1:25" s="16" customFormat="1" ht="15" customHeight="1" thickBot="1" x14ac:dyDescent="0.25">
      <c r="A33" s="20"/>
      <c r="B33" s="254"/>
      <c r="C33" s="93">
        <f>E33/SUM(E31:E33)</f>
        <v>1.1312217194570137E-2</v>
      </c>
      <c r="D33" s="75" t="s">
        <v>2</v>
      </c>
      <c r="E33" s="155">
        <f>IF((E28+E29+E30)=0,0,(E30*$B32)/(E28+E29+E30))</f>
        <v>3.7422809219786221E-3</v>
      </c>
      <c r="F33" s="155">
        <f>IF((F28+F29+F30)=0,0,(F30*$B32)/(F28+F29+F30))</f>
        <v>3.5571788548700019E-3</v>
      </c>
      <c r="G33" s="155">
        <f t="shared" ref="G33" si="120">IF((G28+G29+G30)=0,0,(G30*$B32)/(G28+G29+G30))</f>
        <v>0</v>
      </c>
      <c r="H33" s="155">
        <f t="shared" ref="H33" si="121">IF((H28+H29+H30)=0,0,(H30*$B32)/(H28+H29+H30))</f>
        <v>1.4383375369691746E-2</v>
      </c>
      <c r="I33" s="155">
        <f t="shared" ref="I33" si="122">IF((I28+I29+I30)=0,0,(I30*$B32)/(I28+I29+I30))</f>
        <v>0</v>
      </c>
      <c r="J33" s="155">
        <f t="shared" ref="J33" si="123">IF((J28+J29+J30)=0,0,(J30*$B32)/(J28+J29+J30))</f>
        <v>0</v>
      </c>
      <c r="K33" s="155">
        <f t="shared" ref="K33" si="124">IF((K28+K29+K30)=0,0,(K30*$B32)/(K28+K29+K30))</f>
        <v>0</v>
      </c>
      <c r="L33" s="155">
        <f t="shared" ref="L33" si="125">IF((L28+L29+L30)=0,0,(L30*$B32)/(L28+L29+L30))</f>
        <v>5.7037523017743133E-3</v>
      </c>
      <c r="M33" s="155">
        <f t="shared" ref="M33" si="126">IF((M28+M29+M30)=0,0,(M30*$B32)/(M28+M29+M30))</f>
        <v>0</v>
      </c>
      <c r="N33" s="155">
        <f t="shared" ref="N33" si="127">IF((N28+N29+N30)=0,0,(N30*$B32)/(N28+N29+N30))</f>
        <v>0</v>
      </c>
      <c r="O33" s="155">
        <f t="shared" ref="O33" si="128">IF((O28+O29+O30)=0,0,(O30*$B32)/(O28+O29+O30))</f>
        <v>0</v>
      </c>
      <c r="P33" s="155">
        <f t="shared" ref="P33" si="129">IF((P28+P29+P30)=0,0,(P30*$B32)/(P28+P29+P30))</f>
        <v>0</v>
      </c>
      <c r="Q33" s="155">
        <f t="shared" ref="Q33" si="130">IF((Q28+Q29+Q30)=0,0,(Q30*$B32)/(Q28+Q29+Q30))</f>
        <v>0</v>
      </c>
      <c r="R33" s="155">
        <f t="shared" ref="R33" si="131">IF((R28+R29+R30)=0,0,(R30*$B32)/(R28+R29+R30))</f>
        <v>0</v>
      </c>
      <c r="S33" s="155">
        <f t="shared" ref="S33" si="132">IF((S28+S29+S30)=0,0,(S30*$B32)/(S28+S29+S30))</f>
        <v>0</v>
      </c>
      <c r="T33" s="155">
        <f t="shared" ref="T33" si="133">IF((T28+T29+T30)=0,0,(T30*$B32)/(T28+T29+T30))</f>
        <v>0</v>
      </c>
      <c r="U33" s="155">
        <f t="shared" ref="U33" si="134">IF((U28+U29+U30)=0,0,(U30*$B32)/(U28+U29+U30))</f>
        <v>0</v>
      </c>
      <c r="V33" s="155">
        <f t="shared" ref="V33" si="135">IF((V28+V29+V30)=0,0,(V30*$B32)/(V28+V29+V30))</f>
        <v>0</v>
      </c>
      <c r="W33" s="155">
        <f t="shared" ref="W33" si="136">IF((W28+W29+W30)=0,0,(W30*$B32)/(W28+W29+W30))</f>
        <v>0</v>
      </c>
      <c r="X33" s="155">
        <f t="shared" ref="X33" si="137">IF((X28+X29+X30)=0,0,(X30*$B32)/(X28+X29+X30))</f>
        <v>0</v>
      </c>
      <c r="Y33" s="160">
        <f t="shared" ref="Y33" si="138">IF((Y28+Y29+Y30)=0,0,(Y30*$B32)/(Y28+Y29+Y30))</f>
        <v>0</v>
      </c>
    </row>
    <row r="34" spans="1:25" s="16" customFormat="1" ht="15" customHeight="1" x14ac:dyDescent="0.2">
      <c r="A34" s="23"/>
      <c r="B34" s="257" t="s">
        <v>36</v>
      </c>
      <c r="C34" s="91">
        <f>E34/SUM(E34:E36)</f>
        <v>0.05</v>
      </c>
      <c r="D34" s="67" t="s">
        <v>0</v>
      </c>
      <c r="E34" s="68">
        <f t="shared" si="51"/>
        <v>9</v>
      </c>
      <c r="F34" s="68">
        <f>SUMIFS([0]!Chavez,[0]!Centro,$B36,[0]!Turno,F$15)</f>
        <v>2</v>
      </c>
      <c r="G34" s="68">
        <f>SUMIFS([0]!Chavez,[0]!Centro,$B36,[0]!Turno,G$15)</f>
        <v>2</v>
      </c>
      <c r="H34" s="68">
        <f>SUMIFS([0]!Chavez,[0]!Centro,$B36,[0]!Turno,H$15)</f>
        <v>2</v>
      </c>
      <c r="I34" s="68">
        <f>SUMIFS([0]!Chavez,[0]!Centro,$B36,[0]!Turno,I$15)</f>
        <v>0</v>
      </c>
      <c r="J34" s="68">
        <f>SUMIFS([0]!Chavez,[0]!Centro,$B36,[0]!Turno,J$15)</f>
        <v>1</v>
      </c>
      <c r="K34" s="68">
        <f>SUMIFS([0]!Chavez,[0]!Centro,$B36,[0]!Turno,K$15)</f>
        <v>1</v>
      </c>
      <c r="L34" s="68">
        <f>SUMIFS([0]!Chavez,[0]!Centro,$B36,[0]!Turno,L$15)</f>
        <v>1</v>
      </c>
      <c r="M34" s="68">
        <f>SUMIFS([0]!Chavez,[0]!Centro,$B36,[0]!Turno,M$15)</f>
        <v>0</v>
      </c>
      <c r="N34" s="68">
        <f>SUMIFS([0]!Chavez,[0]!Centro,$B36,[0]!Turno,N$15)</f>
        <v>0</v>
      </c>
      <c r="O34" s="68">
        <f>SUMIFS([0]!Chavez,[0]!Centro,$B36,[0]!Turno,O$15)</f>
        <v>0</v>
      </c>
      <c r="P34" s="68">
        <f>SUMIFS([0]!Chavez,[0]!Centro,$B36,[0]!Turno,P$15)</f>
        <v>0</v>
      </c>
      <c r="Q34" s="68">
        <f>SUMIFS([0]!Chavez,[0]!Centro,$B36,[0]!Turno,Q$15)</f>
        <v>0</v>
      </c>
      <c r="R34" s="68">
        <f>SUMIFS([0]!Chavez,[0]!Centro,$B36,[0]!Turno,R$15)</f>
        <v>0</v>
      </c>
      <c r="S34" s="68">
        <f>SUMIFS([0]!Chavez,[0]!Centro,$B36,[0]!Turno,S$15)</f>
        <v>0</v>
      </c>
      <c r="T34" s="68">
        <f>SUMIFS([0]!Chavez,[0]!Centro,$B36,[0]!Turno,T$15)</f>
        <v>0</v>
      </c>
      <c r="U34" s="68">
        <f>SUMIFS([0]!Chavez,[0]!Centro,$B36,[0]!Turno,U$15)</f>
        <v>0</v>
      </c>
      <c r="V34" s="68">
        <f>SUMIFS([0]!Chavez,[0]!Centro,$B36,[0]!Turno,V$15)</f>
        <v>0</v>
      </c>
      <c r="W34" s="68">
        <f>SUMIFS([0]!Chavez,[0]!Centro,$B36,[0]!Turno,W$15)</f>
        <v>0</v>
      </c>
      <c r="X34" s="68">
        <f>SUMIFS([0]!Chavez,[0]!Centro,$B36,[0]!Turno,X$15)</f>
        <v>0</v>
      </c>
      <c r="Y34" s="69">
        <f>SUMIFS([0]!Chavez,[0]!Centro,$B36,[0]!Turno,Y$15)</f>
        <v>0</v>
      </c>
    </row>
    <row r="35" spans="1:25" s="16" customFormat="1" ht="15" customHeight="1" x14ac:dyDescent="0.2">
      <c r="A35" s="23"/>
      <c r="B35" s="256"/>
      <c r="C35" s="92">
        <f>E35/SUM(E34:E36)</f>
        <v>0.95</v>
      </c>
      <c r="D35" s="61" t="s">
        <v>1</v>
      </c>
      <c r="E35" s="62">
        <f t="shared" si="51"/>
        <v>171</v>
      </c>
      <c r="F35" s="62">
        <f>SUMIFS([0]!Capriles,[0]!Centro,$B36,[0]!Turno,F$15)</f>
        <v>16</v>
      </c>
      <c r="G35" s="62">
        <f>SUMIFS([0]!Capriles,[0]!Centro,$B36,[0]!Turno,G$15)</f>
        <v>16</v>
      </c>
      <c r="H35" s="62">
        <f>SUMIFS([0]!Capriles,[0]!Centro,$B36,[0]!Turno,H$15)</f>
        <v>21</v>
      </c>
      <c r="I35" s="62">
        <f>SUMIFS([0]!Capriles,[0]!Centro,$B36,[0]!Turno,I$15)</f>
        <v>20</v>
      </c>
      <c r="J35" s="62">
        <f>SUMIFS([0]!Capriles,[0]!Centro,$B36,[0]!Turno,J$15)</f>
        <v>19</v>
      </c>
      <c r="K35" s="62">
        <f>SUMIFS([0]!Capriles,[0]!Centro,$B36,[0]!Turno,K$15)</f>
        <v>19</v>
      </c>
      <c r="L35" s="62">
        <f>SUMIFS([0]!Capriles,[0]!Centro,$B36,[0]!Turno,L$15)</f>
        <v>20</v>
      </c>
      <c r="M35" s="62">
        <f>SUMIFS([0]!Capriles,[0]!Centro,$B36,[0]!Turno,M$15)</f>
        <v>20</v>
      </c>
      <c r="N35" s="62">
        <f>SUMIFS([0]!Capriles,[0]!Centro,$B36,[0]!Turno,N$15)</f>
        <v>20</v>
      </c>
      <c r="O35" s="62">
        <f>SUMIFS([0]!Capriles,[0]!Centro,$B36,[0]!Turno,O$15)</f>
        <v>0</v>
      </c>
      <c r="P35" s="62">
        <f>SUMIFS([0]!Capriles,[0]!Centro,$B36,[0]!Turno,P$15)</f>
        <v>0</v>
      </c>
      <c r="Q35" s="62">
        <f>SUMIFS([0]!Capriles,[0]!Centro,$B36,[0]!Turno,Q$15)</f>
        <v>0</v>
      </c>
      <c r="R35" s="62">
        <f>SUMIFS([0]!Capriles,[0]!Centro,$B36,[0]!Turno,R$15)</f>
        <v>0</v>
      </c>
      <c r="S35" s="62">
        <f>SUMIFS([0]!Capriles,[0]!Centro,$B36,[0]!Turno,S$15)</f>
        <v>0</v>
      </c>
      <c r="T35" s="62">
        <f>SUMIFS([0]!Capriles,[0]!Centro,$B36,[0]!Turno,T$15)</f>
        <v>0</v>
      </c>
      <c r="U35" s="62">
        <f>SUMIFS([0]!Capriles,[0]!Centro,$B36,[0]!Turno,U$15)</f>
        <v>0</v>
      </c>
      <c r="V35" s="62">
        <f>SUMIFS([0]!Capriles,[0]!Centro,$B36,[0]!Turno,V$15)</f>
        <v>0</v>
      </c>
      <c r="W35" s="62">
        <f>SUMIFS([0]!Capriles,[0]!Centro,$B36,[0]!Turno,W$15)</f>
        <v>0</v>
      </c>
      <c r="X35" s="62">
        <f>SUMIFS([0]!Capriles,[0]!Centro,$B36,[0]!Turno,X$15)</f>
        <v>0</v>
      </c>
      <c r="Y35" s="70">
        <f>SUMIFS([0]!Capriles,[0]!Centro,$B36,[0]!Turno,Y$15)</f>
        <v>0</v>
      </c>
    </row>
    <row r="36" spans="1:25" s="16" customFormat="1" ht="15" customHeight="1" thickBot="1" x14ac:dyDescent="0.25">
      <c r="A36" s="23"/>
      <c r="B36" s="256">
        <v>22</v>
      </c>
      <c r="C36" s="100">
        <f>E36/SUM(E34:E36)</f>
        <v>0</v>
      </c>
      <c r="D36" s="71" t="s">
        <v>2</v>
      </c>
      <c r="E36" s="72">
        <f t="shared" si="51"/>
        <v>0</v>
      </c>
      <c r="F36" s="72">
        <f>SUMIFS([0]!Otro,[0]!Centro,$B36,[0]!Turno,F$15)</f>
        <v>0</v>
      </c>
      <c r="G36" s="72">
        <f>SUMIFS([0]!Otro,[0]!Centro,$B36,[0]!Turno,G$15)</f>
        <v>0</v>
      </c>
      <c r="H36" s="72">
        <f>SUMIFS([0]!Otro,[0]!Centro,$B36,[0]!Turno,H$15)</f>
        <v>0</v>
      </c>
      <c r="I36" s="72">
        <f>SUMIFS([0]!Otro,[0]!Centro,$B36,[0]!Turno,I$15)</f>
        <v>0</v>
      </c>
      <c r="J36" s="72">
        <f>SUMIFS([0]!Otro,[0]!Centro,$B36,[0]!Turno,J$15)</f>
        <v>0</v>
      </c>
      <c r="K36" s="72">
        <f>SUMIFS([0]!Otro,[0]!Centro,$B36,[0]!Turno,K$15)</f>
        <v>0</v>
      </c>
      <c r="L36" s="72">
        <f>SUMIFS([0]!Otro,[0]!Centro,$B36,[0]!Turno,L$15)</f>
        <v>0</v>
      </c>
      <c r="M36" s="72">
        <f>SUMIFS([0]!Otro,[0]!Centro,$B36,[0]!Turno,M$15)</f>
        <v>0</v>
      </c>
      <c r="N36" s="72">
        <f>SUMIFS([0]!Otro,[0]!Centro,$B36,[0]!Turno,N$15)</f>
        <v>0</v>
      </c>
      <c r="O36" s="72">
        <f>SUMIFS([0]!Otro,[0]!Centro,$B36,[0]!Turno,O$15)</f>
        <v>0</v>
      </c>
      <c r="P36" s="72">
        <f>SUMIFS([0]!Otro,[0]!Centro,$B36,[0]!Turno,P$15)</f>
        <v>0</v>
      </c>
      <c r="Q36" s="72">
        <f>SUMIFS([0]!Otro,[0]!Centro,$B36,[0]!Turno,Q$15)</f>
        <v>0</v>
      </c>
      <c r="R36" s="72">
        <f>SUMIFS([0]!Otro,[0]!Centro,$B36,[0]!Turno,R$15)</f>
        <v>0</v>
      </c>
      <c r="S36" s="72">
        <f>SUMIFS([0]!Otro,[0]!Centro,$B36,[0]!Turno,S$15)</f>
        <v>0</v>
      </c>
      <c r="T36" s="72">
        <f>SUMIFS([0]!Otro,[0]!Centro,$B36,[0]!Turno,T$15)</f>
        <v>0</v>
      </c>
      <c r="U36" s="72">
        <f>SUMIFS([0]!Otro,[0]!Centro,$B36,[0]!Turno,U$15)</f>
        <v>0</v>
      </c>
      <c r="V36" s="72">
        <f>SUMIFS([0]!Otro,[0]!Centro,$B36,[0]!Turno,V$15)</f>
        <v>0</v>
      </c>
      <c r="W36" s="72">
        <f>SUMIFS([0]!Otro,[0]!Centro,$B36,[0]!Turno,W$15)</f>
        <v>0</v>
      </c>
      <c r="X36" s="72">
        <f>SUMIFS([0]!Otro,[0]!Centro,$B36,[0]!Turno,X$15)</f>
        <v>0</v>
      </c>
      <c r="Y36" s="73">
        <f>SUMIFS([0]!Otro,[0]!Centro,$B36,[0]!Turno,Y$15)</f>
        <v>0</v>
      </c>
    </row>
    <row r="37" spans="1:25" s="16" customFormat="1" ht="15" customHeight="1" x14ac:dyDescent="0.2">
      <c r="A37" s="23"/>
      <c r="B37" s="256"/>
      <c r="C37" s="94">
        <f>E37/SUM(E37:E39)</f>
        <v>4.9999999999999996E-2</v>
      </c>
      <c r="D37" s="63" t="s">
        <v>0</v>
      </c>
      <c r="E37" s="150">
        <f>IF((E34+E35+E36)=0,0,(E34*$B38)/(E34+E35+E36))</f>
        <v>1.9956643000453443E-3</v>
      </c>
      <c r="F37" s="150">
        <f>IF((F34+F35+F36)=0,0,(F34*$B38)/(F34+F35+F36))</f>
        <v>4.4348095556563209E-3</v>
      </c>
      <c r="G37" s="150">
        <f t="shared" ref="G37" si="139">IF((G34+G35+G36)=0,0,(G34*$B38)/(G34+G35+G36))</f>
        <v>4.4348095556563209E-3</v>
      </c>
      <c r="H37" s="150">
        <f t="shared" ref="H37" si="140">IF((H34+H35+H36)=0,0,(H34*$B38)/(H34+H35+H36))</f>
        <v>3.4707205218179908E-3</v>
      </c>
      <c r="I37" s="150">
        <f t="shared" ref="I37" si="141">IF((I34+I35+I36)=0,0,(I34*$B38)/(I34+I35+I36))</f>
        <v>0</v>
      </c>
      <c r="J37" s="150">
        <f t="shared" ref="J37" si="142">IF((J34+J35+J36)=0,0,(J34*$B38)/(J34+J35+J36))</f>
        <v>1.9956643000453448E-3</v>
      </c>
      <c r="K37" s="150">
        <f t="shared" ref="K37" si="143">IF((K34+K35+K36)=0,0,(K34*$B38)/(K34+K35+K36))</f>
        <v>1.9956643000453448E-3</v>
      </c>
      <c r="L37" s="150">
        <f t="shared" ref="L37" si="144">IF((L34+L35+L36)=0,0,(L34*$B38)/(L34+L35+L36))</f>
        <v>1.900632666709852E-3</v>
      </c>
      <c r="M37" s="150">
        <f t="shared" ref="M37" si="145">IF((M34+M35+M36)=0,0,(M34*$B38)/(M34+M35+M36))</f>
        <v>0</v>
      </c>
      <c r="N37" s="150">
        <f t="shared" ref="N37" si="146">IF((N34+N35+N36)=0,0,(N34*$B38)/(N34+N35+N36))</f>
        <v>0</v>
      </c>
      <c r="O37" s="150">
        <f t="shared" ref="O37" si="147">IF((O34+O35+O36)=0,0,(O34*$B38)/(O34+O35+O36))</f>
        <v>0</v>
      </c>
      <c r="P37" s="150">
        <f t="shared" ref="P37" si="148">IF((P34+P35+P36)=0,0,(P34*$B38)/(P34+P35+P36))</f>
        <v>0</v>
      </c>
      <c r="Q37" s="150">
        <f t="shared" ref="Q37" si="149">IF((Q34+Q35+Q36)=0,0,(Q34*$B38)/(Q34+Q35+Q36))</f>
        <v>0</v>
      </c>
      <c r="R37" s="150">
        <f t="shared" ref="R37" si="150">IF((R34+R35+R36)=0,0,(R34*$B38)/(R34+R35+R36))</f>
        <v>0</v>
      </c>
      <c r="S37" s="150">
        <f t="shared" ref="S37" si="151">IF((S34+S35+S36)=0,0,(S34*$B38)/(S34+S35+S36))</f>
        <v>0</v>
      </c>
      <c r="T37" s="150">
        <f t="shared" ref="T37" si="152">IF((T34+T35+T36)=0,0,(T34*$B38)/(T34+T35+T36))</f>
        <v>0</v>
      </c>
      <c r="U37" s="150">
        <f t="shared" ref="U37" si="153">IF((U34+U35+U36)=0,0,(U34*$B38)/(U34+U35+U36))</f>
        <v>0</v>
      </c>
      <c r="V37" s="150">
        <f t="shared" ref="V37" si="154">IF((V34+V35+V36)=0,0,(V34*$B38)/(V34+V35+V36))</f>
        <v>0</v>
      </c>
      <c r="W37" s="150">
        <f t="shared" ref="W37" si="155">IF((W34+W35+W36)=0,0,(W34*$B38)/(W34+W35+W36))</f>
        <v>0</v>
      </c>
      <c r="X37" s="150">
        <f t="shared" ref="X37" si="156">IF((X34+X35+X36)=0,0,(X34*$B38)/(X34+X35+X36))</f>
        <v>0</v>
      </c>
      <c r="Y37" s="163">
        <f t="shared" ref="Y37" si="157">IF((Y34+Y35+Y36)=0,0,(Y34*$B38)/(Y34+Y35+Y36))</f>
        <v>0</v>
      </c>
    </row>
    <row r="38" spans="1:25" s="16" customFormat="1" ht="15" customHeight="1" x14ac:dyDescent="0.2">
      <c r="A38" s="23"/>
      <c r="B38" s="254">
        <v>3.9913286000906892E-2</v>
      </c>
      <c r="C38" s="92">
        <f>E38/SUM(E37:E39)</f>
        <v>0.95000000000000007</v>
      </c>
      <c r="D38" s="61" t="s">
        <v>1</v>
      </c>
      <c r="E38" s="154">
        <f>IF((E34+E35+E36)=0,0,(E35*$B38)/(E34+E35+E36))</f>
        <v>3.7917621700861548E-2</v>
      </c>
      <c r="F38" s="154">
        <f>IF((F34+F35+F36)=0,0,(F35*$B38)/(F34+F35+F36))</f>
        <v>3.5478476445250567E-2</v>
      </c>
      <c r="G38" s="154">
        <f t="shared" ref="G38:O38" si="158">IF((G34+G35+G36)=0,0,(G35*$B38)/(G34+G35+G36))</f>
        <v>3.5478476445250567E-2</v>
      </c>
      <c r="H38" s="154">
        <f t="shared" si="158"/>
        <v>3.6442565479088904E-2</v>
      </c>
      <c r="I38" s="154">
        <f t="shared" si="158"/>
        <v>3.9913286000906892E-2</v>
      </c>
      <c r="J38" s="154">
        <f t="shared" si="158"/>
        <v>3.7917621700861548E-2</v>
      </c>
      <c r="K38" s="154">
        <f t="shared" si="158"/>
        <v>3.7917621700861548E-2</v>
      </c>
      <c r="L38" s="154">
        <f t="shared" si="158"/>
        <v>3.8012653334197039E-2</v>
      </c>
      <c r="M38" s="154">
        <f t="shared" si="158"/>
        <v>3.9913286000906892E-2</v>
      </c>
      <c r="N38" s="154">
        <f t="shared" si="158"/>
        <v>3.9913286000906892E-2</v>
      </c>
      <c r="O38" s="154">
        <f t="shared" si="158"/>
        <v>0</v>
      </c>
      <c r="P38" s="154">
        <f>IF((P34+P35+P36)=0,0,(P35*$B38)/(P34+P35+P36))</f>
        <v>0</v>
      </c>
      <c r="Q38" s="154">
        <f t="shared" ref="Q38:Y38" si="159">IF((Q34+Q35+Q36)=0,0,(Q35*$B38)/(Q34+Q35+Q36))</f>
        <v>0</v>
      </c>
      <c r="R38" s="154">
        <f t="shared" si="159"/>
        <v>0</v>
      </c>
      <c r="S38" s="154">
        <f t="shared" si="159"/>
        <v>0</v>
      </c>
      <c r="T38" s="154">
        <f t="shared" si="159"/>
        <v>0</v>
      </c>
      <c r="U38" s="154">
        <f t="shared" si="159"/>
        <v>0</v>
      </c>
      <c r="V38" s="154">
        <f t="shared" si="159"/>
        <v>0</v>
      </c>
      <c r="W38" s="154">
        <f t="shared" si="159"/>
        <v>0</v>
      </c>
      <c r="X38" s="154">
        <f t="shared" si="159"/>
        <v>0</v>
      </c>
      <c r="Y38" s="159">
        <f t="shared" si="159"/>
        <v>0</v>
      </c>
    </row>
    <row r="39" spans="1:25" s="16" customFormat="1" ht="15" customHeight="1" thickBot="1" x14ac:dyDescent="0.25">
      <c r="A39" s="23"/>
      <c r="B39" s="255"/>
      <c r="C39" s="93">
        <f>E39/SUM(E37:E39)</f>
        <v>0</v>
      </c>
      <c r="D39" s="75" t="s">
        <v>2</v>
      </c>
      <c r="E39" s="155">
        <f>IF((E34+E35+E36)=0,0,(E36*$B38)/(E34+E35+E36))</f>
        <v>0</v>
      </c>
      <c r="F39" s="155">
        <f>IF((F34+F35+F36)=0,0,(F36*$B38)/(F34+F35+F36))</f>
        <v>0</v>
      </c>
      <c r="G39" s="155">
        <f t="shared" ref="G39" si="160">IF((G34+G35+G36)=0,0,(G36*$B38)/(G34+G35+G36))</f>
        <v>0</v>
      </c>
      <c r="H39" s="155">
        <f t="shared" ref="H39" si="161">IF((H34+H35+H36)=0,0,(H36*$B38)/(H34+H35+H36))</f>
        <v>0</v>
      </c>
      <c r="I39" s="155">
        <f t="shared" ref="I39" si="162">IF((I34+I35+I36)=0,0,(I36*$B38)/(I34+I35+I36))</f>
        <v>0</v>
      </c>
      <c r="J39" s="155">
        <f t="shared" ref="J39" si="163">IF((J34+J35+J36)=0,0,(J36*$B38)/(J34+J35+J36))</f>
        <v>0</v>
      </c>
      <c r="K39" s="155">
        <f t="shared" ref="K39" si="164">IF((K34+K35+K36)=0,0,(K36*$B38)/(K34+K35+K36))</f>
        <v>0</v>
      </c>
      <c r="L39" s="155">
        <f t="shared" ref="L39" si="165">IF((L34+L35+L36)=0,0,(L36*$B38)/(L34+L35+L36))</f>
        <v>0</v>
      </c>
      <c r="M39" s="155">
        <f t="shared" ref="M39" si="166">IF((M34+M35+M36)=0,0,(M36*$B38)/(M34+M35+M36))</f>
        <v>0</v>
      </c>
      <c r="N39" s="155">
        <f t="shared" ref="N39" si="167">IF((N34+N35+N36)=0,0,(N36*$B38)/(N34+N35+N36))</f>
        <v>0</v>
      </c>
      <c r="O39" s="155">
        <f t="shared" ref="O39" si="168">IF((O34+O35+O36)=0,0,(O36*$B38)/(O34+O35+O36))</f>
        <v>0</v>
      </c>
      <c r="P39" s="155">
        <f t="shared" ref="P39" si="169">IF((P34+P35+P36)=0,0,(P36*$B38)/(P34+P35+P36))</f>
        <v>0</v>
      </c>
      <c r="Q39" s="155">
        <f t="shared" ref="Q39" si="170">IF((Q34+Q35+Q36)=0,0,(Q36*$B38)/(Q34+Q35+Q36))</f>
        <v>0</v>
      </c>
      <c r="R39" s="155">
        <f t="shared" ref="R39" si="171">IF((R34+R35+R36)=0,0,(R36*$B38)/(R34+R35+R36))</f>
        <v>0</v>
      </c>
      <c r="S39" s="155">
        <f t="shared" ref="S39" si="172">IF((S34+S35+S36)=0,0,(S36*$B38)/(S34+S35+S36))</f>
        <v>0</v>
      </c>
      <c r="T39" s="155">
        <f t="shared" ref="T39" si="173">IF((T34+T35+T36)=0,0,(T36*$B38)/(T34+T35+T36))</f>
        <v>0</v>
      </c>
      <c r="U39" s="155">
        <f t="shared" ref="U39" si="174">IF((U34+U35+U36)=0,0,(U36*$B38)/(U34+U35+U36))</f>
        <v>0</v>
      </c>
      <c r="V39" s="155">
        <f t="shared" ref="V39" si="175">IF((V34+V35+V36)=0,0,(V36*$B38)/(V34+V35+V36))</f>
        <v>0</v>
      </c>
      <c r="W39" s="155">
        <f t="shared" ref="W39" si="176">IF((W34+W35+W36)=0,0,(W36*$B38)/(W34+W35+W36))</f>
        <v>0</v>
      </c>
      <c r="X39" s="155">
        <f t="shared" ref="X39" si="177">IF((X34+X35+X36)=0,0,(X36*$B38)/(X34+X35+X36))</f>
        <v>0</v>
      </c>
      <c r="Y39" s="160">
        <f t="shared" ref="Y39" si="178">IF((Y34+Y35+Y36)=0,0,(Y36*$B38)/(Y34+Y35+Y36))</f>
        <v>0</v>
      </c>
    </row>
    <row r="40" spans="1:25" s="16" customFormat="1" ht="15" customHeight="1" x14ac:dyDescent="0.2">
      <c r="A40" s="20"/>
      <c r="B40" s="256" t="s">
        <v>37</v>
      </c>
      <c r="C40" s="91">
        <f>E40/SUM(E40:E42)</f>
        <v>0.68731563421828912</v>
      </c>
      <c r="D40" s="67" t="s">
        <v>0</v>
      </c>
      <c r="E40" s="68">
        <f t="shared" si="51"/>
        <v>233</v>
      </c>
      <c r="F40" s="68">
        <f>SUMIFS([0]!Chavez,[0]!Centro,$B42,[0]!Turno,F$15)</f>
        <v>26</v>
      </c>
      <c r="G40" s="68">
        <f>SUMIFS([0]!Chavez,[0]!Centro,$B42,[0]!Turno,G$15)</f>
        <v>28</v>
      </c>
      <c r="H40" s="68">
        <f>SUMIFS([0]!Chavez,[0]!Centro,$B42,[0]!Turno,H$15)</f>
        <v>26</v>
      </c>
      <c r="I40" s="68">
        <f>SUMIFS([0]!Chavez,[0]!Centro,$B42,[0]!Turno,I$15)</f>
        <v>15</v>
      </c>
      <c r="J40" s="68">
        <f>SUMIFS([0]!Chavez,[0]!Centro,$B42,[0]!Turno,J$15)</f>
        <v>39</v>
      </c>
      <c r="K40" s="68">
        <f>SUMIFS([0]!Chavez,[0]!Centro,$B42,[0]!Turno,K$15)</f>
        <v>16</v>
      </c>
      <c r="L40" s="68">
        <f>SUMIFS([0]!Chavez,[0]!Centro,$B42,[0]!Turno,L$15)</f>
        <v>25</v>
      </c>
      <c r="M40" s="68">
        <f>SUMIFS([0]!Chavez,[0]!Centro,$B42,[0]!Turno,M$15)</f>
        <v>9</v>
      </c>
      <c r="N40" s="68">
        <f>SUMIFS([0]!Chavez,[0]!Centro,$B42,[0]!Turno,N$15)</f>
        <v>18</v>
      </c>
      <c r="O40" s="68">
        <f>SUMIFS([0]!Chavez,[0]!Centro,$B42,[0]!Turno,O$15)</f>
        <v>11</v>
      </c>
      <c r="P40" s="68">
        <f>SUMIFS([0]!Chavez,[0]!Centro,$B42,[0]!Turno,P$15)</f>
        <v>20</v>
      </c>
      <c r="Q40" s="68">
        <f>SUMIFS([0]!Chavez,[0]!Centro,$B42,[0]!Turno,Q$15)</f>
        <v>0</v>
      </c>
      <c r="R40" s="68">
        <f>SUMIFS([0]!Chavez,[0]!Centro,$B42,[0]!Turno,R$15)</f>
        <v>0</v>
      </c>
      <c r="S40" s="68">
        <f>SUMIFS([0]!Chavez,[0]!Centro,$B42,[0]!Turno,S$15)</f>
        <v>0</v>
      </c>
      <c r="T40" s="68">
        <f>SUMIFS([0]!Chavez,[0]!Centro,$B42,[0]!Turno,T$15)</f>
        <v>0</v>
      </c>
      <c r="U40" s="68">
        <f>SUMIFS([0]!Chavez,[0]!Centro,$B42,[0]!Turno,U$15)</f>
        <v>0</v>
      </c>
      <c r="V40" s="68">
        <f>SUMIFS([0]!Chavez,[0]!Centro,$B42,[0]!Turno,V$15)</f>
        <v>0</v>
      </c>
      <c r="W40" s="68">
        <f>SUMIFS([0]!Chavez,[0]!Centro,$B42,[0]!Turno,W$15)</f>
        <v>0</v>
      </c>
      <c r="X40" s="68">
        <f>SUMIFS([0]!Chavez,[0]!Centro,$B42,[0]!Turno,X$15)</f>
        <v>0</v>
      </c>
      <c r="Y40" s="69">
        <f>SUMIFS([0]!Chavez,[0]!Centro,$B42,[0]!Turno,Y$15)</f>
        <v>0</v>
      </c>
    </row>
    <row r="41" spans="1:25" s="16" customFormat="1" ht="15" customHeight="1" x14ac:dyDescent="0.2">
      <c r="A41" s="20"/>
      <c r="B41" s="256"/>
      <c r="C41" s="92">
        <f>E41/SUM(E40:E42)</f>
        <v>0.2831858407079646</v>
      </c>
      <c r="D41" s="61" t="s">
        <v>1</v>
      </c>
      <c r="E41" s="62">
        <f t="shared" si="51"/>
        <v>96</v>
      </c>
      <c r="F41" s="62">
        <f>SUMIFS([0]!Capriles,[0]!Centro,$B42,[0]!Turno,F$15)</f>
        <v>15</v>
      </c>
      <c r="G41" s="62">
        <f>SUMIFS([0]!Capriles,[0]!Centro,$B42,[0]!Turno,G$15)</f>
        <v>9</v>
      </c>
      <c r="H41" s="62">
        <f>SUMIFS([0]!Capriles,[0]!Centro,$B42,[0]!Turno,H$15)</f>
        <v>3</v>
      </c>
      <c r="I41" s="62">
        <f>SUMIFS([0]!Capriles,[0]!Centro,$B42,[0]!Turno,I$15)</f>
        <v>5</v>
      </c>
      <c r="J41" s="62">
        <f>SUMIFS([0]!Capriles,[0]!Centro,$B42,[0]!Turno,J$15)</f>
        <v>16</v>
      </c>
      <c r="K41" s="62">
        <f>SUMIFS([0]!Capriles,[0]!Centro,$B42,[0]!Turno,K$15)</f>
        <v>4</v>
      </c>
      <c r="L41" s="62">
        <f>SUMIFS([0]!Capriles,[0]!Centro,$B42,[0]!Turno,L$15)</f>
        <v>8</v>
      </c>
      <c r="M41" s="62">
        <f>SUMIFS([0]!Capriles,[0]!Centro,$B42,[0]!Turno,M$15)</f>
        <v>5</v>
      </c>
      <c r="N41" s="62">
        <f>SUMIFS([0]!Capriles,[0]!Centro,$B42,[0]!Turno,N$15)</f>
        <v>2</v>
      </c>
      <c r="O41" s="62">
        <f>SUMIFS([0]!Capriles,[0]!Centro,$B42,[0]!Turno,O$15)</f>
        <v>9</v>
      </c>
      <c r="P41" s="62">
        <f>SUMIFS([0]!Capriles,[0]!Centro,$B42,[0]!Turno,P$15)</f>
        <v>20</v>
      </c>
      <c r="Q41" s="62">
        <f>SUMIFS([0]!Capriles,[0]!Centro,$B42,[0]!Turno,Q$15)</f>
        <v>0</v>
      </c>
      <c r="R41" s="62">
        <f>SUMIFS([0]!Capriles,[0]!Centro,$B42,[0]!Turno,R$15)</f>
        <v>0</v>
      </c>
      <c r="S41" s="62">
        <f>SUMIFS([0]!Capriles,[0]!Centro,$B42,[0]!Turno,S$15)</f>
        <v>0</v>
      </c>
      <c r="T41" s="62">
        <f>SUMIFS([0]!Capriles,[0]!Centro,$B42,[0]!Turno,T$15)</f>
        <v>0</v>
      </c>
      <c r="U41" s="62">
        <f>SUMIFS([0]!Capriles,[0]!Centro,$B42,[0]!Turno,U$15)</f>
        <v>0</v>
      </c>
      <c r="V41" s="62">
        <f>SUMIFS([0]!Capriles,[0]!Centro,$B42,[0]!Turno,V$15)</f>
        <v>0</v>
      </c>
      <c r="W41" s="62">
        <f>SUMIFS([0]!Capriles,[0]!Centro,$B42,[0]!Turno,W$15)</f>
        <v>0</v>
      </c>
      <c r="X41" s="62">
        <f>SUMIFS([0]!Capriles,[0]!Centro,$B42,[0]!Turno,X$15)</f>
        <v>0</v>
      </c>
      <c r="Y41" s="70">
        <f>SUMIFS([0]!Capriles,[0]!Centro,$B42,[0]!Turno,Y$15)</f>
        <v>0</v>
      </c>
    </row>
    <row r="42" spans="1:25" s="16" customFormat="1" ht="15" customHeight="1" thickBot="1" x14ac:dyDescent="0.25">
      <c r="A42" s="20"/>
      <c r="B42" s="256">
        <v>23</v>
      </c>
      <c r="C42" s="100">
        <f>E42/SUM(E40:E42)</f>
        <v>2.9498525073746312E-2</v>
      </c>
      <c r="D42" s="71" t="s">
        <v>2</v>
      </c>
      <c r="E42" s="72">
        <f t="shared" si="51"/>
        <v>10</v>
      </c>
      <c r="F42" s="72">
        <f>SUMIFS([0]!Otro,[0]!Centro,$B42,[0]!Turno,F$15)</f>
        <v>4</v>
      </c>
      <c r="G42" s="72">
        <f>SUMIFS([0]!Otro,[0]!Centro,$B42,[0]!Turno,G$15)</f>
        <v>2</v>
      </c>
      <c r="H42" s="72">
        <f>SUMIFS([0]!Otro,[0]!Centro,$B42,[0]!Turno,H$15)</f>
        <v>0</v>
      </c>
      <c r="I42" s="72">
        <f>SUMIFS([0]!Otro,[0]!Centro,$B42,[0]!Turno,I$15)</f>
        <v>0</v>
      </c>
      <c r="J42" s="72">
        <f>SUMIFS([0]!Otro,[0]!Centro,$B42,[0]!Turno,J$15)</f>
        <v>0</v>
      </c>
      <c r="K42" s="72">
        <f>SUMIFS([0]!Otro,[0]!Centro,$B42,[0]!Turno,K$15)</f>
        <v>0</v>
      </c>
      <c r="L42" s="72">
        <f>SUMIFS([0]!Otro,[0]!Centro,$B42,[0]!Turno,L$15)</f>
        <v>2</v>
      </c>
      <c r="M42" s="72">
        <f>SUMIFS([0]!Otro,[0]!Centro,$B42,[0]!Turno,M$15)</f>
        <v>2</v>
      </c>
      <c r="N42" s="72">
        <f>SUMIFS([0]!Otro,[0]!Centro,$B42,[0]!Turno,N$15)</f>
        <v>0</v>
      </c>
      <c r="O42" s="72">
        <f>SUMIFS([0]!Otro,[0]!Centro,$B42,[0]!Turno,O$15)</f>
        <v>0</v>
      </c>
      <c r="P42" s="72">
        <f>SUMIFS([0]!Otro,[0]!Centro,$B42,[0]!Turno,P$15)</f>
        <v>0</v>
      </c>
      <c r="Q42" s="72">
        <f>SUMIFS([0]!Otro,[0]!Centro,$B42,[0]!Turno,Q$15)</f>
        <v>0</v>
      </c>
      <c r="R42" s="72">
        <f>SUMIFS([0]!Otro,[0]!Centro,$B42,[0]!Turno,R$15)</f>
        <v>0</v>
      </c>
      <c r="S42" s="72">
        <f>SUMIFS([0]!Otro,[0]!Centro,$B42,[0]!Turno,S$15)</f>
        <v>0</v>
      </c>
      <c r="T42" s="72">
        <f>SUMIFS([0]!Otro,[0]!Centro,$B42,[0]!Turno,T$15)</f>
        <v>0</v>
      </c>
      <c r="U42" s="72">
        <f>SUMIFS([0]!Otro,[0]!Centro,$B42,[0]!Turno,U$15)</f>
        <v>0</v>
      </c>
      <c r="V42" s="72">
        <f>SUMIFS([0]!Otro,[0]!Centro,$B42,[0]!Turno,V$15)</f>
        <v>0</v>
      </c>
      <c r="W42" s="72">
        <f>SUMIFS([0]!Otro,[0]!Centro,$B42,[0]!Turno,W$15)</f>
        <v>0</v>
      </c>
      <c r="X42" s="72">
        <f>SUMIFS([0]!Otro,[0]!Centro,$B42,[0]!Turno,X$15)</f>
        <v>0</v>
      </c>
      <c r="Y42" s="73">
        <f>SUMIFS([0]!Otro,[0]!Centro,$B42,[0]!Turno,Y$15)</f>
        <v>0</v>
      </c>
    </row>
    <row r="43" spans="1:25" s="16" customFormat="1" ht="15" customHeight="1" x14ac:dyDescent="0.2">
      <c r="A43" s="20"/>
      <c r="B43" s="256"/>
      <c r="C43" s="94">
        <f>E43/SUM(E43:E45)</f>
        <v>0.68731563421828912</v>
      </c>
      <c r="D43" s="63" t="s">
        <v>0</v>
      </c>
      <c r="E43" s="150">
        <f>IF((E40+E41+E42)=0,0,(E40*$B44)/(E40+E41+E42))</f>
        <v>4.5227605008136378E-2</v>
      </c>
      <c r="F43" s="150">
        <f>IF((F40+F41+F42)=0,0,(F40*$B44)/(F40+F41+F42))</f>
        <v>3.8019657657769573E-2</v>
      </c>
      <c r="G43" s="150">
        <f t="shared" ref="G43" si="179">IF((G40+G41+G42)=0,0,(G40*$B44)/(G40+G41+G42))</f>
        <v>4.7243361586577576E-2</v>
      </c>
      <c r="H43" s="150">
        <f t="shared" ref="H43" si="180">IF((H40+H41+H42)=0,0,(H40*$B44)/(H40+H41+H42))</f>
        <v>5.8996020503435546E-2</v>
      </c>
      <c r="I43" s="150">
        <f t="shared" ref="I43" si="181">IF((I40+I41+I42)=0,0,(I40*$B44)/(I40+I41+I42))</f>
        <v>4.935244022883551E-2</v>
      </c>
      <c r="J43" s="150">
        <f t="shared" ref="J43" si="182">IF((J40+J41+J42)=0,0,(J40*$B44)/(J40+J41+J42))</f>
        <v>4.6660488943626295E-2</v>
      </c>
      <c r="K43" s="150">
        <f t="shared" ref="K43" si="183">IF((K40+K41+K42)=0,0,(K40*$B44)/(K40+K41+K42))</f>
        <v>5.2642602910757876E-2</v>
      </c>
      <c r="L43" s="150">
        <f t="shared" ref="L43" si="184">IF((L40+L41+L42)=0,0,(L40*$B44)/(L40+L41+L42))</f>
        <v>4.7002324027462385E-2</v>
      </c>
      <c r="M43" s="150">
        <f t="shared" ref="M43" si="185">IF((M40+M41+M42)=0,0,(M40*$B44)/(M40+M41+M42))</f>
        <v>3.7014330171626628E-2</v>
      </c>
      <c r="N43" s="150">
        <f t="shared" ref="N43" si="186">IF((N40+N41+N42)=0,0,(N40*$B44)/(N40+N41+N42))</f>
        <v>5.9222928274602606E-2</v>
      </c>
      <c r="O43" s="150">
        <f t="shared" ref="O43" si="187">IF((O40+O41+O42)=0,0,(O40*$B44)/(O40+O41+O42))</f>
        <v>3.6191789501146036E-2</v>
      </c>
      <c r="P43" s="150">
        <f t="shared" ref="P43" si="188">IF((P40+P41+P42)=0,0,(P40*$B44)/(P40+P41+P42))</f>
        <v>3.2901626819223671E-2</v>
      </c>
      <c r="Q43" s="150">
        <f t="shared" ref="Q43" si="189">IF((Q40+Q41+Q42)=0,0,(Q40*$B44)/(Q40+Q41+Q42))</f>
        <v>0</v>
      </c>
      <c r="R43" s="150">
        <f t="shared" ref="R43" si="190">IF((R40+R41+R42)=0,0,(R40*$B44)/(R40+R41+R42))</f>
        <v>0</v>
      </c>
      <c r="S43" s="150">
        <f t="shared" ref="S43" si="191">IF((S40+S41+S42)=0,0,(S40*$B44)/(S40+S41+S42))</f>
        <v>0</v>
      </c>
      <c r="T43" s="150">
        <f t="shared" ref="T43" si="192">IF((T40+T41+T42)=0,0,(T40*$B44)/(T40+T41+T42))</f>
        <v>0</v>
      </c>
      <c r="U43" s="150">
        <f t="shared" ref="U43" si="193">IF((U40+U41+U42)=0,0,(U40*$B44)/(U40+U41+U42))</f>
        <v>0</v>
      </c>
      <c r="V43" s="150">
        <f t="shared" ref="V43" si="194">IF((V40+V41+V42)=0,0,(V40*$B44)/(V40+V41+V42))</f>
        <v>0</v>
      </c>
      <c r="W43" s="150">
        <f t="shared" ref="W43" si="195">IF((W40+W41+W42)=0,0,(W40*$B44)/(W40+W41+W42))</f>
        <v>0</v>
      </c>
      <c r="X43" s="150">
        <f t="shared" ref="X43" si="196">IF((X40+X41+X42)=0,0,(X40*$B44)/(X40+X41+X42))</f>
        <v>0</v>
      </c>
      <c r="Y43" s="163">
        <f t="shared" ref="Y43" si="197">IF((Y40+Y41+Y42)=0,0,(Y40*$B44)/(Y40+Y41+Y42))</f>
        <v>0</v>
      </c>
    </row>
    <row r="44" spans="1:25" s="16" customFormat="1" ht="15" customHeight="1" x14ac:dyDescent="0.2">
      <c r="A44" s="20"/>
      <c r="B44" s="254">
        <v>6.5803253638447343E-2</v>
      </c>
      <c r="C44" s="92">
        <f>E44/SUM(E43:E45)</f>
        <v>0.2831858407079646</v>
      </c>
      <c r="D44" s="61" t="s">
        <v>1</v>
      </c>
      <c r="E44" s="154">
        <f>IF((E40+E41+E42)=0,0,(E41*$B44)/(E40+E41+E42))</f>
        <v>1.863454970292314E-2</v>
      </c>
      <c r="F44" s="154">
        <f>IF((F40+F41+F42)=0,0,(F41*$B44)/(F40+F41+F42))</f>
        <v>2.193441787948245E-2</v>
      </c>
      <c r="G44" s="154">
        <f t="shared" ref="G44:O44" si="198">IF((G40+G41+G42)=0,0,(G41*$B44)/(G40+G41+G42))</f>
        <v>1.5185366224257079E-2</v>
      </c>
      <c r="H44" s="154">
        <f t="shared" si="198"/>
        <v>6.8072331350117936E-3</v>
      </c>
      <c r="I44" s="154">
        <f t="shared" si="198"/>
        <v>1.6450813409611836E-2</v>
      </c>
      <c r="J44" s="154">
        <f t="shared" si="198"/>
        <v>1.9142764694821044E-2</v>
      </c>
      <c r="K44" s="154">
        <f t="shared" si="198"/>
        <v>1.3160650727689469E-2</v>
      </c>
      <c r="L44" s="154">
        <f t="shared" si="198"/>
        <v>1.5040743688787965E-2</v>
      </c>
      <c r="M44" s="154">
        <f t="shared" si="198"/>
        <v>2.0563516762014795E-2</v>
      </c>
      <c r="N44" s="154">
        <f t="shared" si="198"/>
        <v>6.5803253638447344E-3</v>
      </c>
      <c r="O44" s="154">
        <f t="shared" si="198"/>
        <v>2.9611464137301303E-2</v>
      </c>
      <c r="P44" s="154">
        <f>IF((P40+P41+P42)=0,0,(P41*$B44)/(P40+P41+P42))</f>
        <v>3.2901626819223671E-2</v>
      </c>
      <c r="Q44" s="154">
        <f t="shared" ref="Q44:Y44" si="199">IF((Q40+Q41+Q42)=0,0,(Q41*$B44)/(Q40+Q41+Q42))</f>
        <v>0</v>
      </c>
      <c r="R44" s="154">
        <f t="shared" si="199"/>
        <v>0</v>
      </c>
      <c r="S44" s="154">
        <f t="shared" si="199"/>
        <v>0</v>
      </c>
      <c r="T44" s="154">
        <f t="shared" si="199"/>
        <v>0</v>
      </c>
      <c r="U44" s="154">
        <f t="shared" si="199"/>
        <v>0</v>
      </c>
      <c r="V44" s="154">
        <f t="shared" si="199"/>
        <v>0</v>
      </c>
      <c r="W44" s="154">
        <f t="shared" si="199"/>
        <v>0</v>
      </c>
      <c r="X44" s="154">
        <f t="shared" si="199"/>
        <v>0</v>
      </c>
      <c r="Y44" s="159">
        <f t="shared" si="199"/>
        <v>0</v>
      </c>
    </row>
    <row r="45" spans="1:25" s="16" customFormat="1" ht="15" customHeight="1" thickBot="1" x14ac:dyDescent="0.25">
      <c r="A45" s="20"/>
      <c r="B45" s="254"/>
      <c r="C45" s="93">
        <f>E45/SUM(E43:E45)</f>
        <v>2.9498525073746316E-2</v>
      </c>
      <c r="D45" s="75" t="s">
        <v>2</v>
      </c>
      <c r="E45" s="155">
        <f>IF((E40+E41+E42)=0,0,(E42*$B44)/(E40+E41+E42))</f>
        <v>1.9410989273878274E-3</v>
      </c>
      <c r="F45" s="155">
        <f>IF((F40+F41+F42)=0,0,(F42*$B44)/(F40+F41+F42))</f>
        <v>5.8491781011953195E-3</v>
      </c>
      <c r="G45" s="155">
        <f t="shared" ref="G45" si="200">IF((G40+G41+G42)=0,0,(G42*$B44)/(G40+G41+G42))</f>
        <v>3.3745258276126843E-3</v>
      </c>
      <c r="H45" s="155">
        <f t="shared" ref="H45" si="201">IF((H40+H41+H42)=0,0,(H42*$B44)/(H40+H41+H42))</f>
        <v>0</v>
      </c>
      <c r="I45" s="155">
        <f t="shared" ref="I45" si="202">IF((I40+I41+I42)=0,0,(I42*$B44)/(I40+I41+I42))</f>
        <v>0</v>
      </c>
      <c r="J45" s="155">
        <f t="shared" ref="J45" si="203">IF((J40+J41+J42)=0,0,(J42*$B44)/(J40+J41+J42))</f>
        <v>0</v>
      </c>
      <c r="K45" s="155">
        <f t="shared" ref="K45" si="204">IF((K40+K41+K42)=0,0,(K42*$B44)/(K40+K41+K42))</f>
        <v>0</v>
      </c>
      <c r="L45" s="155">
        <f t="shared" ref="L45" si="205">IF((L40+L41+L42)=0,0,(L42*$B44)/(L40+L41+L42))</f>
        <v>3.7601859221969912E-3</v>
      </c>
      <c r="M45" s="155">
        <f t="shared" ref="M45" si="206">IF((M40+M41+M42)=0,0,(M42*$B44)/(M40+M41+M42))</f>
        <v>8.2254067048059178E-3</v>
      </c>
      <c r="N45" s="155">
        <f t="shared" ref="N45" si="207">IF((N40+N41+N42)=0,0,(N42*$B44)/(N40+N41+N42))</f>
        <v>0</v>
      </c>
      <c r="O45" s="155">
        <f t="shared" ref="O45" si="208">IF((O40+O41+O42)=0,0,(O42*$B44)/(O40+O41+O42))</f>
        <v>0</v>
      </c>
      <c r="P45" s="155">
        <f t="shared" ref="P45" si="209">IF((P40+P41+P42)=0,0,(P42*$B44)/(P40+P41+P42))</f>
        <v>0</v>
      </c>
      <c r="Q45" s="155">
        <f t="shared" ref="Q45" si="210">IF((Q40+Q41+Q42)=0,0,(Q42*$B44)/(Q40+Q41+Q42))</f>
        <v>0</v>
      </c>
      <c r="R45" s="155">
        <f t="shared" ref="R45" si="211">IF((R40+R41+R42)=0,0,(R42*$B44)/(R40+R41+R42))</f>
        <v>0</v>
      </c>
      <c r="S45" s="155">
        <f t="shared" ref="S45" si="212">IF((S40+S41+S42)=0,0,(S42*$B44)/(S40+S41+S42))</f>
        <v>0</v>
      </c>
      <c r="T45" s="155">
        <f t="shared" ref="T45" si="213">IF((T40+T41+T42)=0,0,(T42*$B44)/(T40+T41+T42))</f>
        <v>0</v>
      </c>
      <c r="U45" s="155">
        <f t="shared" ref="U45" si="214">IF((U40+U41+U42)=0,0,(U42*$B44)/(U40+U41+U42))</f>
        <v>0</v>
      </c>
      <c r="V45" s="155">
        <f t="shared" ref="V45" si="215">IF((V40+V41+V42)=0,0,(V42*$B44)/(V40+V41+V42))</f>
        <v>0</v>
      </c>
      <c r="W45" s="155">
        <f t="shared" ref="W45" si="216">IF((W40+W41+W42)=0,0,(W42*$B44)/(W40+W41+W42))</f>
        <v>0</v>
      </c>
      <c r="X45" s="155">
        <f t="shared" ref="X45" si="217">IF((X40+X41+X42)=0,0,(X42*$B44)/(X40+X41+X42))</f>
        <v>0</v>
      </c>
      <c r="Y45" s="160">
        <f t="shared" ref="Y45" si="218">IF((Y40+Y41+Y42)=0,0,(Y42*$B44)/(Y40+Y41+Y42))</f>
        <v>0</v>
      </c>
    </row>
    <row r="46" spans="1:25" s="16" customFormat="1" ht="15" customHeight="1" x14ac:dyDescent="0.2">
      <c r="A46" s="20"/>
      <c r="B46" s="257" t="s">
        <v>38</v>
      </c>
      <c r="C46" s="91">
        <f>E46/SUM(E46:E48)</f>
        <v>0.56842105263157894</v>
      </c>
      <c r="D46" s="67" t="s">
        <v>0</v>
      </c>
      <c r="E46" s="68">
        <f t="shared" si="51"/>
        <v>54</v>
      </c>
      <c r="F46" s="68">
        <f>SUMIFS([0]!Chavez,[0]!Centro,$B48,[0]!Turno,F$15)</f>
        <v>8</v>
      </c>
      <c r="G46" s="68">
        <f>SUMIFS([0]!Chavez,[0]!Centro,$B48,[0]!Turno,G$15)</f>
        <v>0</v>
      </c>
      <c r="H46" s="68">
        <f>SUMIFS([0]!Chavez,[0]!Centro,$B48,[0]!Turno,H$15)</f>
        <v>0</v>
      </c>
      <c r="I46" s="68">
        <f>SUMIFS([0]!Chavez,[0]!Centro,$B48,[0]!Turno,I$15)</f>
        <v>15</v>
      </c>
      <c r="J46" s="68">
        <f>SUMIFS([0]!Chavez,[0]!Centro,$B48,[0]!Turno,J$15)</f>
        <v>10</v>
      </c>
      <c r="K46" s="68">
        <f>SUMIFS([0]!Chavez,[0]!Centro,$B48,[0]!Turno,K$15)</f>
        <v>0</v>
      </c>
      <c r="L46" s="68">
        <f>SUMIFS([0]!Chavez,[0]!Centro,$B48,[0]!Turno,L$15)</f>
        <v>21</v>
      </c>
      <c r="M46" s="68">
        <f>SUMIFS([0]!Chavez,[0]!Centro,$B48,[0]!Turno,M$15)</f>
        <v>0</v>
      </c>
      <c r="N46" s="68">
        <f>SUMIFS([0]!Chavez,[0]!Centro,$B48,[0]!Turno,N$15)</f>
        <v>0</v>
      </c>
      <c r="O46" s="68">
        <f>SUMIFS([0]!Chavez,[0]!Centro,$B48,[0]!Turno,O$15)</f>
        <v>0</v>
      </c>
      <c r="P46" s="68">
        <f>SUMIFS([0]!Chavez,[0]!Centro,$B48,[0]!Turno,P$15)</f>
        <v>0</v>
      </c>
      <c r="Q46" s="68">
        <f>SUMIFS([0]!Chavez,[0]!Centro,$B48,[0]!Turno,Q$15)</f>
        <v>0</v>
      </c>
      <c r="R46" s="68">
        <f>SUMIFS([0]!Chavez,[0]!Centro,$B48,[0]!Turno,R$15)</f>
        <v>0</v>
      </c>
      <c r="S46" s="68">
        <f>SUMIFS([0]!Chavez,[0]!Centro,$B48,[0]!Turno,S$15)</f>
        <v>0</v>
      </c>
      <c r="T46" s="68">
        <f>SUMIFS([0]!Chavez,[0]!Centro,$B48,[0]!Turno,T$15)</f>
        <v>0</v>
      </c>
      <c r="U46" s="68">
        <f>SUMIFS([0]!Chavez,[0]!Centro,$B48,[0]!Turno,U$15)</f>
        <v>0</v>
      </c>
      <c r="V46" s="68">
        <f>SUMIFS([0]!Chavez,[0]!Centro,$B48,[0]!Turno,V$15)</f>
        <v>0</v>
      </c>
      <c r="W46" s="68">
        <f>SUMIFS([0]!Chavez,[0]!Centro,$B48,[0]!Turno,W$15)</f>
        <v>0</v>
      </c>
      <c r="X46" s="68">
        <f>SUMIFS([0]!Chavez,[0]!Centro,$B48,[0]!Turno,X$15)</f>
        <v>0</v>
      </c>
      <c r="Y46" s="69">
        <f>SUMIFS([0]!Chavez,[0]!Centro,$B48,[0]!Turno,Y$15)</f>
        <v>0</v>
      </c>
    </row>
    <row r="47" spans="1:25" s="16" customFormat="1" ht="15" customHeight="1" x14ac:dyDescent="0.2">
      <c r="A47" s="20"/>
      <c r="B47" s="256"/>
      <c r="C47" s="92">
        <f>E47/SUM(E46:E48)</f>
        <v>0.41052631578947368</v>
      </c>
      <c r="D47" s="61" t="s">
        <v>1</v>
      </c>
      <c r="E47" s="62">
        <f t="shared" si="51"/>
        <v>39</v>
      </c>
      <c r="F47" s="62">
        <f>SUMIFS([0]!Capriles,[0]!Centro,$B48,[0]!Turno,F$15)</f>
        <v>12</v>
      </c>
      <c r="G47" s="62">
        <f>SUMIFS([0]!Capriles,[0]!Centro,$B48,[0]!Turno,G$15)</f>
        <v>0</v>
      </c>
      <c r="H47" s="62">
        <f>SUMIFS([0]!Capriles,[0]!Centro,$B48,[0]!Turno,H$15)</f>
        <v>0</v>
      </c>
      <c r="I47" s="62">
        <f>SUMIFS([0]!Capriles,[0]!Centro,$B48,[0]!Turno,I$15)</f>
        <v>5</v>
      </c>
      <c r="J47" s="62">
        <f>SUMIFS([0]!Capriles,[0]!Centro,$B48,[0]!Turno,J$15)</f>
        <v>8</v>
      </c>
      <c r="K47" s="62">
        <f>SUMIFS([0]!Capriles,[0]!Centro,$B48,[0]!Turno,K$15)</f>
        <v>0</v>
      </c>
      <c r="L47" s="62">
        <f>SUMIFS([0]!Capriles,[0]!Centro,$B48,[0]!Turno,L$15)</f>
        <v>14</v>
      </c>
      <c r="M47" s="62">
        <f>SUMIFS([0]!Capriles,[0]!Centro,$B48,[0]!Turno,M$15)</f>
        <v>0</v>
      </c>
      <c r="N47" s="62">
        <f>SUMIFS([0]!Capriles,[0]!Centro,$B48,[0]!Turno,N$15)</f>
        <v>0</v>
      </c>
      <c r="O47" s="62">
        <f>SUMIFS([0]!Capriles,[0]!Centro,$B48,[0]!Turno,O$15)</f>
        <v>0</v>
      </c>
      <c r="P47" s="62">
        <f>SUMIFS([0]!Capriles,[0]!Centro,$B48,[0]!Turno,P$15)</f>
        <v>0</v>
      </c>
      <c r="Q47" s="62">
        <f>SUMIFS([0]!Capriles,[0]!Centro,$B48,[0]!Turno,Q$15)</f>
        <v>0</v>
      </c>
      <c r="R47" s="62">
        <f>SUMIFS([0]!Capriles,[0]!Centro,$B48,[0]!Turno,R$15)</f>
        <v>0</v>
      </c>
      <c r="S47" s="62">
        <f>SUMIFS([0]!Capriles,[0]!Centro,$B48,[0]!Turno,S$15)</f>
        <v>0</v>
      </c>
      <c r="T47" s="62">
        <f>SUMIFS([0]!Capriles,[0]!Centro,$B48,[0]!Turno,T$15)</f>
        <v>0</v>
      </c>
      <c r="U47" s="62">
        <f>SUMIFS([0]!Capriles,[0]!Centro,$B48,[0]!Turno,U$15)</f>
        <v>0</v>
      </c>
      <c r="V47" s="62">
        <f>SUMIFS([0]!Capriles,[0]!Centro,$B48,[0]!Turno,V$15)</f>
        <v>0</v>
      </c>
      <c r="W47" s="62">
        <f>SUMIFS([0]!Capriles,[0]!Centro,$B48,[0]!Turno,W$15)</f>
        <v>0</v>
      </c>
      <c r="X47" s="62">
        <f>SUMIFS([0]!Capriles,[0]!Centro,$B48,[0]!Turno,X$15)</f>
        <v>0</v>
      </c>
      <c r="Y47" s="70">
        <f>SUMIFS([0]!Capriles,[0]!Centro,$B48,[0]!Turno,Y$15)</f>
        <v>0</v>
      </c>
    </row>
    <row r="48" spans="1:25" s="16" customFormat="1" ht="15" customHeight="1" thickBot="1" x14ac:dyDescent="0.25">
      <c r="A48" s="20"/>
      <c r="B48" s="256">
        <v>24</v>
      </c>
      <c r="C48" s="100">
        <f>E48/SUM(E46:E48)</f>
        <v>2.1052631578947368E-2</v>
      </c>
      <c r="D48" s="71" t="s">
        <v>2</v>
      </c>
      <c r="E48" s="72">
        <f t="shared" si="51"/>
        <v>2</v>
      </c>
      <c r="F48" s="72">
        <f>SUMIFS([0]!Otro,[0]!Centro,$B48,[0]!Turno,F$15)</f>
        <v>0</v>
      </c>
      <c r="G48" s="72">
        <f>SUMIFS([0]!Otro,[0]!Centro,$B48,[0]!Turno,G$15)</f>
        <v>0</v>
      </c>
      <c r="H48" s="72">
        <f>SUMIFS([0]!Otro,[0]!Centro,$B48,[0]!Turno,H$15)</f>
        <v>0</v>
      </c>
      <c r="I48" s="72">
        <f>SUMIFS([0]!Otro,[0]!Centro,$B48,[0]!Turno,I$15)</f>
        <v>0</v>
      </c>
      <c r="J48" s="72">
        <f>SUMIFS([0]!Otro,[0]!Centro,$B48,[0]!Turno,J$15)</f>
        <v>2</v>
      </c>
      <c r="K48" s="72">
        <f>SUMIFS([0]!Otro,[0]!Centro,$B48,[0]!Turno,K$15)</f>
        <v>0</v>
      </c>
      <c r="L48" s="72">
        <f>SUMIFS([0]!Otro,[0]!Centro,$B48,[0]!Turno,L$15)</f>
        <v>0</v>
      </c>
      <c r="M48" s="72">
        <f>SUMIFS([0]!Otro,[0]!Centro,$B48,[0]!Turno,M$15)</f>
        <v>0</v>
      </c>
      <c r="N48" s="72">
        <f>SUMIFS([0]!Otro,[0]!Centro,$B48,[0]!Turno,N$15)</f>
        <v>0</v>
      </c>
      <c r="O48" s="72">
        <f>SUMIFS([0]!Otro,[0]!Centro,$B48,[0]!Turno,O$15)</f>
        <v>0</v>
      </c>
      <c r="P48" s="72">
        <f>SUMIFS([0]!Otro,[0]!Centro,$B48,[0]!Turno,P$15)</f>
        <v>0</v>
      </c>
      <c r="Q48" s="72">
        <f>SUMIFS([0]!Otro,[0]!Centro,$B48,[0]!Turno,Q$15)</f>
        <v>0</v>
      </c>
      <c r="R48" s="72">
        <f>SUMIFS([0]!Otro,[0]!Centro,$B48,[0]!Turno,R$15)</f>
        <v>0</v>
      </c>
      <c r="S48" s="72">
        <f>SUMIFS([0]!Otro,[0]!Centro,$B48,[0]!Turno,S$15)</f>
        <v>0</v>
      </c>
      <c r="T48" s="72">
        <f>SUMIFS([0]!Otro,[0]!Centro,$B48,[0]!Turno,T$15)</f>
        <v>0</v>
      </c>
      <c r="U48" s="72">
        <f>SUMIFS([0]!Otro,[0]!Centro,$B48,[0]!Turno,U$15)</f>
        <v>0</v>
      </c>
      <c r="V48" s="72">
        <f>SUMIFS([0]!Otro,[0]!Centro,$B48,[0]!Turno,V$15)</f>
        <v>0</v>
      </c>
      <c r="W48" s="72">
        <f>SUMIFS([0]!Otro,[0]!Centro,$B48,[0]!Turno,W$15)</f>
        <v>0</v>
      </c>
      <c r="X48" s="72">
        <f>SUMIFS([0]!Otro,[0]!Centro,$B48,[0]!Turno,X$15)</f>
        <v>0</v>
      </c>
      <c r="Y48" s="73">
        <f>SUMIFS([0]!Otro,[0]!Centro,$B48,[0]!Turno,Y$15)</f>
        <v>0</v>
      </c>
    </row>
    <row r="49" spans="1:25" s="16" customFormat="1" ht="15" customHeight="1" x14ac:dyDescent="0.2">
      <c r="A49" s="20"/>
      <c r="B49" s="256"/>
      <c r="C49" s="94">
        <f>E49/SUM(E49:E51)</f>
        <v>0.56842105263157883</v>
      </c>
      <c r="D49" s="63" t="s">
        <v>0</v>
      </c>
      <c r="E49" s="150">
        <f>IF((E46+E47+E48)=0,0,(E46*$B50)/(E46+E47+E48))</f>
        <v>3.6490181905203721E-2</v>
      </c>
      <c r="F49" s="150">
        <f>IF((F46+F47+F48)=0,0,(F46*$B50)/(F46+F47+F48))</f>
        <v>2.567827615551373E-2</v>
      </c>
      <c r="G49" s="150">
        <f t="shared" ref="G49" si="219">IF((G46+G47+G48)=0,0,(G46*$B50)/(G46+G47+G48))</f>
        <v>0</v>
      </c>
      <c r="H49" s="150">
        <f t="shared" ref="H49" si="220">IF((H46+H47+H48)=0,0,(H46*$B50)/(H46+H47+H48))</f>
        <v>0</v>
      </c>
      <c r="I49" s="150">
        <f t="shared" ref="I49" si="221">IF((I46+I47+I48)=0,0,(I46*$B50)/(I46+I47+I48))</f>
        <v>4.8146767791588239E-2</v>
      </c>
      <c r="J49" s="150">
        <f t="shared" ref="J49" si="222">IF((J46+J47+J48)=0,0,(J46*$B50)/(J46+J47+J48))</f>
        <v>3.2097845194392162E-2</v>
      </c>
      <c r="K49" s="150">
        <f t="shared" ref="K49" si="223">IF((K46+K47+K48)=0,0,(K46*$B50)/(K46+K47+K48))</f>
        <v>0</v>
      </c>
      <c r="L49" s="150">
        <f t="shared" ref="L49" si="224">IF((L46+L47+L48)=0,0,(L46*$B50)/(L46+L47+L48))</f>
        <v>3.8517414233270597E-2</v>
      </c>
      <c r="M49" s="150">
        <f t="shared" ref="M49" si="225">IF((M46+M47+M48)=0,0,(M46*$B50)/(M46+M47+M48))</f>
        <v>0</v>
      </c>
      <c r="N49" s="150">
        <f t="shared" ref="N49" si="226">IF((N46+N47+N48)=0,0,(N46*$B50)/(N46+N47+N48))</f>
        <v>0</v>
      </c>
      <c r="O49" s="150">
        <f t="shared" ref="O49" si="227">IF((O46+O47+O48)=0,0,(O46*$B50)/(O46+O47+O48))</f>
        <v>0</v>
      </c>
      <c r="P49" s="150">
        <f t="shared" ref="P49" si="228">IF((P46+P47+P48)=0,0,(P46*$B50)/(P46+P47+P48))</f>
        <v>0</v>
      </c>
      <c r="Q49" s="150">
        <f t="shared" ref="Q49" si="229">IF((Q46+Q47+Q48)=0,0,(Q46*$B50)/(Q46+Q47+Q48))</f>
        <v>0</v>
      </c>
      <c r="R49" s="150">
        <f t="shared" ref="R49" si="230">IF((R46+R47+R48)=0,0,(R46*$B50)/(R46+R47+R48))</f>
        <v>0</v>
      </c>
      <c r="S49" s="150">
        <f t="shared" ref="S49" si="231">IF((S46+S47+S48)=0,0,(S46*$B50)/(S46+S47+S48))</f>
        <v>0</v>
      </c>
      <c r="T49" s="150">
        <f t="shared" ref="T49" si="232">IF((T46+T47+T48)=0,0,(T46*$B50)/(T46+T47+T48))</f>
        <v>0</v>
      </c>
      <c r="U49" s="150">
        <f t="shared" ref="U49" si="233">IF((U46+U47+U48)=0,0,(U46*$B50)/(U46+U47+U48))</f>
        <v>0</v>
      </c>
      <c r="V49" s="150">
        <f t="shared" ref="V49" si="234">IF((V46+V47+V48)=0,0,(V46*$B50)/(V46+V47+V48))</f>
        <v>0</v>
      </c>
      <c r="W49" s="150">
        <f t="shared" ref="W49" si="235">IF((W46+W47+W48)=0,0,(W46*$B50)/(W46+W47+W48))</f>
        <v>0</v>
      </c>
      <c r="X49" s="150">
        <f t="shared" ref="X49" si="236">IF((X46+X47+X48)=0,0,(X46*$B50)/(X46+X47+X48))</f>
        <v>0</v>
      </c>
      <c r="Y49" s="163">
        <f t="shared" ref="Y49" si="237">IF((Y46+Y47+Y48)=0,0,(Y46*$B50)/(Y46+Y47+Y48))</f>
        <v>0</v>
      </c>
    </row>
    <row r="50" spans="1:25" s="16" customFormat="1" ht="15" customHeight="1" x14ac:dyDescent="0.2">
      <c r="A50" s="20"/>
      <c r="B50" s="254">
        <v>6.4195690388784324E-2</v>
      </c>
      <c r="C50" s="92">
        <f>E50/SUM(E49:E51)</f>
        <v>0.41052631578947363</v>
      </c>
      <c r="D50" s="61" t="s">
        <v>1</v>
      </c>
      <c r="E50" s="154">
        <f>IF((E46+E47+E48)=0,0,(E47*$B50)/(E46+E47+E48))</f>
        <v>2.6354020264869354E-2</v>
      </c>
      <c r="F50" s="154">
        <f>IF((F46+F47+F48)=0,0,(F47*$B50)/(F46+F47+F48))</f>
        <v>3.8517414233270597E-2</v>
      </c>
      <c r="G50" s="154">
        <f t="shared" ref="G50:O50" si="238">IF((G46+G47+G48)=0,0,(G47*$B50)/(G46+G47+G48))</f>
        <v>0</v>
      </c>
      <c r="H50" s="154">
        <f t="shared" si="238"/>
        <v>0</v>
      </c>
      <c r="I50" s="154">
        <f t="shared" si="238"/>
        <v>1.6048922597196081E-2</v>
      </c>
      <c r="J50" s="154">
        <f t="shared" si="238"/>
        <v>2.567827615551373E-2</v>
      </c>
      <c r="K50" s="154">
        <f t="shared" si="238"/>
        <v>0</v>
      </c>
      <c r="L50" s="154">
        <f t="shared" si="238"/>
        <v>2.567827615551373E-2</v>
      </c>
      <c r="M50" s="154">
        <f t="shared" si="238"/>
        <v>0</v>
      </c>
      <c r="N50" s="154">
        <f t="shared" si="238"/>
        <v>0</v>
      </c>
      <c r="O50" s="154">
        <f t="shared" si="238"/>
        <v>0</v>
      </c>
      <c r="P50" s="154">
        <f>IF((P46+P47+P48)=0,0,(P47*$B50)/(P46+P47+P48))</f>
        <v>0</v>
      </c>
      <c r="Q50" s="154">
        <f t="shared" ref="Q50:Y50" si="239">IF((Q46+Q47+Q48)=0,0,(Q47*$B50)/(Q46+Q47+Q48))</f>
        <v>0</v>
      </c>
      <c r="R50" s="154">
        <f t="shared" si="239"/>
        <v>0</v>
      </c>
      <c r="S50" s="154">
        <f t="shared" si="239"/>
        <v>0</v>
      </c>
      <c r="T50" s="154">
        <f t="shared" si="239"/>
        <v>0</v>
      </c>
      <c r="U50" s="154">
        <f t="shared" si="239"/>
        <v>0</v>
      </c>
      <c r="V50" s="154">
        <f t="shared" si="239"/>
        <v>0</v>
      </c>
      <c r="W50" s="154">
        <f t="shared" si="239"/>
        <v>0</v>
      </c>
      <c r="X50" s="154">
        <f t="shared" si="239"/>
        <v>0</v>
      </c>
      <c r="Y50" s="159">
        <f t="shared" si="239"/>
        <v>0</v>
      </c>
    </row>
    <row r="51" spans="1:25" s="16" customFormat="1" ht="15" customHeight="1" thickBot="1" x14ac:dyDescent="0.25">
      <c r="A51" s="20"/>
      <c r="B51" s="255"/>
      <c r="C51" s="93">
        <f>E51/SUM(E49:E51)</f>
        <v>2.1052631578947361E-2</v>
      </c>
      <c r="D51" s="75" t="s">
        <v>2</v>
      </c>
      <c r="E51" s="155">
        <f>IF((E46+E47+E48)=0,0,(E48*$B50)/(E46+E47+E48))</f>
        <v>1.3514882187112488E-3</v>
      </c>
      <c r="F51" s="155">
        <f>IF((F46+F47+F48)=0,0,(F48*$B50)/(F46+F47+F48))</f>
        <v>0</v>
      </c>
      <c r="G51" s="155">
        <f t="shared" ref="G51" si="240">IF((G46+G47+G48)=0,0,(G48*$B50)/(G46+G47+G48))</f>
        <v>0</v>
      </c>
      <c r="H51" s="155">
        <f t="shared" ref="H51" si="241">IF((H46+H47+H48)=0,0,(H48*$B50)/(H46+H47+H48))</f>
        <v>0</v>
      </c>
      <c r="I51" s="155">
        <f t="shared" ref="I51" si="242">IF((I46+I47+I48)=0,0,(I48*$B50)/(I46+I47+I48))</f>
        <v>0</v>
      </c>
      <c r="J51" s="155">
        <f t="shared" ref="J51" si="243">IF((J46+J47+J48)=0,0,(J48*$B50)/(J46+J47+J48))</f>
        <v>6.4195690388784326E-3</v>
      </c>
      <c r="K51" s="155">
        <f t="shared" ref="K51" si="244">IF((K46+K47+K48)=0,0,(K48*$B50)/(K46+K47+K48))</f>
        <v>0</v>
      </c>
      <c r="L51" s="155">
        <f t="shared" ref="L51" si="245">IF((L46+L47+L48)=0,0,(L48*$B50)/(L46+L47+L48))</f>
        <v>0</v>
      </c>
      <c r="M51" s="155">
        <f t="shared" ref="M51" si="246">IF((M46+M47+M48)=0,0,(M48*$B50)/(M46+M47+M48))</f>
        <v>0</v>
      </c>
      <c r="N51" s="155">
        <f t="shared" ref="N51" si="247">IF((N46+N47+N48)=0,0,(N48*$B50)/(N46+N47+N48))</f>
        <v>0</v>
      </c>
      <c r="O51" s="155">
        <f t="shared" ref="O51" si="248">IF((O46+O47+O48)=0,0,(O48*$B50)/(O46+O47+O48))</f>
        <v>0</v>
      </c>
      <c r="P51" s="155">
        <f t="shared" ref="P51" si="249">IF((P46+P47+P48)=0,0,(P48*$B50)/(P46+P47+P48))</f>
        <v>0</v>
      </c>
      <c r="Q51" s="155">
        <f t="shared" ref="Q51" si="250">IF((Q46+Q47+Q48)=0,0,(Q48*$B50)/(Q46+Q47+Q48))</f>
        <v>0</v>
      </c>
      <c r="R51" s="155">
        <f t="shared" ref="R51" si="251">IF((R46+R47+R48)=0,0,(R48*$B50)/(R46+R47+R48))</f>
        <v>0</v>
      </c>
      <c r="S51" s="155">
        <f t="shared" ref="S51" si="252">IF((S46+S47+S48)=0,0,(S48*$B50)/(S46+S47+S48))</f>
        <v>0</v>
      </c>
      <c r="T51" s="155">
        <f t="shared" ref="T51" si="253">IF((T46+T47+T48)=0,0,(T48*$B50)/(T46+T47+T48))</f>
        <v>0</v>
      </c>
      <c r="U51" s="155">
        <f t="shared" ref="U51" si="254">IF((U46+U47+U48)=0,0,(U48*$B50)/(U46+U47+U48))</f>
        <v>0</v>
      </c>
      <c r="V51" s="155">
        <f t="shared" ref="V51" si="255">IF((V46+V47+V48)=0,0,(V48*$B50)/(V46+V47+V48))</f>
        <v>0</v>
      </c>
      <c r="W51" s="155">
        <f t="shared" ref="W51" si="256">IF((W46+W47+W48)=0,0,(W48*$B50)/(W46+W47+W48))</f>
        <v>0</v>
      </c>
      <c r="X51" s="155">
        <f t="shared" ref="X51" si="257">IF((X46+X47+X48)=0,0,(X48*$B50)/(X46+X47+X48))</f>
        <v>0</v>
      </c>
      <c r="Y51" s="160">
        <f t="shared" ref="Y51" si="258">IF((Y46+Y47+Y48)=0,0,(Y48*$B50)/(Y46+Y47+Y48))</f>
        <v>0</v>
      </c>
    </row>
    <row r="52" spans="1:25" s="16" customFormat="1" ht="15" customHeight="1" x14ac:dyDescent="0.2">
      <c r="A52" s="20"/>
      <c r="B52" s="257" t="s">
        <v>39</v>
      </c>
      <c r="C52" s="91">
        <f>E52/SUM(E52:E54)</f>
        <v>0.70297029702970293</v>
      </c>
      <c r="D52" s="67" t="s">
        <v>0</v>
      </c>
      <c r="E52" s="68">
        <f t="shared" si="51"/>
        <v>142</v>
      </c>
      <c r="F52" s="68">
        <f>SUMIFS([0]!Chavez,[0]!Centro,$B54,[0]!Turno,F$15)</f>
        <v>36</v>
      </c>
      <c r="G52" s="68">
        <f>SUMIFS([0]!Chavez,[0]!Centro,$B54,[0]!Turno,G$15)</f>
        <v>17</v>
      </c>
      <c r="H52" s="68">
        <f>SUMIFS([0]!Chavez,[0]!Centro,$B54,[0]!Turno,H$15)</f>
        <v>16</v>
      </c>
      <c r="I52" s="68">
        <f>SUMIFS([0]!Chavez,[0]!Centro,$B54,[0]!Turno,I$15)</f>
        <v>26</v>
      </c>
      <c r="J52" s="68">
        <f>SUMIFS([0]!Chavez,[0]!Centro,$B54,[0]!Turno,J$15)</f>
        <v>16</v>
      </c>
      <c r="K52" s="68">
        <f>SUMIFS([0]!Chavez,[0]!Centro,$B54,[0]!Turno,K$15)</f>
        <v>14</v>
      </c>
      <c r="L52" s="68">
        <f>SUMIFS([0]!Chavez,[0]!Centro,$B54,[0]!Turno,L$15)</f>
        <v>0</v>
      </c>
      <c r="M52" s="68">
        <f>SUMIFS([0]!Chavez,[0]!Centro,$B54,[0]!Turno,M$15)</f>
        <v>17</v>
      </c>
      <c r="N52" s="68">
        <f>SUMIFS([0]!Chavez,[0]!Centro,$B54,[0]!Turno,N$15)</f>
        <v>0</v>
      </c>
      <c r="O52" s="68">
        <f>SUMIFS([0]!Chavez,[0]!Centro,$B54,[0]!Turno,O$15)</f>
        <v>0</v>
      </c>
      <c r="P52" s="68">
        <f>SUMIFS([0]!Chavez,[0]!Centro,$B54,[0]!Turno,P$15)</f>
        <v>0</v>
      </c>
      <c r="Q52" s="68">
        <f>SUMIFS([0]!Chavez,[0]!Centro,$B54,[0]!Turno,Q$15)</f>
        <v>0</v>
      </c>
      <c r="R52" s="68">
        <f>SUMIFS([0]!Chavez,[0]!Centro,$B54,[0]!Turno,R$15)</f>
        <v>0</v>
      </c>
      <c r="S52" s="68">
        <f>SUMIFS([0]!Chavez,[0]!Centro,$B54,[0]!Turno,S$15)</f>
        <v>0</v>
      </c>
      <c r="T52" s="68">
        <f>SUMIFS([0]!Chavez,[0]!Centro,$B54,[0]!Turno,T$15)</f>
        <v>0</v>
      </c>
      <c r="U52" s="68">
        <f>SUMIFS([0]!Chavez,[0]!Centro,$B54,[0]!Turno,U$15)</f>
        <v>0</v>
      </c>
      <c r="V52" s="68">
        <f>SUMIFS([0]!Chavez,[0]!Centro,$B54,[0]!Turno,V$15)</f>
        <v>0</v>
      </c>
      <c r="W52" s="68">
        <f>SUMIFS([0]!Chavez,[0]!Centro,$B54,[0]!Turno,W$15)</f>
        <v>0</v>
      </c>
      <c r="X52" s="68">
        <f>SUMIFS([0]!Chavez,[0]!Centro,$B54,[0]!Turno,X$15)</f>
        <v>0</v>
      </c>
      <c r="Y52" s="69">
        <f>SUMIFS([0]!Chavez,[0]!Centro,$B54,[0]!Turno,Y$15)</f>
        <v>0</v>
      </c>
    </row>
    <row r="53" spans="1:25" s="16" customFormat="1" ht="15" customHeight="1" x14ac:dyDescent="0.2">
      <c r="A53" s="20"/>
      <c r="B53" s="256"/>
      <c r="C53" s="92">
        <f>E53/SUM(E52:E54)</f>
        <v>0.28712871287128711</v>
      </c>
      <c r="D53" s="61" t="s">
        <v>1</v>
      </c>
      <c r="E53" s="62">
        <f t="shared" si="51"/>
        <v>58</v>
      </c>
      <c r="F53" s="62">
        <f>SUMIFS([0]!Capriles,[0]!Centro,$B54,[0]!Turno,F$15)</f>
        <v>12</v>
      </c>
      <c r="G53" s="62">
        <f>SUMIFS([0]!Capriles,[0]!Centro,$B54,[0]!Turno,G$15)</f>
        <v>19</v>
      </c>
      <c r="H53" s="62">
        <f>SUMIFS([0]!Capriles,[0]!Centro,$B54,[0]!Turno,H$15)</f>
        <v>3</v>
      </c>
      <c r="I53" s="62">
        <f>SUMIFS([0]!Capriles,[0]!Centro,$B54,[0]!Turno,I$15)</f>
        <v>13</v>
      </c>
      <c r="J53" s="62">
        <f>SUMIFS([0]!Capriles,[0]!Centro,$B54,[0]!Turno,J$15)</f>
        <v>4</v>
      </c>
      <c r="K53" s="62">
        <f>SUMIFS([0]!Capriles,[0]!Centro,$B54,[0]!Turno,K$15)</f>
        <v>4</v>
      </c>
      <c r="L53" s="62">
        <f>SUMIFS([0]!Capriles,[0]!Centro,$B54,[0]!Turno,L$15)</f>
        <v>0</v>
      </c>
      <c r="M53" s="62">
        <f>SUMIFS([0]!Capriles,[0]!Centro,$B54,[0]!Turno,M$15)</f>
        <v>3</v>
      </c>
      <c r="N53" s="62">
        <f>SUMIFS([0]!Capriles,[0]!Centro,$B54,[0]!Turno,N$15)</f>
        <v>0</v>
      </c>
      <c r="O53" s="62">
        <f>SUMIFS([0]!Capriles,[0]!Centro,$B54,[0]!Turno,O$15)</f>
        <v>0</v>
      </c>
      <c r="P53" s="62">
        <f>SUMIFS([0]!Capriles,[0]!Centro,$B54,[0]!Turno,P$15)</f>
        <v>0</v>
      </c>
      <c r="Q53" s="62">
        <f>SUMIFS([0]!Capriles,[0]!Centro,$B54,[0]!Turno,Q$15)</f>
        <v>0</v>
      </c>
      <c r="R53" s="62">
        <f>SUMIFS([0]!Capriles,[0]!Centro,$B54,[0]!Turno,R$15)</f>
        <v>0</v>
      </c>
      <c r="S53" s="62">
        <f>SUMIFS([0]!Capriles,[0]!Centro,$B54,[0]!Turno,S$15)</f>
        <v>0</v>
      </c>
      <c r="T53" s="62">
        <f>SUMIFS([0]!Capriles,[0]!Centro,$B54,[0]!Turno,T$15)</f>
        <v>0</v>
      </c>
      <c r="U53" s="62">
        <f>SUMIFS([0]!Capriles,[0]!Centro,$B54,[0]!Turno,U$15)</f>
        <v>0</v>
      </c>
      <c r="V53" s="62">
        <f>SUMIFS([0]!Capriles,[0]!Centro,$B54,[0]!Turno,V$15)</f>
        <v>0</v>
      </c>
      <c r="W53" s="62">
        <f>SUMIFS([0]!Capriles,[0]!Centro,$B54,[0]!Turno,W$15)</f>
        <v>0</v>
      </c>
      <c r="X53" s="62">
        <f>SUMIFS([0]!Capriles,[0]!Centro,$B54,[0]!Turno,X$15)</f>
        <v>0</v>
      </c>
      <c r="Y53" s="70">
        <f>SUMIFS([0]!Capriles,[0]!Centro,$B54,[0]!Turno,Y$15)</f>
        <v>0</v>
      </c>
    </row>
    <row r="54" spans="1:25" s="16" customFormat="1" ht="15" customHeight="1" thickBot="1" x14ac:dyDescent="0.25">
      <c r="A54" s="20"/>
      <c r="B54" s="256">
        <v>25</v>
      </c>
      <c r="C54" s="100">
        <f>E54/SUM(E52:E54)</f>
        <v>9.9009900990099011E-3</v>
      </c>
      <c r="D54" s="71" t="s">
        <v>2</v>
      </c>
      <c r="E54" s="72">
        <f t="shared" si="51"/>
        <v>2</v>
      </c>
      <c r="F54" s="72">
        <f>SUMIFS([0]!Otro,[0]!Centro,$B54,[0]!Turno,F$15)</f>
        <v>0</v>
      </c>
      <c r="G54" s="72">
        <f>SUMIFS([0]!Otro,[0]!Centro,$B54,[0]!Turno,G$15)</f>
        <v>0</v>
      </c>
      <c r="H54" s="72">
        <f>SUMIFS([0]!Otro,[0]!Centro,$B54,[0]!Turno,H$15)</f>
        <v>0</v>
      </c>
      <c r="I54" s="72">
        <f>SUMIFS([0]!Otro,[0]!Centro,$B54,[0]!Turno,I$15)</f>
        <v>0</v>
      </c>
      <c r="J54" s="72">
        <f>SUMIFS([0]!Otro,[0]!Centro,$B54,[0]!Turno,J$15)</f>
        <v>0</v>
      </c>
      <c r="K54" s="72">
        <f>SUMIFS([0]!Otro,[0]!Centro,$B54,[0]!Turno,K$15)</f>
        <v>2</v>
      </c>
      <c r="L54" s="72">
        <f>SUMIFS([0]!Otro,[0]!Centro,$B54,[0]!Turno,L$15)</f>
        <v>0</v>
      </c>
      <c r="M54" s="72">
        <f>SUMIFS([0]!Otro,[0]!Centro,$B54,[0]!Turno,M$15)</f>
        <v>0</v>
      </c>
      <c r="N54" s="72">
        <f>SUMIFS([0]!Otro,[0]!Centro,$B54,[0]!Turno,N$15)</f>
        <v>0</v>
      </c>
      <c r="O54" s="72">
        <f>SUMIFS([0]!Otro,[0]!Centro,$B54,[0]!Turno,O$15)</f>
        <v>0</v>
      </c>
      <c r="P54" s="72">
        <f>SUMIFS([0]!Otro,[0]!Centro,$B54,[0]!Turno,P$15)</f>
        <v>0</v>
      </c>
      <c r="Q54" s="72">
        <f>SUMIFS([0]!Otro,[0]!Centro,$B54,[0]!Turno,Q$15)</f>
        <v>0</v>
      </c>
      <c r="R54" s="72">
        <f>SUMIFS([0]!Otro,[0]!Centro,$B54,[0]!Turno,R$15)</f>
        <v>0</v>
      </c>
      <c r="S54" s="72">
        <f>SUMIFS([0]!Otro,[0]!Centro,$B54,[0]!Turno,S$15)</f>
        <v>0</v>
      </c>
      <c r="T54" s="72">
        <f>SUMIFS([0]!Otro,[0]!Centro,$B54,[0]!Turno,T$15)</f>
        <v>0</v>
      </c>
      <c r="U54" s="72">
        <f>SUMIFS([0]!Otro,[0]!Centro,$B54,[0]!Turno,U$15)</f>
        <v>0</v>
      </c>
      <c r="V54" s="72">
        <f>SUMIFS([0]!Otro,[0]!Centro,$B54,[0]!Turno,V$15)</f>
        <v>0</v>
      </c>
      <c r="W54" s="72">
        <f>SUMIFS([0]!Otro,[0]!Centro,$B54,[0]!Turno,W$15)</f>
        <v>0</v>
      </c>
      <c r="X54" s="72">
        <f>SUMIFS([0]!Otro,[0]!Centro,$B54,[0]!Turno,X$15)</f>
        <v>0</v>
      </c>
      <c r="Y54" s="73">
        <f>SUMIFS([0]!Otro,[0]!Centro,$B54,[0]!Turno,Y$15)</f>
        <v>0</v>
      </c>
    </row>
    <row r="55" spans="1:25" s="16" customFormat="1" ht="15" customHeight="1" x14ac:dyDescent="0.2">
      <c r="A55" s="20"/>
      <c r="B55" s="256"/>
      <c r="C55" s="94">
        <f>E55/SUM(E55:E57)</f>
        <v>0.70297029702970304</v>
      </c>
      <c r="D55" s="63" t="s">
        <v>0</v>
      </c>
      <c r="E55" s="150">
        <f>IF((E52+E53+E54)=0,0,(E52*$B56)/(E52+E53+E54))</f>
        <v>2.8002835689714733E-2</v>
      </c>
      <c r="F55" s="150">
        <f>IF((F52+F53+F54)=0,0,(F52*$B56)/(F52+F53+F54))</f>
        <v>2.98762648379703E-2</v>
      </c>
      <c r="G55" s="150">
        <f t="shared" ref="G55" si="259">IF((G52+G53+G54)=0,0,(G52*$B56)/(G52+G53+G54))</f>
        <v>1.8810981564647965E-2</v>
      </c>
      <c r="H55" s="150">
        <f t="shared" ref="H55" si="260">IF((H52+H53+H54)=0,0,(H52*$B56)/(H52+H53+H54))</f>
        <v>3.3545279818071913E-2</v>
      </c>
      <c r="I55" s="150">
        <f t="shared" ref="I55" si="261">IF((I52+I53+I54)=0,0,(I52*$B56)/(I52+I53+I54))</f>
        <v>2.6556679855973597E-2</v>
      </c>
      <c r="J55" s="150">
        <f t="shared" ref="J55" si="262">IF((J52+J53+J54)=0,0,(J52*$B56)/(J52+J53+J54))</f>
        <v>3.1868015827168319E-2</v>
      </c>
      <c r="K55" s="150">
        <f t="shared" ref="K55" si="263">IF((K52+K53+K54)=0,0,(K52*$B56)/(K52+K53+K54))</f>
        <v>2.7884513848772274E-2</v>
      </c>
      <c r="L55" s="150">
        <f t="shared" ref="L55" si="264">IF((L52+L53+L54)=0,0,(L52*$B56)/(L52+L53+L54))</f>
        <v>0</v>
      </c>
      <c r="M55" s="150">
        <f t="shared" ref="M55" si="265">IF((M52+M53+M54)=0,0,(M52*$B56)/(M52+M53+M54))</f>
        <v>3.3859766816366335E-2</v>
      </c>
      <c r="N55" s="150">
        <f t="shared" ref="N55" si="266">IF((N52+N53+N54)=0,0,(N52*$B56)/(N52+N53+N54))</f>
        <v>0</v>
      </c>
      <c r="O55" s="150">
        <f t="shared" ref="O55" si="267">IF((O52+O53+O54)=0,0,(O52*$B56)/(O52+O53+O54))</f>
        <v>0</v>
      </c>
      <c r="P55" s="150">
        <f t="shared" ref="P55" si="268">IF((P52+P53+P54)=0,0,(P52*$B56)/(P52+P53+P54))</f>
        <v>0</v>
      </c>
      <c r="Q55" s="150">
        <f t="shared" ref="Q55" si="269">IF((Q52+Q53+Q54)=0,0,(Q52*$B56)/(Q52+Q53+Q54))</f>
        <v>0</v>
      </c>
      <c r="R55" s="150">
        <f t="shared" ref="R55" si="270">IF((R52+R53+R54)=0,0,(R52*$B56)/(R52+R53+R54))</f>
        <v>0</v>
      </c>
      <c r="S55" s="150">
        <f t="shared" ref="S55" si="271">IF((S52+S53+S54)=0,0,(S52*$B56)/(S52+S53+S54))</f>
        <v>0</v>
      </c>
      <c r="T55" s="150">
        <f t="shared" ref="T55" si="272">IF((T52+T53+T54)=0,0,(T52*$B56)/(T52+T53+T54))</f>
        <v>0</v>
      </c>
      <c r="U55" s="150">
        <f t="shared" ref="U55" si="273">IF((U52+U53+U54)=0,0,(U52*$B56)/(U52+U53+U54))</f>
        <v>0</v>
      </c>
      <c r="V55" s="150">
        <f t="shared" ref="V55" si="274">IF((V52+V53+V54)=0,0,(V52*$B56)/(V52+V53+V54))</f>
        <v>0</v>
      </c>
      <c r="W55" s="150">
        <f t="shared" ref="W55" si="275">IF((W52+W53+W54)=0,0,(W52*$B56)/(W52+W53+W54))</f>
        <v>0</v>
      </c>
      <c r="X55" s="150">
        <f t="shared" ref="X55" si="276">IF((X52+X53+X54)=0,0,(X52*$B56)/(X52+X53+X54))</f>
        <v>0</v>
      </c>
      <c r="Y55" s="163">
        <f t="shared" ref="Y55" si="277">IF((Y52+Y53+Y54)=0,0,(Y52*$B56)/(Y52+Y53+Y54))</f>
        <v>0</v>
      </c>
    </row>
    <row r="56" spans="1:25" s="16" customFormat="1" ht="15" customHeight="1" x14ac:dyDescent="0.2">
      <c r="A56" s="20"/>
      <c r="B56" s="254">
        <v>3.9835019783960396E-2</v>
      </c>
      <c r="C56" s="92">
        <f>E56/SUM(E55:E57)</f>
        <v>0.28712871287128716</v>
      </c>
      <c r="D56" s="61" t="s">
        <v>1</v>
      </c>
      <c r="E56" s="154">
        <f>IF((E52+E53+E54)=0,0,(E53*$B56)/(E52+E53+E54))</f>
        <v>1.1437777957770807E-2</v>
      </c>
      <c r="F56" s="154">
        <f>IF((F52+F53+F54)=0,0,(F53*$B56)/(F52+F53+F54))</f>
        <v>9.958754945990099E-3</v>
      </c>
      <c r="G56" s="154">
        <f t="shared" ref="G56:O56" si="278">IF((G52+G53+G54)=0,0,(G53*$B56)/(G52+G53+G54))</f>
        <v>2.1024038219312431E-2</v>
      </c>
      <c r="H56" s="154">
        <f t="shared" si="278"/>
        <v>6.2897399658884837E-3</v>
      </c>
      <c r="I56" s="154">
        <f t="shared" si="278"/>
        <v>1.3278339927986799E-2</v>
      </c>
      <c r="J56" s="154">
        <f t="shared" si="278"/>
        <v>7.9670039567920799E-3</v>
      </c>
      <c r="K56" s="154">
        <f t="shared" si="278"/>
        <v>7.9670039567920799E-3</v>
      </c>
      <c r="L56" s="154">
        <f t="shared" si="278"/>
        <v>0</v>
      </c>
      <c r="M56" s="154">
        <f t="shared" si="278"/>
        <v>5.975252967594059E-3</v>
      </c>
      <c r="N56" s="154">
        <f t="shared" si="278"/>
        <v>0</v>
      </c>
      <c r="O56" s="154">
        <f t="shared" si="278"/>
        <v>0</v>
      </c>
      <c r="P56" s="154">
        <f>IF((P52+P53+P54)=0,0,(P53*$B56)/(P52+P53+P54))</f>
        <v>0</v>
      </c>
      <c r="Q56" s="154">
        <f t="shared" ref="Q56:Y56" si="279">IF((Q52+Q53+Q54)=0,0,(Q53*$B56)/(Q52+Q53+Q54))</f>
        <v>0</v>
      </c>
      <c r="R56" s="154">
        <f t="shared" si="279"/>
        <v>0</v>
      </c>
      <c r="S56" s="154">
        <f t="shared" si="279"/>
        <v>0</v>
      </c>
      <c r="T56" s="154">
        <f t="shared" si="279"/>
        <v>0</v>
      </c>
      <c r="U56" s="154">
        <f t="shared" si="279"/>
        <v>0</v>
      </c>
      <c r="V56" s="154">
        <f t="shared" si="279"/>
        <v>0</v>
      </c>
      <c r="W56" s="154">
        <f t="shared" si="279"/>
        <v>0</v>
      </c>
      <c r="X56" s="154">
        <f t="shared" si="279"/>
        <v>0</v>
      </c>
      <c r="Y56" s="159">
        <f t="shared" si="279"/>
        <v>0</v>
      </c>
    </row>
    <row r="57" spans="1:25" s="16" customFormat="1" ht="15" customHeight="1" thickBot="1" x14ac:dyDescent="0.25">
      <c r="A57" s="20"/>
      <c r="B57" s="255"/>
      <c r="C57" s="93">
        <f>E57/SUM(E55:E57)</f>
        <v>9.9009900990099028E-3</v>
      </c>
      <c r="D57" s="75" t="s">
        <v>2</v>
      </c>
      <c r="E57" s="155">
        <f>IF((E52+E53+E54)=0,0,(E54*$B56)/(E52+E53+E54))</f>
        <v>3.9440613647485543E-4</v>
      </c>
      <c r="F57" s="155">
        <f>IF((F52+F53+F54)=0,0,(F54*$B56)/(F52+F53+F54))</f>
        <v>0</v>
      </c>
      <c r="G57" s="155">
        <f t="shared" ref="G57" si="280">IF((G52+G53+G54)=0,0,(G54*$B56)/(G52+G53+G54))</f>
        <v>0</v>
      </c>
      <c r="H57" s="155">
        <f t="shared" ref="H57" si="281">IF((H52+H53+H54)=0,0,(H54*$B56)/(H52+H53+H54))</f>
        <v>0</v>
      </c>
      <c r="I57" s="155">
        <f t="shared" ref="I57" si="282">IF((I52+I53+I54)=0,0,(I54*$B56)/(I52+I53+I54))</f>
        <v>0</v>
      </c>
      <c r="J57" s="155">
        <f t="shared" ref="J57" si="283">IF((J52+J53+J54)=0,0,(J54*$B56)/(J52+J53+J54))</f>
        <v>0</v>
      </c>
      <c r="K57" s="155">
        <f t="shared" ref="K57" si="284">IF((K52+K53+K54)=0,0,(K54*$B56)/(K52+K53+K54))</f>
        <v>3.9835019783960399E-3</v>
      </c>
      <c r="L57" s="155">
        <f t="shared" ref="L57" si="285">IF((L52+L53+L54)=0,0,(L54*$B56)/(L52+L53+L54))</f>
        <v>0</v>
      </c>
      <c r="M57" s="155">
        <f t="shared" ref="M57" si="286">IF((M52+M53+M54)=0,0,(M54*$B56)/(M52+M53+M54))</f>
        <v>0</v>
      </c>
      <c r="N57" s="155">
        <f t="shared" ref="N57" si="287">IF((N52+N53+N54)=0,0,(N54*$B56)/(N52+N53+N54))</f>
        <v>0</v>
      </c>
      <c r="O57" s="155">
        <f t="shared" ref="O57" si="288">IF((O52+O53+O54)=0,0,(O54*$B56)/(O52+O53+O54))</f>
        <v>0</v>
      </c>
      <c r="P57" s="155">
        <f t="shared" ref="P57" si="289">IF((P52+P53+P54)=0,0,(P54*$B56)/(P52+P53+P54))</f>
        <v>0</v>
      </c>
      <c r="Q57" s="155">
        <f t="shared" ref="Q57" si="290">IF((Q52+Q53+Q54)=0,0,(Q54*$B56)/(Q52+Q53+Q54))</f>
        <v>0</v>
      </c>
      <c r="R57" s="155">
        <f t="shared" ref="R57" si="291">IF((R52+R53+R54)=0,0,(R54*$B56)/(R52+R53+R54))</f>
        <v>0</v>
      </c>
      <c r="S57" s="155">
        <f t="shared" ref="S57" si="292">IF((S52+S53+S54)=0,0,(S54*$B56)/(S52+S53+S54))</f>
        <v>0</v>
      </c>
      <c r="T57" s="155">
        <f t="shared" ref="T57" si="293">IF((T52+T53+T54)=0,0,(T54*$B56)/(T52+T53+T54))</f>
        <v>0</v>
      </c>
      <c r="U57" s="155">
        <f t="shared" ref="U57" si="294">IF((U52+U53+U54)=0,0,(U54*$B56)/(U52+U53+U54))</f>
        <v>0</v>
      </c>
      <c r="V57" s="155">
        <f t="shared" ref="V57" si="295">IF((V52+V53+V54)=0,0,(V54*$B56)/(V52+V53+V54))</f>
        <v>0</v>
      </c>
      <c r="W57" s="155">
        <f t="shared" ref="W57" si="296">IF((W52+W53+W54)=0,0,(W54*$B56)/(W52+W53+W54))</f>
        <v>0</v>
      </c>
      <c r="X57" s="155">
        <f t="shared" ref="X57" si="297">IF((X52+X53+X54)=0,0,(X54*$B56)/(X52+X53+X54))</f>
        <v>0</v>
      </c>
      <c r="Y57" s="160">
        <f t="shared" ref="Y57" si="298">IF((Y52+Y53+Y54)=0,0,(Y54*$B56)/(Y52+Y53+Y54))</f>
        <v>0</v>
      </c>
    </row>
    <row r="58" spans="1:25" s="16" customFormat="1" ht="15" customHeight="1" x14ac:dyDescent="0.2">
      <c r="A58" s="20"/>
      <c r="B58" s="257" t="s">
        <v>40</v>
      </c>
      <c r="C58" s="91">
        <f>E58/SUM(E58:E60)</f>
        <v>0.72488038277511957</v>
      </c>
      <c r="D58" s="67" t="s">
        <v>0</v>
      </c>
      <c r="E58" s="68">
        <f t="shared" si="51"/>
        <v>303</v>
      </c>
      <c r="F58" s="68">
        <f>SUMIFS([0]!Chavez,[0]!Centro,$B60,[0]!Turno,F$15)</f>
        <v>15</v>
      </c>
      <c r="G58" s="68">
        <f>SUMIFS([0]!Chavez,[0]!Centro,$B60,[0]!Turno,G$15)</f>
        <v>20</v>
      </c>
      <c r="H58" s="68">
        <f>SUMIFS([0]!Chavez,[0]!Centro,$B60,[0]!Turno,H$15)</f>
        <v>31</v>
      </c>
      <c r="I58" s="68">
        <f>SUMIFS([0]!Chavez,[0]!Centro,$B60,[0]!Turno,I$15)</f>
        <v>37</v>
      </c>
      <c r="J58" s="68">
        <f>SUMIFS([0]!Chavez,[0]!Centro,$B60,[0]!Turno,J$15)</f>
        <v>34</v>
      </c>
      <c r="K58" s="68">
        <f>SUMIFS([0]!Chavez,[0]!Centro,$B60,[0]!Turno,K$15)</f>
        <v>55</v>
      </c>
      <c r="L58" s="68">
        <f>SUMIFS([0]!Chavez,[0]!Centro,$B60,[0]!Turno,L$15)</f>
        <v>43</v>
      </c>
      <c r="M58" s="68">
        <f>SUMIFS([0]!Chavez,[0]!Centro,$B60,[0]!Turno,M$15)</f>
        <v>34</v>
      </c>
      <c r="N58" s="68">
        <f>SUMIFS([0]!Chavez,[0]!Centro,$B60,[0]!Turno,N$15)</f>
        <v>34</v>
      </c>
      <c r="O58" s="68">
        <f>SUMIFS([0]!Chavez,[0]!Centro,$B60,[0]!Turno,O$15)</f>
        <v>0</v>
      </c>
      <c r="P58" s="68">
        <f>SUMIFS([0]!Chavez,[0]!Centro,$B60,[0]!Turno,P$15)</f>
        <v>0</v>
      </c>
      <c r="Q58" s="68">
        <f>SUMIFS([0]!Chavez,[0]!Centro,$B60,[0]!Turno,Q$15)</f>
        <v>0</v>
      </c>
      <c r="R58" s="68">
        <f>SUMIFS([0]!Chavez,[0]!Centro,$B60,[0]!Turno,R$15)</f>
        <v>0</v>
      </c>
      <c r="S58" s="68">
        <f>SUMIFS([0]!Chavez,[0]!Centro,$B60,[0]!Turno,S$15)</f>
        <v>0</v>
      </c>
      <c r="T58" s="68">
        <f>SUMIFS([0]!Chavez,[0]!Centro,$B60,[0]!Turno,T$15)</f>
        <v>0</v>
      </c>
      <c r="U58" s="68">
        <f>SUMIFS([0]!Chavez,[0]!Centro,$B60,[0]!Turno,U$15)</f>
        <v>0</v>
      </c>
      <c r="V58" s="68">
        <f>SUMIFS([0]!Chavez,[0]!Centro,$B60,[0]!Turno,V$15)</f>
        <v>0</v>
      </c>
      <c r="W58" s="68">
        <f>SUMIFS([0]!Chavez,[0]!Centro,$B60,[0]!Turno,W$15)</f>
        <v>0</v>
      </c>
      <c r="X58" s="68">
        <f>SUMIFS([0]!Chavez,[0]!Centro,$B60,[0]!Turno,X$15)</f>
        <v>0</v>
      </c>
      <c r="Y58" s="69">
        <f>SUMIFS([0]!Chavez,[0]!Centro,$B60,[0]!Turno,Y$15)</f>
        <v>0</v>
      </c>
    </row>
    <row r="59" spans="1:25" s="16" customFormat="1" ht="15" customHeight="1" x14ac:dyDescent="0.2">
      <c r="A59" s="20"/>
      <c r="B59" s="256"/>
      <c r="C59" s="92">
        <f>E59/SUM(E58:E60)</f>
        <v>0.27511961722488038</v>
      </c>
      <c r="D59" s="61" t="s">
        <v>1</v>
      </c>
      <c r="E59" s="62">
        <f t="shared" si="51"/>
        <v>115</v>
      </c>
      <c r="F59" s="62">
        <f>SUMIFS([0]!Capriles,[0]!Centro,$B60,[0]!Turno,F$15)</f>
        <v>5</v>
      </c>
      <c r="G59" s="62">
        <f>SUMIFS([0]!Capriles,[0]!Centro,$B60,[0]!Turno,G$15)</f>
        <v>0</v>
      </c>
      <c r="H59" s="62">
        <f>SUMIFS([0]!Capriles,[0]!Centro,$B60,[0]!Turno,H$15)</f>
        <v>8</v>
      </c>
      <c r="I59" s="62">
        <f>SUMIFS([0]!Capriles,[0]!Centro,$B60,[0]!Turno,I$15)</f>
        <v>28</v>
      </c>
      <c r="J59" s="62">
        <f>SUMIFS([0]!Capriles,[0]!Centro,$B60,[0]!Turno,J$15)</f>
        <v>19</v>
      </c>
      <c r="K59" s="62">
        <f>SUMIFS([0]!Capriles,[0]!Centro,$B60,[0]!Turno,K$15)</f>
        <v>9</v>
      </c>
      <c r="L59" s="62">
        <f>SUMIFS([0]!Capriles,[0]!Centro,$B60,[0]!Turno,L$15)</f>
        <v>20</v>
      </c>
      <c r="M59" s="62">
        <f>SUMIFS([0]!Capriles,[0]!Centro,$B60,[0]!Turno,M$15)</f>
        <v>13</v>
      </c>
      <c r="N59" s="62">
        <f>SUMIFS([0]!Capriles,[0]!Centro,$B60,[0]!Turno,N$15)</f>
        <v>13</v>
      </c>
      <c r="O59" s="62">
        <f>SUMIFS([0]!Capriles,[0]!Centro,$B60,[0]!Turno,O$15)</f>
        <v>0</v>
      </c>
      <c r="P59" s="62">
        <f>SUMIFS([0]!Capriles,[0]!Centro,$B60,[0]!Turno,P$15)</f>
        <v>0</v>
      </c>
      <c r="Q59" s="62">
        <f>SUMIFS([0]!Capriles,[0]!Centro,$B60,[0]!Turno,Q$15)</f>
        <v>0</v>
      </c>
      <c r="R59" s="62">
        <f>SUMIFS([0]!Capriles,[0]!Centro,$B60,[0]!Turno,R$15)</f>
        <v>0</v>
      </c>
      <c r="S59" s="62">
        <f>SUMIFS([0]!Capriles,[0]!Centro,$B60,[0]!Turno,S$15)</f>
        <v>0</v>
      </c>
      <c r="T59" s="62">
        <f>SUMIFS([0]!Capriles,[0]!Centro,$B60,[0]!Turno,T$15)</f>
        <v>0</v>
      </c>
      <c r="U59" s="62">
        <f>SUMIFS([0]!Capriles,[0]!Centro,$B60,[0]!Turno,U$15)</f>
        <v>0</v>
      </c>
      <c r="V59" s="62">
        <f>SUMIFS([0]!Capriles,[0]!Centro,$B60,[0]!Turno,V$15)</f>
        <v>0</v>
      </c>
      <c r="W59" s="62">
        <f>SUMIFS([0]!Capriles,[0]!Centro,$B60,[0]!Turno,W$15)</f>
        <v>0</v>
      </c>
      <c r="X59" s="62">
        <f>SUMIFS([0]!Capriles,[0]!Centro,$B60,[0]!Turno,X$15)</f>
        <v>0</v>
      </c>
      <c r="Y59" s="70">
        <f>SUMIFS([0]!Capriles,[0]!Centro,$B60,[0]!Turno,Y$15)</f>
        <v>0</v>
      </c>
    </row>
    <row r="60" spans="1:25" s="16" customFormat="1" ht="15" customHeight="1" thickBot="1" x14ac:dyDescent="0.25">
      <c r="A60" s="20"/>
      <c r="B60" s="256">
        <v>26</v>
      </c>
      <c r="C60" s="100">
        <f>E60/SUM(E58:E60)</f>
        <v>0</v>
      </c>
      <c r="D60" s="71" t="s">
        <v>2</v>
      </c>
      <c r="E60" s="72">
        <f t="shared" si="51"/>
        <v>0</v>
      </c>
      <c r="F60" s="72">
        <f>SUMIFS([0]!Otro,[0]!Centro,$B60,[0]!Turno,F$15)</f>
        <v>0</v>
      </c>
      <c r="G60" s="72">
        <f>SUMIFS([0]!Otro,[0]!Centro,$B60,[0]!Turno,G$15)</f>
        <v>0</v>
      </c>
      <c r="H60" s="72">
        <f>SUMIFS([0]!Otro,[0]!Centro,$B60,[0]!Turno,H$15)</f>
        <v>0</v>
      </c>
      <c r="I60" s="72">
        <f>SUMIFS([0]!Otro,[0]!Centro,$B60,[0]!Turno,I$15)</f>
        <v>0</v>
      </c>
      <c r="J60" s="72">
        <f>SUMIFS([0]!Otro,[0]!Centro,$B60,[0]!Turno,J$15)</f>
        <v>0</v>
      </c>
      <c r="K60" s="72">
        <f>SUMIFS([0]!Otro,[0]!Centro,$B60,[0]!Turno,K$15)</f>
        <v>0</v>
      </c>
      <c r="L60" s="72">
        <f>SUMIFS([0]!Otro,[0]!Centro,$B60,[0]!Turno,L$15)</f>
        <v>0</v>
      </c>
      <c r="M60" s="72">
        <f>SUMIFS([0]!Otro,[0]!Centro,$B60,[0]!Turno,M$15)</f>
        <v>0</v>
      </c>
      <c r="N60" s="72">
        <f>SUMIFS([0]!Otro,[0]!Centro,$B60,[0]!Turno,N$15)</f>
        <v>0</v>
      </c>
      <c r="O60" s="72">
        <f>SUMIFS([0]!Otro,[0]!Centro,$B60,[0]!Turno,O$15)</f>
        <v>0</v>
      </c>
      <c r="P60" s="72">
        <f>SUMIFS([0]!Otro,[0]!Centro,$B60,[0]!Turno,P$15)</f>
        <v>0</v>
      </c>
      <c r="Q60" s="72">
        <f>SUMIFS([0]!Otro,[0]!Centro,$B60,[0]!Turno,Q$15)</f>
        <v>0</v>
      </c>
      <c r="R60" s="72">
        <f>SUMIFS([0]!Otro,[0]!Centro,$B60,[0]!Turno,R$15)</f>
        <v>0</v>
      </c>
      <c r="S60" s="72">
        <f>SUMIFS([0]!Otro,[0]!Centro,$B60,[0]!Turno,S$15)</f>
        <v>0</v>
      </c>
      <c r="T60" s="72">
        <f>SUMIFS([0]!Otro,[0]!Centro,$B60,[0]!Turno,T$15)</f>
        <v>0</v>
      </c>
      <c r="U60" s="72">
        <f>SUMIFS([0]!Otro,[0]!Centro,$B60,[0]!Turno,U$15)</f>
        <v>0</v>
      </c>
      <c r="V60" s="72">
        <f>SUMIFS([0]!Otro,[0]!Centro,$B60,[0]!Turno,V$15)</f>
        <v>0</v>
      </c>
      <c r="W60" s="72">
        <f>SUMIFS([0]!Otro,[0]!Centro,$B60,[0]!Turno,W$15)</f>
        <v>0</v>
      </c>
      <c r="X60" s="72">
        <f>SUMIFS([0]!Otro,[0]!Centro,$B60,[0]!Turno,X$15)</f>
        <v>0</v>
      </c>
      <c r="Y60" s="73">
        <f>SUMIFS([0]!Otro,[0]!Centro,$B60,[0]!Turno,Y$15)</f>
        <v>0</v>
      </c>
    </row>
    <row r="61" spans="1:25" s="16" customFormat="1" ht="15" customHeight="1" x14ac:dyDescent="0.2">
      <c r="A61" s="20"/>
      <c r="B61" s="256"/>
      <c r="C61" s="94">
        <f>E61/SUM(E61:E63)</f>
        <v>0.72488038277511957</v>
      </c>
      <c r="D61" s="63" t="s">
        <v>0</v>
      </c>
      <c r="E61" s="150">
        <f>IF((E58+E59+E60)=0,0,(E58*$B62)/(E58+E59+E60))</f>
        <v>0.10263656754937132</v>
      </c>
      <c r="F61" s="150">
        <f>IF((F58+F59+F60)=0,0,(F58*$B62)/(F58+F59+F60))</f>
        <v>0.10619328028623072</v>
      </c>
      <c r="G61" s="150">
        <f t="shared" ref="G61" si="299">IF((G58+G59+G60)=0,0,(G58*$B62)/(G58+G59+G60))</f>
        <v>0.14159104038164097</v>
      </c>
      <c r="H61" s="150">
        <f t="shared" ref="H61" si="300">IF((H58+H59+H60)=0,0,(H58*$B62)/(H58+H59+H60))</f>
        <v>0.11254672440591974</v>
      </c>
      <c r="I61" s="150">
        <f t="shared" ref="I61" si="301">IF((I58+I59+I60)=0,0,(I58*$B62)/(I58+I59+I60))</f>
        <v>8.05979768326264E-2</v>
      </c>
      <c r="J61" s="150">
        <f t="shared" ref="J61" si="302">IF((J58+J59+J60)=0,0,(J58*$B62)/(J58+J59+J60))</f>
        <v>9.0831988169354588E-2</v>
      </c>
      <c r="K61" s="150">
        <f t="shared" ref="K61" si="303">IF((K58+K59+K60)=0,0,(K58*$B62)/(K58+K59+K60))</f>
        <v>0.12167980032797271</v>
      </c>
      <c r="L61" s="150">
        <f t="shared" ref="L61" si="304">IF((L58+L59+L60)=0,0,(L58*$B62)/(L58+L59+L60))</f>
        <v>9.664150375254861E-2</v>
      </c>
      <c r="M61" s="150">
        <f t="shared" ref="M61" si="305">IF((M58+M59+M60)=0,0,(M58*$B62)/(M58+M59+M60))</f>
        <v>0.10242756112714455</v>
      </c>
      <c r="N61" s="150">
        <f t="shared" ref="N61" si="306">IF((N58+N59+N60)=0,0,(N58*$B62)/(N58+N59+N60))</f>
        <v>0.10242756112714455</v>
      </c>
      <c r="O61" s="150">
        <f t="shared" ref="O61" si="307">IF((O58+O59+O60)=0,0,(O58*$B62)/(O58+O59+O60))</f>
        <v>0</v>
      </c>
      <c r="P61" s="150">
        <f t="shared" ref="P61" si="308">IF((P58+P59+P60)=0,0,(P58*$B62)/(P58+P59+P60))</f>
        <v>0</v>
      </c>
      <c r="Q61" s="150">
        <f t="shared" ref="Q61" si="309">IF((Q58+Q59+Q60)=0,0,(Q58*$B62)/(Q58+Q59+Q60))</f>
        <v>0</v>
      </c>
      <c r="R61" s="150">
        <f t="shared" ref="R61" si="310">IF((R58+R59+R60)=0,0,(R58*$B62)/(R58+R59+R60))</f>
        <v>0</v>
      </c>
      <c r="S61" s="150">
        <f t="shared" ref="S61" si="311">IF((S58+S59+S60)=0,0,(S58*$B62)/(S58+S59+S60))</f>
        <v>0</v>
      </c>
      <c r="T61" s="150">
        <f t="shared" ref="T61" si="312">IF((T58+T59+T60)=0,0,(T58*$B62)/(T58+T59+T60))</f>
        <v>0</v>
      </c>
      <c r="U61" s="150">
        <f t="shared" ref="U61" si="313">IF((U58+U59+U60)=0,0,(U58*$B62)/(U58+U59+U60))</f>
        <v>0</v>
      </c>
      <c r="V61" s="150">
        <f t="shared" ref="V61" si="314">IF((V58+V59+V60)=0,0,(V58*$B62)/(V58+V59+V60))</f>
        <v>0</v>
      </c>
      <c r="W61" s="150">
        <f t="shared" ref="W61" si="315">IF((W58+W59+W60)=0,0,(W58*$B62)/(W58+W59+W60))</f>
        <v>0</v>
      </c>
      <c r="X61" s="150">
        <f t="shared" ref="X61" si="316">IF((X58+X59+X60)=0,0,(X58*$B62)/(X58+X59+X60))</f>
        <v>0</v>
      </c>
      <c r="Y61" s="163">
        <f t="shared" ref="Y61" si="317">IF((Y58+Y59+Y60)=0,0,(Y58*$B62)/(Y58+Y59+Y60))</f>
        <v>0</v>
      </c>
    </row>
    <row r="62" spans="1:25" s="16" customFormat="1" ht="15" customHeight="1" x14ac:dyDescent="0.2">
      <c r="A62" s="20"/>
      <c r="B62" s="254">
        <v>0.14159104038164097</v>
      </c>
      <c r="C62" s="92">
        <f>E62/SUM(E61:E63)</f>
        <v>0.27511961722488038</v>
      </c>
      <c r="D62" s="61" t="s">
        <v>1</v>
      </c>
      <c r="E62" s="154">
        <f>IF((E58+E59+E60)=0,0,(E59*$B62)/(E58+E59+E60))</f>
        <v>3.8954472832269646E-2</v>
      </c>
      <c r="F62" s="154">
        <f>IF((F58+F59+F60)=0,0,(F59*$B62)/(F58+F59+F60))</f>
        <v>3.5397760095410243E-2</v>
      </c>
      <c r="G62" s="154">
        <f t="shared" ref="G62:O62" si="318">IF((G58+G59+G60)=0,0,(G59*$B62)/(G58+G59+G60))</f>
        <v>0</v>
      </c>
      <c r="H62" s="154">
        <f t="shared" si="318"/>
        <v>2.9044315975721224E-2</v>
      </c>
      <c r="I62" s="154">
        <f t="shared" si="318"/>
        <v>6.099306354901457E-2</v>
      </c>
      <c r="J62" s="154">
        <f t="shared" si="318"/>
        <v>5.0759052212286389E-2</v>
      </c>
      <c r="K62" s="154">
        <f t="shared" si="318"/>
        <v>1.9911240053668261E-2</v>
      </c>
      <c r="L62" s="154">
        <f t="shared" si="318"/>
        <v>4.4949536629092367E-2</v>
      </c>
      <c r="M62" s="154">
        <f t="shared" si="318"/>
        <v>3.9163479254496439E-2</v>
      </c>
      <c r="N62" s="154">
        <f t="shared" si="318"/>
        <v>3.9163479254496439E-2</v>
      </c>
      <c r="O62" s="154">
        <f t="shared" si="318"/>
        <v>0</v>
      </c>
      <c r="P62" s="154">
        <f>IF((P58+P59+P60)=0,0,(P59*$B62)/(P58+P59+P60))</f>
        <v>0</v>
      </c>
      <c r="Q62" s="154">
        <f t="shared" ref="Q62:Y62" si="319">IF((Q58+Q59+Q60)=0,0,(Q59*$B62)/(Q58+Q59+Q60))</f>
        <v>0</v>
      </c>
      <c r="R62" s="154">
        <f t="shared" si="319"/>
        <v>0</v>
      </c>
      <c r="S62" s="154">
        <f t="shared" si="319"/>
        <v>0</v>
      </c>
      <c r="T62" s="154">
        <f t="shared" si="319"/>
        <v>0</v>
      </c>
      <c r="U62" s="154">
        <f t="shared" si="319"/>
        <v>0</v>
      </c>
      <c r="V62" s="154">
        <f t="shared" si="319"/>
        <v>0</v>
      </c>
      <c r="W62" s="154">
        <f t="shared" si="319"/>
        <v>0</v>
      </c>
      <c r="X62" s="154">
        <f t="shared" si="319"/>
        <v>0</v>
      </c>
      <c r="Y62" s="159">
        <f t="shared" si="319"/>
        <v>0</v>
      </c>
    </row>
    <row r="63" spans="1:25" s="16" customFormat="1" ht="15" customHeight="1" thickBot="1" x14ac:dyDescent="0.25">
      <c r="A63" s="20"/>
      <c r="B63" s="255"/>
      <c r="C63" s="93">
        <f>E63/SUM(E61:E63)</f>
        <v>0</v>
      </c>
      <c r="D63" s="75" t="s">
        <v>2</v>
      </c>
      <c r="E63" s="155">
        <f>IF((E58+E59+E60)=0,0,(E60*$B62)/(E58+E59+E60))</f>
        <v>0</v>
      </c>
      <c r="F63" s="155">
        <f>IF((F58+F59+F60)=0,0,(F60*$B62)/(F58+F59+F60))</f>
        <v>0</v>
      </c>
      <c r="G63" s="155">
        <f t="shared" ref="G63" si="320">IF((G58+G59+G60)=0,0,(G60*$B62)/(G58+G59+G60))</f>
        <v>0</v>
      </c>
      <c r="H63" s="155">
        <f t="shared" ref="H63" si="321">IF((H58+H59+H60)=0,0,(H60*$B62)/(H58+H59+H60))</f>
        <v>0</v>
      </c>
      <c r="I63" s="155">
        <f t="shared" ref="I63" si="322">IF((I58+I59+I60)=0,0,(I60*$B62)/(I58+I59+I60))</f>
        <v>0</v>
      </c>
      <c r="J63" s="155">
        <f t="shared" ref="J63" si="323">IF((J58+J59+J60)=0,0,(J60*$B62)/(J58+J59+J60))</f>
        <v>0</v>
      </c>
      <c r="K63" s="155">
        <f t="shared" ref="K63" si="324">IF((K58+K59+K60)=0,0,(K60*$B62)/(K58+K59+K60))</f>
        <v>0</v>
      </c>
      <c r="L63" s="155">
        <f t="shared" ref="L63" si="325">IF((L58+L59+L60)=0,0,(L60*$B62)/(L58+L59+L60))</f>
        <v>0</v>
      </c>
      <c r="M63" s="155">
        <f t="shared" ref="M63" si="326">IF((M58+M59+M60)=0,0,(M60*$B62)/(M58+M59+M60))</f>
        <v>0</v>
      </c>
      <c r="N63" s="155">
        <f t="shared" ref="N63" si="327">IF((N58+N59+N60)=0,0,(N60*$B62)/(N58+N59+N60))</f>
        <v>0</v>
      </c>
      <c r="O63" s="155">
        <f t="shared" ref="O63" si="328">IF((O58+O59+O60)=0,0,(O60*$B62)/(O58+O59+O60))</f>
        <v>0</v>
      </c>
      <c r="P63" s="155">
        <f t="shared" ref="P63" si="329">IF((P58+P59+P60)=0,0,(P60*$B62)/(P58+P59+P60))</f>
        <v>0</v>
      </c>
      <c r="Q63" s="155">
        <f t="shared" ref="Q63" si="330">IF((Q58+Q59+Q60)=0,0,(Q60*$B62)/(Q58+Q59+Q60))</f>
        <v>0</v>
      </c>
      <c r="R63" s="155">
        <f t="shared" ref="R63" si="331">IF((R58+R59+R60)=0,0,(R60*$B62)/(R58+R59+R60))</f>
        <v>0</v>
      </c>
      <c r="S63" s="155">
        <f t="shared" ref="S63" si="332">IF((S58+S59+S60)=0,0,(S60*$B62)/(S58+S59+S60))</f>
        <v>0</v>
      </c>
      <c r="T63" s="155">
        <f t="shared" ref="T63" si="333">IF((T58+T59+T60)=0,0,(T60*$B62)/(T58+T59+T60))</f>
        <v>0</v>
      </c>
      <c r="U63" s="155">
        <f t="shared" ref="U63" si="334">IF((U58+U59+U60)=0,0,(U60*$B62)/(U58+U59+U60))</f>
        <v>0</v>
      </c>
      <c r="V63" s="155">
        <f t="shared" ref="V63" si="335">IF((V58+V59+V60)=0,0,(V60*$B62)/(V58+V59+V60))</f>
        <v>0</v>
      </c>
      <c r="W63" s="155">
        <f t="shared" ref="W63" si="336">IF((W58+W59+W60)=0,0,(W60*$B62)/(W58+W59+W60))</f>
        <v>0</v>
      </c>
      <c r="X63" s="155">
        <f t="shared" ref="X63" si="337">IF((X58+X59+X60)=0,0,(X60*$B62)/(X58+X59+X60))</f>
        <v>0</v>
      </c>
      <c r="Y63" s="160">
        <f t="shared" ref="Y63" si="338">IF((Y58+Y59+Y60)=0,0,(Y60*$B62)/(Y58+Y59+Y60))</f>
        <v>0</v>
      </c>
    </row>
    <row r="64" spans="1:25" s="16" customFormat="1" ht="15" customHeight="1" x14ac:dyDescent="0.2">
      <c r="A64" s="20"/>
      <c r="B64" s="257" t="s">
        <v>41</v>
      </c>
      <c r="C64" s="91">
        <f>E64/SUM(E64:E66)</f>
        <v>0.78663239074550129</v>
      </c>
      <c r="D64" s="67" t="s">
        <v>0</v>
      </c>
      <c r="E64" s="68">
        <f t="shared" si="51"/>
        <v>306</v>
      </c>
      <c r="F64" s="68">
        <f>SUMIFS([0]!Chavez,[0]!Centro,$B66,[0]!Turno,F$15)</f>
        <v>45</v>
      </c>
      <c r="G64" s="68">
        <f>SUMIFS([0]!Chavez,[0]!Centro,$B66,[0]!Turno,G$15)</f>
        <v>37</v>
      </c>
      <c r="H64" s="68">
        <f>SUMIFS([0]!Chavez,[0]!Centro,$B66,[0]!Turno,H$15)</f>
        <v>37</v>
      </c>
      <c r="I64" s="68">
        <f>SUMIFS([0]!Chavez,[0]!Centro,$B66,[0]!Turno,I$15)</f>
        <v>22</v>
      </c>
      <c r="J64" s="68">
        <f>SUMIFS([0]!Chavez,[0]!Centro,$B66,[0]!Turno,J$15)</f>
        <v>45</v>
      </c>
      <c r="K64" s="68">
        <f>SUMIFS([0]!Chavez,[0]!Centro,$B66,[0]!Turno,K$15)</f>
        <v>24</v>
      </c>
      <c r="L64" s="68">
        <f>SUMIFS([0]!Chavez,[0]!Centro,$B66,[0]!Turno,L$15)</f>
        <v>33</v>
      </c>
      <c r="M64" s="68">
        <f>SUMIFS([0]!Chavez,[0]!Centro,$B66,[0]!Turno,M$15)</f>
        <v>31</v>
      </c>
      <c r="N64" s="68">
        <f>SUMIFS([0]!Chavez,[0]!Centro,$B66,[0]!Turno,N$15)</f>
        <v>32</v>
      </c>
      <c r="O64" s="68">
        <f>SUMIFS([0]!Chavez,[0]!Centro,$B66,[0]!Turno,O$15)</f>
        <v>0</v>
      </c>
      <c r="P64" s="68">
        <f>SUMIFS([0]!Chavez,[0]!Centro,$B66,[0]!Turno,P$15)</f>
        <v>0</v>
      </c>
      <c r="Q64" s="68">
        <f>SUMIFS([0]!Chavez,[0]!Centro,$B66,[0]!Turno,Q$15)</f>
        <v>0</v>
      </c>
      <c r="R64" s="68">
        <f>SUMIFS([0]!Chavez,[0]!Centro,$B66,[0]!Turno,R$15)</f>
        <v>0</v>
      </c>
      <c r="S64" s="68">
        <f>SUMIFS([0]!Chavez,[0]!Centro,$B66,[0]!Turno,S$15)</f>
        <v>0</v>
      </c>
      <c r="T64" s="68">
        <f>SUMIFS([0]!Chavez,[0]!Centro,$B66,[0]!Turno,T$15)</f>
        <v>0</v>
      </c>
      <c r="U64" s="68">
        <f>SUMIFS([0]!Chavez,[0]!Centro,$B66,[0]!Turno,U$15)</f>
        <v>0</v>
      </c>
      <c r="V64" s="68">
        <f>SUMIFS([0]!Chavez,[0]!Centro,$B66,[0]!Turno,V$15)</f>
        <v>0</v>
      </c>
      <c r="W64" s="68">
        <f>SUMIFS([0]!Chavez,[0]!Centro,$B66,[0]!Turno,W$15)</f>
        <v>0</v>
      </c>
      <c r="X64" s="68">
        <f>SUMIFS([0]!Chavez,[0]!Centro,$B66,[0]!Turno,X$15)</f>
        <v>0</v>
      </c>
      <c r="Y64" s="69">
        <f>SUMIFS([0]!Chavez,[0]!Centro,$B66,[0]!Turno,Y$15)</f>
        <v>0</v>
      </c>
    </row>
    <row r="65" spans="1:25" s="16" customFormat="1" ht="15" customHeight="1" x14ac:dyDescent="0.2">
      <c r="A65" s="20"/>
      <c r="B65" s="256"/>
      <c r="C65" s="92">
        <f>E65/SUM(E64:E66)</f>
        <v>0.20565552699228792</v>
      </c>
      <c r="D65" s="61" t="s">
        <v>1</v>
      </c>
      <c r="E65" s="62">
        <f t="shared" si="51"/>
        <v>80</v>
      </c>
      <c r="F65" s="62">
        <f>SUMIFS([0]!Capriles,[0]!Centro,$B66,[0]!Turno,F$15)</f>
        <v>9</v>
      </c>
      <c r="G65" s="62">
        <f>SUMIFS([0]!Capriles,[0]!Centro,$B66,[0]!Turno,G$15)</f>
        <v>9</v>
      </c>
      <c r="H65" s="62">
        <f>SUMIFS([0]!Capriles,[0]!Centro,$B66,[0]!Turno,H$15)</f>
        <v>6</v>
      </c>
      <c r="I65" s="62">
        <f>SUMIFS([0]!Capriles,[0]!Centro,$B66,[0]!Turno,I$15)</f>
        <v>17</v>
      </c>
      <c r="J65" s="62">
        <f>SUMIFS([0]!Capriles,[0]!Centro,$B66,[0]!Turno,J$15)</f>
        <v>13</v>
      </c>
      <c r="K65" s="62">
        <f>SUMIFS([0]!Capriles,[0]!Centro,$B66,[0]!Turno,K$15)</f>
        <v>6</v>
      </c>
      <c r="L65" s="62">
        <f>SUMIFS([0]!Capriles,[0]!Centro,$B66,[0]!Turno,L$15)</f>
        <v>12</v>
      </c>
      <c r="M65" s="62">
        <f>SUMIFS([0]!Capriles,[0]!Centro,$B66,[0]!Turno,M$15)</f>
        <v>4</v>
      </c>
      <c r="N65" s="62">
        <f>SUMIFS([0]!Capriles,[0]!Centro,$B66,[0]!Turno,N$15)</f>
        <v>4</v>
      </c>
      <c r="O65" s="62">
        <f>SUMIFS([0]!Capriles,[0]!Centro,$B66,[0]!Turno,O$15)</f>
        <v>0</v>
      </c>
      <c r="P65" s="62">
        <f>SUMIFS([0]!Capriles,[0]!Centro,$B66,[0]!Turno,P$15)</f>
        <v>0</v>
      </c>
      <c r="Q65" s="62">
        <f>SUMIFS([0]!Capriles,[0]!Centro,$B66,[0]!Turno,Q$15)</f>
        <v>0</v>
      </c>
      <c r="R65" s="62">
        <f>SUMIFS([0]!Capriles,[0]!Centro,$B66,[0]!Turno,R$15)</f>
        <v>0</v>
      </c>
      <c r="S65" s="62">
        <f>SUMIFS([0]!Capriles,[0]!Centro,$B66,[0]!Turno,S$15)</f>
        <v>0</v>
      </c>
      <c r="T65" s="62">
        <f>SUMIFS([0]!Capriles,[0]!Centro,$B66,[0]!Turno,T$15)</f>
        <v>0</v>
      </c>
      <c r="U65" s="62">
        <f>SUMIFS([0]!Capriles,[0]!Centro,$B66,[0]!Turno,U$15)</f>
        <v>0</v>
      </c>
      <c r="V65" s="62">
        <f>SUMIFS([0]!Capriles,[0]!Centro,$B66,[0]!Turno,V$15)</f>
        <v>0</v>
      </c>
      <c r="W65" s="62">
        <f>SUMIFS([0]!Capriles,[0]!Centro,$B66,[0]!Turno,W$15)</f>
        <v>0</v>
      </c>
      <c r="X65" s="62">
        <f>SUMIFS([0]!Capriles,[0]!Centro,$B66,[0]!Turno,X$15)</f>
        <v>0</v>
      </c>
      <c r="Y65" s="70">
        <f>SUMIFS([0]!Capriles,[0]!Centro,$B66,[0]!Turno,Y$15)</f>
        <v>0</v>
      </c>
    </row>
    <row r="66" spans="1:25" s="16" customFormat="1" ht="15" customHeight="1" thickBot="1" x14ac:dyDescent="0.25">
      <c r="A66" s="20"/>
      <c r="B66" s="256">
        <v>27</v>
      </c>
      <c r="C66" s="100">
        <f>E66/SUM(E64:E66)</f>
        <v>7.7120822622107968E-3</v>
      </c>
      <c r="D66" s="71" t="s">
        <v>2</v>
      </c>
      <c r="E66" s="72">
        <f t="shared" si="51"/>
        <v>3</v>
      </c>
      <c r="F66" s="72">
        <f>SUMIFS([0]!Otro,[0]!Centro,$B66,[0]!Turno,F$15)</f>
        <v>0</v>
      </c>
      <c r="G66" s="72">
        <f>SUMIFS([0]!Otro,[0]!Centro,$B66,[0]!Turno,G$15)</f>
        <v>0</v>
      </c>
      <c r="H66" s="72">
        <f>SUMIFS([0]!Otro,[0]!Centro,$B66,[0]!Turno,H$15)</f>
        <v>0</v>
      </c>
      <c r="I66" s="72">
        <f>SUMIFS([0]!Otro,[0]!Centro,$B66,[0]!Turno,I$15)</f>
        <v>0</v>
      </c>
      <c r="J66" s="72">
        <f>SUMIFS([0]!Otro,[0]!Centro,$B66,[0]!Turno,J$15)</f>
        <v>0</v>
      </c>
      <c r="K66" s="72">
        <f>SUMIFS([0]!Otro,[0]!Centro,$B66,[0]!Turno,K$15)</f>
        <v>0</v>
      </c>
      <c r="L66" s="72">
        <f>SUMIFS([0]!Otro,[0]!Centro,$B66,[0]!Turno,L$15)</f>
        <v>0</v>
      </c>
      <c r="M66" s="72">
        <f>SUMIFS([0]!Otro,[0]!Centro,$B66,[0]!Turno,M$15)</f>
        <v>3</v>
      </c>
      <c r="N66" s="72">
        <f>SUMIFS([0]!Otro,[0]!Centro,$B66,[0]!Turno,N$15)</f>
        <v>0</v>
      </c>
      <c r="O66" s="72">
        <f>SUMIFS([0]!Otro,[0]!Centro,$B66,[0]!Turno,O$15)</f>
        <v>0</v>
      </c>
      <c r="P66" s="72">
        <f>SUMIFS([0]!Otro,[0]!Centro,$B66,[0]!Turno,P$15)</f>
        <v>0</v>
      </c>
      <c r="Q66" s="72">
        <f>SUMIFS([0]!Otro,[0]!Centro,$B66,[0]!Turno,Q$15)</f>
        <v>0</v>
      </c>
      <c r="R66" s="72">
        <f>SUMIFS([0]!Otro,[0]!Centro,$B66,[0]!Turno,R$15)</f>
        <v>0</v>
      </c>
      <c r="S66" s="72">
        <f>SUMIFS([0]!Otro,[0]!Centro,$B66,[0]!Turno,S$15)</f>
        <v>0</v>
      </c>
      <c r="T66" s="72">
        <f>SUMIFS([0]!Otro,[0]!Centro,$B66,[0]!Turno,T$15)</f>
        <v>0</v>
      </c>
      <c r="U66" s="72">
        <f>SUMIFS([0]!Otro,[0]!Centro,$B66,[0]!Turno,U$15)</f>
        <v>0</v>
      </c>
      <c r="V66" s="72">
        <f>SUMIFS([0]!Otro,[0]!Centro,$B66,[0]!Turno,V$15)</f>
        <v>0</v>
      </c>
      <c r="W66" s="72">
        <f>SUMIFS([0]!Otro,[0]!Centro,$B66,[0]!Turno,W$15)</f>
        <v>0</v>
      </c>
      <c r="X66" s="72">
        <f>SUMIFS([0]!Otro,[0]!Centro,$B66,[0]!Turno,X$15)</f>
        <v>0</v>
      </c>
      <c r="Y66" s="73">
        <f>SUMIFS([0]!Otro,[0]!Centro,$B66,[0]!Turno,Y$15)</f>
        <v>0</v>
      </c>
    </row>
    <row r="67" spans="1:25" s="16" customFormat="1" ht="15" customHeight="1" x14ac:dyDescent="0.2">
      <c r="A67" s="20"/>
      <c r="B67" s="256"/>
      <c r="C67" s="94">
        <f>E67/SUM(E67:E69)</f>
        <v>0.78663239074550129</v>
      </c>
      <c r="D67" s="63" t="s">
        <v>0</v>
      </c>
      <c r="E67" s="150">
        <f>IF((E64+E65+E66)=0,0,(E64*$B68)/(E64+E65+E66))</f>
        <v>0.16530670052805504</v>
      </c>
      <c r="F67" s="150">
        <f>IF((F64+F65+F66)=0,0,(F64*$B68)/(F64+F65+F66))</f>
        <v>0.17512066041779251</v>
      </c>
      <c r="G67" s="150">
        <f t="shared" ref="G67" si="339">IF((G64+G65+G66)=0,0,(G64*$B68)/(G64+G65+G66))</f>
        <v>0.16902950701195624</v>
      </c>
      <c r="H67" s="150">
        <f t="shared" ref="H67" si="340">IF((H64+H65+H66)=0,0,(H64*$B68)/(H64+H65+H66))</f>
        <v>0.18082226331511597</v>
      </c>
      <c r="I67" s="150">
        <f t="shared" ref="I67" si="341">IF((I64+I65+I66)=0,0,(I64*$B68)/(I64+I65+I66))</f>
        <v>0.11854321628281338</v>
      </c>
      <c r="J67" s="150">
        <f t="shared" ref="J67" si="342">IF((J64+J65+J66)=0,0,(J64*$B68)/(J64+J65+J66))</f>
        <v>0.16304337349242751</v>
      </c>
      <c r="K67" s="150">
        <f t="shared" ref="K67" si="343">IF((K64+K65+K66)=0,0,(K64*$B68)/(K64+K65+K66))</f>
        <v>0.16811583400108082</v>
      </c>
      <c r="L67" s="150">
        <f t="shared" ref="L67" si="344">IF((L64+L65+L66)=0,0,(L64*$B68)/(L64+L65+L66))</f>
        <v>0.15410618116765742</v>
      </c>
      <c r="M67" s="150">
        <f t="shared" ref="M67" si="345">IF((M64+M65+M66)=0,0,(M64*$B68)/(M64+M65+M66))</f>
        <v>0.17143390967215477</v>
      </c>
      <c r="N67" s="150">
        <f t="shared" ref="N67" si="346">IF((N64+N65+N66)=0,0,(N64*$B68)/(N64+N65+N66))</f>
        <v>0.18679537111231201</v>
      </c>
      <c r="O67" s="150">
        <f t="shared" ref="O67" si="347">IF((O64+O65+O66)=0,0,(O64*$B68)/(O64+O65+O66))</f>
        <v>0</v>
      </c>
      <c r="P67" s="150">
        <f t="shared" ref="P67" si="348">IF((P64+P65+P66)=0,0,(P64*$B68)/(P64+P65+P66))</f>
        <v>0</v>
      </c>
      <c r="Q67" s="150">
        <f t="shared" ref="Q67" si="349">IF((Q64+Q65+Q66)=0,0,(Q64*$B68)/(Q64+Q65+Q66))</f>
        <v>0</v>
      </c>
      <c r="R67" s="150">
        <f t="shared" ref="R67" si="350">IF((R64+R65+R66)=0,0,(R64*$B68)/(R64+R65+R66))</f>
        <v>0</v>
      </c>
      <c r="S67" s="150">
        <f t="shared" ref="S67" si="351">IF((S64+S65+S66)=0,0,(S64*$B68)/(S64+S65+S66))</f>
        <v>0</v>
      </c>
      <c r="T67" s="150">
        <f t="shared" ref="T67" si="352">IF((T64+T65+T66)=0,0,(T64*$B68)/(T64+T65+T66))</f>
        <v>0</v>
      </c>
      <c r="U67" s="150">
        <f t="shared" ref="U67" si="353">IF((U64+U65+U66)=0,0,(U64*$B68)/(U64+U65+U66))</f>
        <v>0</v>
      </c>
      <c r="V67" s="150">
        <f t="shared" ref="V67" si="354">IF((V64+V65+V66)=0,0,(V64*$B68)/(V64+V65+V66))</f>
        <v>0</v>
      </c>
      <c r="W67" s="150">
        <f t="shared" ref="W67" si="355">IF((W64+W65+W66)=0,0,(W64*$B68)/(W64+W65+W66))</f>
        <v>0</v>
      </c>
      <c r="X67" s="150">
        <f t="shared" ref="X67" si="356">IF((X64+X65+X66)=0,0,(X64*$B68)/(X64+X65+X66))</f>
        <v>0</v>
      </c>
      <c r="Y67" s="163">
        <f t="shared" ref="Y67" si="357">IF((Y64+Y65+Y66)=0,0,(Y64*$B68)/(Y64+Y65+Y66))</f>
        <v>0</v>
      </c>
    </row>
    <row r="68" spans="1:25" s="16" customFormat="1" ht="15" customHeight="1" x14ac:dyDescent="0.2">
      <c r="A68" s="20"/>
      <c r="B68" s="254">
        <v>0.21014479250135101</v>
      </c>
      <c r="C68" s="92">
        <f>E68/SUM(E67:E69)</f>
        <v>0.20565552699228792</v>
      </c>
      <c r="D68" s="61" t="s">
        <v>1</v>
      </c>
      <c r="E68" s="154">
        <f>IF((E64+E65+E66)=0,0,(E65*$B68)/(E64+E65+E66))</f>
        <v>4.3217438046550337E-2</v>
      </c>
      <c r="F68" s="154">
        <f>IF((F64+F65+F66)=0,0,(F65*$B68)/(F64+F65+F66))</f>
        <v>3.5024132083558507E-2</v>
      </c>
      <c r="G68" s="154">
        <f t="shared" ref="G68:O68" si="358">IF((G64+G65+G66)=0,0,(G65*$B68)/(G64+G65+G66))</f>
        <v>4.1115285489394762E-2</v>
      </c>
      <c r="H68" s="154">
        <f t="shared" si="358"/>
        <v>2.9322529186235027E-2</v>
      </c>
      <c r="I68" s="154">
        <f t="shared" si="358"/>
        <v>9.1601576218537623E-2</v>
      </c>
      <c r="J68" s="154">
        <f t="shared" si="358"/>
        <v>4.7101419008923499E-2</v>
      </c>
      <c r="K68" s="154">
        <f t="shared" si="358"/>
        <v>4.2028958500270205E-2</v>
      </c>
      <c r="L68" s="154">
        <f t="shared" si="358"/>
        <v>5.6038611333693603E-2</v>
      </c>
      <c r="M68" s="154">
        <f t="shared" si="358"/>
        <v>2.2120504473826422E-2</v>
      </c>
      <c r="N68" s="154">
        <f t="shared" si="358"/>
        <v>2.3349421389039001E-2</v>
      </c>
      <c r="O68" s="154">
        <f t="shared" si="358"/>
        <v>0</v>
      </c>
      <c r="P68" s="154">
        <f>IF((P64+P65+P66)=0,0,(P65*$B68)/(P64+P65+P66))</f>
        <v>0</v>
      </c>
      <c r="Q68" s="154">
        <f t="shared" ref="Q68:Y68" si="359">IF((Q64+Q65+Q66)=0,0,(Q65*$B68)/(Q64+Q65+Q66))</f>
        <v>0</v>
      </c>
      <c r="R68" s="154">
        <f t="shared" si="359"/>
        <v>0</v>
      </c>
      <c r="S68" s="154">
        <f t="shared" si="359"/>
        <v>0</v>
      </c>
      <c r="T68" s="154">
        <f t="shared" si="359"/>
        <v>0</v>
      </c>
      <c r="U68" s="154">
        <f t="shared" si="359"/>
        <v>0</v>
      </c>
      <c r="V68" s="154">
        <f t="shared" si="359"/>
        <v>0</v>
      </c>
      <c r="W68" s="154">
        <f t="shared" si="359"/>
        <v>0</v>
      </c>
      <c r="X68" s="154">
        <f t="shared" si="359"/>
        <v>0</v>
      </c>
      <c r="Y68" s="159">
        <f t="shared" si="359"/>
        <v>0</v>
      </c>
    </row>
    <row r="69" spans="1:25" s="16" customFormat="1" ht="15" customHeight="1" thickBot="1" x14ac:dyDescent="0.25">
      <c r="A69" s="20"/>
      <c r="B69" s="255"/>
      <c r="C69" s="93">
        <f>E69/SUM(E67:E69)</f>
        <v>7.7120822622107977E-3</v>
      </c>
      <c r="D69" s="75" t="s">
        <v>2</v>
      </c>
      <c r="E69" s="155">
        <f>IF((E64+E65+E66)=0,0,(E66*$B68)/(E64+E65+E66))</f>
        <v>1.6206539267456378E-3</v>
      </c>
      <c r="F69" s="155">
        <f>IF((F64+F65+F66)=0,0,(F66*$B68)/(F64+F65+F66))</f>
        <v>0</v>
      </c>
      <c r="G69" s="155">
        <f t="shared" ref="G69" si="360">IF((G64+G65+G66)=0,0,(G66*$B68)/(G64+G65+G66))</f>
        <v>0</v>
      </c>
      <c r="H69" s="155">
        <f t="shared" ref="H69" si="361">IF((H64+H65+H66)=0,0,(H66*$B68)/(H64+H65+H66))</f>
        <v>0</v>
      </c>
      <c r="I69" s="155">
        <f t="shared" ref="I69" si="362">IF((I64+I65+I66)=0,0,(I66*$B68)/(I64+I65+I66))</f>
        <v>0</v>
      </c>
      <c r="J69" s="155">
        <f t="shared" ref="J69" si="363">IF((J64+J65+J66)=0,0,(J66*$B68)/(J64+J65+J66))</f>
        <v>0</v>
      </c>
      <c r="K69" s="155">
        <f t="shared" ref="K69" si="364">IF((K64+K65+K66)=0,0,(K66*$B68)/(K64+K65+K66))</f>
        <v>0</v>
      </c>
      <c r="L69" s="155">
        <f t="shared" ref="L69" si="365">IF((L64+L65+L66)=0,0,(L66*$B68)/(L64+L65+L66))</f>
        <v>0</v>
      </c>
      <c r="M69" s="155">
        <f t="shared" ref="M69" si="366">IF((M64+M65+M66)=0,0,(M66*$B68)/(M64+M65+M66))</f>
        <v>1.6590378355369816E-2</v>
      </c>
      <c r="N69" s="155">
        <f t="shared" ref="N69" si="367">IF((N64+N65+N66)=0,0,(N66*$B68)/(N64+N65+N66))</f>
        <v>0</v>
      </c>
      <c r="O69" s="155">
        <f t="shared" ref="O69" si="368">IF((O64+O65+O66)=0,0,(O66*$B68)/(O64+O65+O66))</f>
        <v>0</v>
      </c>
      <c r="P69" s="155">
        <f t="shared" ref="P69" si="369">IF((P64+P65+P66)=0,0,(P66*$B68)/(P64+P65+P66))</f>
        <v>0</v>
      </c>
      <c r="Q69" s="155">
        <f t="shared" ref="Q69" si="370">IF((Q64+Q65+Q66)=0,0,(Q66*$B68)/(Q64+Q65+Q66))</f>
        <v>0</v>
      </c>
      <c r="R69" s="155">
        <f t="shared" ref="R69" si="371">IF((R64+R65+R66)=0,0,(R66*$B68)/(R64+R65+R66))</f>
        <v>0</v>
      </c>
      <c r="S69" s="155">
        <f t="shared" ref="S69" si="372">IF((S64+S65+S66)=0,0,(S66*$B68)/(S64+S65+S66))</f>
        <v>0</v>
      </c>
      <c r="T69" s="155">
        <f t="shared" ref="T69" si="373">IF((T64+T65+T66)=0,0,(T66*$B68)/(T64+T65+T66))</f>
        <v>0</v>
      </c>
      <c r="U69" s="155">
        <f t="shared" ref="U69" si="374">IF((U64+U65+U66)=0,0,(U66*$B68)/(U64+U65+U66))</f>
        <v>0</v>
      </c>
      <c r="V69" s="155">
        <f t="shared" ref="V69" si="375">IF((V64+V65+V66)=0,0,(V66*$B68)/(V64+V65+V66))</f>
        <v>0</v>
      </c>
      <c r="W69" s="155">
        <f t="shared" ref="W69" si="376">IF((W64+W65+W66)=0,0,(W66*$B68)/(W64+W65+W66))</f>
        <v>0</v>
      </c>
      <c r="X69" s="155">
        <f t="shared" ref="X69" si="377">IF((X64+X65+X66)=0,0,(X66*$B68)/(X64+X65+X66))</f>
        <v>0</v>
      </c>
      <c r="Y69" s="160">
        <f t="shared" ref="Y69" si="378">IF((Y64+Y65+Y66)=0,0,(Y66*$B68)/(Y64+Y65+Y66))</f>
        <v>0</v>
      </c>
    </row>
    <row r="70" spans="1:25" ht="15" customHeight="1" thickBot="1" x14ac:dyDescent="0.25">
      <c r="B70" s="101" t="s">
        <v>3</v>
      </c>
      <c r="C70" s="12" t="s">
        <v>226</v>
      </c>
      <c r="D70" s="21" t="s">
        <v>4</v>
      </c>
      <c r="E70" s="13" t="s">
        <v>225</v>
      </c>
      <c r="F70" s="14">
        <v>1</v>
      </c>
      <c r="G70" s="14">
        <v>2</v>
      </c>
      <c r="H70" s="14">
        <v>3</v>
      </c>
      <c r="I70" s="14">
        <v>4</v>
      </c>
      <c r="J70" s="14">
        <v>5</v>
      </c>
      <c r="K70" s="14">
        <v>6</v>
      </c>
      <c r="L70" s="14">
        <v>7</v>
      </c>
      <c r="M70" s="14">
        <v>8</v>
      </c>
      <c r="N70" s="14">
        <v>9</v>
      </c>
      <c r="O70" s="14">
        <v>10</v>
      </c>
      <c r="P70" s="14">
        <v>11</v>
      </c>
      <c r="Q70" s="14">
        <v>12</v>
      </c>
      <c r="R70" s="14">
        <v>13</v>
      </c>
      <c r="S70" s="14">
        <v>14</v>
      </c>
      <c r="T70" s="14">
        <v>15</v>
      </c>
      <c r="U70" s="14">
        <v>16</v>
      </c>
      <c r="V70" s="14">
        <v>17</v>
      </c>
      <c r="W70" s="14">
        <v>18</v>
      </c>
      <c r="X70" s="14">
        <v>19</v>
      </c>
      <c r="Y70" s="102">
        <v>20</v>
      </c>
    </row>
    <row r="71" spans="1:25" ht="15" customHeight="1" x14ac:dyDescent="0.2">
      <c r="B71" s="258" t="s">
        <v>42</v>
      </c>
      <c r="C71" s="95">
        <f t="shared" ref="C71:C73" si="379">E71/($E$71+$E$72+$E$73)</f>
        <v>0.60108108108108105</v>
      </c>
      <c r="D71" s="81" t="s">
        <v>0</v>
      </c>
      <c r="E71" s="82">
        <f>SUM(F71:Y71)</f>
        <v>556</v>
      </c>
      <c r="F71" s="82">
        <f t="shared" ref="F71:Y71" si="380">SUM(F77,F83,F89,F95)</f>
        <v>47</v>
      </c>
      <c r="G71" s="82">
        <f t="shared" si="380"/>
        <v>59</v>
      </c>
      <c r="H71" s="82">
        <f t="shared" si="380"/>
        <v>99</v>
      </c>
      <c r="I71" s="82">
        <f t="shared" si="380"/>
        <v>76</v>
      </c>
      <c r="J71" s="82">
        <f t="shared" si="380"/>
        <v>82</v>
      </c>
      <c r="K71" s="82">
        <f t="shared" si="380"/>
        <v>46</v>
      </c>
      <c r="L71" s="82">
        <f t="shared" si="380"/>
        <v>57</v>
      </c>
      <c r="M71" s="82">
        <f t="shared" si="380"/>
        <v>64</v>
      </c>
      <c r="N71" s="82">
        <f t="shared" si="380"/>
        <v>15</v>
      </c>
      <c r="O71" s="82">
        <f t="shared" si="380"/>
        <v>5</v>
      </c>
      <c r="P71" s="82">
        <f t="shared" si="380"/>
        <v>6</v>
      </c>
      <c r="Q71" s="82">
        <f t="shared" si="380"/>
        <v>0</v>
      </c>
      <c r="R71" s="82">
        <f t="shared" si="380"/>
        <v>0</v>
      </c>
      <c r="S71" s="82">
        <f t="shared" si="380"/>
        <v>0</v>
      </c>
      <c r="T71" s="82">
        <f t="shared" si="380"/>
        <v>0</v>
      </c>
      <c r="U71" s="82">
        <f t="shared" si="380"/>
        <v>0</v>
      </c>
      <c r="V71" s="82">
        <f t="shared" si="380"/>
        <v>0</v>
      </c>
      <c r="W71" s="82">
        <f t="shared" si="380"/>
        <v>0</v>
      </c>
      <c r="X71" s="82">
        <f t="shared" si="380"/>
        <v>0</v>
      </c>
      <c r="Y71" s="83">
        <f t="shared" si="380"/>
        <v>0</v>
      </c>
    </row>
    <row r="72" spans="1:25" ht="15" customHeight="1" x14ac:dyDescent="0.2">
      <c r="B72" s="259"/>
      <c r="C72" s="96">
        <f t="shared" si="379"/>
        <v>0.39027027027027028</v>
      </c>
      <c r="D72" s="79" t="s">
        <v>1</v>
      </c>
      <c r="E72" s="80">
        <f t="shared" ref="E72:E97" si="381">SUM(F72:Y72)</f>
        <v>361</v>
      </c>
      <c r="F72" s="80">
        <f t="shared" ref="F72:Y72" si="382">SUM(F78,F84,F90,F96)</f>
        <v>26</v>
      </c>
      <c r="G72" s="80">
        <f t="shared" si="382"/>
        <v>32</v>
      </c>
      <c r="H72" s="80">
        <f t="shared" si="382"/>
        <v>57</v>
      </c>
      <c r="I72" s="80">
        <f t="shared" si="382"/>
        <v>46</v>
      </c>
      <c r="J72" s="80">
        <f t="shared" si="382"/>
        <v>69</v>
      </c>
      <c r="K72" s="80">
        <f t="shared" si="382"/>
        <v>29</v>
      </c>
      <c r="L72" s="80">
        <f t="shared" si="382"/>
        <v>48</v>
      </c>
      <c r="M72" s="80">
        <f t="shared" si="382"/>
        <v>39</v>
      </c>
      <c r="N72" s="80">
        <f t="shared" si="382"/>
        <v>5</v>
      </c>
      <c r="O72" s="80">
        <f t="shared" si="382"/>
        <v>7</v>
      </c>
      <c r="P72" s="80">
        <f t="shared" si="382"/>
        <v>3</v>
      </c>
      <c r="Q72" s="80">
        <f t="shared" si="382"/>
        <v>0</v>
      </c>
      <c r="R72" s="80">
        <f t="shared" si="382"/>
        <v>0</v>
      </c>
      <c r="S72" s="80">
        <f t="shared" si="382"/>
        <v>0</v>
      </c>
      <c r="T72" s="80">
        <f t="shared" si="382"/>
        <v>0</v>
      </c>
      <c r="U72" s="80">
        <f t="shared" si="382"/>
        <v>0</v>
      </c>
      <c r="V72" s="80">
        <f t="shared" si="382"/>
        <v>0</v>
      </c>
      <c r="W72" s="80">
        <f t="shared" si="382"/>
        <v>0</v>
      </c>
      <c r="X72" s="80">
        <f t="shared" si="382"/>
        <v>0</v>
      </c>
      <c r="Y72" s="84">
        <f t="shared" si="382"/>
        <v>0</v>
      </c>
    </row>
    <row r="73" spans="1:25" ht="15" customHeight="1" thickBot="1" x14ac:dyDescent="0.25">
      <c r="B73" s="259"/>
      <c r="C73" s="97">
        <f t="shared" si="379"/>
        <v>8.6486486486486488E-3</v>
      </c>
      <c r="D73" s="86" t="s">
        <v>2</v>
      </c>
      <c r="E73" s="87">
        <f t="shared" si="381"/>
        <v>8</v>
      </c>
      <c r="F73" s="87">
        <f t="shared" ref="F73:Y73" si="383">SUM(F79,F85,F91,F97)</f>
        <v>2</v>
      </c>
      <c r="G73" s="87">
        <f t="shared" si="383"/>
        <v>1</v>
      </c>
      <c r="H73" s="87">
        <f t="shared" si="383"/>
        <v>1</v>
      </c>
      <c r="I73" s="87">
        <f t="shared" si="383"/>
        <v>1</v>
      </c>
      <c r="J73" s="87">
        <f t="shared" si="383"/>
        <v>3</v>
      </c>
      <c r="K73" s="87">
        <f t="shared" si="383"/>
        <v>0</v>
      </c>
      <c r="L73" s="87">
        <f t="shared" si="383"/>
        <v>0</v>
      </c>
      <c r="M73" s="87">
        <f t="shared" si="383"/>
        <v>0</v>
      </c>
      <c r="N73" s="87">
        <f t="shared" si="383"/>
        <v>0</v>
      </c>
      <c r="O73" s="87">
        <f t="shared" si="383"/>
        <v>0</v>
      </c>
      <c r="P73" s="87">
        <f t="shared" si="383"/>
        <v>0</v>
      </c>
      <c r="Q73" s="87">
        <f t="shared" si="383"/>
        <v>0</v>
      </c>
      <c r="R73" s="87">
        <f t="shared" si="383"/>
        <v>0</v>
      </c>
      <c r="S73" s="87">
        <f t="shared" si="383"/>
        <v>0</v>
      </c>
      <c r="T73" s="87">
        <f t="shared" si="383"/>
        <v>0</v>
      </c>
      <c r="U73" s="87">
        <f t="shared" si="383"/>
        <v>0</v>
      </c>
      <c r="V73" s="87">
        <f t="shared" si="383"/>
        <v>0</v>
      </c>
      <c r="W73" s="87">
        <f t="shared" si="383"/>
        <v>0</v>
      </c>
      <c r="X73" s="87">
        <f t="shared" si="383"/>
        <v>0</v>
      </c>
      <c r="Y73" s="88">
        <f t="shared" si="383"/>
        <v>0</v>
      </c>
    </row>
    <row r="74" spans="1:25" ht="15" customHeight="1" x14ac:dyDescent="0.2">
      <c r="B74" s="259"/>
      <c r="C74" s="98">
        <f>E74/($E$74+$E$75+$E$76)</f>
        <v>0.59928034842995637</v>
      </c>
      <c r="D74" s="85" t="s">
        <v>0</v>
      </c>
      <c r="E74" s="151">
        <f t="shared" ref="E74" si="384">SUM(E80,E86,E92,E98)</f>
        <v>0.59928034842995637</v>
      </c>
      <c r="F74" s="151">
        <f t="shared" ref="F74:Y74" si="385">SUM(F80,F86,F92,F98)</f>
        <v>0.62246852374849815</v>
      </c>
      <c r="G74" s="151">
        <f t="shared" si="385"/>
        <v>0.53585642306235071</v>
      </c>
      <c r="H74" s="151">
        <f t="shared" si="385"/>
        <v>0.67821391204387882</v>
      </c>
      <c r="I74" s="151">
        <f t="shared" si="385"/>
        <v>0.48689101263157852</v>
      </c>
      <c r="J74" s="151">
        <f t="shared" si="385"/>
        <v>0.5122856822048405</v>
      </c>
      <c r="K74" s="151">
        <f t="shared" si="385"/>
        <v>0.62486802488840598</v>
      </c>
      <c r="L74" s="151">
        <f t="shared" si="385"/>
        <v>0.449105206007411</v>
      </c>
      <c r="M74" s="151">
        <f t="shared" si="385"/>
        <v>0.54709751160501485</v>
      </c>
      <c r="N74" s="151">
        <f t="shared" si="385"/>
        <v>0.32560633377440029</v>
      </c>
      <c r="O74" s="151">
        <f t="shared" si="385"/>
        <v>6.5926846851168563E-2</v>
      </c>
      <c r="P74" s="151">
        <f t="shared" si="385"/>
        <v>0.1054829549618697</v>
      </c>
      <c r="Q74" s="151">
        <f t="shared" si="385"/>
        <v>0</v>
      </c>
      <c r="R74" s="151">
        <f t="shared" si="385"/>
        <v>0</v>
      </c>
      <c r="S74" s="151">
        <f t="shared" si="385"/>
        <v>0</v>
      </c>
      <c r="T74" s="151">
        <f t="shared" si="385"/>
        <v>0</v>
      </c>
      <c r="U74" s="151">
        <f t="shared" si="385"/>
        <v>0</v>
      </c>
      <c r="V74" s="151">
        <f t="shared" si="385"/>
        <v>0</v>
      </c>
      <c r="W74" s="151">
        <f t="shared" si="385"/>
        <v>0</v>
      </c>
      <c r="X74" s="151">
        <f t="shared" si="385"/>
        <v>0</v>
      </c>
      <c r="Y74" s="156">
        <f t="shared" si="385"/>
        <v>0</v>
      </c>
    </row>
    <row r="75" spans="1:25" ht="15" customHeight="1" x14ac:dyDescent="0.2">
      <c r="B75" s="259"/>
      <c r="C75" s="96">
        <f>E75/($E$74+$E$75+$E$76)</f>
        <v>0.39108212590742086</v>
      </c>
      <c r="D75" s="79" t="s">
        <v>1</v>
      </c>
      <c r="E75" s="152">
        <f t="shared" ref="E75" si="386">SUM(E81,E87,E93,E99)</f>
        <v>0.39108212590742086</v>
      </c>
      <c r="F75" s="152">
        <f t="shared" ref="F75:Y75" si="387">SUM(F81,F87,F93,F99)</f>
        <v>0.33411729841491528</v>
      </c>
      <c r="G75" s="152">
        <f t="shared" si="387"/>
        <v>0.27289609041950624</v>
      </c>
      <c r="H75" s="152">
        <f t="shared" si="387"/>
        <v>0.31378049908937256</v>
      </c>
      <c r="I75" s="152">
        <f t="shared" si="387"/>
        <v>0.34774443512554376</v>
      </c>
      <c r="J75" s="152">
        <f t="shared" si="387"/>
        <v>0.47500848015936903</v>
      </c>
      <c r="K75" s="152">
        <f t="shared" si="387"/>
        <v>0.37513197511159402</v>
      </c>
      <c r="L75" s="152">
        <f t="shared" si="387"/>
        <v>0.39267036154978452</v>
      </c>
      <c r="M75" s="152">
        <f t="shared" si="387"/>
        <v>0.30945313180636469</v>
      </c>
      <c r="N75" s="152">
        <f t="shared" si="387"/>
        <v>0.10853544459146676</v>
      </c>
      <c r="O75" s="152">
        <f t="shared" si="387"/>
        <v>9.2297585591635978E-2</v>
      </c>
      <c r="P75" s="152">
        <f t="shared" si="387"/>
        <v>5.2741477480934849E-2</v>
      </c>
      <c r="Q75" s="152">
        <f t="shared" si="387"/>
        <v>0</v>
      </c>
      <c r="R75" s="152">
        <f t="shared" si="387"/>
        <v>0</v>
      </c>
      <c r="S75" s="152">
        <f t="shared" si="387"/>
        <v>0</v>
      </c>
      <c r="T75" s="152">
        <f t="shared" si="387"/>
        <v>0</v>
      </c>
      <c r="U75" s="152">
        <f t="shared" si="387"/>
        <v>0</v>
      </c>
      <c r="V75" s="152">
        <f t="shared" si="387"/>
        <v>0</v>
      </c>
      <c r="W75" s="152">
        <f t="shared" si="387"/>
        <v>0</v>
      </c>
      <c r="X75" s="152">
        <f t="shared" si="387"/>
        <v>0</v>
      </c>
      <c r="Y75" s="157">
        <f t="shared" si="387"/>
        <v>0</v>
      </c>
    </row>
    <row r="76" spans="1:25" ht="15" customHeight="1" thickBot="1" x14ac:dyDescent="0.25">
      <c r="B76" s="260"/>
      <c r="C76" s="99">
        <f>E76/($E$74+$E$75+$E$76)</f>
        <v>9.6375256626227979E-3</v>
      </c>
      <c r="D76" s="89" t="s">
        <v>2</v>
      </c>
      <c r="E76" s="164">
        <f t="shared" ref="E76" si="388">SUM(E82,E88,E94,E100)</f>
        <v>9.6375256626227979E-3</v>
      </c>
      <c r="F76" s="164">
        <f t="shared" ref="F76:Y76" si="389">SUM(F82,F88,F94,F100)</f>
        <v>4.3414177836586701E-2</v>
      </c>
      <c r="G76" s="164">
        <f t="shared" si="389"/>
        <v>3.3023054075338495E-2</v>
      </c>
      <c r="H76" s="164">
        <f t="shared" si="389"/>
        <v>8.0055888667487259E-3</v>
      </c>
      <c r="I76" s="164">
        <f t="shared" si="389"/>
        <v>7.1401198000731886E-3</v>
      </c>
      <c r="J76" s="164">
        <f t="shared" si="389"/>
        <v>1.270583763579047E-2</v>
      </c>
      <c r="K76" s="164">
        <f t="shared" si="389"/>
        <v>0</v>
      </c>
      <c r="L76" s="164">
        <f t="shared" si="389"/>
        <v>0</v>
      </c>
      <c r="M76" s="164">
        <f t="shared" si="389"/>
        <v>0</v>
      </c>
      <c r="N76" s="164">
        <f t="shared" si="389"/>
        <v>0</v>
      </c>
      <c r="O76" s="164">
        <f t="shared" si="389"/>
        <v>0</v>
      </c>
      <c r="P76" s="164">
        <f t="shared" si="389"/>
        <v>0</v>
      </c>
      <c r="Q76" s="164">
        <f t="shared" si="389"/>
        <v>0</v>
      </c>
      <c r="R76" s="164">
        <f t="shared" si="389"/>
        <v>0</v>
      </c>
      <c r="S76" s="164">
        <f t="shared" si="389"/>
        <v>0</v>
      </c>
      <c r="T76" s="164">
        <f t="shared" si="389"/>
        <v>0</v>
      </c>
      <c r="U76" s="164">
        <f t="shared" si="389"/>
        <v>0</v>
      </c>
      <c r="V76" s="164">
        <f t="shared" si="389"/>
        <v>0</v>
      </c>
      <c r="W76" s="164">
        <f t="shared" si="389"/>
        <v>0</v>
      </c>
      <c r="X76" s="164">
        <f t="shared" si="389"/>
        <v>0</v>
      </c>
      <c r="Y76" s="165">
        <f t="shared" si="389"/>
        <v>0</v>
      </c>
    </row>
    <row r="77" spans="1:25" ht="15" customHeight="1" x14ac:dyDescent="0.2">
      <c r="B77" s="257" t="s">
        <v>43</v>
      </c>
      <c r="C77" s="91">
        <f>E77/SUM(E77:E79)</f>
        <v>0.6292134831460674</v>
      </c>
      <c r="D77" s="67" t="s">
        <v>0</v>
      </c>
      <c r="E77" s="68">
        <f t="shared" si="381"/>
        <v>112</v>
      </c>
      <c r="F77" s="68">
        <f>SUMIFS([0]!Chavez,[0]!Centro,$B79,[0]!Turno,F$70)</f>
        <v>6</v>
      </c>
      <c r="G77" s="68">
        <f>SUMIFS([0]!Chavez,[0]!Centro,$B79,[0]!Turno,G$70)</f>
        <v>0</v>
      </c>
      <c r="H77" s="68">
        <f>SUMIFS([0]!Chavez,[0]!Centro,$B79,[0]!Turno,H$70)</f>
        <v>20</v>
      </c>
      <c r="I77" s="68">
        <f>SUMIFS([0]!Chavez,[0]!Centro,$B79,[0]!Turno,I$70)</f>
        <v>0</v>
      </c>
      <c r="J77" s="68">
        <f>SUMIFS([0]!Chavez,[0]!Centro,$B79,[0]!Turno,J$70)</f>
        <v>33</v>
      </c>
      <c r="K77" s="68">
        <f>SUMIFS([0]!Chavez,[0]!Centro,$B79,[0]!Turno,K$70)</f>
        <v>11</v>
      </c>
      <c r="L77" s="68">
        <f>SUMIFS([0]!Chavez,[0]!Centro,$B79,[0]!Turno,L$70)</f>
        <v>0</v>
      </c>
      <c r="M77" s="68">
        <f>SUMIFS([0]!Chavez,[0]!Centro,$B79,[0]!Turno,M$70)</f>
        <v>31</v>
      </c>
      <c r="N77" s="68">
        <f>SUMIFS([0]!Chavez,[0]!Centro,$B79,[0]!Turno,N$70)</f>
        <v>0</v>
      </c>
      <c r="O77" s="68">
        <f>SUMIFS([0]!Chavez,[0]!Centro,$B79,[0]!Turno,O$70)</f>
        <v>5</v>
      </c>
      <c r="P77" s="68">
        <f>SUMIFS([0]!Chavez,[0]!Centro,$B79,[0]!Turno,P$70)</f>
        <v>6</v>
      </c>
      <c r="Q77" s="68">
        <f>SUMIFS([0]!Chavez,[0]!Centro,$B79,[0]!Turno,Q$70)</f>
        <v>0</v>
      </c>
      <c r="R77" s="68">
        <f>SUMIFS([0]!Chavez,[0]!Centro,$B79,[0]!Turno,R$70)</f>
        <v>0</v>
      </c>
      <c r="S77" s="68">
        <f>SUMIFS([0]!Chavez,[0]!Centro,$B79,[0]!Turno,S$70)</f>
        <v>0</v>
      </c>
      <c r="T77" s="68">
        <f>SUMIFS([0]!Chavez,[0]!Centro,$B79,[0]!Turno,T$70)</f>
        <v>0</v>
      </c>
      <c r="U77" s="68">
        <f>SUMIFS([0]!Chavez,[0]!Centro,$B79,[0]!Turno,U$70)</f>
        <v>0</v>
      </c>
      <c r="V77" s="68">
        <f>SUMIFS([0]!Chavez,[0]!Centro,$B79,[0]!Turno,V$70)</f>
        <v>0</v>
      </c>
      <c r="W77" s="68">
        <f>SUMIFS([0]!Chavez,[0]!Centro,$B79,[0]!Turno,W$70)</f>
        <v>0</v>
      </c>
      <c r="X77" s="68">
        <f>SUMIFS([0]!Chavez,[0]!Centro,$B79,[0]!Turno,X$70)</f>
        <v>0</v>
      </c>
      <c r="Y77" s="69">
        <f>SUMIFS([0]!Chavez,[0]!Centro,$B79,[0]!Turno,Y$70)</f>
        <v>0</v>
      </c>
    </row>
    <row r="78" spans="1:25" ht="15" customHeight="1" x14ac:dyDescent="0.2">
      <c r="B78" s="256"/>
      <c r="C78" s="92">
        <f>E78/SUM(E77:E79)</f>
        <v>0.3595505617977528</v>
      </c>
      <c r="D78" s="61" t="s">
        <v>1</v>
      </c>
      <c r="E78" s="62">
        <f t="shared" si="381"/>
        <v>64</v>
      </c>
      <c r="F78" s="62">
        <f>SUMIFS([0]!Capriles,[0]!Centro,$B79,[0]!Turno,F$70)</f>
        <v>4</v>
      </c>
      <c r="G78" s="62">
        <f>SUMIFS([0]!Capriles,[0]!Centro,$B79,[0]!Turno,G$70)</f>
        <v>0</v>
      </c>
      <c r="H78" s="62">
        <f>SUMIFS([0]!Capriles,[0]!Centro,$B79,[0]!Turno,H$70)</f>
        <v>8</v>
      </c>
      <c r="I78" s="62">
        <f>SUMIFS([0]!Capriles,[0]!Centro,$B79,[0]!Turno,I$70)</f>
        <v>0</v>
      </c>
      <c r="J78" s="62">
        <f>SUMIFS([0]!Capriles,[0]!Centro,$B79,[0]!Turno,J$70)</f>
        <v>20</v>
      </c>
      <c r="K78" s="62">
        <f>SUMIFS([0]!Capriles,[0]!Centro,$B79,[0]!Turno,K$70)</f>
        <v>1</v>
      </c>
      <c r="L78" s="62">
        <f>SUMIFS([0]!Capriles,[0]!Centro,$B79,[0]!Turno,L$70)</f>
        <v>0</v>
      </c>
      <c r="M78" s="62">
        <f>SUMIFS([0]!Capriles,[0]!Centro,$B79,[0]!Turno,M$70)</f>
        <v>21</v>
      </c>
      <c r="N78" s="62">
        <f>SUMIFS([0]!Capriles,[0]!Centro,$B79,[0]!Turno,N$70)</f>
        <v>0</v>
      </c>
      <c r="O78" s="62">
        <f>SUMIFS([0]!Capriles,[0]!Centro,$B79,[0]!Turno,O$70)</f>
        <v>7</v>
      </c>
      <c r="P78" s="62">
        <f>SUMIFS([0]!Capriles,[0]!Centro,$B79,[0]!Turno,P$70)</f>
        <v>3</v>
      </c>
      <c r="Q78" s="62">
        <f>SUMIFS([0]!Capriles,[0]!Centro,$B79,[0]!Turno,Q$70)</f>
        <v>0</v>
      </c>
      <c r="R78" s="62">
        <f>SUMIFS([0]!Capriles,[0]!Centro,$B79,[0]!Turno,R$70)</f>
        <v>0</v>
      </c>
      <c r="S78" s="62">
        <f>SUMIFS([0]!Capriles,[0]!Centro,$B79,[0]!Turno,S$70)</f>
        <v>0</v>
      </c>
      <c r="T78" s="62">
        <f>SUMIFS([0]!Capriles,[0]!Centro,$B79,[0]!Turno,T$70)</f>
        <v>0</v>
      </c>
      <c r="U78" s="62">
        <f>SUMIFS([0]!Capriles,[0]!Centro,$B79,[0]!Turno,U$70)</f>
        <v>0</v>
      </c>
      <c r="V78" s="62">
        <f>SUMIFS([0]!Capriles,[0]!Centro,$B79,[0]!Turno,V$70)</f>
        <v>0</v>
      </c>
      <c r="W78" s="62">
        <f>SUMIFS([0]!Capriles,[0]!Centro,$B79,[0]!Turno,W$70)</f>
        <v>0</v>
      </c>
      <c r="X78" s="62">
        <f>SUMIFS([0]!Capriles,[0]!Centro,$B79,[0]!Turno,X$70)</f>
        <v>0</v>
      </c>
      <c r="Y78" s="70">
        <f>SUMIFS([0]!Capriles,[0]!Centro,$B79,[0]!Turno,Y$70)</f>
        <v>0</v>
      </c>
    </row>
    <row r="79" spans="1:25" ht="15" customHeight="1" thickBot="1" x14ac:dyDescent="0.25">
      <c r="B79" s="256">
        <v>28</v>
      </c>
      <c r="C79" s="100">
        <f>E79/SUM(E77:E79)</f>
        <v>1.1235955056179775E-2</v>
      </c>
      <c r="D79" s="71" t="s">
        <v>2</v>
      </c>
      <c r="E79" s="72">
        <f t="shared" si="381"/>
        <v>2</v>
      </c>
      <c r="F79" s="72">
        <f>SUMIFS([0]!Otro,[0]!Centro,$B79,[0]!Turno,F$70)</f>
        <v>0</v>
      </c>
      <c r="G79" s="72">
        <f>SUMIFS([0]!Otro,[0]!Centro,$B79,[0]!Turno,G$70)</f>
        <v>0</v>
      </c>
      <c r="H79" s="72">
        <f>SUMIFS([0]!Otro,[0]!Centro,$B79,[0]!Turno,H$70)</f>
        <v>0</v>
      </c>
      <c r="I79" s="72">
        <f>SUMIFS([0]!Otro,[0]!Centro,$B79,[0]!Turno,I$70)</f>
        <v>0</v>
      </c>
      <c r="J79" s="72">
        <f>SUMIFS([0]!Otro,[0]!Centro,$B79,[0]!Turno,J$70)</f>
        <v>2</v>
      </c>
      <c r="K79" s="72">
        <f>SUMIFS([0]!Otro,[0]!Centro,$B79,[0]!Turno,K$70)</f>
        <v>0</v>
      </c>
      <c r="L79" s="72">
        <f>SUMIFS([0]!Otro,[0]!Centro,$B79,[0]!Turno,L$70)</f>
        <v>0</v>
      </c>
      <c r="M79" s="72">
        <f>SUMIFS([0]!Otro,[0]!Centro,$B79,[0]!Turno,M$70)</f>
        <v>0</v>
      </c>
      <c r="N79" s="72">
        <f>SUMIFS([0]!Otro,[0]!Centro,$B79,[0]!Turno,N$70)</f>
        <v>0</v>
      </c>
      <c r="O79" s="72">
        <f>SUMIFS([0]!Otro,[0]!Centro,$B79,[0]!Turno,O$70)</f>
        <v>0</v>
      </c>
      <c r="P79" s="72">
        <f>SUMIFS([0]!Otro,[0]!Centro,$B79,[0]!Turno,P$70)</f>
        <v>0</v>
      </c>
      <c r="Q79" s="72">
        <f>SUMIFS([0]!Otro,[0]!Centro,$B79,[0]!Turno,Q$70)</f>
        <v>0</v>
      </c>
      <c r="R79" s="72">
        <f>SUMIFS([0]!Otro,[0]!Centro,$B79,[0]!Turno,R$70)</f>
        <v>0</v>
      </c>
      <c r="S79" s="72">
        <f>SUMIFS([0]!Otro,[0]!Centro,$B79,[0]!Turno,S$70)</f>
        <v>0</v>
      </c>
      <c r="T79" s="72">
        <f>SUMIFS([0]!Otro,[0]!Centro,$B79,[0]!Turno,T$70)</f>
        <v>0</v>
      </c>
      <c r="U79" s="72">
        <f>SUMIFS([0]!Otro,[0]!Centro,$B79,[0]!Turno,U$70)</f>
        <v>0</v>
      </c>
      <c r="V79" s="72">
        <f>SUMIFS([0]!Otro,[0]!Centro,$B79,[0]!Turno,V$70)</f>
        <v>0</v>
      </c>
      <c r="W79" s="72">
        <f>SUMIFS([0]!Otro,[0]!Centro,$B79,[0]!Turno,W$70)</f>
        <v>0</v>
      </c>
      <c r="X79" s="72">
        <f>SUMIFS([0]!Otro,[0]!Centro,$B79,[0]!Turno,X$70)</f>
        <v>0</v>
      </c>
      <c r="Y79" s="73">
        <f>SUMIFS([0]!Otro,[0]!Centro,$B79,[0]!Turno,Y$70)</f>
        <v>0</v>
      </c>
    </row>
    <row r="80" spans="1:25" ht="15" customHeight="1" x14ac:dyDescent="0.2">
      <c r="B80" s="256"/>
      <c r="C80" s="94">
        <f>E80/SUM(E80:E82)</f>
        <v>0.62921348314606751</v>
      </c>
      <c r="D80" s="63" t="s">
        <v>0</v>
      </c>
      <c r="E80" s="150">
        <f>IF((E77+E78+E79)=0,0,(E77*$B81)/(E77+E78+E79))</f>
        <v>9.9556946256146667E-2</v>
      </c>
      <c r="F80" s="150">
        <f>IF((F77+F78+F79)=0,0,(F77*$B81)/(F77+F78+F79))</f>
        <v>9.4934659465682719E-2</v>
      </c>
      <c r="G80" s="150">
        <f t="shared" ref="G80" si="390">IF((G77+G78+G79)=0,0,(G77*$B81)/(G77+G78+G79))</f>
        <v>0</v>
      </c>
      <c r="H80" s="150">
        <f t="shared" ref="H80" si="391">IF((H77+H78+H79)=0,0,(H77*$B81)/(H77+H78+H79))</f>
        <v>0.1130174517448604</v>
      </c>
      <c r="I80" s="150">
        <f t="shared" ref="I80" si="392">IF((I77+I78+I79)=0,0,(I77*$B81)/(I77+I78+I79))</f>
        <v>0</v>
      </c>
      <c r="J80" s="150">
        <f t="shared" ref="J80" si="393">IF((J77+J78+J79)=0,0,(J77*$B81)/(J77+J78+J79))</f>
        <v>9.4934659465682733E-2</v>
      </c>
      <c r="K80" s="150">
        <f t="shared" ref="K80" si="394">IF((K77+K78+K79)=0,0,(K77*$B81)/(K77+K78+K79))</f>
        <v>0.14503906307257083</v>
      </c>
      <c r="L80" s="150">
        <f t="shared" ref="L80" si="395">IF((L77+L78+L79)=0,0,(L77*$B81)/(L77+L78+L79))</f>
        <v>0</v>
      </c>
      <c r="M80" s="150">
        <f t="shared" ref="M80" si="396">IF((M77+M78+M79)=0,0,(M77*$B81)/(M77+M78+M79))</f>
        <v>9.4326103956287322E-2</v>
      </c>
      <c r="N80" s="150">
        <f t="shared" ref="N80" si="397">IF((N77+N78+N79)=0,0,(N77*$B81)/(N77+N78+N79))</f>
        <v>0</v>
      </c>
      <c r="O80" s="150">
        <f t="shared" ref="O80" si="398">IF((O77+O78+O79)=0,0,(O77*$B81)/(O77+O78+O79))</f>
        <v>6.5926846851168563E-2</v>
      </c>
      <c r="P80" s="150">
        <f t="shared" ref="P80" si="399">IF((P77+P78+P79)=0,0,(P77*$B81)/(P77+P78+P79))</f>
        <v>0.1054829549618697</v>
      </c>
      <c r="Q80" s="150">
        <f t="shared" ref="Q80" si="400">IF((Q77+Q78+Q79)=0,0,(Q77*$B81)/(Q77+Q78+Q79))</f>
        <v>0</v>
      </c>
      <c r="R80" s="150">
        <f t="shared" ref="R80" si="401">IF((R77+R78+R79)=0,0,(R77*$B81)/(R77+R78+R79))</f>
        <v>0</v>
      </c>
      <c r="S80" s="150">
        <f t="shared" ref="S80" si="402">IF((S77+S78+S79)=0,0,(S77*$B81)/(S77+S78+S79))</f>
        <v>0</v>
      </c>
      <c r="T80" s="150">
        <f t="shared" ref="T80" si="403">IF((T77+T78+T79)=0,0,(T77*$B81)/(T77+T78+T79))</f>
        <v>0</v>
      </c>
      <c r="U80" s="150">
        <f t="shared" ref="U80" si="404">IF((U77+U78+U79)=0,0,(U77*$B81)/(U77+U78+U79))</f>
        <v>0</v>
      </c>
      <c r="V80" s="150">
        <f t="shared" ref="V80" si="405">IF((V77+V78+V79)=0,0,(V77*$B81)/(V77+V78+V79))</f>
        <v>0</v>
      </c>
      <c r="W80" s="150">
        <f t="shared" ref="W80" si="406">IF((W77+W78+W79)=0,0,(W77*$B81)/(W77+W78+W79))</f>
        <v>0</v>
      </c>
      <c r="X80" s="150">
        <f t="shared" ref="X80" si="407">IF((X77+X78+X79)=0,0,(X77*$B81)/(X77+X78+X79))</f>
        <v>0</v>
      </c>
      <c r="Y80" s="163">
        <f t="shared" ref="Y80" si="408">IF((Y77+Y78+Y79)=0,0,(Y77*$B81)/(Y77+Y78+Y79))</f>
        <v>0</v>
      </c>
    </row>
    <row r="81" spans="2:25" ht="15" customHeight="1" x14ac:dyDescent="0.2">
      <c r="B81" s="254">
        <v>0.15822443244280454</v>
      </c>
      <c r="C81" s="92">
        <f>E81/SUM(E80:E82)</f>
        <v>0.35955056179775285</v>
      </c>
      <c r="D81" s="61" t="s">
        <v>1</v>
      </c>
      <c r="E81" s="154">
        <f>IF((E77+E78+E79)=0,0,(E78*$B81)/(E77+E78+E79))</f>
        <v>5.6889683574940959E-2</v>
      </c>
      <c r="F81" s="154">
        <f>IF((F77+F78+F79)=0,0,(F78*$B81)/(F77+F78+F79))</f>
        <v>6.3289772977121822E-2</v>
      </c>
      <c r="G81" s="154">
        <f t="shared" ref="G81:O81" si="409">IF((G77+G78+G79)=0,0,(G78*$B81)/(G77+G78+G79))</f>
        <v>0</v>
      </c>
      <c r="H81" s="154">
        <f t="shared" si="409"/>
        <v>4.5206980697944155E-2</v>
      </c>
      <c r="I81" s="154">
        <f t="shared" si="409"/>
        <v>0</v>
      </c>
      <c r="J81" s="154">
        <f t="shared" si="409"/>
        <v>5.7536157251928927E-2</v>
      </c>
      <c r="K81" s="154">
        <f t="shared" si="409"/>
        <v>1.3185369370233712E-2</v>
      </c>
      <c r="L81" s="154">
        <f t="shared" si="409"/>
        <v>0</v>
      </c>
      <c r="M81" s="154">
        <f t="shared" si="409"/>
        <v>6.389832848651722E-2</v>
      </c>
      <c r="N81" s="154">
        <f t="shared" si="409"/>
        <v>0</v>
      </c>
      <c r="O81" s="154">
        <f t="shared" si="409"/>
        <v>9.2297585591635978E-2</v>
      </c>
      <c r="P81" s="154">
        <f>IF((P77+P78+P79)=0,0,(P78*$B81)/(P77+P78+P79))</f>
        <v>5.2741477480934849E-2</v>
      </c>
      <c r="Q81" s="154">
        <f t="shared" ref="Q81:Y81" si="410">IF((Q77+Q78+Q79)=0,0,(Q78*$B81)/(Q77+Q78+Q79))</f>
        <v>0</v>
      </c>
      <c r="R81" s="154">
        <f t="shared" si="410"/>
        <v>0</v>
      </c>
      <c r="S81" s="154">
        <f t="shared" si="410"/>
        <v>0</v>
      </c>
      <c r="T81" s="154">
        <f t="shared" si="410"/>
        <v>0</v>
      </c>
      <c r="U81" s="154">
        <f t="shared" si="410"/>
        <v>0</v>
      </c>
      <c r="V81" s="154">
        <f t="shared" si="410"/>
        <v>0</v>
      </c>
      <c r="W81" s="154">
        <f t="shared" si="410"/>
        <v>0</v>
      </c>
      <c r="X81" s="154">
        <f t="shared" si="410"/>
        <v>0</v>
      </c>
      <c r="Y81" s="159">
        <f t="shared" si="410"/>
        <v>0</v>
      </c>
    </row>
    <row r="82" spans="2:25" ht="15" customHeight="1" thickBot="1" x14ac:dyDescent="0.25">
      <c r="B82" s="255"/>
      <c r="C82" s="93">
        <f>E82/SUM(E80:E82)</f>
        <v>1.1235955056179777E-2</v>
      </c>
      <c r="D82" s="75" t="s">
        <v>2</v>
      </c>
      <c r="E82" s="155">
        <f>IF((E77+E78+E79)=0,0,(E79*$B81)/(E77+E78+E79))</f>
        <v>1.777802611716905E-3</v>
      </c>
      <c r="F82" s="155">
        <f>IF((F77+F78+F79)=0,0,(F79*$B81)/(F77+F78+F79))</f>
        <v>0</v>
      </c>
      <c r="G82" s="155">
        <f t="shared" ref="G82" si="411">IF((G77+G78+G79)=0,0,(G79*$B81)/(G77+G78+G79))</f>
        <v>0</v>
      </c>
      <c r="H82" s="155">
        <f t="shared" ref="H82" si="412">IF((H77+H78+H79)=0,0,(H79*$B81)/(H77+H78+H79))</f>
        <v>0</v>
      </c>
      <c r="I82" s="155">
        <f t="shared" ref="I82" si="413">IF((I77+I78+I79)=0,0,(I79*$B81)/(I77+I78+I79))</f>
        <v>0</v>
      </c>
      <c r="J82" s="155">
        <f t="shared" ref="J82" si="414">IF((J77+J78+J79)=0,0,(J79*$B81)/(J77+J78+J79))</f>
        <v>5.7536157251928928E-3</v>
      </c>
      <c r="K82" s="155">
        <f t="shared" ref="K82" si="415">IF((K77+K78+K79)=0,0,(K79*$B81)/(K77+K78+K79))</f>
        <v>0</v>
      </c>
      <c r="L82" s="155">
        <f t="shared" ref="L82" si="416">IF((L77+L78+L79)=0,0,(L79*$B81)/(L77+L78+L79))</f>
        <v>0</v>
      </c>
      <c r="M82" s="155">
        <f t="shared" ref="M82" si="417">IF((M77+M78+M79)=0,0,(M79*$B81)/(M77+M78+M79))</f>
        <v>0</v>
      </c>
      <c r="N82" s="155">
        <f t="shared" ref="N82" si="418">IF((N77+N78+N79)=0,0,(N79*$B81)/(N77+N78+N79))</f>
        <v>0</v>
      </c>
      <c r="O82" s="155">
        <f t="shared" ref="O82" si="419">IF((O77+O78+O79)=0,0,(O79*$B81)/(O77+O78+O79))</f>
        <v>0</v>
      </c>
      <c r="P82" s="155">
        <f t="shared" ref="P82" si="420">IF((P77+P78+P79)=0,0,(P79*$B81)/(P77+P78+P79))</f>
        <v>0</v>
      </c>
      <c r="Q82" s="155">
        <f t="shared" ref="Q82" si="421">IF((Q77+Q78+Q79)=0,0,(Q79*$B81)/(Q77+Q78+Q79))</f>
        <v>0</v>
      </c>
      <c r="R82" s="155">
        <f t="shared" ref="R82" si="422">IF((R77+R78+R79)=0,0,(R79*$B81)/(R77+R78+R79))</f>
        <v>0</v>
      </c>
      <c r="S82" s="155">
        <f t="shared" ref="S82" si="423">IF((S77+S78+S79)=0,0,(S79*$B81)/(S77+S78+S79))</f>
        <v>0</v>
      </c>
      <c r="T82" s="155">
        <f t="shared" ref="T82" si="424">IF((T77+T78+T79)=0,0,(T79*$B81)/(T77+T78+T79))</f>
        <v>0</v>
      </c>
      <c r="U82" s="155">
        <f t="shared" ref="U82" si="425">IF((U77+U78+U79)=0,0,(U79*$B81)/(U77+U78+U79))</f>
        <v>0</v>
      </c>
      <c r="V82" s="155">
        <f t="shared" ref="V82" si="426">IF((V77+V78+V79)=0,0,(V79*$B81)/(V77+V78+V79))</f>
        <v>0</v>
      </c>
      <c r="W82" s="155">
        <f t="shared" ref="W82" si="427">IF((W77+W78+W79)=0,0,(W79*$B81)/(W77+W78+W79))</f>
        <v>0</v>
      </c>
      <c r="X82" s="155">
        <f t="shared" ref="X82" si="428">IF((X77+X78+X79)=0,0,(X79*$B81)/(X77+X78+X79))</f>
        <v>0</v>
      </c>
      <c r="Y82" s="160">
        <f t="shared" ref="Y82" si="429">IF((Y77+Y78+Y79)=0,0,(Y79*$B81)/(Y77+Y78+Y79))</f>
        <v>0</v>
      </c>
    </row>
    <row r="83" spans="2:25" ht="15" customHeight="1" x14ac:dyDescent="0.2">
      <c r="B83" s="256" t="s">
        <v>44</v>
      </c>
      <c r="C83" s="91">
        <f>E83/SUM(E83:E85)</f>
        <v>0.59656652360515017</v>
      </c>
      <c r="D83" s="67" t="s">
        <v>0</v>
      </c>
      <c r="E83" s="68">
        <f t="shared" si="381"/>
        <v>139</v>
      </c>
      <c r="F83" s="68">
        <f>SUMIFS([0]!Chavez,[0]!Centro,$B85,[0]!Turno,F$70)</f>
        <v>15</v>
      </c>
      <c r="G83" s="68">
        <f>SUMIFS([0]!Chavez,[0]!Centro,$B85,[0]!Turno,G$70)</f>
        <v>29</v>
      </c>
      <c r="H83" s="68">
        <f>SUMIFS([0]!Chavez,[0]!Centro,$B85,[0]!Turno,H$70)</f>
        <v>27</v>
      </c>
      <c r="I83" s="68">
        <f>SUMIFS([0]!Chavez,[0]!Centro,$B85,[0]!Turno,I$70)</f>
        <v>37</v>
      </c>
      <c r="J83" s="68">
        <f>SUMIFS([0]!Chavez,[0]!Centro,$B85,[0]!Turno,J$70)</f>
        <v>11</v>
      </c>
      <c r="K83" s="68">
        <f>SUMIFS([0]!Chavez,[0]!Centro,$B85,[0]!Turno,K$70)</f>
        <v>9</v>
      </c>
      <c r="L83" s="68">
        <f>SUMIFS([0]!Chavez,[0]!Centro,$B85,[0]!Turno,L$70)</f>
        <v>11</v>
      </c>
      <c r="M83" s="68">
        <f>SUMIFS([0]!Chavez,[0]!Centro,$B85,[0]!Turno,M$70)</f>
        <v>0</v>
      </c>
      <c r="N83" s="68">
        <f>SUMIFS([0]!Chavez,[0]!Centro,$B85,[0]!Turno,N$70)</f>
        <v>0</v>
      </c>
      <c r="O83" s="68">
        <f>SUMIFS([0]!Chavez,[0]!Centro,$B85,[0]!Turno,O$70)</f>
        <v>0</v>
      </c>
      <c r="P83" s="68">
        <f>SUMIFS([0]!Chavez,[0]!Centro,$B85,[0]!Turno,P$70)</f>
        <v>0</v>
      </c>
      <c r="Q83" s="68">
        <f>SUMIFS([0]!Chavez,[0]!Centro,$B85,[0]!Turno,Q$70)</f>
        <v>0</v>
      </c>
      <c r="R83" s="68">
        <f>SUMIFS([0]!Chavez,[0]!Centro,$B85,[0]!Turno,R$70)</f>
        <v>0</v>
      </c>
      <c r="S83" s="68">
        <f>SUMIFS([0]!Chavez,[0]!Centro,$B85,[0]!Turno,S$70)</f>
        <v>0</v>
      </c>
      <c r="T83" s="68">
        <f>SUMIFS([0]!Chavez,[0]!Centro,$B85,[0]!Turno,T$70)</f>
        <v>0</v>
      </c>
      <c r="U83" s="68">
        <f>SUMIFS([0]!Chavez,[0]!Centro,$B85,[0]!Turno,U$70)</f>
        <v>0</v>
      </c>
      <c r="V83" s="68">
        <f>SUMIFS([0]!Chavez,[0]!Centro,$B85,[0]!Turno,V$70)</f>
        <v>0</v>
      </c>
      <c r="W83" s="68">
        <f>SUMIFS([0]!Chavez,[0]!Centro,$B85,[0]!Turno,W$70)</f>
        <v>0</v>
      </c>
      <c r="X83" s="68">
        <f>SUMIFS([0]!Chavez,[0]!Centro,$B85,[0]!Turno,X$70)</f>
        <v>0</v>
      </c>
      <c r="Y83" s="69">
        <f>SUMIFS([0]!Chavez,[0]!Centro,$B85,[0]!Turno,Y$70)</f>
        <v>0</v>
      </c>
    </row>
    <row r="84" spans="2:25" ht="15" customHeight="1" x14ac:dyDescent="0.2">
      <c r="B84" s="256"/>
      <c r="C84" s="92">
        <f>E84/SUM(E83:E85)</f>
        <v>0.40343347639484978</v>
      </c>
      <c r="D84" s="61" t="s">
        <v>1</v>
      </c>
      <c r="E84" s="62">
        <f t="shared" si="381"/>
        <v>94</v>
      </c>
      <c r="F84" s="62">
        <f>SUMIFS([0]!Capriles,[0]!Centro,$B85,[0]!Turno,F$70)</f>
        <v>4</v>
      </c>
      <c r="G84" s="62">
        <f>SUMIFS([0]!Capriles,[0]!Centro,$B85,[0]!Turno,G$70)</f>
        <v>16</v>
      </c>
      <c r="H84" s="62">
        <f>SUMIFS([0]!Capriles,[0]!Centro,$B85,[0]!Turno,H$70)</f>
        <v>29</v>
      </c>
      <c r="I84" s="62">
        <f>SUMIFS([0]!Capriles,[0]!Centro,$B85,[0]!Turno,I$70)</f>
        <v>16</v>
      </c>
      <c r="J84" s="62">
        <f>SUMIFS([0]!Capriles,[0]!Centro,$B85,[0]!Turno,J$70)</f>
        <v>10</v>
      </c>
      <c r="K84" s="62">
        <f>SUMIFS([0]!Capriles,[0]!Centro,$B85,[0]!Turno,K$70)</f>
        <v>10</v>
      </c>
      <c r="L84" s="62">
        <f>SUMIFS([0]!Capriles,[0]!Centro,$B85,[0]!Turno,L$70)</f>
        <v>9</v>
      </c>
      <c r="M84" s="62">
        <f>SUMIFS([0]!Capriles,[0]!Centro,$B85,[0]!Turno,M$70)</f>
        <v>0</v>
      </c>
      <c r="N84" s="62">
        <f>SUMIFS([0]!Capriles,[0]!Centro,$B85,[0]!Turno,N$70)</f>
        <v>0</v>
      </c>
      <c r="O84" s="62">
        <f>SUMIFS([0]!Capriles,[0]!Centro,$B85,[0]!Turno,O$70)</f>
        <v>0</v>
      </c>
      <c r="P84" s="62">
        <f>SUMIFS([0]!Capriles,[0]!Centro,$B85,[0]!Turno,P$70)</f>
        <v>0</v>
      </c>
      <c r="Q84" s="62">
        <f>SUMIFS([0]!Capriles,[0]!Centro,$B85,[0]!Turno,Q$70)</f>
        <v>0</v>
      </c>
      <c r="R84" s="62">
        <f>SUMIFS([0]!Capriles,[0]!Centro,$B85,[0]!Turno,R$70)</f>
        <v>0</v>
      </c>
      <c r="S84" s="62">
        <f>SUMIFS([0]!Capriles,[0]!Centro,$B85,[0]!Turno,S$70)</f>
        <v>0</v>
      </c>
      <c r="T84" s="62">
        <f>SUMIFS([0]!Capriles,[0]!Centro,$B85,[0]!Turno,T$70)</f>
        <v>0</v>
      </c>
      <c r="U84" s="62">
        <f>SUMIFS([0]!Capriles,[0]!Centro,$B85,[0]!Turno,U$70)</f>
        <v>0</v>
      </c>
      <c r="V84" s="62">
        <f>SUMIFS([0]!Capriles,[0]!Centro,$B85,[0]!Turno,V$70)</f>
        <v>0</v>
      </c>
      <c r="W84" s="62">
        <f>SUMIFS([0]!Capriles,[0]!Centro,$B85,[0]!Turno,W$70)</f>
        <v>0</v>
      </c>
      <c r="X84" s="62">
        <f>SUMIFS([0]!Capriles,[0]!Centro,$B85,[0]!Turno,X$70)</f>
        <v>0</v>
      </c>
      <c r="Y84" s="70">
        <f>SUMIFS([0]!Capriles,[0]!Centro,$B85,[0]!Turno,Y$70)</f>
        <v>0</v>
      </c>
    </row>
    <row r="85" spans="2:25" ht="15" customHeight="1" thickBot="1" x14ac:dyDescent="0.25">
      <c r="B85" s="256">
        <v>29</v>
      </c>
      <c r="C85" s="100">
        <f>E85/SUM(E83:E85)</f>
        <v>0</v>
      </c>
      <c r="D85" s="71" t="s">
        <v>2</v>
      </c>
      <c r="E85" s="72">
        <f t="shared" si="381"/>
        <v>0</v>
      </c>
      <c r="F85" s="72">
        <f>SUMIFS([0]!Otro,[0]!Centro,$B85,[0]!Turno,F$70)</f>
        <v>0</v>
      </c>
      <c r="G85" s="72">
        <f>SUMIFS([0]!Otro,[0]!Centro,$B85,[0]!Turno,G$70)</f>
        <v>0</v>
      </c>
      <c r="H85" s="72">
        <f>SUMIFS([0]!Otro,[0]!Centro,$B85,[0]!Turno,H$70)</f>
        <v>0</v>
      </c>
      <c r="I85" s="72">
        <f>SUMIFS([0]!Otro,[0]!Centro,$B85,[0]!Turno,I$70)</f>
        <v>0</v>
      </c>
      <c r="J85" s="72">
        <f>SUMIFS([0]!Otro,[0]!Centro,$B85,[0]!Turno,J$70)</f>
        <v>0</v>
      </c>
      <c r="K85" s="72">
        <f>SUMIFS([0]!Otro,[0]!Centro,$B85,[0]!Turno,K$70)</f>
        <v>0</v>
      </c>
      <c r="L85" s="72">
        <f>SUMIFS([0]!Otro,[0]!Centro,$B85,[0]!Turno,L$70)</f>
        <v>0</v>
      </c>
      <c r="M85" s="72">
        <f>SUMIFS([0]!Otro,[0]!Centro,$B85,[0]!Turno,M$70)</f>
        <v>0</v>
      </c>
      <c r="N85" s="72">
        <f>SUMIFS([0]!Otro,[0]!Centro,$B85,[0]!Turno,N$70)</f>
        <v>0</v>
      </c>
      <c r="O85" s="72">
        <f>SUMIFS([0]!Otro,[0]!Centro,$B85,[0]!Turno,O$70)</f>
        <v>0</v>
      </c>
      <c r="P85" s="72">
        <f>SUMIFS([0]!Otro,[0]!Centro,$B85,[0]!Turno,P$70)</f>
        <v>0</v>
      </c>
      <c r="Q85" s="72">
        <f>SUMIFS([0]!Otro,[0]!Centro,$B85,[0]!Turno,Q$70)</f>
        <v>0</v>
      </c>
      <c r="R85" s="72">
        <f>SUMIFS([0]!Otro,[0]!Centro,$B85,[0]!Turno,R$70)</f>
        <v>0</v>
      </c>
      <c r="S85" s="72">
        <f>SUMIFS([0]!Otro,[0]!Centro,$B85,[0]!Turno,S$70)</f>
        <v>0</v>
      </c>
      <c r="T85" s="72">
        <f>SUMIFS([0]!Otro,[0]!Centro,$B85,[0]!Turno,T$70)</f>
        <v>0</v>
      </c>
      <c r="U85" s="72">
        <f>SUMIFS([0]!Otro,[0]!Centro,$B85,[0]!Turno,U$70)</f>
        <v>0</v>
      </c>
      <c r="V85" s="72">
        <f>SUMIFS([0]!Otro,[0]!Centro,$B85,[0]!Turno,V$70)</f>
        <v>0</v>
      </c>
      <c r="W85" s="72">
        <f>SUMIFS([0]!Otro,[0]!Centro,$B85,[0]!Turno,W$70)</f>
        <v>0</v>
      </c>
      <c r="X85" s="72">
        <f>SUMIFS([0]!Otro,[0]!Centro,$B85,[0]!Turno,X$70)</f>
        <v>0</v>
      </c>
      <c r="Y85" s="73">
        <f>SUMIFS([0]!Otro,[0]!Centro,$B85,[0]!Turno,Y$70)</f>
        <v>0</v>
      </c>
    </row>
    <row r="86" spans="2:25" ht="15" customHeight="1" x14ac:dyDescent="0.2">
      <c r="B86" s="256"/>
      <c r="C86" s="94">
        <f>E86/SUM(E86:E88)</f>
        <v>0.59656652360515017</v>
      </c>
      <c r="D86" s="63" t="s">
        <v>0</v>
      </c>
      <c r="E86" s="150">
        <f>IF((E83+E84+E85)=0,0,(E83*$B87)/(E83+E84+E85))</f>
        <v>8.5577083973468873E-2</v>
      </c>
      <c r="F86" s="150">
        <f>IF((F83+F84+F85)=0,0,(F83*$B87)/(F83+F84+F85))</f>
        <v>0.11324949204364776</v>
      </c>
      <c r="G86" s="150">
        <f t="shared" ref="G86" si="430">IF((G83+G84+G85)=0,0,(G83*$B87)/(G83+G84+G85))</f>
        <v>9.2445140912666549E-2</v>
      </c>
      <c r="H86" s="150">
        <f t="shared" ref="H86" si="431">IF((H83+H84+H85)=0,0,(H83*$B87)/(H83+H84+H85))</f>
        <v>6.9163082640942022E-2</v>
      </c>
      <c r="I86" s="150">
        <f t="shared" ref="I86" si="432">IF((I83+I84+I85)=0,0,(I83*$B87)/(I83+I84+I85))</f>
        <v>0.10014389044865959</v>
      </c>
      <c r="J86" s="150">
        <f t="shared" ref="J86" si="433">IF((J83+J84+J85)=0,0,(J83*$B87)/(J83+J84+J85))</f>
        <v>7.514013916546787E-2</v>
      </c>
      <c r="K86" s="150">
        <f t="shared" ref="K86" si="434">IF((K83+K84+K85)=0,0,(K83*$B87)/(K83+K84+K85))</f>
        <v>6.7949695226188656E-2</v>
      </c>
      <c r="L86" s="150">
        <f t="shared" ref="L86" si="435">IF((L83+L84+L85)=0,0,(L83*$B87)/(L83+L84+L85))</f>
        <v>7.8897146123741269E-2</v>
      </c>
      <c r="M86" s="150">
        <f t="shared" ref="M86" si="436">IF((M83+M84+M85)=0,0,(M83*$B87)/(M83+M84+M85))</f>
        <v>0</v>
      </c>
      <c r="N86" s="150">
        <f t="shared" ref="N86" si="437">IF((N83+N84+N85)=0,0,(N83*$B87)/(N83+N84+N85))</f>
        <v>0</v>
      </c>
      <c r="O86" s="150">
        <f t="shared" ref="O86" si="438">IF((O83+O84+O85)=0,0,(O83*$B87)/(O83+O84+O85))</f>
        <v>0</v>
      </c>
      <c r="P86" s="150">
        <f t="shared" ref="P86" si="439">IF((P83+P84+P85)=0,0,(P83*$B87)/(P83+P84+P85))</f>
        <v>0</v>
      </c>
      <c r="Q86" s="150">
        <f t="shared" ref="Q86" si="440">IF((Q83+Q84+Q85)=0,0,(Q83*$B87)/(Q83+Q84+Q85))</f>
        <v>0</v>
      </c>
      <c r="R86" s="150">
        <f t="shared" ref="R86" si="441">IF((R83+R84+R85)=0,0,(R83*$B87)/(R83+R84+R85))</f>
        <v>0</v>
      </c>
      <c r="S86" s="150">
        <f t="shared" ref="S86" si="442">IF((S83+S84+S85)=0,0,(S83*$B87)/(S83+S84+S85))</f>
        <v>0</v>
      </c>
      <c r="T86" s="150">
        <f t="shared" ref="T86" si="443">IF((T83+T84+T85)=0,0,(T83*$B87)/(T83+T84+T85))</f>
        <v>0</v>
      </c>
      <c r="U86" s="150">
        <f t="shared" ref="U86" si="444">IF((U83+U84+U85)=0,0,(U83*$B87)/(U83+U84+U85))</f>
        <v>0</v>
      </c>
      <c r="V86" s="150">
        <f t="shared" ref="V86" si="445">IF((V83+V84+V85)=0,0,(V83*$B87)/(V83+V84+V85))</f>
        <v>0</v>
      </c>
      <c r="W86" s="150">
        <f t="shared" ref="W86" si="446">IF((W83+W84+W85)=0,0,(W83*$B87)/(W83+W84+W85))</f>
        <v>0</v>
      </c>
      <c r="X86" s="150">
        <f t="shared" ref="X86" si="447">IF((X83+X84+X85)=0,0,(X83*$B87)/(X83+X84+X85))</f>
        <v>0</v>
      </c>
      <c r="Y86" s="163">
        <f t="shared" ref="Y86" si="448">IF((Y83+Y84+Y85)=0,0,(Y83*$B87)/(Y83+Y84+Y85))</f>
        <v>0</v>
      </c>
    </row>
    <row r="87" spans="2:25" ht="15" customHeight="1" x14ac:dyDescent="0.2">
      <c r="B87" s="254">
        <v>0.14344935658862049</v>
      </c>
      <c r="C87" s="92">
        <f>E87/SUM(E86:E88)</f>
        <v>0.40343347639484978</v>
      </c>
      <c r="D87" s="61" t="s">
        <v>1</v>
      </c>
      <c r="E87" s="154">
        <f>IF((E83+E84+E85)=0,0,(E84*$B87)/(E83+E84+E85))</f>
        <v>5.7872272615151613E-2</v>
      </c>
      <c r="F87" s="154">
        <f>IF((F83+F84+F85)=0,0,(F84*$B87)/(F83+F84+F85))</f>
        <v>3.0199864544972733E-2</v>
      </c>
      <c r="G87" s="154">
        <f t="shared" ref="G87:O87" si="449">IF((G83+G84+G85)=0,0,(G84*$B87)/(G83+G84+G85))</f>
        <v>5.1004215675953951E-2</v>
      </c>
      <c r="H87" s="154">
        <f t="shared" si="449"/>
        <v>7.4286273947678477E-2</v>
      </c>
      <c r="I87" s="154">
        <f t="shared" si="449"/>
        <v>4.3305466139960905E-2</v>
      </c>
      <c r="J87" s="154">
        <f t="shared" si="449"/>
        <v>6.8309217423152616E-2</v>
      </c>
      <c r="K87" s="154">
        <f t="shared" si="449"/>
        <v>7.549966136243183E-2</v>
      </c>
      <c r="L87" s="154">
        <f t="shared" si="449"/>
        <v>6.4552210464879217E-2</v>
      </c>
      <c r="M87" s="154">
        <f t="shared" si="449"/>
        <v>0</v>
      </c>
      <c r="N87" s="154">
        <f t="shared" si="449"/>
        <v>0</v>
      </c>
      <c r="O87" s="154">
        <f t="shared" si="449"/>
        <v>0</v>
      </c>
      <c r="P87" s="154">
        <f>IF((P83+P84+P85)=0,0,(P84*$B87)/(P83+P84+P85))</f>
        <v>0</v>
      </c>
      <c r="Q87" s="154">
        <f t="shared" ref="Q87:Y87" si="450">IF((Q83+Q84+Q85)=0,0,(Q84*$B87)/(Q83+Q84+Q85))</f>
        <v>0</v>
      </c>
      <c r="R87" s="154">
        <f t="shared" si="450"/>
        <v>0</v>
      </c>
      <c r="S87" s="154">
        <f t="shared" si="450"/>
        <v>0</v>
      </c>
      <c r="T87" s="154">
        <f t="shared" si="450"/>
        <v>0</v>
      </c>
      <c r="U87" s="154">
        <f t="shared" si="450"/>
        <v>0</v>
      </c>
      <c r="V87" s="154">
        <f t="shared" si="450"/>
        <v>0</v>
      </c>
      <c r="W87" s="154">
        <f t="shared" si="450"/>
        <v>0</v>
      </c>
      <c r="X87" s="154">
        <f t="shared" si="450"/>
        <v>0</v>
      </c>
      <c r="Y87" s="159">
        <f t="shared" si="450"/>
        <v>0</v>
      </c>
    </row>
    <row r="88" spans="2:25" ht="15" customHeight="1" thickBot="1" x14ac:dyDescent="0.25">
      <c r="B88" s="255"/>
      <c r="C88" s="93">
        <f>E88/SUM(E86:E88)</f>
        <v>0</v>
      </c>
      <c r="D88" s="75" t="s">
        <v>2</v>
      </c>
      <c r="E88" s="155">
        <f>IF((E83+E84+E85)=0,0,(E85*$B87)/(E83+E84+E85))</f>
        <v>0</v>
      </c>
      <c r="F88" s="155">
        <f>IF((F83+F84+F85)=0,0,(F85*$B87)/(F83+F84+F85))</f>
        <v>0</v>
      </c>
      <c r="G88" s="155">
        <f t="shared" ref="G88" si="451">IF((G83+G84+G85)=0,0,(G85*$B87)/(G83+G84+G85))</f>
        <v>0</v>
      </c>
      <c r="H88" s="155">
        <f t="shared" ref="H88" si="452">IF((H83+H84+H85)=0,0,(H85*$B87)/(H83+H84+H85))</f>
        <v>0</v>
      </c>
      <c r="I88" s="155">
        <f t="shared" ref="I88" si="453">IF((I83+I84+I85)=0,0,(I85*$B87)/(I83+I84+I85))</f>
        <v>0</v>
      </c>
      <c r="J88" s="155">
        <f t="shared" ref="J88" si="454">IF((J83+J84+J85)=0,0,(J85*$B87)/(J83+J84+J85))</f>
        <v>0</v>
      </c>
      <c r="K88" s="155">
        <f t="shared" ref="K88" si="455">IF((K83+K84+K85)=0,0,(K85*$B87)/(K83+K84+K85))</f>
        <v>0</v>
      </c>
      <c r="L88" s="155">
        <f t="shared" ref="L88" si="456">IF((L83+L84+L85)=0,0,(L85*$B87)/(L83+L84+L85))</f>
        <v>0</v>
      </c>
      <c r="M88" s="155">
        <f t="shared" ref="M88" si="457">IF((M83+M84+M85)=0,0,(M85*$B87)/(M83+M84+M85))</f>
        <v>0</v>
      </c>
      <c r="N88" s="155">
        <f t="shared" ref="N88" si="458">IF((N83+N84+N85)=0,0,(N85*$B87)/(N83+N84+N85))</f>
        <v>0</v>
      </c>
      <c r="O88" s="155">
        <f t="shared" ref="O88" si="459">IF((O83+O84+O85)=0,0,(O85*$B87)/(O83+O84+O85))</f>
        <v>0</v>
      </c>
      <c r="P88" s="155">
        <f t="shared" ref="P88" si="460">IF((P83+P84+P85)=0,0,(P85*$B87)/(P83+P84+P85))</f>
        <v>0</v>
      </c>
      <c r="Q88" s="155">
        <f t="shared" ref="Q88" si="461">IF((Q83+Q84+Q85)=0,0,(Q85*$B87)/(Q83+Q84+Q85))</f>
        <v>0</v>
      </c>
      <c r="R88" s="155">
        <f t="shared" ref="R88" si="462">IF((R83+R84+R85)=0,0,(R85*$B87)/(R83+R84+R85))</f>
        <v>0</v>
      </c>
      <c r="S88" s="155">
        <f t="shared" ref="S88" si="463">IF((S83+S84+S85)=0,0,(S85*$B87)/(S83+S84+S85))</f>
        <v>0</v>
      </c>
      <c r="T88" s="155">
        <f t="shared" ref="T88" si="464">IF((T83+T84+T85)=0,0,(T85*$B87)/(T83+T84+T85))</f>
        <v>0</v>
      </c>
      <c r="U88" s="155">
        <f t="shared" ref="U88" si="465">IF((U83+U84+U85)=0,0,(U85*$B87)/(U83+U84+U85))</f>
        <v>0</v>
      </c>
      <c r="V88" s="155">
        <f t="shared" ref="V88" si="466">IF((V83+V84+V85)=0,0,(V85*$B87)/(V83+V84+V85))</f>
        <v>0</v>
      </c>
      <c r="W88" s="155">
        <f t="shared" ref="W88" si="467">IF((W83+W84+W85)=0,0,(W85*$B87)/(W83+W84+W85))</f>
        <v>0</v>
      </c>
      <c r="X88" s="155">
        <f t="shared" ref="X88" si="468">IF((X83+X84+X85)=0,0,(X85*$B87)/(X83+X84+X85))</f>
        <v>0</v>
      </c>
      <c r="Y88" s="160">
        <f t="shared" ref="Y88" si="469">IF((Y83+Y84+Y85)=0,0,(Y85*$B87)/(Y83+Y84+Y85))</f>
        <v>0</v>
      </c>
    </row>
    <row r="89" spans="2:25" ht="15" customHeight="1" x14ac:dyDescent="0.2">
      <c r="B89" s="256" t="s">
        <v>45</v>
      </c>
      <c r="C89" s="91">
        <f>E89/SUM(E89:E91)</f>
        <v>0.59905660377358494</v>
      </c>
      <c r="D89" s="67" t="s">
        <v>0</v>
      </c>
      <c r="E89" s="68">
        <f t="shared" si="381"/>
        <v>127</v>
      </c>
      <c r="F89" s="68">
        <f>SUMIFS([0]!Chavez,[0]!Centro,$B91,[0]!Turno,F$70)</f>
        <v>13</v>
      </c>
      <c r="G89" s="68">
        <f>SUMIFS([0]!Chavez,[0]!Centro,$B91,[0]!Turno,G$70)</f>
        <v>5</v>
      </c>
      <c r="H89" s="68">
        <f>SUMIFS([0]!Chavez,[0]!Centro,$B91,[0]!Turno,H$70)</f>
        <v>24</v>
      </c>
      <c r="I89" s="68">
        <f>SUMIFS([0]!Chavez,[0]!Centro,$B91,[0]!Turno,I$70)</f>
        <v>21</v>
      </c>
      <c r="J89" s="68">
        <f>SUMIFS([0]!Chavez,[0]!Centro,$B91,[0]!Turno,J$70)</f>
        <v>18</v>
      </c>
      <c r="K89" s="68">
        <f>SUMIFS([0]!Chavez,[0]!Centro,$B91,[0]!Turno,K$70)</f>
        <v>7</v>
      </c>
      <c r="L89" s="68">
        <f>SUMIFS([0]!Chavez,[0]!Centro,$B91,[0]!Turno,L$70)</f>
        <v>24</v>
      </c>
      <c r="M89" s="68">
        <f>SUMIFS([0]!Chavez,[0]!Centro,$B91,[0]!Turno,M$70)</f>
        <v>15</v>
      </c>
      <c r="N89" s="68">
        <f>SUMIFS([0]!Chavez,[0]!Centro,$B91,[0]!Turno,N$70)</f>
        <v>0</v>
      </c>
      <c r="O89" s="68">
        <f>SUMIFS([0]!Chavez,[0]!Centro,$B91,[0]!Turno,O$70)</f>
        <v>0</v>
      </c>
      <c r="P89" s="68">
        <f>SUMIFS([0]!Chavez,[0]!Centro,$B91,[0]!Turno,P$70)</f>
        <v>0</v>
      </c>
      <c r="Q89" s="68">
        <f>SUMIFS([0]!Chavez,[0]!Centro,$B91,[0]!Turno,Q$70)</f>
        <v>0</v>
      </c>
      <c r="R89" s="68">
        <f>SUMIFS([0]!Chavez,[0]!Centro,$B91,[0]!Turno,R$70)</f>
        <v>0</v>
      </c>
      <c r="S89" s="68">
        <f>SUMIFS([0]!Chavez,[0]!Centro,$B91,[0]!Turno,S$70)</f>
        <v>0</v>
      </c>
      <c r="T89" s="68">
        <f>SUMIFS([0]!Chavez,[0]!Centro,$B91,[0]!Turno,T$70)</f>
        <v>0</v>
      </c>
      <c r="U89" s="68">
        <f>SUMIFS([0]!Chavez,[0]!Centro,$B91,[0]!Turno,U$70)</f>
        <v>0</v>
      </c>
      <c r="V89" s="68">
        <f>SUMIFS([0]!Chavez,[0]!Centro,$B91,[0]!Turno,V$70)</f>
        <v>0</v>
      </c>
      <c r="W89" s="68">
        <f>SUMIFS([0]!Chavez,[0]!Centro,$B91,[0]!Turno,W$70)</f>
        <v>0</v>
      </c>
      <c r="X89" s="68">
        <f>SUMIFS([0]!Chavez,[0]!Centro,$B91,[0]!Turno,X$70)</f>
        <v>0</v>
      </c>
      <c r="Y89" s="69">
        <f>SUMIFS([0]!Chavez,[0]!Centro,$B91,[0]!Turno,Y$70)</f>
        <v>0</v>
      </c>
    </row>
    <row r="90" spans="2:25" ht="15" customHeight="1" x14ac:dyDescent="0.2">
      <c r="B90" s="256"/>
      <c r="C90" s="92">
        <f>E90/SUM(E89:E91)</f>
        <v>0.38207547169811323</v>
      </c>
      <c r="D90" s="61" t="s">
        <v>1</v>
      </c>
      <c r="E90" s="62">
        <f t="shared" si="381"/>
        <v>81</v>
      </c>
      <c r="F90" s="62">
        <f>SUMIFS([0]!Capriles,[0]!Centro,$B91,[0]!Turno,F$70)</f>
        <v>13</v>
      </c>
      <c r="G90" s="62">
        <f>SUMIFS([0]!Capriles,[0]!Centro,$B91,[0]!Turno,G$70)</f>
        <v>2</v>
      </c>
      <c r="H90" s="62">
        <f>SUMIFS([0]!Capriles,[0]!Centro,$B91,[0]!Turno,H$70)</f>
        <v>8</v>
      </c>
      <c r="I90" s="62">
        <f>SUMIFS([0]!Capriles,[0]!Centro,$B91,[0]!Turno,I$70)</f>
        <v>15</v>
      </c>
      <c r="J90" s="62">
        <f>SUMIFS([0]!Capriles,[0]!Centro,$B91,[0]!Turno,J$70)</f>
        <v>19</v>
      </c>
      <c r="K90" s="62">
        <f>SUMIFS([0]!Capriles,[0]!Centro,$B91,[0]!Turno,K$70)</f>
        <v>5</v>
      </c>
      <c r="L90" s="62">
        <f>SUMIFS([0]!Capriles,[0]!Centro,$B91,[0]!Turno,L$70)</f>
        <v>15</v>
      </c>
      <c r="M90" s="62">
        <f>SUMIFS([0]!Capriles,[0]!Centro,$B91,[0]!Turno,M$70)</f>
        <v>4</v>
      </c>
      <c r="N90" s="62">
        <f>SUMIFS([0]!Capriles,[0]!Centro,$B91,[0]!Turno,N$70)</f>
        <v>0</v>
      </c>
      <c r="O90" s="62">
        <f>SUMIFS([0]!Capriles,[0]!Centro,$B91,[0]!Turno,O$70)</f>
        <v>0</v>
      </c>
      <c r="P90" s="62">
        <f>SUMIFS([0]!Capriles,[0]!Centro,$B91,[0]!Turno,P$70)</f>
        <v>0</v>
      </c>
      <c r="Q90" s="62">
        <f>SUMIFS([0]!Capriles,[0]!Centro,$B91,[0]!Turno,Q$70)</f>
        <v>0</v>
      </c>
      <c r="R90" s="62">
        <f>SUMIFS([0]!Capriles,[0]!Centro,$B91,[0]!Turno,R$70)</f>
        <v>0</v>
      </c>
      <c r="S90" s="62">
        <f>SUMIFS([0]!Capriles,[0]!Centro,$B91,[0]!Turno,S$70)</f>
        <v>0</v>
      </c>
      <c r="T90" s="62">
        <f>SUMIFS([0]!Capriles,[0]!Centro,$B91,[0]!Turno,T$70)</f>
        <v>0</v>
      </c>
      <c r="U90" s="62">
        <f>SUMIFS([0]!Capriles,[0]!Centro,$B91,[0]!Turno,U$70)</f>
        <v>0</v>
      </c>
      <c r="V90" s="62">
        <f>SUMIFS([0]!Capriles,[0]!Centro,$B91,[0]!Turno,V$70)</f>
        <v>0</v>
      </c>
      <c r="W90" s="62">
        <f>SUMIFS([0]!Capriles,[0]!Centro,$B91,[0]!Turno,W$70)</f>
        <v>0</v>
      </c>
      <c r="X90" s="62">
        <f>SUMIFS([0]!Capriles,[0]!Centro,$B91,[0]!Turno,X$70)</f>
        <v>0</v>
      </c>
      <c r="Y90" s="70">
        <f>SUMIFS([0]!Capriles,[0]!Centro,$B91,[0]!Turno,Y$70)</f>
        <v>0</v>
      </c>
    </row>
    <row r="91" spans="2:25" ht="15" customHeight="1" thickBot="1" x14ac:dyDescent="0.25">
      <c r="B91" s="256">
        <v>30</v>
      </c>
      <c r="C91" s="100">
        <f>E91/SUM(E89:E91)</f>
        <v>1.8867924528301886E-2</v>
      </c>
      <c r="D91" s="71" t="s">
        <v>2</v>
      </c>
      <c r="E91" s="72">
        <f t="shared" si="381"/>
        <v>4</v>
      </c>
      <c r="F91" s="72">
        <f>SUMIFS([0]!Otro,[0]!Centro,$B91,[0]!Turno,F$70)</f>
        <v>0</v>
      </c>
      <c r="G91" s="72">
        <f>SUMIFS([0]!Otro,[0]!Centro,$B91,[0]!Turno,G$70)</f>
        <v>1</v>
      </c>
      <c r="H91" s="72">
        <f>SUMIFS([0]!Otro,[0]!Centro,$B91,[0]!Turno,H$70)</f>
        <v>1</v>
      </c>
      <c r="I91" s="72">
        <f>SUMIFS([0]!Otro,[0]!Centro,$B91,[0]!Turno,I$70)</f>
        <v>1</v>
      </c>
      <c r="J91" s="72">
        <f>SUMIFS([0]!Otro,[0]!Centro,$B91,[0]!Turno,J$70)</f>
        <v>1</v>
      </c>
      <c r="K91" s="72">
        <f>SUMIFS([0]!Otro,[0]!Centro,$B91,[0]!Turno,K$70)</f>
        <v>0</v>
      </c>
      <c r="L91" s="72">
        <f>SUMIFS([0]!Otro,[0]!Centro,$B91,[0]!Turno,L$70)</f>
        <v>0</v>
      </c>
      <c r="M91" s="72">
        <f>SUMIFS([0]!Otro,[0]!Centro,$B91,[0]!Turno,M$70)</f>
        <v>0</v>
      </c>
      <c r="N91" s="72">
        <f>SUMIFS([0]!Otro,[0]!Centro,$B91,[0]!Turno,N$70)</f>
        <v>0</v>
      </c>
      <c r="O91" s="72">
        <f>SUMIFS([0]!Otro,[0]!Centro,$B91,[0]!Turno,O$70)</f>
        <v>0</v>
      </c>
      <c r="P91" s="72">
        <f>SUMIFS([0]!Otro,[0]!Centro,$B91,[0]!Turno,P$70)</f>
        <v>0</v>
      </c>
      <c r="Q91" s="72">
        <f>SUMIFS([0]!Otro,[0]!Centro,$B91,[0]!Turno,Q$70)</f>
        <v>0</v>
      </c>
      <c r="R91" s="72">
        <f>SUMIFS([0]!Otro,[0]!Centro,$B91,[0]!Turno,R$70)</f>
        <v>0</v>
      </c>
      <c r="S91" s="72">
        <f>SUMIFS([0]!Otro,[0]!Centro,$B91,[0]!Turno,S$70)</f>
        <v>0</v>
      </c>
      <c r="T91" s="72">
        <f>SUMIFS([0]!Otro,[0]!Centro,$B91,[0]!Turno,T$70)</f>
        <v>0</v>
      </c>
      <c r="U91" s="72">
        <f>SUMIFS([0]!Otro,[0]!Centro,$B91,[0]!Turno,U$70)</f>
        <v>0</v>
      </c>
      <c r="V91" s="72">
        <f>SUMIFS([0]!Otro,[0]!Centro,$B91,[0]!Turno,V$70)</f>
        <v>0</v>
      </c>
      <c r="W91" s="72">
        <f>SUMIFS([0]!Otro,[0]!Centro,$B91,[0]!Turno,W$70)</f>
        <v>0</v>
      </c>
      <c r="X91" s="72">
        <f>SUMIFS([0]!Otro,[0]!Centro,$B91,[0]!Turno,X$70)</f>
        <v>0</v>
      </c>
      <c r="Y91" s="73">
        <f>SUMIFS([0]!Otro,[0]!Centro,$B91,[0]!Turno,Y$70)</f>
        <v>0</v>
      </c>
    </row>
    <row r="92" spans="2:25" ht="15" customHeight="1" x14ac:dyDescent="0.2">
      <c r="B92" s="256"/>
      <c r="C92" s="94">
        <f>E92/SUM(E92:E94)</f>
        <v>0.59905660377358483</v>
      </c>
      <c r="D92" s="63" t="s">
        <v>0</v>
      </c>
      <c r="E92" s="150">
        <f>IF((E89+E90+E91)=0,0,(E89*$B93)/(E89+E90+E91))</f>
        <v>0.15826142896482975</v>
      </c>
      <c r="F92" s="150">
        <f>IF((F89+F90+F91)=0,0,(F89*$B93)/(F89+F90+F91))</f>
        <v>0.13209221630135398</v>
      </c>
      <c r="G92" s="150">
        <f t="shared" ref="G92" si="470">IF((G89+G90+G91)=0,0,(G89*$B93)/(G89+G90+G91))</f>
        <v>0.16511527037669249</v>
      </c>
      <c r="H92" s="150">
        <f t="shared" ref="H92" si="471">IF((H89+H90+H91)=0,0,(H89*$B93)/(H89+H90+H91))</f>
        <v>0.19213413280196942</v>
      </c>
      <c r="I92" s="150">
        <f t="shared" ref="I92" si="472">IF((I89+I90+I91)=0,0,(I89*$B93)/(I89+I90+I91))</f>
        <v>0.14994251580153695</v>
      </c>
      <c r="J92" s="150">
        <f t="shared" ref="J92" si="473">IF((J89+J90+J91)=0,0,(J89*$B93)/(J89+J90+J91))</f>
        <v>0.1251399943907564</v>
      </c>
      <c r="K92" s="150">
        <f t="shared" ref="K92" si="474">IF((K89+K90+K91)=0,0,(K89*$B93)/(K89+K90+K91))</f>
        <v>0.15410758568491298</v>
      </c>
      <c r="L92" s="150">
        <f t="shared" ref="L92" si="475">IF((L89+L90+L91)=0,0,(L89*$B93)/(L89+L90+L91))</f>
        <v>0.16257503544782029</v>
      </c>
      <c r="M92" s="150">
        <f t="shared" ref="M92" si="476">IF((M89+M90+M91)=0,0,(M89*$B93)/(M89+M90+M91))</f>
        <v>0.20856665731792734</v>
      </c>
      <c r="N92" s="150">
        <f t="shared" ref="N92" si="477">IF((N89+N90+N91)=0,0,(N89*$B93)/(N89+N90+N91))</f>
        <v>0</v>
      </c>
      <c r="O92" s="150">
        <f t="shared" ref="O92" si="478">IF((O89+O90+O91)=0,0,(O89*$B93)/(O89+O90+O91))</f>
        <v>0</v>
      </c>
      <c r="P92" s="150">
        <f t="shared" ref="P92" si="479">IF((P89+P90+P91)=0,0,(P89*$B93)/(P89+P90+P91))</f>
        <v>0</v>
      </c>
      <c r="Q92" s="150">
        <f t="shared" ref="Q92" si="480">IF((Q89+Q90+Q91)=0,0,(Q89*$B93)/(Q89+Q90+Q91))</f>
        <v>0</v>
      </c>
      <c r="R92" s="150">
        <f t="shared" ref="R92" si="481">IF((R89+R90+R91)=0,0,(R89*$B93)/(R89+R90+R91))</f>
        <v>0</v>
      </c>
      <c r="S92" s="150">
        <f t="shared" ref="S92" si="482">IF((S89+S90+S91)=0,0,(S89*$B93)/(S89+S90+S91))</f>
        <v>0</v>
      </c>
      <c r="T92" s="150">
        <f t="shared" ref="T92" si="483">IF((T89+T90+T91)=0,0,(T89*$B93)/(T89+T90+T91))</f>
        <v>0</v>
      </c>
      <c r="U92" s="150">
        <f t="shared" ref="U92" si="484">IF((U89+U90+U91)=0,0,(U89*$B93)/(U89+U90+U91))</f>
        <v>0</v>
      </c>
      <c r="V92" s="150">
        <f t="shared" ref="V92" si="485">IF((V89+V90+V91)=0,0,(V89*$B93)/(V89+V90+V91))</f>
        <v>0</v>
      </c>
      <c r="W92" s="150">
        <f t="shared" ref="W92" si="486">IF((W89+W90+W91)=0,0,(W89*$B93)/(W89+W90+W91))</f>
        <v>0</v>
      </c>
      <c r="X92" s="150">
        <f t="shared" ref="X92" si="487">IF((X89+X90+X91)=0,0,(X89*$B93)/(X89+X90+X91))</f>
        <v>0</v>
      </c>
      <c r="Y92" s="163">
        <f t="shared" ref="Y92" si="488">IF((Y89+Y90+Y91)=0,0,(Y89*$B93)/(Y89+Y90+Y91))</f>
        <v>0</v>
      </c>
    </row>
    <row r="93" spans="2:25" ht="15" customHeight="1" x14ac:dyDescent="0.2">
      <c r="B93" s="254">
        <v>0.26418443260270796</v>
      </c>
      <c r="C93" s="92">
        <f>E93/SUM(E92:E94)</f>
        <v>0.38207547169811323</v>
      </c>
      <c r="D93" s="61" t="s">
        <v>1</v>
      </c>
      <c r="E93" s="154">
        <f>IF((E89+E90+E91)=0,0,(E90*$B93)/(E89+E90+E91))</f>
        <v>0.10093839170197805</v>
      </c>
      <c r="F93" s="154">
        <f>IF((F89+F90+F91)=0,0,(F90*$B93)/(F89+F90+F91))</f>
        <v>0.13209221630135398</v>
      </c>
      <c r="G93" s="154">
        <f t="shared" ref="G93:O93" si="489">IF((G89+G90+G91)=0,0,(G90*$B93)/(G89+G90+G91))</f>
        <v>6.6046108150676991E-2</v>
      </c>
      <c r="H93" s="154">
        <f t="shared" si="489"/>
        <v>6.4044710933989807E-2</v>
      </c>
      <c r="I93" s="154">
        <f t="shared" si="489"/>
        <v>0.10710179700109781</v>
      </c>
      <c r="J93" s="154">
        <f t="shared" si="489"/>
        <v>0.13209221630135398</v>
      </c>
      <c r="K93" s="154">
        <f t="shared" si="489"/>
        <v>0.110076846917795</v>
      </c>
      <c r="L93" s="154">
        <f t="shared" si="489"/>
        <v>0.10160939715488768</v>
      </c>
      <c r="M93" s="154">
        <f t="shared" si="489"/>
        <v>5.5617775284780624E-2</v>
      </c>
      <c r="N93" s="154">
        <f t="shared" si="489"/>
        <v>0</v>
      </c>
      <c r="O93" s="154">
        <f t="shared" si="489"/>
        <v>0</v>
      </c>
      <c r="P93" s="154">
        <f>IF((P89+P90+P91)=0,0,(P90*$B93)/(P89+P90+P91))</f>
        <v>0</v>
      </c>
      <c r="Q93" s="154">
        <f t="shared" ref="Q93:Y93" si="490">IF((Q89+Q90+Q91)=0,0,(Q90*$B93)/(Q89+Q90+Q91))</f>
        <v>0</v>
      </c>
      <c r="R93" s="154">
        <f t="shared" si="490"/>
        <v>0</v>
      </c>
      <c r="S93" s="154">
        <f t="shared" si="490"/>
        <v>0</v>
      </c>
      <c r="T93" s="154">
        <f t="shared" si="490"/>
        <v>0</v>
      </c>
      <c r="U93" s="154">
        <f t="shared" si="490"/>
        <v>0</v>
      </c>
      <c r="V93" s="154">
        <f t="shared" si="490"/>
        <v>0</v>
      </c>
      <c r="W93" s="154">
        <f t="shared" si="490"/>
        <v>0</v>
      </c>
      <c r="X93" s="154">
        <f t="shared" si="490"/>
        <v>0</v>
      </c>
      <c r="Y93" s="159">
        <f t="shared" si="490"/>
        <v>0</v>
      </c>
    </row>
    <row r="94" spans="2:25" ht="15" customHeight="1" thickBot="1" x14ac:dyDescent="0.25">
      <c r="B94" s="255"/>
      <c r="C94" s="93">
        <f>E94/SUM(E92:E94)</f>
        <v>1.886792452830189E-2</v>
      </c>
      <c r="D94" s="75" t="s">
        <v>2</v>
      </c>
      <c r="E94" s="155">
        <f>IF((E89+E90+E91)=0,0,(E91*$B93)/(E89+E90+E91))</f>
        <v>4.9846119359001507E-3</v>
      </c>
      <c r="F94" s="155">
        <f>IF((F89+F90+F91)=0,0,(F91*$B93)/(F89+F90+F91))</f>
        <v>0</v>
      </c>
      <c r="G94" s="155">
        <f t="shared" ref="G94" si="491">IF((G89+G90+G91)=0,0,(G91*$B93)/(G89+G90+G91))</f>
        <v>3.3023054075338495E-2</v>
      </c>
      <c r="H94" s="155">
        <f t="shared" ref="H94" si="492">IF((H89+H90+H91)=0,0,(H91*$B93)/(H89+H90+H91))</f>
        <v>8.0055888667487259E-3</v>
      </c>
      <c r="I94" s="155">
        <f t="shared" ref="I94" si="493">IF((I89+I90+I91)=0,0,(I91*$B93)/(I89+I90+I91))</f>
        <v>7.1401198000731886E-3</v>
      </c>
      <c r="J94" s="155">
        <f t="shared" ref="J94" si="494">IF((J89+J90+J91)=0,0,(J91*$B93)/(J89+J90+J91))</f>
        <v>6.952221910597578E-3</v>
      </c>
      <c r="K94" s="155">
        <f t="shared" ref="K94" si="495">IF((K89+K90+K91)=0,0,(K91*$B93)/(K89+K90+K91))</f>
        <v>0</v>
      </c>
      <c r="L94" s="155">
        <f t="shared" ref="L94" si="496">IF((L89+L90+L91)=0,0,(L91*$B93)/(L89+L90+L91))</f>
        <v>0</v>
      </c>
      <c r="M94" s="155">
        <f t="shared" ref="M94" si="497">IF((M89+M90+M91)=0,0,(M91*$B93)/(M89+M90+M91))</f>
        <v>0</v>
      </c>
      <c r="N94" s="155">
        <f t="shared" ref="N94" si="498">IF((N89+N90+N91)=0,0,(N91*$B93)/(N89+N90+N91))</f>
        <v>0</v>
      </c>
      <c r="O94" s="155">
        <f t="shared" ref="O94" si="499">IF((O89+O90+O91)=0,0,(O91*$B93)/(O89+O90+O91))</f>
        <v>0</v>
      </c>
      <c r="P94" s="155">
        <f t="shared" ref="P94" si="500">IF((P89+P90+P91)=0,0,(P91*$B93)/(P89+P90+P91))</f>
        <v>0</v>
      </c>
      <c r="Q94" s="155">
        <f t="shared" ref="Q94" si="501">IF((Q89+Q90+Q91)=0,0,(Q91*$B93)/(Q89+Q90+Q91))</f>
        <v>0</v>
      </c>
      <c r="R94" s="155">
        <f t="shared" ref="R94" si="502">IF((R89+R90+R91)=0,0,(R91*$B93)/(R89+R90+R91))</f>
        <v>0</v>
      </c>
      <c r="S94" s="155">
        <f t="shared" ref="S94" si="503">IF((S89+S90+S91)=0,0,(S91*$B93)/(S89+S90+S91))</f>
        <v>0</v>
      </c>
      <c r="T94" s="155">
        <f t="shared" ref="T94" si="504">IF((T89+T90+T91)=0,0,(T91*$B93)/(T89+T90+T91))</f>
        <v>0</v>
      </c>
      <c r="U94" s="155">
        <f t="shared" ref="U94" si="505">IF((U89+U90+U91)=0,0,(U91*$B93)/(U89+U90+U91))</f>
        <v>0</v>
      </c>
      <c r="V94" s="155">
        <f t="shared" ref="V94" si="506">IF((V89+V90+V91)=0,0,(V91*$B93)/(V89+V90+V91))</f>
        <v>0</v>
      </c>
      <c r="W94" s="155">
        <f t="shared" ref="W94" si="507">IF((W89+W90+W91)=0,0,(W91*$B93)/(W89+W90+W91))</f>
        <v>0</v>
      </c>
      <c r="X94" s="155">
        <f t="shared" ref="X94" si="508">IF((X89+X90+X91)=0,0,(X91*$B93)/(X89+X90+X91))</f>
        <v>0</v>
      </c>
      <c r="Y94" s="160">
        <f t="shared" ref="Y94" si="509">IF((Y89+Y90+Y91)=0,0,(Y91*$B93)/(Y89+Y90+Y91))</f>
        <v>0</v>
      </c>
    </row>
    <row r="95" spans="2:25" ht="15" customHeight="1" x14ac:dyDescent="0.2">
      <c r="B95" s="256" t="s">
        <v>46</v>
      </c>
      <c r="C95" s="91">
        <f>E95/SUM(E95:E97)</f>
        <v>0.58940397350993379</v>
      </c>
      <c r="D95" s="67" t="s">
        <v>0</v>
      </c>
      <c r="E95" s="68">
        <f t="shared" si="381"/>
        <v>178</v>
      </c>
      <c r="F95" s="68">
        <f>SUMIFS([0]!Chavez,[0]!Centro,$B97,[0]!Turno,F$70)</f>
        <v>13</v>
      </c>
      <c r="G95" s="68">
        <f>SUMIFS([0]!Chavez,[0]!Centro,$B97,[0]!Turno,G$70)</f>
        <v>25</v>
      </c>
      <c r="H95" s="68">
        <f>SUMIFS([0]!Chavez,[0]!Centro,$B97,[0]!Turno,H$70)</f>
        <v>28</v>
      </c>
      <c r="I95" s="68">
        <f>SUMIFS([0]!Chavez,[0]!Centro,$B97,[0]!Turno,I$70)</f>
        <v>18</v>
      </c>
      <c r="J95" s="68">
        <f>SUMIFS([0]!Chavez,[0]!Centro,$B97,[0]!Turno,J$70)</f>
        <v>20</v>
      </c>
      <c r="K95" s="68">
        <f>SUMIFS([0]!Chavez,[0]!Centro,$B97,[0]!Turno,K$70)</f>
        <v>19</v>
      </c>
      <c r="L95" s="68">
        <f>SUMIFS([0]!Chavez,[0]!Centro,$B97,[0]!Turno,L$70)</f>
        <v>22</v>
      </c>
      <c r="M95" s="68">
        <f>SUMIFS([0]!Chavez,[0]!Centro,$B97,[0]!Turno,M$70)</f>
        <v>18</v>
      </c>
      <c r="N95" s="68">
        <f>SUMIFS([0]!Chavez,[0]!Centro,$B97,[0]!Turno,N$70)</f>
        <v>15</v>
      </c>
      <c r="O95" s="68">
        <f>SUMIFS([0]!Chavez,[0]!Centro,$B97,[0]!Turno,O$70)</f>
        <v>0</v>
      </c>
      <c r="P95" s="68">
        <f>SUMIFS([0]!Chavez,[0]!Centro,$B97,[0]!Turno,P$70)</f>
        <v>0</v>
      </c>
      <c r="Q95" s="68">
        <f>SUMIFS([0]!Chavez,[0]!Centro,$B97,[0]!Turno,Q$70)</f>
        <v>0</v>
      </c>
      <c r="R95" s="68">
        <f>SUMIFS([0]!Chavez,[0]!Centro,$B97,[0]!Turno,R$70)</f>
        <v>0</v>
      </c>
      <c r="S95" s="68">
        <f>SUMIFS([0]!Chavez,[0]!Centro,$B97,[0]!Turno,S$70)</f>
        <v>0</v>
      </c>
      <c r="T95" s="68">
        <f>SUMIFS([0]!Chavez,[0]!Centro,$B97,[0]!Turno,T$70)</f>
        <v>0</v>
      </c>
      <c r="U95" s="68">
        <f>SUMIFS([0]!Chavez,[0]!Centro,$B97,[0]!Turno,U$70)</f>
        <v>0</v>
      </c>
      <c r="V95" s="68">
        <f>SUMIFS([0]!Chavez,[0]!Centro,$B97,[0]!Turno,V$70)</f>
        <v>0</v>
      </c>
      <c r="W95" s="68">
        <f>SUMIFS([0]!Chavez,[0]!Centro,$B97,[0]!Turno,W$70)</f>
        <v>0</v>
      </c>
      <c r="X95" s="68">
        <f>SUMIFS([0]!Chavez,[0]!Centro,$B97,[0]!Turno,X$70)</f>
        <v>0</v>
      </c>
      <c r="Y95" s="69">
        <f>SUMIFS([0]!Chavez,[0]!Centro,$B97,[0]!Turno,Y$70)</f>
        <v>0</v>
      </c>
    </row>
    <row r="96" spans="2:25" ht="15" customHeight="1" x14ac:dyDescent="0.2">
      <c r="B96" s="256"/>
      <c r="C96" s="92">
        <f>E96/SUM(E95:E97)</f>
        <v>0.40397350993377484</v>
      </c>
      <c r="D96" s="61" t="s">
        <v>1</v>
      </c>
      <c r="E96" s="62">
        <f t="shared" si="381"/>
        <v>122</v>
      </c>
      <c r="F96" s="62">
        <f>SUMIFS([0]!Capriles,[0]!Centro,$B97,[0]!Turno,F$70)</f>
        <v>5</v>
      </c>
      <c r="G96" s="62">
        <f>SUMIFS([0]!Capriles,[0]!Centro,$B97,[0]!Turno,G$70)</f>
        <v>14</v>
      </c>
      <c r="H96" s="62">
        <f>SUMIFS([0]!Capriles,[0]!Centro,$B97,[0]!Turno,H$70)</f>
        <v>12</v>
      </c>
      <c r="I96" s="62">
        <f>SUMIFS([0]!Capriles,[0]!Centro,$B97,[0]!Turno,I$70)</f>
        <v>15</v>
      </c>
      <c r="J96" s="62">
        <f>SUMIFS([0]!Capriles,[0]!Centro,$B97,[0]!Turno,J$70)</f>
        <v>20</v>
      </c>
      <c r="K96" s="62">
        <f>SUMIFS([0]!Capriles,[0]!Centro,$B97,[0]!Turno,K$70)</f>
        <v>13</v>
      </c>
      <c r="L96" s="62">
        <f>SUMIFS([0]!Capriles,[0]!Centro,$B97,[0]!Turno,L$70)</f>
        <v>24</v>
      </c>
      <c r="M96" s="62">
        <f>SUMIFS([0]!Capriles,[0]!Centro,$B97,[0]!Turno,M$70)</f>
        <v>14</v>
      </c>
      <c r="N96" s="62">
        <f>SUMIFS([0]!Capriles,[0]!Centro,$B97,[0]!Turno,N$70)</f>
        <v>5</v>
      </c>
      <c r="O96" s="62">
        <f>SUMIFS([0]!Capriles,[0]!Centro,$B97,[0]!Turno,O$70)</f>
        <v>0</v>
      </c>
      <c r="P96" s="62">
        <f>SUMIFS([0]!Capriles,[0]!Centro,$B97,[0]!Turno,P$70)</f>
        <v>0</v>
      </c>
      <c r="Q96" s="62">
        <f>SUMIFS([0]!Capriles,[0]!Centro,$B97,[0]!Turno,Q$70)</f>
        <v>0</v>
      </c>
      <c r="R96" s="62">
        <f>SUMIFS([0]!Capriles,[0]!Centro,$B97,[0]!Turno,R$70)</f>
        <v>0</v>
      </c>
      <c r="S96" s="62">
        <f>SUMIFS([0]!Capriles,[0]!Centro,$B97,[0]!Turno,S$70)</f>
        <v>0</v>
      </c>
      <c r="T96" s="62">
        <f>SUMIFS([0]!Capriles,[0]!Centro,$B97,[0]!Turno,T$70)</f>
        <v>0</v>
      </c>
      <c r="U96" s="62">
        <f>SUMIFS([0]!Capriles,[0]!Centro,$B97,[0]!Turno,U$70)</f>
        <v>0</v>
      </c>
      <c r="V96" s="62">
        <f>SUMIFS([0]!Capriles,[0]!Centro,$B97,[0]!Turno,V$70)</f>
        <v>0</v>
      </c>
      <c r="W96" s="62">
        <f>SUMIFS([0]!Capriles,[0]!Centro,$B97,[0]!Turno,W$70)</f>
        <v>0</v>
      </c>
      <c r="X96" s="62">
        <f>SUMIFS([0]!Capriles,[0]!Centro,$B97,[0]!Turno,X$70)</f>
        <v>0</v>
      </c>
      <c r="Y96" s="70">
        <f>SUMIFS([0]!Capriles,[0]!Centro,$B97,[0]!Turno,Y$70)</f>
        <v>0</v>
      </c>
    </row>
    <row r="97" spans="2:25" ht="15" customHeight="1" thickBot="1" x14ac:dyDescent="0.25">
      <c r="B97" s="256">
        <v>31</v>
      </c>
      <c r="C97" s="100">
        <f>E97/SUM(E95:E97)</f>
        <v>6.6225165562913907E-3</v>
      </c>
      <c r="D97" s="71" t="s">
        <v>2</v>
      </c>
      <c r="E97" s="72">
        <f t="shared" si="381"/>
        <v>2</v>
      </c>
      <c r="F97" s="72">
        <f>SUMIFS([0]!Otro,[0]!Centro,$B97,[0]!Turno,F$70)</f>
        <v>2</v>
      </c>
      <c r="G97" s="72">
        <f>SUMIFS([0]!Otro,[0]!Centro,$B97,[0]!Turno,G$70)</f>
        <v>0</v>
      </c>
      <c r="H97" s="72">
        <f>SUMIFS([0]!Otro,[0]!Centro,$B97,[0]!Turno,H$70)</f>
        <v>0</v>
      </c>
      <c r="I97" s="72">
        <f>SUMIFS([0]!Otro,[0]!Centro,$B97,[0]!Turno,I$70)</f>
        <v>0</v>
      </c>
      <c r="J97" s="72">
        <f>SUMIFS([0]!Otro,[0]!Centro,$B97,[0]!Turno,J$70)</f>
        <v>0</v>
      </c>
      <c r="K97" s="72">
        <f>SUMIFS([0]!Otro,[0]!Centro,$B97,[0]!Turno,K$70)</f>
        <v>0</v>
      </c>
      <c r="L97" s="72">
        <f>SUMIFS([0]!Otro,[0]!Centro,$B97,[0]!Turno,L$70)</f>
        <v>0</v>
      </c>
      <c r="M97" s="72">
        <f>SUMIFS([0]!Otro,[0]!Centro,$B97,[0]!Turno,M$70)</f>
        <v>0</v>
      </c>
      <c r="N97" s="72">
        <f>SUMIFS([0]!Otro,[0]!Centro,$B97,[0]!Turno,N$70)</f>
        <v>0</v>
      </c>
      <c r="O97" s="72">
        <f>SUMIFS([0]!Otro,[0]!Centro,$B97,[0]!Turno,O$70)</f>
        <v>0</v>
      </c>
      <c r="P97" s="72">
        <f>SUMIFS([0]!Otro,[0]!Centro,$B97,[0]!Turno,P$70)</f>
        <v>0</v>
      </c>
      <c r="Q97" s="72">
        <f>SUMIFS([0]!Otro,[0]!Centro,$B97,[0]!Turno,Q$70)</f>
        <v>0</v>
      </c>
      <c r="R97" s="72">
        <f>SUMIFS([0]!Otro,[0]!Centro,$B97,[0]!Turno,R$70)</f>
        <v>0</v>
      </c>
      <c r="S97" s="72">
        <f>SUMIFS([0]!Otro,[0]!Centro,$B97,[0]!Turno,S$70)</f>
        <v>0</v>
      </c>
      <c r="T97" s="72">
        <f>SUMIFS([0]!Otro,[0]!Centro,$B97,[0]!Turno,T$70)</f>
        <v>0</v>
      </c>
      <c r="U97" s="72">
        <f>SUMIFS([0]!Otro,[0]!Centro,$B97,[0]!Turno,U$70)</f>
        <v>0</v>
      </c>
      <c r="V97" s="72">
        <f>SUMIFS([0]!Otro,[0]!Centro,$B97,[0]!Turno,V$70)</f>
        <v>0</v>
      </c>
      <c r="W97" s="72">
        <f>SUMIFS([0]!Otro,[0]!Centro,$B97,[0]!Turno,W$70)</f>
        <v>0</v>
      </c>
      <c r="X97" s="72">
        <f>SUMIFS([0]!Otro,[0]!Centro,$B97,[0]!Turno,X$70)</f>
        <v>0</v>
      </c>
      <c r="Y97" s="73">
        <f>SUMIFS([0]!Otro,[0]!Centro,$B97,[0]!Turno,Y$70)</f>
        <v>0</v>
      </c>
    </row>
    <row r="98" spans="2:25" ht="15" customHeight="1" x14ac:dyDescent="0.2">
      <c r="B98" s="256"/>
      <c r="C98" s="94">
        <f>E98/SUM(E98:E100)</f>
        <v>0.58940397350993379</v>
      </c>
      <c r="D98" s="63" t="s">
        <v>0</v>
      </c>
      <c r="E98" s="150">
        <f>IF((E95+E96+E97)=0,0,(E95*$B99)/(E95+E96+E97))</f>
        <v>0.25588488923551106</v>
      </c>
      <c r="F98" s="150">
        <f>IF((F95+F96+F97)=0,0,(F95*$B99)/(F95+F96+F97))</f>
        <v>0.2821921559378136</v>
      </c>
      <c r="G98" s="150">
        <f t="shared" ref="G98" si="510">IF((G95+G96+G97)=0,0,(G95*$B99)/(G95+G96+G97))</f>
        <v>0.27829601177299168</v>
      </c>
      <c r="H98" s="150">
        <f t="shared" ref="H98" si="511">IF((H95+H96+H97)=0,0,(H95*$B99)/(H95+H96+H97))</f>
        <v>0.30389924485610692</v>
      </c>
      <c r="I98" s="150">
        <f t="shared" ref="I98" si="512">IF((I95+I96+I97)=0,0,(I95*$B99)/(I95+I96+I97))</f>
        <v>0.23680460638138204</v>
      </c>
      <c r="J98" s="150">
        <f t="shared" ref="J98" si="513">IF((J95+J96+J97)=0,0,(J95*$B99)/(J95+J96+J97))</f>
        <v>0.21707088918293352</v>
      </c>
      <c r="K98" s="150">
        <f t="shared" ref="K98" si="514">IF((K95+K96+K97)=0,0,(K95*$B99)/(K95+K96+K97))</f>
        <v>0.25777168090473357</v>
      </c>
      <c r="L98" s="150">
        <f t="shared" ref="L98" si="515">IF((L95+L96+L97)=0,0,(L95*$B99)/(L95+L96+L97))</f>
        <v>0.20763302443584947</v>
      </c>
      <c r="M98" s="150">
        <f t="shared" ref="M98" si="516">IF((M95+M96+M97)=0,0,(M95*$B99)/(M95+M96+M97))</f>
        <v>0.24420475033080022</v>
      </c>
      <c r="N98" s="150">
        <f t="shared" ref="N98" si="517">IF((N95+N96+N97)=0,0,(N95*$B99)/(N95+N96+N97))</f>
        <v>0.32560633377440029</v>
      </c>
      <c r="O98" s="150">
        <f t="shared" ref="O98" si="518">IF((O95+O96+O97)=0,0,(O95*$B99)/(O95+O96+O97))</f>
        <v>0</v>
      </c>
      <c r="P98" s="150">
        <f t="shared" ref="P98" si="519">IF((P95+P96+P97)=0,0,(P95*$B99)/(P95+P96+P97))</f>
        <v>0</v>
      </c>
      <c r="Q98" s="150">
        <f t="shared" ref="Q98" si="520">IF((Q95+Q96+Q97)=0,0,(Q95*$B99)/(Q95+Q96+Q97))</f>
        <v>0</v>
      </c>
      <c r="R98" s="150">
        <f t="shared" ref="R98" si="521">IF((R95+R96+R97)=0,0,(R95*$B99)/(R95+R96+R97))</f>
        <v>0</v>
      </c>
      <c r="S98" s="150">
        <f t="shared" ref="S98" si="522">IF((S95+S96+S97)=0,0,(S95*$B99)/(S95+S96+S97))</f>
        <v>0</v>
      </c>
      <c r="T98" s="150">
        <f t="shared" ref="T98" si="523">IF((T95+T96+T97)=0,0,(T95*$B99)/(T95+T96+T97))</f>
        <v>0</v>
      </c>
      <c r="U98" s="150">
        <f t="shared" ref="U98" si="524">IF((U95+U96+U97)=0,0,(U95*$B99)/(U95+U96+U97))</f>
        <v>0</v>
      </c>
      <c r="V98" s="150">
        <f t="shared" ref="V98" si="525">IF((V95+V96+V97)=0,0,(V95*$B99)/(V95+V96+V97))</f>
        <v>0</v>
      </c>
      <c r="W98" s="150">
        <f t="shared" ref="W98" si="526">IF((W95+W96+W97)=0,0,(W95*$B99)/(W95+W96+W97))</f>
        <v>0</v>
      </c>
      <c r="X98" s="150">
        <f t="shared" ref="X98" si="527">IF((X95+X96+X97)=0,0,(X95*$B99)/(X95+X96+X97))</f>
        <v>0</v>
      </c>
      <c r="Y98" s="163">
        <f t="shared" ref="Y98" si="528">IF((Y95+Y96+Y97)=0,0,(Y95*$B99)/(Y95+Y96+Y97))</f>
        <v>0</v>
      </c>
    </row>
    <row r="99" spans="2:25" ht="15" customHeight="1" x14ac:dyDescent="0.2">
      <c r="B99" s="254">
        <v>0.43414177836586704</v>
      </c>
      <c r="C99" s="92">
        <f>E99/SUM(E98:E100)</f>
        <v>0.40397350993377479</v>
      </c>
      <c r="D99" s="61" t="s">
        <v>1</v>
      </c>
      <c r="E99" s="154">
        <f>IF((E95+E96+E97)=0,0,(E96*$B99)/(E95+E96+E97))</f>
        <v>0.17538177801535024</v>
      </c>
      <c r="F99" s="154">
        <f>IF((F95+F96+F97)=0,0,(F96*$B99)/(F95+F96+F97))</f>
        <v>0.10853544459146676</v>
      </c>
      <c r="G99" s="154">
        <f t="shared" ref="G99:O99" si="529">IF((G95+G96+G97)=0,0,(G96*$B99)/(G95+G96+G97))</f>
        <v>0.15584576659287533</v>
      </c>
      <c r="H99" s="154">
        <f t="shared" si="529"/>
        <v>0.13024253350976012</v>
      </c>
      <c r="I99" s="154">
        <f t="shared" si="529"/>
        <v>0.197337171984485</v>
      </c>
      <c r="J99" s="154">
        <f t="shared" si="529"/>
        <v>0.21707088918293352</v>
      </c>
      <c r="K99" s="154">
        <f t="shared" si="529"/>
        <v>0.1763700974611335</v>
      </c>
      <c r="L99" s="154">
        <f t="shared" si="529"/>
        <v>0.2265087539300176</v>
      </c>
      <c r="M99" s="154">
        <f t="shared" si="529"/>
        <v>0.18993702803506682</v>
      </c>
      <c r="N99" s="154">
        <f t="shared" si="529"/>
        <v>0.10853544459146676</v>
      </c>
      <c r="O99" s="154">
        <f t="shared" si="529"/>
        <v>0</v>
      </c>
      <c r="P99" s="154">
        <f>IF((P95+P96+P97)=0,0,(P96*$B99)/(P95+P96+P97))</f>
        <v>0</v>
      </c>
      <c r="Q99" s="154">
        <f t="shared" ref="Q99:Y99" si="530">IF((Q95+Q96+Q97)=0,0,(Q96*$B99)/(Q95+Q96+Q97))</f>
        <v>0</v>
      </c>
      <c r="R99" s="154">
        <f t="shared" si="530"/>
        <v>0</v>
      </c>
      <c r="S99" s="154">
        <f t="shared" si="530"/>
        <v>0</v>
      </c>
      <c r="T99" s="154">
        <f t="shared" si="530"/>
        <v>0</v>
      </c>
      <c r="U99" s="154">
        <f t="shared" si="530"/>
        <v>0</v>
      </c>
      <c r="V99" s="154">
        <f t="shared" si="530"/>
        <v>0</v>
      </c>
      <c r="W99" s="154">
        <f t="shared" si="530"/>
        <v>0</v>
      </c>
      <c r="X99" s="154">
        <f t="shared" si="530"/>
        <v>0</v>
      </c>
      <c r="Y99" s="159">
        <f t="shared" si="530"/>
        <v>0</v>
      </c>
    </row>
    <row r="100" spans="2:25" ht="15" customHeight="1" thickBot="1" x14ac:dyDescent="0.25">
      <c r="B100" s="255"/>
      <c r="C100" s="93">
        <f>E100/SUM(E98:E100)</f>
        <v>6.6225165562913907E-3</v>
      </c>
      <c r="D100" s="75" t="s">
        <v>2</v>
      </c>
      <c r="E100" s="155">
        <f>IF((E95+E96+E97)=0,0,(E97*$B99)/(E95+E96+E97))</f>
        <v>2.875111115005742E-3</v>
      </c>
      <c r="F100" s="155">
        <f>IF((F95+F96+F97)=0,0,(F97*$B99)/(F95+F96+F97))</f>
        <v>4.3414177836586701E-2</v>
      </c>
      <c r="G100" s="155">
        <f t="shared" ref="G100" si="531">IF((G95+G96+G97)=0,0,(G97*$B99)/(G95+G96+G97))</f>
        <v>0</v>
      </c>
      <c r="H100" s="155">
        <f t="shared" ref="H100" si="532">IF((H95+H96+H97)=0,0,(H97*$B99)/(H95+H96+H97))</f>
        <v>0</v>
      </c>
      <c r="I100" s="155">
        <f t="shared" ref="I100" si="533">IF((I95+I96+I97)=0,0,(I97*$B99)/(I95+I96+I97))</f>
        <v>0</v>
      </c>
      <c r="J100" s="155">
        <f t="shared" ref="J100" si="534">IF((J95+J96+J97)=0,0,(J97*$B99)/(J95+J96+J97))</f>
        <v>0</v>
      </c>
      <c r="K100" s="155">
        <f t="shared" ref="K100" si="535">IF((K95+K96+K97)=0,0,(K97*$B99)/(K95+K96+K97))</f>
        <v>0</v>
      </c>
      <c r="L100" s="155">
        <f t="shared" ref="L100" si="536">IF((L95+L96+L97)=0,0,(L97*$B99)/(L95+L96+L97))</f>
        <v>0</v>
      </c>
      <c r="M100" s="155">
        <f t="shared" ref="M100" si="537">IF((M95+M96+M97)=0,0,(M97*$B99)/(M95+M96+M97))</f>
        <v>0</v>
      </c>
      <c r="N100" s="155">
        <f t="shared" ref="N100" si="538">IF((N95+N96+N97)=0,0,(N97*$B99)/(N95+N96+N97))</f>
        <v>0</v>
      </c>
      <c r="O100" s="155">
        <f t="shared" ref="O100" si="539">IF((O95+O96+O97)=0,0,(O97*$B99)/(O95+O96+O97))</f>
        <v>0</v>
      </c>
      <c r="P100" s="155">
        <f t="shared" ref="P100" si="540">IF((P95+P96+P97)=0,0,(P97*$B99)/(P95+P96+P97))</f>
        <v>0</v>
      </c>
      <c r="Q100" s="155">
        <f t="shared" ref="Q100" si="541">IF((Q95+Q96+Q97)=0,0,(Q97*$B99)/(Q95+Q96+Q97))</f>
        <v>0</v>
      </c>
      <c r="R100" s="155">
        <f t="shared" ref="R100" si="542">IF((R95+R96+R97)=0,0,(R97*$B99)/(R95+R96+R97))</f>
        <v>0</v>
      </c>
      <c r="S100" s="155">
        <f t="shared" ref="S100" si="543">IF((S95+S96+S97)=0,0,(S97*$B99)/(S95+S96+S97))</f>
        <v>0</v>
      </c>
      <c r="T100" s="155">
        <f t="shared" ref="T100" si="544">IF((T95+T96+T97)=0,0,(T97*$B99)/(T95+T96+T97))</f>
        <v>0</v>
      </c>
      <c r="U100" s="155">
        <f t="shared" ref="U100" si="545">IF((U95+U96+U97)=0,0,(U97*$B99)/(U95+U96+U97))</f>
        <v>0</v>
      </c>
      <c r="V100" s="155">
        <f t="shared" ref="V100" si="546">IF((V95+V96+V97)=0,0,(V97*$B99)/(V95+V96+V97))</f>
        <v>0</v>
      </c>
      <c r="W100" s="155">
        <f t="shared" ref="W100" si="547">IF((W95+W96+W97)=0,0,(W97*$B99)/(W95+W96+W97))</f>
        <v>0</v>
      </c>
      <c r="X100" s="155">
        <f t="shared" ref="X100" si="548">IF((X95+X96+X97)=0,0,(X97*$B99)/(X95+X96+X97))</f>
        <v>0</v>
      </c>
      <c r="Y100" s="160">
        <f t="shared" ref="Y100" si="549">IF((Y95+Y96+Y97)=0,0,(Y97*$B99)/(Y95+Y96+Y97))</f>
        <v>0</v>
      </c>
    </row>
    <row r="101" spans="2:25" ht="15" customHeight="1" thickBot="1" x14ac:dyDescent="0.25">
      <c r="B101" s="101" t="s">
        <v>3</v>
      </c>
      <c r="C101" s="12" t="s">
        <v>226</v>
      </c>
      <c r="D101" s="21" t="s">
        <v>4</v>
      </c>
      <c r="E101" s="13" t="s">
        <v>225</v>
      </c>
      <c r="F101" s="14">
        <v>1</v>
      </c>
      <c r="G101" s="14">
        <v>2</v>
      </c>
      <c r="H101" s="14">
        <v>3</v>
      </c>
      <c r="I101" s="14">
        <v>4</v>
      </c>
      <c r="J101" s="14">
        <v>5</v>
      </c>
      <c r="K101" s="14">
        <v>6</v>
      </c>
      <c r="L101" s="14">
        <v>7</v>
      </c>
      <c r="M101" s="14">
        <v>8</v>
      </c>
      <c r="N101" s="14">
        <v>9</v>
      </c>
      <c r="O101" s="14">
        <v>10</v>
      </c>
      <c r="P101" s="14">
        <v>11</v>
      </c>
      <c r="Q101" s="14">
        <v>12</v>
      </c>
      <c r="R101" s="14">
        <v>13</v>
      </c>
      <c r="S101" s="14">
        <v>14</v>
      </c>
      <c r="T101" s="14">
        <v>15</v>
      </c>
      <c r="U101" s="14">
        <v>16</v>
      </c>
      <c r="V101" s="14">
        <v>17</v>
      </c>
      <c r="W101" s="14">
        <v>18</v>
      </c>
      <c r="X101" s="14">
        <v>19</v>
      </c>
      <c r="Y101" s="102">
        <v>20</v>
      </c>
    </row>
    <row r="102" spans="2:25" ht="15" customHeight="1" x14ac:dyDescent="0.2">
      <c r="B102" s="262" t="s">
        <v>47</v>
      </c>
      <c r="C102" s="95">
        <f>E102/SUM(E102:E104)</f>
        <v>0.51870437956204385</v>
      </c>
      <c r="D102" s="81" t="s">
        <v>0</v>
      </c>
      <c r="E102" s="82">
        <f>SUM(F102:Y102)</f>
        <v>1137</v>
      </c>
      <c r="F102" s="82">
        <f t="shared" ref="F102:Y102" si="550">SUM(F108,F114,F120,F126,F132,F138,F144,F150,F156)</f>
        <v>167</v>
      </c>
      <c r="G102" s="82">
        <f t="shared" si="550"/>
        <v>185</v>
      </c>
      <c r="H102" s="82">
        <f t="shared" si="550"/>
        <v>111</v>
      </c>
      <c r="I102" s="82">
        <f t="shared" si="550"/>
        <v>165</v>
      </c>
      <c r="J102" s="82">
        <f t="shared" si="550"/>
        <v>140</v>
      </c>
      <c r="K102" s="82">
        <f t="shared" si="550"/>
        <v>80</v>
      </c>
      <c r="L102" s="82">
        <f t="shared" si="550"/>
        <v>72</v>
      </c>
      <c r="M102" s="82">
        <f t="shared" si="550"/>
        <v>106</v>
      </c>
      <c r="N102" s="82">
        <f t="shared" si="550"/>
        <v>84</v>
      </c>
      <c r="O102" s="82">
        <f>SUM(O108,O114,O120,O126,O132,O138,O144,O150,O156)</f>
        <v>19</v>
      </c>
      <c r="P102" s="82">
        <f t="shared" si="550"/>
        <v>0</v>
      </c>
      <c r="Q102" s="82">
        <f t="shared" si="550"/>
        <v>8</v>
      </c>
      <c r="R102" s="82">
        <f t="shared" si="550"/>
        <v>0</v>
      </c>
      <c r="S102" s="82">
        <f t="shared" si="550"/>
        <v>0</v>
      </c>
      <c r="T102" s="82">
        <f t="shared" si="550"/>
        <v>0</v>
      </c>
      <c r="U102" s="82">
        <f t="shared" si="550"/>
        <v>0</v>
      </c>
      <c r="V102" s="82">
        <f t="shared" si="550"/>
        <v>0</v>
      </c>
      <c r="W102" s="82">
        <f t="shared" si="550"/>
        <v>0</v>
      </c>
      <c r="X102" s="82">
        <f t="shared" si="550"/>
        <v>0</v>
      </c>
      <c r="Y102" s="83">
        <f t="shared" si="550"/>
        <v>0</v>
      </c>
    </row>
    <row r="103" spans="2:25" ht="15" customHeight="1" x14ac:dyDescent="0.2">
      <c r="B103" s="263"/>
      <c r="C103" s="96">
        <f>E103/SUM(E102:E104)</f>
        <v>0.46669708029197082</v>
      </c>
      <c r="D103" s="79" t="s">
        <v>1</v>
      </c>
      <c r="E103" s="80">
        <f t="shared" ref="E103:E158" si="551">SUM(F103:Y103)</f>
        <v>1023</v>
      </c>
      <c r="F103" s="80">
        <f t="shared" ref="F103:Y103" si="552">SUM(F109,F115,F121,F127,F133,F139,F145,F151,F157)</f>
        <v>137</v>
      </c>
      <c r="G103" s="80">
        <f t="shared" si="552"/>
        <v>125</v>
      </c>
      <c r="H103" s="80">
        <f t="shared" si="552"/>
        <v>125</v>
      </c>
      <c r="I103" s="80">
        <f t="shared" si="552"/>
        <v>123</v>
      </c>
      <c r="J103" s="80">
        <f t="shared" si="552"/>
        <v>99</v>
      </c>
      <c r="K103" s="80">
        <f t="shared" si="552"/>
        <v>109</v>
      </c>
      <c r="L103" s="80">
        <f t="shared" si="552"/>
        <v>61</v>
      </c>
      <c r="M103" s="80">
        <f t="shared" si="552"/>
        <v>104</v>
      </c>
      <c r="N103" s="80">
        <f t="shared" si="552"/>
        <v>71</v>
      </c>
      <c r="O103" s="80">
        <f t="shared" si="552"/>
        <v>32</v>
      </c>
      <c r="P103" s="80">
        <f t="shared" si="552"/>
        <v>0</v>
      </c>
      <c r="Q103" s="80">
        <f t="shared" si="552"/>
        <v>37</v>
      </c>
      <c r="R103" s="80">
        <f t="shared" si="552"/>
        <v>0</v>
      </c>
      <c r="S103" s="80">
        <f t="shared" si="552"/>
        <v>0</v>
      </c>
      <c r="T103" s="80">
        <f t="shared" si="552"/>
        <v>0</v>
      </c>
      <c r="U103" s="80">
        <f t="shared" si="552"/>
        <v>0</v>
      </c>
      <c r="V103" s="80">
        <f t="shared" si="552"/>
        <v>0</v>
      </c>
      <c r="W103" s="80">
        <f t="shared" si="552"/>
        <v>0</v>
      </c>
      <c r="X103" s="80">
        <f t="shared" si="552"/>
        <v>0</v>
      </c>
      <c r="Y103" s="84">
        <f t="shared" si="552"/>
        <v>0</v>
      </c>
    </row>
    <row r="104" spans="2:25" ht="15" customHeight="1" thickBot="1" x14ac:dyDescent="0.25">
      <c r="B104" s="263"/>
      <c r="C104" s="97">
        <f>E104/SUM(E102:E104)</f>
        <v>1.4598540145985401E-2</v>
      </c>
      <c r="D104" s="86" t="s">
        <v>2</v>
      </c>
      <c r="E104" s="87">
        <f t="shared" si="551"/>
        <v>32</v>
      </c>
      <c r="F104" s="87">
        <f t="shared" ref="F104:Y104" si="553">SUM(F110,F116,F122,F128,F134,F140,F146,F152,F158)</f>
        <v>1</v>
      </c>
      <c r="G104" s="87">
        <f t="shared" si="553"/>
        <v>7</v>
      </c>
      <c r="H104" s="87">
        <f t="shared" si="553"/>
        <v>4</v>
      </c>
      <c r="I104" s="87">
        <f t="shared" si="553"/>
        <v>5</v>
      </c>
      <c r="J104" s="87">
        <f t="shared" si="553"/>
        <v>3</v>
      </c>
      <c r="K104" s="87">
        <f t="shared" si="553"/>
        <v>1</v>
      </c>
      <c r="L104" s="87">
        <f t="shared" si="553"/>
        <v>2</v>
      </c>
      <c r="M104" s="87">
        <f t="shared" si="553"/>
        <v>3</v>
      </c>
      <c r="N104" s="87">
        <f t="shared" si="553"/>
        <v>6</v>
      </c>
      <c r="O104" s="87">
        <f t="shared" si="553"/>
        <v>0</v>
      </c>
      <c r="P104" s="87">
        <f t="shared" si="553"/>
        <v>0</v>
      </c>
      <c r="Q104" s="87">
        <f t="shared" si="553"/>
        <v>0</v>
      </c>
      <c r="R104" s="87">
        <f t="shared" si="553"/>
        <v>0</v>
      </c>
      <c r="S104" s="87">
        <f t="shared" si="553"/>
        <v>0</v>
      </c>
      <c r="T104" s="87">
        <f t="shared" si="553"/>
        <v>0</v>
      </c>
      <c r="U104" s="87">
        <f t="shared" si="553"/>
        <v>0</v>
      </c>
      <c r="V104" s="87">
        <f t="shared" si="553"/>
        <v>0</v>
      </c>
      <c r="W104" s="87">
        <f t="shared" si="553"/>
        <v>0</v>
      </c>
      <c r="X104" s="87">
        <f t="shared" si="553"/>
        <v>0</v>
      </c>
      <c r="Y104" s="88">
        <f t="shared" si="553"/>
        <v>0</v>
      </c>
    </row>
    <row r="105" spans="2:25" ht="15" customHeight="1" x14ac:dyDescent="0.2">
      <c r="B105" s="263"/>
      <c r="C105" s="98">
        <f>E105/SUM(E105:E107)</f>
        <v>0.50438854999136062</v>
      </c>
      <c r="D105" s="85" t="s">
        <v>0</v>
      </c>
      <c r="E105" s="151">
        <f t="shared" ref="E105" si="554">SUM(E111,E117,E123,E129,E135,E141,E147,E153,E159)</f>
        <v>0.50438854999136051</v>
      </c>
      <c r="F105" s="151">
        <f t="shared" ref="F105:Y105" si="555">SUM(F111,F117,F123,F129,F135,F141,F147,F153,F159)</f>
        <v>0.44222325498486653</v>
      </c>
      <c r="G105" s="151">
        <f t="shared" si="555"/>
        <v>0.56941577492240381</v>
      </c>
      <c r="H105" s="151">
        <f t="shared" si="555"/>
        <v>0.38201456246995202</v>
      </c>
      <c r="I105" s="151">
        <f t="shared" si="555"/>
        <v>0.55126925178308384</v>
      </c>
      <c r="J105" s="151">
        <f t="shared" si="555"/>
        <v>0.51980541448928919</v>
      </c>
      <c r="K105" s="151">
        <f t="shared" si="555"/>
        <v>0.40500782565079468</v>
      </c>
      <c r="L105" s="151">
        <f t="shared" si="555"/>
        <v>0.39902102051783889</v>
      </c>
      <c r="M105" s="151">
        <f t="shared" si="555"/>
        <v>0.44779517894674703</v>
      </c>
      <c r="N105" s="151">
        <f t="shared" si="555"/>
        <v>0.49449210568405849</v>
      </c>
      <c r="O105" s="151">
        <f t="shared" si="555"/>
        <v>0.10208700037761484</v>
      </c>
      <c r="P105" s="151">
        <f t="shared" si="555"/>
        <v>0</v>
      </c>
      <c r="Q105" s="151">
        <f t="shared" si="555"/>
        <v>1.8556768734931305E-2</v>
      </c>
      <c r="R105" s="151">
        <f t="shared" si="555"/>
        <v>0</v>
      </c>
      <c r="S105" s="151">
        <f t="shared" si="555"/>
        <v>0</v>
      </c>
      <c r="T105" s="151">
        <f t="shared" si="555"/>
        <v>0</v>
      </c>
      <c r="U105" s="151">
        <f t="shared" si="555"/>
        <v>0</v>
      </c>
      <c r="V105" s="151">
        <f t="shared" si="555"/>
        <v>0</v>
      </c>
      <c r="W105" s="151">
        <f t="shared" si="555"/>
        <v>0</v>
      </c>
      <c r="X105" s="151">
        <f t="shared" si="555"/>
        <v>0</v>
      </c>
      <c r="Y105" s="156">
        <f t="shared" si="555"/>
        <v>0</v>
      </c>
    </row>
    <row r="106" spans="2:25" ht="15" customHeight="1" x14ac:dyDescent="0.2">
      <c r="B106" s="263"/>
      <c r="C106" s="96">
        <f>E106/SUM(E105:E107)</f>
        <v>0.47572039373508229</v>
      </c>
      <c r="D106" s="79" t="s">
        <v>1</v>
      </c>
      <c r="E106" s="152">
        <f t="shared" ref="E106" si="556">SUM(E112,E118,E124,E130,E136,E142,E148,E154,E160)</f>
        <v>0.47572039373508224</v>
      </c>
      <c r="F106" s="152">
        <f t="shared" ref="F106:Y106" si="557">SUM(F112,F118,F124,F130,F136,F142,F148,F154,F160)</f>
        <v>0.41060128187936568</v>
      </c>
      <c r="G106" s="152">
        <f t="shared" si="557"/>
        <v>0.40268920180615836</v>
      </c>
      <c r="H106" s="152">
        <f t="shared" si="557"/>
        <v>0.4889556466829631</v>
      </c>
      <c r="I106" s="152">
        <f t="shared" si="557"/>
        <v>0.43771170837741918</v>
      </c>
      <c r="J106" s="152">
        <f t="shared" si="557"/>
        <v>0.39104298986834563</v>
      </c>
      <c r="K106" s="152">
        <f t="shared" si="557"/>
        <v>0.52876398006187353</v>
      </c>
      <c r="L106" s="152">
        <f t="shared" si="557"/>
        <v>0.41931791169219534</v>
      </c>
      <c r="M106" s="152">
        <f t="shared" si="557"/>
        <v>0.53066322095382434</v>
      </c>
      <c r="N106" s="152">
        <f t="shared" si="557"/>
        <v>0.37288555760367664</v>
      </c>
      <c r="O106" s="152">
        <f t="shared" si="557"/>
        <v>0.13845983583122892</v>
      </c>
      <c r="P106" s="152">
        <f t="shared" si="557"/>
        <v>0</v>
      </c>
      <c r="Q106" s="152">
        <f t="shared" si="557"/>
        <v>0.15656494998412904</v>
      </c>
      <c r="R106" s="152">
        <f t="shared" si="557"/>
        <v>0</v>
      </c>
      <c r="S106" s="152">
        <f t="shared" si="557"/>
        <v>0</v>
      </c>
      <c r="T106" s="152">
        <f t="shared" si="557"/>
        <v>0</v>
      </c>
      <c r="U106" s="152">
        <f t="shared" si="557"/>
        <v>0</v>
      </c>
      <c r="V106" s="152">
        <f t="shared" si="557"/>
        <v>0</v>
      </c>
      <c r="W106" s="152">
        <f t="shared" si="557"/>
        <v>0</v>
      </c>
      <c r="X106" s="152">
        <f t="shared" si="557"/>
        <v>0</v>
      </c>
      <c r="Y106" s="157">
        <f t="shared" si="557"/>
        <v>0</v>
      </c>
    </row>
    <row r="107" spans="2:25" ht="15" customHeight="1" thickBot="1" x14ac:dyDescent="0.25">
      <c r="B107" s="264"/>
      <c r="C107" s="99">
        <f>E107/SUM(E105:E107)</f>
        <v>1.9891056273557178E-2</v>
      </c>
      <c r="D107" s="89" t="s">
        <v>2</v>
      </c>
      <c r="E107" s="153">
        <f t="shared" ref="E107" si="558">SUM(E113,E119,E125,E131,E137,E143,E149,E155,E161)</f>
        <v>1.9891056273557174E-2</v>
      </c>
      <c r="F107" s="153">
        <f t="shared" ref="F107:Y107" si="559">SUM(F113,F119,F125,F131,F137,F143,F149,F155,F161)</f>
        <v>4.9946656878558484E-3</v>
      </c>
      <c r="G107" s="153">
        <f t="shared" si="559"/>
        <v>2.7895023271437908E-2</v>
      </c>
      <c r="H107" s="153">
        <f t="shared" si="559"/>
        <v>3.6245947172428253E-2</v>
      </c>
      <c r="I107" s="153">
        <f t="shared" si="559"/>
        <v>1.1019039839496907E-2</v>
      </c>
      <c r="J107" s="153">
        <f t="shared" si="559"/>
        <v>6.8137205979612947E-3</v>
      </c>
      <c r="K107" s="153">
        <f t="shared" si="559"/>
        <v>6.3852718838235973E-3</v>
      </c>
      <c r="L107" s="153">
        <f t="shared" si="559"/>
        <v>1.3420076169228523E-2</v>
      </c>
      <c r="M107" s="153">
        <f t="shared" si="559"/>
        <v>2.1541600099428557E-2</v>
      </c>
      <c r="N107" s="153">
        <f t="shared" si="559"/>
        <v>7.277941430875666E-2</v>
      </c>
      <c r="O107" s="153">
        <f t="shared" si="559"/>
        <v>0</v>
      </c>
      <c r="P107" s="153">
        <f t="shared" si="559"/>
        <v>0</v>
      </c>
      <c r="Q107" s="153">
        <f t="shared" si="559"/>
        <v>0</v>
      </c>
      <c r="R107" s="153">
        <f t="shared" si="559"/>
        <v>0</v>
      </c>
      <c r="S107" s="153">
        <f t="shared" si="559"/>
        <v>0</v>
      </c>
      <c r="T107" s="153">
        <f t="shared" si="559"/>
        <v>0</v>
      </c>
      <c r="U107" s="153">
        <f t="shared" si="559"/>
        <v>0</v>
      </c>
      <c r="V107" s="153">
        <f t="shared" si="559"/>
        <v>0</v>
      </c>
      <c r="W107" s="153">
        <f t="shared" si="559"/>
        <v>0</v>
      </c>
      <c r="X107" s="153">
        <f t="shared" si="559"/>
        <v>0</v>
      </c>
      <c r="Y107" s="158">
        <f t="shared" si="559"/>
        <v>0</v>
      </c>
    </row>
    <row r="108" spans="2:25" ht="15" customHeight="1" x14ac:dyDescent="0.2">
      <c r="B108" s="249" t="s">
        <v>48</v>
      </c>
      <c r="C108" s="91">
        <f>E108/SUM(E108:E110)</f>
        <v>0.57205240174672489</v>
      </c>
      <c r="D108" s="67" t="s">
        <v>0</v>
      </c>
      <c r="E108" s="68">
        <f t="shared" si="551"/>
        <v>131</v>
      </c>
      <c r="F108" s="68">
        <f>SUMIFS([0]!Chavez,[0]!Centro,$B110,[0]!Turno,F$101)</f>
        <v>25</v>
      </c>
      <c r="G108" s="68">
        <f>SUMIFS([0]!Chavez,[0]!Centro,$B110,[0]!Turno,G$101)</f>
        <v>25</v>
      </c>
      <c r="H108" s="68">
        <f>SUMIFS([0]!Chavez,[0]!Centro,$B110,[0]!Turno,H$101)</f>
        <v>20</v>
      </c>
      <c r="I108" s="68">
        <f>SUMIFS([0]!Chavez,[0]!Centro,$B110,[0]!Turno,I$101)</f>
        <v>19</v>
      </c>
      <c r="J108" s="68">
        <f>SUMIFS([0]!Chavez,[0]!Centro,$B110,[0]!Turno,J$101)</f>
        <v>5</v>
      </c>
      <c r="K108" s="68">
        <f>SUMIFS([0]!Chavez,[0]!Centro,$B110,[0]!Turno,K$101)</f>
        <v>7</v>
      </c>
      <c r="L108" s="68">
        <f>SUMIFS([0]!Chavez,[0]!Centro,$B110,[0]!Turno,L$101)</f>
        <v>9</v>
      </c>
      <c r="M108" s="68">
        <f>SUMIFS([0]!Chavez,[0]!Centro,$B110,[0]!Turno,M$101)</f>
        <v>10</v>
      </c>
      <c r="N108" s="68">
        <f>SUMIFS([0]!Chavez,[0]!Centro,$B110,[0]!Turno,N$101)</f>
        <v>11</v>
      </c>
      <c r="O108" s="68">
        <f>SUMIFS([0]!Chavez,[0]!Centro,$B110,[0]!Turno,O$101)</f>
        <v>0</v>
      </c>
      <c r="P108" s="68">
        <f>SUMIFS([0]!Chavez,[0]!Centro,$B110,[0]!Turno,P$101)</f>
        <v>0</v>
      </c>
      <c r="Q108" s="68">
        <f>SUMIFS([0]!Chavez,[0]!Centro,$B110,[0]!Turno,Q$101)</f>
        <v>0</v>
      </c>
      <c r="R108" s="68">
        <f>SUMIFS([0]!Chavez,[0]!Centro,$B110,[0]!Turno,R$101)</f>
        <v>0</v>
      </c>
      <c r="S108" s="68">
        <f>SUMIFS([0]!Chavez,[0]!Centro,$B110,[0]!Turno,S$101)</f>
        <v>0</v>
      </c>
      <c r="T108" s="68">
        <f>SUMIFS([0]!Chavez,[0]!Centro,$B110,[0]!Turno,T$101)</f>
        <v>0</v>
      </c>
      <c r="U108" s="68">
        <f>SUMIFS([0]!Chavez,[0]!Centro,$B110,[0]!Turno,U$101)</f>
        <v>0</v>
      </c>
      <c r="V108" s="68">
        <f>SUMIFS([0]!Chavez,[0]!Centro,$B110,[0]!Turno,V$101)</f>
        <v>0</v>
      </c>
      <c r="W108" s="68">
        <f>SUMIFS([0]!Chavez,[0]!Centro,$B110,[0]!Turno,W$101)</f>
        <v>0</v>
      </c>
      <c r="X108" s="68">
        <f>SUMIFS([0]!Chavez,[0]!Centro,$B110,[0]!Turno,X$101)</f>
        <v>0</v>
      </c>
      <c r="Y108" s="69">
        <f>SUMIFS([0]!Chavez,[0]!Centro,$B110,[0]!Turno,Y$101)</f>
        <v>0</v>
      </c>
    </row>
    <row r="109" spans="2:25" ht="15" customHeight="1" x14ac:dyDescent="0.2">
      <c r="B109" s="250"/>
      <c r="C109" s="92">
        <f>E109/SUM(E108:E110)</f>
        <v>0.41484716157205243</v>
      </c>
      <c r="D109" s="61" t="s">
        <v>1</v>
      </c>
      <c r="E109" s="62">
        <f t="shared" si="551"/>
        <v>95</v>
      </c>
      <c r="F109" s="62">
        <f>SUMIFS([0]!Capriles,[0]!Centro,$B110,[0]!Turno,F$101)</f>
        <v>15</v>
      </c>
      <c r="G109" s="62">
        <f>SUMIFS([0]!Capriles,[0]!Centro,$B110,[0]!Turno,G$101)</f>
        <v>20</v>
      </c>
      <c r="H109" s="62">
        <f>SUMIFS([0]!Capriles,[0]!Centro,$B110,[0]!Turno,H$101)</f>
        <v>14</v>
      </c>
      <c r="I109" s="62">
        <f>SUMIFS([0]!Capriles,[0]!Centro,$B110,[0]!Turno,I$101)</f>
        <v>14</v>
      </c>
      <c r="J109" s="62">
        <f>SUMIFS([0]!Capriles,[0]!Centro,$B110,[0]!Turno,J$101)</f>
        <v>4</v>
      </c>
      <c r="K109" s="62">
        <f>SUMIFS([0]!Capriles,[0]!Centro,$B110,[0]!Turno,K$101)</f>
        <v>5</v>
      </c>
      <c r="L109" s="62">
        <f>SUMIFS([0]!Capriles,[0]!Centro,$B110,[0]!Turno,L$101)</f>
        <v>7</v>
      </c>
      <c r="M109" s="62">
        <f>SUMIFS([0]!Capriles,[0]!Centro,$B110,[0]!Turno,M$101)</f>
        <v>7</v>
      </c>
      <c r="N109" s="62">
        <f>SUMIFS([0]!Capriles,[0]!Centro,$B110,[0]!Turno,N$101)</f>
        <v>9</v>
      </c>
      <c r="O109" s="62">
        <f>SUMIFS([0]!Capriles,[0]!Centro,$B110,[0]!Turno,O$101)</f>
        <v>0</v>
      </c>
      <c r="P109" s="62">
        <f>SUMIFS([0]!Capriles,[0]!Centro,$B110,[0]!Turno,P$101)</f>
        <v>0</v>
      </c>
      <c r="Q109" s="62">
        <f>SUMIFS([0]!Capriles,[0]!Centro,$B110,[0]!Turno,Q$101)</f>
        <v>0</v>
      </c>
      <c r="R109" s="62">
        <f>SUMIFS([0]!Capriles,[0]!Centro,$B110,[0]!Turno,R$101)</f>
        <v>0</v>
      </c>
      <c r="S109" s="62">
        <f>SUMIFS([0]!Capriles,[0]!Centro,$B110,[0]!Turno,S$101)</f>
        <v>0</v>
      </c>
      <c r="T109" s="62">
        <f>SUMIFS([0]!Capriles,[0]!Centro,$B110,[0]!Turno,T$101)</f>
        <v>0</v>
      </c>
      <c r="U109" s="62">
        <f>SUMIFS([0]!Capriles,[0]!Centro,$B110,[0]!Turno,U$101)</f>
        <v>0</v>
      </c>
      <c r="V109" s="62">
        <f>SUMIFS([0]!Capriles,[0]!Centro,$B110,[0]!Turno,V$101)</f>
        <v>0</v>
      </c>
      <c r="W109" s="62">
        <f>SUMIFS([0]!Capriles,[0]!Centro,$B110,[0]!Turno,W$101)</f>
        <v>0</v>
      </c>
      <c r="X109" s="62">
        <f>SUMIFS([0]!Capriles,[0]!Centro,$B110,[0]!Turno,X$101)</f>
        <v>0</v>
      </c>
      <c r="Y109" s="70">
        <f>SUMIFS([0]!Capriles,[0]!Centro,$B110,[0]!Turno,Y$101)</f>
        <v>0</v>
      </c>
    </row>
    <row r="110" spans="2:25" ht="15" customHeight="1" thickBot="1" x14ac:dyDescent="0.25">
      <c r="B110" s="261">
        <v>32</v>
      </c>
      <c r="C110" s="100">
        <f>E110/SUM(E108:E110)</f>
        <v>1.3100436681222707E-2</v>
      </c>
      <c r="D110" s="71" t="s">
        <v>2</v>
      </c>
      <c r="E110" s="72">
        <f t="shared" si="551"/>
        <v>3</v>
      </c>
      <c r="F110" s="72">
        <f>SUMIFS([0]!Otro,[0]!Centro,$B110,[0]!Turno,F$101)</f>
        <v>0</v>
      </c>
      <c r="G110" s="72">
        <f>SUMIFS([0]!Otro,[0]!Centro,$B110,[0]!Turno,G$101)</f>
        <v>0</v>
      </c>
      <c r="H110" s="72">
        <f>SUMIFS([0]!Otro,[0]!Centro,$B110,[0]!Turno,H$101)</f>
        <v>0</v>
      </c>
      <c r="I110" s="72">
        <f>SUMIFS([0]!Otro,[0]!Centro,$B110,[0]!Turno,I$101)</f>
        <v>2</v>
      </c>
      <c r="J110" s="72">
        <f>SUMIFS([0]!Otro,[0]!Centro,$B110,[0]!Turno,J$101)</f>
        <v>0</v>
      </c>
      <c r="K110" s="72">
        <f>SUMIFS([0]!Otro,[0]!Centro,$B110,[0]!Turno,K$101)</f>
        <v>1</v>
      </c>
      <c r="L110" s="72">
        <f>SUMIFS([0]!Otro,[0]!Centro,$B110,[0]!Turno,L$101)</f>
        <v>0</v>
      </c>
      <c r="M110" s="72">
        <f>SUMIFS([0]!Otro,[0]!Centro,$B110,[0]!Turno,M$101)</f>
        <v>0</v>
      </c>
      <c r="N110" s="72">
        <f>SUMIFS([0]!Otro,[0]!Centro,$B110,[0]!Turno,N$101)</f>
        <v>0</v>
      </c>
      <c r="O110" s="72">
        <f>SUMIFS([0]!Otro,[0]!Centro,$B110,[0]!Turno,O$101)</f>
        <v>0</v>
      </c>
      <c r="P110" s="72">
        <f>SUMIFS([0]!Otro,[0]!Centro,$B110,[0]!Turno,P$101)</f>
        <v>0</v>
      </c>
      <c r="Q110" s="72">
        <f>SUMIFS([0]!Otro,[0]!Centro,$B110,[0]!Turno,Q$101)</f>
        <v>0</v>
      </c>
      <c r="R110" s="72">
        <f>SUMIFS([0]!Otro,[0]!Centro,$B110,[0]!Turno,R$101)</f>
        <v>0</v>
      </c>
      <c r="S110" s="72">
        <f>SUMIFS([0]!Otro,[0]!Centro,$B110,[0]!Turno,S$101)</f>
        <v>0</v>
      </c>
      <c r="T110" s="72">
        <f>SUMIFS([0]!Otro,[0]!Centro,$B110,[0]!Turno,T$101)</f>
        <v>0</v>
      </c>
      <c r="U110" s="72">
        <f>SUMIFS([0]!Otro,[0]!Centro,$B110,[0]!Turno,U$101)</f>
        <v>0</v>
      </c>
      <c r="V110" s="72">
        <f>SUMIFS([0]!Otro,[0]!Centro,$B110,[0]!Turno,V$101)</f>
        <v>0</v>
      </c>
      <c r="W110" s="72">
        <f>SUMIFS([0]!Otro,[0]!Centro,$B110,[0]!Turno,W$101)</f>
        <v>0</v>
      </c>
      <c r="X110" s="72">
        <f>SUMIFS([0]!Otro,[0]!Centro,$B110,[0]!Turno,X$101)</f>
        <v>0</v>
      </c>
      <c r="Y110" s="73">
        <f>SUMIFS([0]!Otro,[0]!Centro,$B110,[0]!Turno,Y$101)</f>
        <v>0</v>
      </c>
    </row>
    <row r="111" spans="2:25" ht="15" customHeight="1" x14ac:dyDescent="0.2">
      <c r="B111" s="261">
        <v>8.300853448970677E-2</v>
      </c>
      <c r="C111" s="94">
        <f>E111/SUM(E111:E113)</f>
        <v>0.57205240174672489</v>
      </c>
      <c r="D111" s="63" t="s">
        <v>0</v>
      </c>
      <c r="E111" s="150">
        <f>IF((E108+E109+E110)=0,0,(E108*$B112)/(E108+E109+E110))</f>
        <v>4.7485231520312601E-2</v>
      </c>
      <c r="F111" s="150">
        <f>IF((F108+F109+F110)=0,0,(F108*$B112)/(F108+F109+F110))</f>
        <v>5.1880334056066735E-2</v>
      </c>
      <c r="G111" s="150">
        <f t="shared" ref="G111" si="560">IF((G108+G109+G110)=0,0,(G108*$B112)/(G108+G109+G110))</f>
        <v>4.6115852494281545E-2</v>
      </c>
      <c r="H111" s="150">
        <f t="shared" ref="H111" si="561">IF((H108+H109+H110)=0,0,(H108*$B112)/(H108+H109+H110))</f>
        <v>4.8828549699827514E-2</v>
      </c>
      <c r="I111" s="150">
        <f t="shared" ref="I111" si="562">IF((I108+I109+I110)=0,0,(I108*$B112)/(I108+I109+I110))</f>
        <v>4.5061775865840814E-2</v>
      </c>
      <c r="J111" s="150">
        <f t="shared" ref="J111" si="563">IF((J108+J109+J110)=0,0,(J108*$B112)/(J108+J109+J110))</f>
        <v>4.6115852494281545E-2</v>
      </c>
      <c r="K111" s="150">
        <f t="shared" ref="K111" si="564">IF((K108+K109+K110)=0,0,(K108*$B112)/(K108+K109+K110))</f>
        <v>4.4696903186765183E-2</v>
      </c>
      <c r="L111" s="150">
        <f t="shared" ref="L111" si="565">IF((L108+L109+L110)=0,0,(L108*$B112)/(L108+L109+L110))</f>
        <v>4.669230065046006E-2</v>
      </c>
      <c r="M111" s="150">
        <f t="shared" ref="M111" si="566">IF((M108+M109+M110)=0,0,(M108*$B112)/(M108+M109+M110))</f>
        <v>4.8828549699827514E-2</v>
      </c>
      <c r="N111" s="150">
        <f t="shared" ref="N111" si="567">IF((N108+N109+N110)=0,0,(N108*$B112)/(N108+N109+N110))</f>
        <v>4.5654693969338724E-2</v>
      </c>
      <c r="O111" s="150">
        <f t="shared" ref="O111" si="568">IF((O108+O109+O110)=0,0,(O108*$B112)/(O108+O109+O110))</f>
        <v>0</v>
      </c>
      <c r="P111" s="150">
        <f t="shared" ref="P111" si="569">IF((P108+P109+P110)=0,0,(P108*$B112)/(P108+P109+P110))</f>
        <v>0</v>
      </c>
      <c r="Q111" s="150">
        <f t="shared" ref="Q111" si="570">IF((Q108+Q109+Q110)=0,0,(Q108*$B112)/(Q108+Q109+Q110))</f>
        <v>0</v>
      </c>
      <c r="R111" s="150">
        <f t="shared" ref="R111" si="571">IF((R108+R109+R110)=0,0,(R108*$B112)/(R108+R109+R110))</f>
        <v>0</v>
      </c>
      <c r="S111" s="150">
        <f t="shared" ref="S111" si="572">IF((S108+S109+S110)=0,0,(S108*$B112)/(S108+S109+S110))</f>
        <v>0</v>
      </c>
      <c r="T111" s="150">
        <f t="shared" ref="T111" si="573">IF((T108+T109+T110)=0,0,(T108*$B112)/(T108+T109+T110))</f>
        <v>0</v>
      </c>
      <c r="U111" s="150">
        <f t="shared" ref="U111" si="574">IF((U108+U109+U110)=0,0,(U108*$B112)/(U108+U109+U110))</f>
        <v>0</v>
      </c>
      <c r="V111" s="150">
        <f t="shared" ref="V111" si="575">IF((V108+V109+V110)=0,0,(V108*$B112)/(V108+V109+V110))</f>
        <v>0</v>
      </c>
      <c r="W111" s="150">
        <f t="shared" ref="W111" si="576">IF((W108+W109+W110)=0,0,(W108*$B112)/(W108+W109+W110))</f>
        <v>0</v>
      </c>
      <c r="X111" s="150">
        <f t="shared" ref="X111" si="577">IF((X108+X109+X110)=0,0,(X108*$B112)/(X108+X109+X110))</f>
        <v>0</v>
      </c>
      <c r="Y111" s="163">
        <f t="shared" ref="Y111" si="578">IF((Y108+Y109+Y110)=0,0,(Y108*$B112)/(Y108+Y109+Y110))</f>
        <v>0</v>
      </c>
    </row>
    <row r="112" spans="2:25" ht="15" customHeight="1" x14ac:dyDescent="0.2">
      <c r="B112" s="254">
        <v>8.300853448970677E-2</v>
      </c>
      <c r="C112" s="92">
        <f>E112/SUM(E111:E113)</f>
        <v>0.41484716157205243</v>
      </c>
      <c r="D112" s="61" t="s">
        <v>1</v>
      </c>
      <c r="E112" s="154">
        <f>IF((E108+E109+E110)=0,0,(E109*$B112)/(E108+E109+E110))</f>
        <v>3.4435854919310664E-2</v>
      </c>
      <c r="F112" s="154">
        <f>IF((F108+F109+F110)=0,0,(F109*$B112)/(F108+F109+F110))</f>
        <v>3.1128200433640042E-2</v>
      </c>
      <c r="G112" s="154">
        <f t="shared" ref="G112:O112" si="579">IF((G108+G109+G110)=0,0,(G109*$B112)/(G108+G109+G110))</f>
        <v>3.6892681995425232E-2</v>
      </c>
      <c r="H112" s="154">
        <f t="shared" si="579"/>
        <v>3.4179984789879256E-2</v>
      </c>
      <c r="I112" s="154">
        <f t="shared" si="579"/>
        <v>3.3203413795882708E-2</v>
      </c>
      <c r="J112" s="154">
        <f t="shared" si="579"/>
        <v>3.6892681995425232E-2</v>
      </c>
      <c r="K112" s="154">
        <f t="shared" si="579"/>
        <v>3.1926359419117992E-2</v>
      </c>
      <c r="L112" s="154">
        <f t="shared" si="579"/>
        <v>3.631623383924671E-2</v>
      </c>
      <c r="M112" s="154">
        <f t="shared" si="579"/>
        <v>3.4179984789879256E-2</v>
      </c>
      <c r="N112" s="154">
        <f t="shared" si="579"/>
        <v>3.7353840520368047E-2</v>
      </c>
      <c r="O112" s="154">
        <f t="shared" si="579"/>
        <v>0</v>
      </c>
      <c r="P112" s="154">
        <f>IF((P108+P109+P110)=0,0,(P109*$B112)/(P108+P109+P110))</f>
        <v>0</v>
      </c>
      <c r="Q112" s="154">
        <f t="shared" ref="Q112:Y112" si="580">IF((Q108+Q109+Q110)=0,0,(Q109*$B112)/(Q108+Q109+Q110))</f>
        <v>0</v>
      </c>
      <c r="R112" s="154">
        <f t="shared" si="580"/>
        <v>0</v>
      </c>
      <c r="S112" s="154">
        <f t="shared" si="580"/>
        <v>0</v>
      </c>
      <c r="T112" s="154">
        <f t="shared" si="580"/>
        <v>0</v>
      </c>
      <c r="U112" s="154">
        <f t="shared" si="580"/>
        <v>0</v>
      </c>
      <c r="V112" s="154">
        <f t="shared" si="580"/>
        <v>0</v>
      </c>
      <c r="W112" s="154">
        <f t="shared" si="580"/>
        <v>0</v>
      </c>
      <c r="X112" s="154">
        <f t="shared" si="580"/>
        <v>0</v>
      </c>
      <c r="Y112" s="159">
        <f t="shared" si="580"/>
        <v>0</v>
      </c>
    </row>
    <row r="113" spans="2:25" ht="15" customHeight="1" thickBot="1" x14ac:dyDescent="0.25">
      <c r="B113" s="255"/>
      <c r="C113" s="93">
        <f>E113/SUM(E111:E113)</f>
        <v>1.310043668122271E-2</v>
      </c>
      <c r="D113" s="75" t="s">
        <v>2</v>
      </c>
      <c r="E113" s="155">
        <f>IF((E108+E109+E110)=0,0,(E110*$B112)/(E108+E109+E110))</f>
        <v>1.0874480500834948E-3</v>
      </c>
      <c r="F113" s="155">
        <f>IF((F108+F109+F110)=0,0,(F110*$B112)/(F108+F109+F110))</f>
        <v>0</v>
      </c>
      <c r="G113" s="155">
        <f t="shared" ref="G113" si="581">IF((G108+G109+G110)=0,0,(G110*$B112)/(G108+G109+G110))</f>
        <v>0</v>
      </c>
      <c r="H113" s="155">
        <f t="shared" ref="H113" si="582">IF((H108+H109+H110)=0,0,(H110*$B112)/(H108+H109+H110))</f>
        <v>0</v>
      </c>
      <c r="I113" s="155">
        <f t="shared" ref="I113" si="583">IF((I108+I109+I110)=0,0,(I110*$B112)/(I108+I109+I110))</f>
        <v>4.7433448279832436E-3</v>
      </c>
      <c r="J113" s="155">
        <f t="shared" ref="J113" si="584">IF((J108+J109+J110)=0,0,(J110*$B112)/(J108+J109+J110))</f>
        <v>0</v>
      </c>
      <c r="K113" s="155">
        <f t="shared" ref="K113" si="585">IF((K108+K109+K110)=0,0,(K110*$B112)/(K108+K109+K110))</f>
        <v>6.3852718838235973E-3</v>
      </c>
      <c r="L113" s="155">
        <f t="shared" ref="L113" si="586">IF((L108+L109+L110)=0,0,(L110*$B112)/(L108+L109+L110))</f>
        <v>0</v>
      </c>
      <c r="M113" s="155">
        <f t="shared" ref="M113" si="587">IF((M108+M109+M110)=0,0,(M110*$B112)/(M108+M109+M110))</f>
        <v>0</v>
      </c>
      <c r="N113" s="155">
        <f t="shared" ref="N113" si="588">IF((N108+N109+N110)=0,0,(N110*$B112)/(N108+N109+N110))</f>
        <v>0</v>
      </c>
      <c r="O113" s="155">
        <f t="shared" ref="O113" si="589">IF((O108+O109+O110)=0,0,(O110*$B112)/(O108+O109+O110))</f>
        <v>0</v>
      </c>
      <c r="P113" s="155">
        <f t="shared" ref="P113" si="590">IF((P108+P109+P110)=0,0,(P110*$B112)/(P108+P109+P110))</f>
        <v>0</v>
      </c>
      <c r="Q113" s="155">
        <f t="shared" ref="Q113" si="591">IF((Q108+Q109+Q110)=0,0,(Q110*$B112)/(Q108+Q109+Q110))</f>
        <v>0</v>
      </c>
      <c r="R113" s="155">
        <f t="shared" ref="R113" si="592">IF((R108+R109+R110)=0,0,(R110*$B112)/(R108+R109+R110))</f>
        <v>0</v>
      </c>
      <c r="S113" s="155">
        <f t="shared" ref="S113" si="593">IF((S108+S109+S110)=0,0,(S110*$B112)/(S108+S109+S110))</f>
        <v>0</v>
      </c>
      <c r="T113" s="155">
        <f t="shared" ref="T113" si="594">IF((T108+T109+T110)=0,0,(T110*$B112)/(T108+T109+T110))</f>
        <v>0</v>
      </c>
      <c r="U113" s="155">
        <f t="shared" ref="U113" si="595">IF((U108+U109+U110)=0,0,(U110*$B112)/(U108+U109+U110))</f>
        <v>0</v>
      </c>
      <c r="V113" s="155">
        <f t="shared" ref="V113" si="596">IF((V108+V109+V110)=0,0,(V110*$B112)/(V108+V109+V110))</f>
        <v>0</v>
      </c>
      <c r="W113" s="155">
        <f t="shared" ref="W113" si="597">IF((W108+W109+W110)=0,0,(W110*$B112)/(W108+W109+W110))</f>
        <v>0</v>
      </c>
      <c r="X113" s="155">
        <f t="shared" ref="X113" si="598">IF((X108+X109+X110)=0,0,(X110*$B112)/(X108+X109+X110))</f>
        <v>0</v>
      </c>
      <c r="Y113" s="160">
        <f t="shared" ref="Y113" si="599">IF((Y108+Y109+Y110)=0,0,(Y110*$B112)/(Y108+Y109+Y110))</f>
        <v>0</v>
      </c>
    </row>
    <row r="114" spans="2:25" ht="15" customHeight="1" x14ac:dyDescent="0.2">
      <c r="B114" s="250" t="s">
        <v>49</v>
      </c>
      <c r="C114" s="91">
        <f>E114/SUM(E114:E116)</f>
        <v>0.44477611940298506</v>
      </c>
      <c r="D114" s="67" t="s">
        <v>0</v>
      </c>
      <c r="E114" s="68">
        <f t="shared" si="551"/>
        <v>149</v>
      </c>
      <c r="F114" s="68">
        <f>SUMIFS([0]!Chavez,[0]!Centro,$B116,[0]!Turno,F$101)</f>
        <v>33</v>
      </c>
      <c r="G114" s="68">
        <f>SUMIFS([0]!Chavez,[0]!Centro,$B116,[0]!Turno,G$101)</f>
        <v>19</v>
      </c>
      <c r="H114" s="68">
        <f>SUMIFS([0]!Chavez,[0]!Centro,$B116,[0]!Turno,H$101)</f>
        <v>7</v>
      </c>
      <c r="I114" s="68">
        <f>SUMIFS([0]!Chavez,[0]!Centro,$B116,[0]!Turno,I$101)</f>
        <v>21</v>
      </c>
      <c r="J114" s="68">
        <f>SUMIFS([0]!Chavez,[0]!Centro,$B116,[0]!Turno,J$101)</f>
        <v>20</v>
      </c>
      <c r="K114" s="68">
        <f>SUMIFS([0]!Chavez,[0]!Centro,$B116,[0]!Turno,K$101)</f>
        <v>12</v>
      </c>
      <c r="L114" s="68">
        <f>SUMIFS([0]!Chavez,[0]!Centro,$B116,[0]!Turno,L$101)</f>
        <v>15</v>
      </c>
      <c r="M114" s="68">
        <f>SUMIFS([0]!Chavez,[0]!Centro,$B116,[0]!Turno,M$101)</f>
        <v>8</v>
      </c>
      <c r="N114" s="68">
        <f>SUMIFS([0]!Chavez,[0]!Centro,$B116,[0]!Turno,N$101)</f>
        <v>14</v>
      </c>
      <c r="O114" s="68">
        <f>SUMIFS([0]!Chavez,[0]!Centro,$B116,[0]!Turno,O$101)</f>
        <v>0</v>
      </c>
      <c r="P114" s="68">
        <f>SUMIFS([0]!Chavez,[0]!Centro,$B116,[0]!Turno,P$101)</f>
        <v>0</v>
      </c>
      <c r="Q114" s="68">
        <f>SUMIFS([0]!Chavez,[0]!Centro,$B116,[0]!Turno,Q$101)</f>
        <v>0</v>
      </c>
      <c r="R114" s="68">
        <f>SUMIFS([0]!Chavez,[0]!Centro,$B116,[0]!Turno,R$101)</f>
        <v>0</v>
      </c>
      <c r="S114" s="68">
        <f>SUMIFS([0]!Chavez,[0]!Centro,$B116,[0]!Turno,S$101)</f>
        <v>0</v>
      </c>
      <c r="T114" s="68">
        <f>SUMIFS([0]!Chavez,[0]!Centro,$B116,[0]!Turno,T$101)</f>
        <v>0</v>
      </c>
      <c r="U114" s="68">
        <f>SUMIFS([0]!Chavez,[0]!Centro,$B116,[0]!Turno,U$101)</f>
        <v>0</v>
      </c>
      <c r="V114" s="68">
        <f>SUMIFS([0]!Chavez,[0]!Centro,$B116,[0]!Turno,V$101)</f>
        <v>0</v>
      </c>
      <c r="W114" s="68">
        <f>SUMIFS([0]!Chavez,[0]!Centro,$B116,[0]!Turno,W$101)</f>
        <v>0</v>
      </c>
      <c r="X114" s="68">
        <f>SUMIFS([0]!Chavez,[0]!Centro,$B116,[0]!Turno,X$101)</f>
        <v>0</v>
      </c>
      <c r="Y114" s="69">
        <f>SUMIFS([0]!Chavez,[0]!Centro,$B116,[0]!Turno,Y$101)</f>
        <v>0</v>
      </c>
    </row>
    <row r="115" spans="2:25" ht="15" customHeight="1" x14ac:dyDescent="0.2">
      <c r="B115" s="250"/>
      <c r="C115" s="92">
        <f>E115/SUM(E114:E116)</f>
        <v>0.51343283582089549</v>
      </c>
      <c r="D115" s="61" t="s">
        <v>1</v>
      </c>
      <c r="E115" s="62">
        <f t="shared" si="551"/>
        <v>172</v>
      </c>
      <c r="F115" s="62">
        <f>SUMIFS([0]!Capriles,[0]!Centro,$B116,[0]!Turno,F$101)</f>
        <v>34</v>
      </c>
      <c r="G115" s="62">
        <f>SUMIFS([0]!Capriles,[0]!Centro,$B116,[0]!Turno,G$101)</f>
        <v>19</v>
      </c>
      <c r="H115" s="62">
        <f>SUMIFS([0]!Capriles,[0]!Centro,$B116,[0]!Turno,H$101)</f>
        <v>20</v>
      </c>
      <c r="I115" s="62">
        <f>SUMIFS([0]!Capriles,[0]!Centro,$B116,[0]!Turno,I$101)</f>
        <v>16</v>
      </c>
      <c r="J115" s="62">
        <f>SUMIFS([0]!Capriles,[0]!Centro,$B116,[0]!Turno,J$101)</f>
        <v>20</v>
      </c>
      <c r="K115" s="62">
        <f>SUMIFS([0]!Capriles,[0]!Centro,$B116,[0]!Turno,K$101)</f>
        <v>22</v>
      </c>
      <c r="L115" s="62">
        <f>SUMIFS([0]!Capriles,[0]!Centro,$B116,[0]!Turno,L$101)</f>
        <v>18</v>
      </c>
      <c r="M115" s="62">
        <f>SUMIFS([0]!Capriles,[0]!Centro,$B116,[0]!Turno,M$101)</f>
        <v>15</v>
      </c>
      <c r="N115" s="62">
        <f>SUMIFS([0]!Capriles,[0]!Centro,$B116,[0]!Turno,N$101)</f>
        <v>8</v>
      </c>
      <c r="O115" s="62">
        <f>SUMIFS([0]!Capriles,[0]!Centro,$B116,[0]!Turno,O$101)</f>
        <v>0</v>
      </c>
      <c r="P115" s="62">
        <f>SUMIFS([0]!Capriles,[0]!Centro,$B116,[0]!Turno,P$101)</f>
        <v>0</v>
      </c>
      <c r="Q115" s="62">
        <f>SUMIFS([0]!Capriles,[0]!Centro,$B116,[0]!Turno,Q$101)</f>
        <v>0</v>
      </c>
      <c r="R115" s="62">
        <f>SUMIFS([0]!Capriles,[0]!Centro,$B116,[0]!Turno,R$101)</f>
        <v>0</v>
      </c>
      <c r="S115" s="62">
        <f>SUMIFS([0]!Capriles,[0]!Centro,$B116,[0]!Turno,S$101)</f>
        <v>0</v>
      </c>
      <c r="T115" s="62">
        <f>SUMIFS([0]!Capriles,[0]!Centro,$B116,[0]!Turno,T$101)</f>
        <v>0</v>
      </c>
      <c r="U115" s="62">
        <f>SUMIFS([0]!Capriles,[0]!Centro,$B116,[0]!Turno,U$101)</f>
        <v>0</v>
      </c>
      <c r="V115" s="62">
        <f>SUMIFS([0]!Capriles,[0]!Centro,$B116,[0]!Turno,V$101)</f>
        <v>0</v>
      </c>
      <c r="W115" s="62">
        <f>SUMIFS([0]!Capriles,[0]!Centro,$B116,[0]!Turno,W$101)</f>
        <v>0</v>
      </c>
      <c r="X115" s="62">
        <f>SUMIFS([0]!Capriles,[0]!Centro,$B116,[0]!Turno,X$101)</f>
        <v>0</v>
      </c>
      <c r="Y115" s="70">
        <f>SUMIFS([0]!Capriles,[0]!Centro,$B116,[0]!Turno,Y$101)</f>
        <v>0</v>
      </c>
    </row>
    <row r="116" spans="2:25" ht="15" customHeight="1" thickBot="1" x14ac:dyDescent="0.25">
      <c r="B116" s="261">
        <v>33</v>
      </c>
      <c r="C116" s="100">
        <f>E116/SUM(E114:E116)</f>
        <v>4.1791044776119404E-2</v>
      </c>
      <c r="D116" s="71" t="s">
        <v>2</v>
      </c>
      <c r="E116" s="72">
        <f t="shared" si="551"/>
        <v>14</v>
      </c>
      <c r="F116" s="72">
        <f>SUMIFS([0]!Otro,[0]!Centro,$B116,[0]!Turno,F$101)</f>
        <v>1</v>
      </c>
      <c r="G116" s="72">
        <f>SUMIFS([0]!Otro,[0]!Centro,$B116,[0]!Turno,G$101)</f>
        <v>2</v>
      </c>
      <c r="H116" s="72">
        <f>SUMIFS([0]!Otro,[0]!Centro,$B116,[0]!Turno,H$101)</f>
        <v>3</v>
      </c>
      <c r="I116" s="72">
        <f>SUMIFS([0]!Otro,[0]!Centro,$B116,[0]!Turno,I$101)</f>
        <v>0</v>
      </c>
      <c r="J116" s="72">
        <f>SUMIFS([0]!Otro,[0]!Centro,$B116,[0]!Turno,J$101)</f>
        <v>0</v>
      </c>
      <c r="K116" s="72">
        <f>SUMIFS([0]!Otro,[0]!Centro,$B116,[0]!Turno,K$101)</f>
        <v>0</v>
      </c>
      <c r="L116" s="72">
        <f>SUMIFS([0]!Otro,[0]!Centro,$B116,[0]!Turno,L$101)</f>
        <v>1</v>
      </c>
      <c r="M116" s="72">
        <f>SUMIFS([0]!Otro,[0]!Centro,$B116,[0]!Turno,M$101)</f>
        <v>1</v>
      </c>
      <c r="N116" s="72">
        <f>SUMIFS([0]!Otro,[0]!Centro,$B116,[0]!Turno,N$101)</f>
        <v>6</v>
      </c>
      <c r="O116" s="72">
        <f>SUMIFS([0]!Otro,[0]!Centro,$B116,[0]!Turno,O$101)</f>
        <v>0</v>
      </c>
      <c r="P116" s="72">
        <f>SUMIFS([0]!Otro,[0]!Centro,$B116,[0]!Turno,P$101)</f>
        <v>0</v>
      </c>
      <c r="Q116" s="72">
        <f>SUMIFS([0]!Otro,[0]!Centro,$B116,[0]!Turno,Q$101)</f>
        <v>0</v>
      </c>
      <c r="R116" s="72">
        <f>SUMIFS([0]!Otro,[0]!Centro,$B116,[0]!Turno,R$101)</f>
        <v>0</v>
      </c>
      <c r="S116" s="72">
        <f>SUMIFS([0]!Otro,[0]!Centro,$B116,[0]!Turno,S$101)</f>
        <v>0</v>
      </c>
      <c r="T116" s="72">
        <f>SUMIFS([0]!Otro,[0]!Centro,$B116,[0]!Turno,T$101)</f>
        <v>0</v>
      </c>
      <c r="U116" s="72">
        <f>SUMIFS([0]!Otro,[0]!Centro,$B116,[0]!Turno,U$101)</f>
        <v>0</v>
      </c>
      <c r="V116" s="72">
        <f>SUMIFS([0]!Otro,[0]!Centro,$B116,[0]!Turno,V$101)</f>
        <v>0</v>
      </c>
      <c r="W116" s="72">
        <f>SUMIFS([0]!Otro,[0]!Centro,$B116,[0]!Turno,W$101)</f>
        <v>0</v>
      </c>
      <c r="X116" s="72">
        <f>SUMIFS([0]!Otro,[0]!Centro,$B116,[0]!Turno,X$101)</f>
        <v>0</v>
      </c>
      <c r="Y116" s="73">
        <f>SUMIFS([0]!Otro,[0]!Centro,$B116,[0]!Turno,Y$101)</f>
        <v>0</v>
      </c>
    </row>
    <row r="117" spans="2:25" ht="15" customHeight="1" x14ac:dyDescent="0.2">
      <c r="B117" s="261"/>
      <c r="C117" s="94">
        <f>E117/SUM(E117:E119)</f>
        <v>0.44477611940298506</v>
      </c>
      <c r="D117" s="63" t="s">
        <v>0</v>
      </c>
      <c r="E117" s="150">
        <f>IF((E114+E115+E116)=0,0,(E114*$B118)/(E114+E115+E116))</f>
        <v>0.15106254552046405</v>
      </c>
      <c r="F117" s="150">
        <f>IF((F114+F115+F116)=0,0,(F114*$B118)/(F114+F115+F116))</f>
        <v>0.16482396769924298</v>
      </c>
      <c r="G117" s="150">
        <f t="shared" ref="G117" si="600">IF((G114+G115+G116)=0,0,(G114*$B118)/(G114+G115+G116))</f>
        <v>0.16132770171774391</v>
      </c>
      <c r="H117" s="150">
        <f t="shared" ref="H117" si="601">IF((H114+H115+H116)=0,0,(H114*$B118)/(H114+H115+H116))</f>
        <v>7.9248695580646136E-2</v>
      </c>
      <c r="I117" s="150">
        <f t="shared" ref="I117" si="602">IF((I114+I115+I116)=0,0,(I114*$B118)/(I114+I115+I116))</f>
        <v>0.19276709735832842</v>
      </c>
      <c r="J117" s="150">
        <f t="shared" ref="J117" si="603">IF((J114+J115+J116)=0,0,(J114*$B118)/(J114+J115+J116))</f>
        <v>0.16981863338709885</v>
      </c>
      <c r="K117" s="150">
        <f t="shared" ref="K117" si="604">IF((K114+K115+K116)=0,0,(K114*$B118)/(K114+K115+K116))</f>
        <v>0.11987197650854038</v>
      </c>
      <c r="L117" s="150">
        <f t="shared" ref="L117" si="605">IF((L114+L115+L116)=0,0,(L114*$B118)/(L114+L115+L116))</f>
        <v>0.14983997063567545</v>
      </c>
      <c r="M117" s="150">
        <f t="shared" ref="M117" si="606">IF((M114+M115+M116)=0,0,(M114*$B118)/(M114+M115+M116))</f>
        <v>0.1132124222580659</v>
      </c>
      <c r="N117" s="150">
        <f t="shared" ref="N117" si="607">IF((N114+N115+N116)=0,0,(N114*$B118)/(N114+N115+N116))</f>
        <v>0.16981863338709885</v>
      </c>
      <c r="O117" s="150">
        <f t="shared" ref="O117" si="608">IF((O114+O115+O116)=0,0,(O114*$B118)/(O114+O115+O116))</f>
        <v>0</v>
      </c>
      <c r="P117" s="150">
        <f t="shared" ref="P117" si="609">IF((P114+P115+P116)=0,0,(P114*$B118)/(P114+P115+P116))</f>
        <v>0</v>
      </c>
      <c r="Q117" s="150">
        <f t="shared" ref="Q117" si="610">IF((Q114+Q115+Q116)=0,0,(Q114*$B118)/(Q114+Q115+Q116))</f>
        <v>0</v>
      </c>
      <c r="R117" s="150">
        <f t="shared" ref="R117" si="611">IF((R114+R115+R116)=0,0,(R114*$B118)/(R114+R115+R116))</f>
        <v>0</v>
      </c>
      <c r="S117" s="150">
        <f t="shared" ref="S117" si="612">IF((S114+S115+S116)=0,0,(S114*$B118)/(S114+S115+S116))</f>
        <v>0</v>
      </c>
      <c r="T117" s="150">
        <f t="shared" ref="T117" si="613">IF((T114+T115+T116)=0,0,(T114*$B118)/(T114+T115+T116))</f>
        <v>0</v>
      </c>
      <c r="U117" s="150">
        <f t="shared" ref="U117" si="614">IF((U114+U115+U116)=0,0,(U114*$B118)/(U114+U115+U116))</f>
        <v>0</v>
      </c>
      <c r="V117" s="150">
        <f t="shared" ref="V117" si="615">IF((V114+V115+V116)=0,0,(V114*$B118)/(V114+V115+V116))</f>
        <v>0</v>
      </c>
      <c r="W117" s="150">
        <f t="shared" ref="W117" si="616">IF((W114+W115+W116)=0,0,(W114*$B118)/(W114+W115+W116))</f>
        <v>0</v>
      </c>
      <c r="X117" s="150">
        <f t="shared" ref="X117" si="617">IF((X114+X115+X116)=0,0,(X114*$B118)/(X114+X115+X116))</f>
        <v>0</v>
      </c>
      <c r="Y117" s="163">
        <f t="shared" ref="Y117" si="618">IF((Y114+Y115+Y116)=0,0,(Y114*$B118)/(Y114+Y115+Y116))</f>
        <v>0</v>
      </c>
    </row>
    <row r="118" spans="2:25" ht="15" customHeight="1" x14ac:dyDescent="0.2">
      <c r="B118" s="254">
        <v>0.3396372667741977</v>
      </c>
      <c r="C118" s="92">
        <f>E118/SUM(E117:E119)</f>
        <v>0.51343283582089549</v>
      </c>
      <c r="D118" s="61" t="s">
        <v>1</v>
      </c>
      <c r="E118" s="154">
        <f>IF((E114+E115+E116)=0,0,(E115*$B118)/(E114+E115+E116))</f>
        <v>0.17438092503033434</v>
      </c>
      <c r="F118" s="154">
        <f>IF((F114+F115+F116)=0,0,(F115*$B118)/(F114+F115+F116))</f>
        <v>0.16981863338709885</v>
      </c>
      <c r="G118" s="154">
        <f t="shared" ref="G118:O118" si="619">IF((G114+G115+G116)=0,0,(G115*$B118)/(G114+G115+G116))</f>
        <v>0.16132770171774391</v>
      </c>
      <c r="H118" s="154">
        <f t="shared" si="619"/>
        <v>0.22642484451613179</v>
      </c>
      <c r="I118" s="154">
        <f t="shared" si="619"/>
        <v>0.14687016941586928</v>
      </c>
      <c r="J118" s="154">
        <f t="shared" si="619"/>
        <v>0.16981863338709885</v>
      </c>
      <c r="K118" s="154">
        <f t="shared" si="619"/>
        <v>0.21976529026565733</v>
      </c>
      <c r="L118" s="154">
        <f t="shared" si="619"/>
        <v>0.17980796476281055</v>
      </c>
      <c r="M118" s="154">
        <f t="shared" si="619"/>
        <v>0.21227329173387355</v>
      </c>
      <c r="N118" s="154">
        <f t="shared" si="619"/>
        <v>9.7039219078342204E-2</v>
      </c>
      <c r="O118" s="154">
        <f t="shared" si="619"/>
        <v>0</v>
      </c>
      <c r="P118" s="154">
        <f>IF((P114+P115+P116)=0,0,(P115*$B118)/(P114+P115+P116))</f>
        <v>0</v>
      </c>
      <c r="Q118" s="154">
        <f t="shared" ref="Q118:Y118" si="620">IF((Q114+Q115+Q116)=0,0,(Q115*$B118)/(Q114+Q115+Q116))</f>
        <v>0</v>
      </c>
      <c r="R118" s="154">
        <f t="shared" si="620"/>
        <v>0</v>
      </c>
      <c r="S118" s="154">
        <f t="shared" si="620"/>
        <v>0</v>
      </c>
      <c r="T118" s="154">
        <f t="shared" si="620"/>
        <v>0</v>
      </c>
      <c r="U118" s="154">
        <f t="shared" si="620"/>
        <v>0</v>
      </c>
      <c r="V118" s="154">
        <f t="shared" si="620"/>
        <v>0</v>
      </c>
      <c r="W118" s="154">
        <f t="shared" si="620"/>
        <v>0</v>
      </c>
      <c r="X118" s="154">
        <f t="shared" si="620"/>
        <v>0</v>
      </c>
      <c r="Y118" s="159">
        <f t="shared" si="620"/>
        <v>0</v>
      </c>
    </row>
    <row r="119" spans="2:25" ht="15" customHeight="1" thickBot="1" x14ac:dyDescent="0.25">
      <c r="B119" s="255"/>
      <c r="C119" s="93">
        <f>E119/SUM(E117:E119)</f>
        <v>4.1791044776119404E-2</v>
      </c>
      <c r="D119" s="75" t="s">
        <v>2</v>
      </c>
      <c r="E119" s="155">
        <f>IF((E114+E115+E116)=0,0,(E116*$B118)/(E114+E115+E116))</f>
        <v>1.4193796223399308E-2</v>
      </c>
      <c r="F119" s="155">
        <f>IF((F114+F115+F116)=0,0,(F116*$B118)/(F114+F115+F116))</f>
        <v>4.9946656878558484E-3</v>
      </c>
      <c r="G119" s="155">
        <f t="shared" ref="G119" si="621">IF((G114+G115+G116)=0,0,(G116*$B118)/(G114+G115+G116))</f>
        <v>1.6981863338709886E-2</v>
      </c>
      <c r="H119" s="155">
        <f t="shared" ref="H119" si="622">IF((H114+H115+H116)=0,0,(H116*$B118)/(H114+H115+H116))</f>
        <v>3.3963726677419773E-2</v>
      </c>
      <c r="I119" s="155">
        <f t="shared" ref="I119" si="623">IF((I114+I115+I116)=0,0,(I116*$B118)/(I114+I115+I116))</f>
        <v>0</v>
      </c>
      <c r="J119" s="155">
        <f t="shared" ref="J119" si="624">IF((J114+J115+J116)=0,0,(J116*$B118)/(J114+J115+J116))</f>
        <v>0</v>
      </c>
      <c r="K119" s="155">
        <f t="shared" ref="K119" si="625">IF((K114+K115+K116)=0,0,(K116*$B118)/(K114+K115+K116))</f>
        <v>0</v>
      </c>
      <c r="L119" s="155">
        <f t="shared" ref="L119" si="626">IF((L114+L115+L116)=0,0,(L116*$B118)/(L114+L115+L116))</f>
        <v>9.9893313757116967E-3</v>
      </c>
      <c r="M119" s="155">
        <f t="shared" ref="M119" si="627">IF((M114+M115+M116)=0,0,(M116*$B118)/(M114+M115+M116))</f>
        <v>1.4151552782258237E-2</v>
      </c>
      <c r="N119" s="155">
        <f t="shared" ref="N119" si="628">IF((N114+N115+N116)=0,0,(N116*$B118)/(N114+N115+N116))</f>
        <v>7.277941430875666E-2</v>
      </c>
      <c r="O119" s="155">
        <f t="shared" ref="O119" si="629">IF((O114+O115+O116)=0,0,(O116*$B118)/(O114+O115+O116))</f>
        <v>0</v>
      </c>
      <c r="P119" s="155">
        <f t="shared" ref="P119" si="630">IF((P114+P115+P116)=0,0,(P116*$B118)/(P114+P115+P116))</f>
        <v>0</v>
      </c>
      <c r="Q119" s="155">
        <f t="shared" ref="Q119" si="631">IF((Q114+Q115+Q116)=0,0,(Q116*$B118)/(Q114+Q115+Q116))</f>
        <v>0</v>
      </c>
      <c r="R119" s="155">
        <f t="shared" ref="R119" si="632">IF((R114+R115+R116)=0,0,(R116*$B118)/(R114+R115+R116))</f>
        <v>0</v>
      </c>
      <c r="S119" s="155">
        <f t="shared" ref="S119" si="633">IF((S114+S115+S116)=0,0,(S116*$B118)/(S114+S115+S116))</f>
        <v>0</v>
      </c>
      <c r="T119" s="155">
        <f t="shared" ref="T119" si="634">IF((T114+T115+T116)=0,0,(T116*$B118)/(T114+T115+T116))</f>
        <v>0</v>
      </c>
      <c r="U119" s="155">
        <f t="shared" ref="U119" si="635">IF((U114+U115+U116)=0,0,(U116*$B118)/(U114+U115+U116))</f>
        <v>0</v>
      </c>
      <c r="V119" s="155">
        <f t="shared" ref="V119" si="636">IF((V114+V115+V116)=0,0,(V116*$B118)/(V114+V115+V116))</f>
        <v>0</v>
      </c>
      <c r="W119" s="155">
        <f t="shared" ref="W119" si="637">IF((W114+W115+W116)=0,0,(W116*$B118)/(W114+W115+W116))</f>
        <v>0</v>
      </c>
      <c r="X119" s="155">
        <f t="shared" ref="X119" si="638">IF((X114+X115+X116)=0,0,(X116*$B118)/(X114+X115+X116))</f>
        <v>0</v>
      </c>
      <c r="Y119" s="160">
        <f t="shared" ref="Y119" si="639">IF((Y114+Y115+Y116)=0,0,(Y116*$B118)/(Y114+Y115+Y116))</f>
        <v>0</v>
      </c>
    </row>
    <row r="120" spans="2:25" ht="15" customHeight="1" x14ac:dyDescent="0.2">
      <c r="B120" s="250" t="s">
        <v>50</v>
      </c>
      <c r="C120" s="91">
        <f>E120/SUM(E120:E122)</f>
        <v>0.64965986394557829</v>
      </c>
      <c r="D120" s="67" t="s">
        <v>0</v>
      </c>
      <c r="E120" s="68">
        <f t="shared" si="551"/>
        <v>191</v>
      </c>
      <c r="F120" s="68">
        <f>SUMIFS([0]!Chavez,[0]!Centro,$B122,[0]!Turno,F$101)</f>
        <v>37</v>
      </c>
      <c r="G120" s="68">
        <f>SUMIFS([0]!Chavez,[0]!Centro,$B122,[0]!Turno,G$101)</f>
        <v>31</v>
      </c>
      <c r="H120" s="68">
        <f>SUMIFS([0]!Chavez,[0]!Centro,$B122,[0]!Turno,H$101)</f>
        <v>20</v>
      </c>
      <c r="I120" s="68">
        <f>SUMIFS([0]!Chavez,[0]!Centro,$B122,[0]!Turno,I$101)</f>
        <v>36</v>
      </c>
      <c r="J120" s="68">
        <f>SUMIFS([0]!Chavez,[0]!Centro,$B122,[0]!Turno,J$101)</f>
        <v>28</v>
      </c>
      <c r="K120" s="68">
        <f>SUMIFS([0]!Chavez,[0]!Centro,$B122,[0]!Turno,K$101)</f>
        <v>6</v>
      </c>
      <c r="L120" s="68">
        <f>SUMIFS([0]!Chavez,[0]!Centro,$B122,[0]!Turno,L$101)</f>
        <v>4</v>
      </c>
      <c r="M120" s="68">
        <f>SUMIFS([0]!Chavez,[0]!Centro,$B122,[0]!Turno,M$101)</f>
        <v>10</v>
      </c>
      <c r="N120" s="68">
        <f>SUMIFS([0]!Chavez,[0]!Centro,$B122,[0]!Turno,N$101)</f>
        <v>6</v>
      </c>
      <c r="O120" s="68">
        <f>SUMIFS([0]!Chavez,[0]!Centro,$B122,[0]!Turno,O$101)</f>
        <v>13</v>
      </c>
      <c r="P120" s="68">
        <f>SUMIFS([0]!Chavez,[0]!Centro,$B122,[0]!Turno,P$101)</f>
        <v>0</v>
      </c>
      <c r="Q120" s="68">
        <f>SUMIFS([0]!Chavez,[0]!Centro,$B122,[0]!Turno,Q$101)</f>
        <v>0</v>
      </c>
      <c r="R120" s="68">
        <f>SUMIFS([0]!Chavez,[0]!Centro,$B122,[0]!Turno,R$101)</f>
        <v>0</v>
      </c>
      <c r="S120" s="68">
        <f>SUMIFS([0]!Chavez,[0]!Centro,$B122,[0]!Turno,S$101)</f>
        <v>0</v>
      </c>
      <c r="T120" s="68">
        <f>SUMIFS([0]!Chavez,[0]!Centro,$B122,[0]!Turno,T$101)</f>
        <v>0</v>
      </c>
      <c r="U120" s="68">
        <f>SUMIFS([0]!Chavez,[0]!Centro,$B122,[0]!Turno,U$101)</f>
        <v>0</v>
      </c>
      <c r="V120" s="68">
        <f>SUMIFS([0]!Chavez,[0]!Centro,$B122,[0]!Turno,V$101)</f>
        <v>0</v>
      </c>
      <c r="W120" s="68">
        <f>SUMIFS([0]!Chavez,[0]!Centro,$B122,[0]!Turno,W$101)</f>
        <v>0</v>
      </c>
      <c r="X120" s="68">
        <f>SUMIFS([0]!Chavez,[0]!Centro,$B122,[0]!Turno,X$101)</f>
        <v>0</v>
      </c>
      <c r="Y120" s="69">
        <f>SUMIFS([0]!Chavez,[0]!Centro,$B122,[0]!Turno,Y$101)</f>
        <v>0</v>
      </c>
    </row>
    <row r="121" spans="2:25" ht="15" customHeight="1" x14ac:dyDescent="0.2">
      <c r="B121" s="250"/>
      <c r="C121" s="92">
        <f>E121/SUM(E120:E122)</f>
        <v>0.35034013605442177</v>
      </c>
      <c r="D121" s="61" t="s">
        <v>1</v>
      </c>
      <c r="E121" s="62">
        <f t="shared" si="551"/>
        <v>103</v>
      </c>
      <c r="F121" s="62">
        <f>SUMIFS([0]!Capriles,[0]!Centro,$B122,[0]!Turno,F$101)</f>
        <v>22</v>
      </c>
      <c r="G121" s="62">
        <f>SUMIFS([0]!Capriles,[0]!Centro,$B122,[0]!Turno,G$101)</f>
        <v>11</v>
      </c>
      <c r="H121" s="62">
        <f>SUMIFS([0]!Capriles,[0]!Centro,$B122,[0]!Turno,H$101)</f>
        <v>9</v>
      </c>
      <c r="I121" s="62">
        <f>SUMIFS([0]!Capriles,[0]!Centro,$B122,[0]!Turno,I$101)</f>
        <v>14</v>
      </c>
      <c r="J121" s="62">
        <f>SUMIFS([0]!Capriles,[0]!Centro,$B122,[0]!Turno,J$101)</f>
        <v>13</v>
      </c>
      <c r="K121" s="62">
        <f>SUMIFS([0]!Capriles,[0]!Centro,$B122,[0]!Turno,K$101)</f>
        <v>7</v>
      </c>
      <c r="L121" s="62">
        <f>SUMIFS([0]!Capriles,[0]!Centro,$B122,[0]!Turno,L$101)</f>
        <v>9</v>
      </c>
      <c r="M121" s="62">
        <f>SUMIFS([0]!Capriles,[0]!Centro,$B122,[0]!Turno,M$101)</f>
        <v>9</v>
      </c>
      <c r="N121" s="62">
        <f>SUMIFS([0]!Capriles,[0]!Centro,$B122,[0]!Turno,N$101)</f>
        <v>4</v>
      </c>
      <c r="O121" s="62">
        <f>SUMIFS([0]!Capriles,[0]!Centro,$B122,[0]!Turno,O$101)</f>
        <v>5</v>
      </c>
      <c r="P121" s="62">
        <f>SUMIFS([0]!Capriles,[0]!Centro,$B122,[0]!Turno,P$101)</f>
        <v>0</v>
      </c>
      <c r="Q121" s="62">
        <f>SUMIFS([0]!Capriles,[0]!Centro,$B122,[0]!Turno,Q$101)</f>
        <v>0</v>
      </c>
      <c r="R121" s="62">
        <f>SUMIFS([0]!Capriles,[0]!Centro,$B122,[0]!Turno,R$101)</f>
        <v>0</v>
      </c>
      <c r="S121" s="62">
        <f>SUMIFS([0]!Capriles,[0]!Centro,$B122,[0]!Turno,S$101)</f>
        <v>0</v>
      </c>
      <c r="T121" s="62">
        <f>SUMIFS([0]!Capriles,[0]!Centro,$B122,[0]!Turno,T$101)</f>
        <v>0</v>
      </c>
      <c r="U121" s="62">
        <f>SUMIFS([0]!Capriles,[0]!Centro,$B122,[0]!Turno,U$101)</f>
        <v>0</v>
      </c>
      <c r="V121" s="62">
        <f>SUMIFS([0]!Capriles,[0]!Centro,$B122,[0]!Turno,V$101)</f>
        <v>0</v>
      </c>
      <c r="W121" s="62">
        <f>SUMIFS([0]!Capriles,[0]!Centro,$B122,[0]!Turno,W$101)</f>
        <v>0</v>
      </c>
      <c r="X121" s="62">
        <f>SUMIFS([0]!Capriles,[0]!Centro,$B122,[0]!Turno,X$101)</f>
        <v>0</v>
      </c>
      <c r="Y121" s="70">
        <f>SUMIFS([0]!Capriles,[0]!Centro,$B122,[0]!Turno,Y$101)</f>
        <v>0</v>
      </c>
    </row>
    <row r="122" spans="2:25" ht="15" customHeight="1" thickBot="1" x14ac:dyDescent="0.25">
      <c r="B122" s="261">
        <v>34</v>
      </c>
      <c r="C122" s="100">
        <f>E122/SUM(E120:E122)</f>
        <v>0</v>
      </c>
      <c r="D122" s="71" t="s">
        <v>2</v>
      </c>
      <c r="E122" s="72">
        <f t="shared" si="551"/>
        <v>0</v>
      </c>
      <c r="F122" s="72">
        <f>SUMIFS([0]!Otro,[0]!Centro,$B122,[0]!Turno,F$101)</f>
        <v>0</v>
      </c>
      <c r="G122" s="72">
        <f>SUMIFS([0]!Otro,[0]!Centro,$B122,[0]!Turno,G$101)</f>
        <v>0</v>
      </c>
      <c r="H122" s="72">
        <f>SUMIFS([0]!Otro,[0]!Centro,$B122,[0]!Turno,H$101)</f>
        <v>0</v>
      </c>
      <c r="I122" s="72">
        <f>SUMIFS([0]!Otro,[0]!Centro,$B122,[0]!Turno,I$101)</f>
        <v>0</v>
      </c>
      <c r="J122" s="72">
        <f>SUMIFS([0]!Otro,[0]!Centro,$B122,[0]!Turno,J$101)</f>
        <v>0</v>
      </c>
      <c r="K122" s="72">
        <f>SUMIFS([0]!Otro,[0]!Centro,$B122,[0]!Turno,K$101)</f>
        <v>0</v>
      </c>
      <c r="L122" s="72">
        <f>SUMIFS([0]!Otro,[0]!Centro,$B122,[0]!Turno,L$101)</f>
        <v>0</v>
      </c>
      <c r="M122" s="72">
        <f>SUMIFS([0]!Otro,[0]!Centro,$B122,[0]!Turno,M$101)</f>
        <v>0</v>
      </c>
      <c r="N122" s="72">
        <f>SUMIFS([0]!Otro,[0]!Centro,$B122,[0]!Turno,N$101)</f>
        <v>0</v>
      </c>
      <c r="O122" s="72">
        <f>SUMIFS([0]!Otro,[0]!Centro,$B122,[0]!Turno,O$101)</f>
        <v>0</v>
      </c>
      <c r="P122" s="72">
        <f>SUMIFS([0]!Otro,[0]!Centro,$B122,[0]!Turno,P$101)</f>
        <v>0</v>
      </c>
      <c r="Q122" s="72">
        <f>SUMIFS([0]!Otro,[0]!Centro,$B122,[0]!Turno,Q$101)</f>
        <v>0</v>
      </c>
      <c r="R122" s="72">
        <f>SUMIFS([0]!Otro,[0]!Centro,$B122,[0]!Turno,R$101)</f>
        <v>0</v>
      </c>
      <c r="S122" s="72">
        <f>SUMIFS([0]!Otro,[0]!Centro,$B122,[0]!Turno,S$101)</f>
        <v>0</v>
      </c>
      <c r="T122" s="72">
        <f>SUMIFS([0]!Otro,[0]!Centro,$B122,[0]!Turno,T$101)</f>
        <v>0</v>
      </c>
      <c r="U122" s="72">
        <f>SUMIFS([0]!Otro,[0]!Centro,$B122,[0]!Turno,U$101)</f>
        <v>0</v>
      </c>
      <c r="V122" s="72">
        <f>SUMIFS([0]!Otro,[0]!Centro,$B122,[0]!Turno,V$101)</f>
        <v>0</v>
      </c>
      <c r="W122" s="72">
        <f>SUMIFS([0]!Otro,[0]!Centro,$B122,[0]!Turno,W$101)</f>
        <v>0</v>
      </c>
      <c r="X122" s="72">
        <f>SUMIFS([0]!Otro,[0]!Centro,$B122,[0]!Turno,X$101)</f>
        <v>0</v>
      </c>
      <c r="Y122" s="73">
        <f>SUMIFS([0]!Otro,[0]!Centro,$B122,[0]!Turno,Y$101)</f>
        <v>0</v>
      </c>
    </row>
    <row r="123" spans="2:25" ht="15" customHeight="1" x14ac:dyDescent="0.2">
      <c r="B123" s="261"/>
      <c r="C123" s="94">
        <f>E123/SUM(E123:E125)</f>
        <v>0.64965986394557818</v>
      </c>
      <c r="D123" s="63" t="s">
        <v>0</v>
      </c>
      <c r="E123" s="150">
        <f>IF((E120+E121+E122)=0,0,(E120*$B124)/(E120+E121+E122))</f>
        <v>6.6985400143653173E-2</v>
      </c>
      <c r="F123" s="150">
        <f>IF((F120+F121+F122)=0,0,(F120*$B124)/(F120+F121+F122))</f>
        <v>6.4661210645368644E-2</v>
      </c>
      <c r="G123" s="150">
        <f t="shared" ref="G123" si="640">IF((G120+G121+G122)=0,0,(G120*$B124)/(G120+G121+G122))</f>
        <v>7.6103831576820616E-2</v>
      </c>
      <c r="H123" s="150">
        <f t="shared" ref="H123" si="641">IF((H120+H121+H122)=0,0,(H120*$B124)/(H120+H121+H122))</f>
        <v>7.1109253086239513E-2</v>
      </c>
      <c r="I123" s="150">
        <f t="shared" ref="I123" si="642">IF((I120+I121+I122)=0,0,(I120*$B124)/(I120+I121+I122))</f>
        <v>7.4238060222034039E-2</v>
      </c>
      <c r="J123" s="150">
        <f t="shared" ref="J123" si="643">IF((J120+J121+J122)=0,0,(J120*$B124)/(J120+J121+J122))</f>
        <v>7.0415504275642055E-2</v>
      </c>
      <c r="K123" s="150">
        <f t="shared" ref="K123" si="644">IF((K120+K121+K122)=0,0,(K120*$B124)/(K120+K121+K122))</f>
        <v>4.7588500142329515E-2</v>
      </c>
      <c r="L123" s="150">
        <f t="shared" ref="L123" si="645">IF((L120+L121+L122)=0,0,(L120*$B124)/(L120+L121+L122))</f>
        <v>3.1725666761553015E-2</v>
      </c>
      <c r="M123" s="150">
        <f t="shared" ref="M123" si="646">IF((M120+M121+M122)=0,0,(M120*$B124)/(M120+M121+M122))</f>
        <v>5.4267587881603838E-2</v>
      </c>
      <c r="N123" s="150">
        <f t="shared" ref="N123" si="647">IF((N120+N121+N122)=0,0,(N120*$B124)/(N120+N121+N122))</f>
        <v>6.1865050185028372E-2</v>
      </c>
      <c r="O123" s="150">
        <f t="shared" ref="O123" si="648">IF((O120+O121+O122)=0,0,(O120*$B124)/(O120+O121+O122))</f>
        <v>7.4467190037534159E-2</v>
      </c>
      <c r="P123" s="150">
        <f t="shared" ref="P123" si="649">IF((P120+P121+P122)=0,0,(P120*$B124)/(P120+P121+P122))</f>
        <v>0</v>
      </c>
      <c r="Q123" s="150">
        <f t="shared" ref="Q123" si="650">IF((Q120+Q121+Q122)=0,0,(Q120*$B124)/(Q120+Q121+Q122))</f>
        <v>0</v>
      </c>
      <c r="R123" s="150">
        <f t="shared" ref="R123" si="651">IF((R120+R121+R122)=0,0,(R120*$B124)/(R120+R121+R122))</f>
        <v>0</v>
      </c>
      <c r="S123" s="150">
        <f t="shared" ref="S123" si="652">IF((S120+S121+S122)=0,0,(S120*$B124)/(S120+S121+S122))</f>
        <v>0</v>
      </c>
      <c r="T123" s="150">
        <f t="shared" ref="T123" si="653">IF((T120+T121+T122)=0,0,(T120*$B124)/(T120+T121+T122))</f>
        <v>0</v>
      </c>
      <c r="U123" s="150">
        <f t="shared" ref="U123" si="654">IF((U120+U121+U122)=0,0,(U120*$B124)/(U120+U121+U122))</f>
        <v>0</v>
      </c>
      <c r="V123" s="150">
        <f t="shared" ref="V123" si="655">IF((V120+V121+V122)=0,0,(V120*$B124)/(V120+V121+V122))</f>
        <v>0</v>
      </c>
      <c r="W123" s="150">
        <f t="shared" ref="W123" si="656">IF((W120+W121+W122)=0,0,(W120*$B124)/(W120+W121+W122))</f>
        <v>0</v>
      </c>
      <c r="X123" s="150">
        <f t="shared" ref="X123" si="657">IF((X120+X121+X122)=0,0,(X120*$B124)/(X120+X121+X122))</f>
        <v>0</v>
      </c>
      <c r="Y123" s="163">
        <f t="shared" ref="Y123" si="658">IF((Y120+Y121+Y122)=0,0,(Y120*$B124)/(Y120+Y121+Y122))</f>
        <v>0</v>
      </c>
    </row>
    <row r="124" spans="2:25" ht="15" customHeight="1" x14ac:dyDescent="0.2">
      <c r="B124" s="254">
        <v>0.10310841697504729</v>
      </c>
      <c r="C124" s="92">
        <f>E124/SUM(E123:E125)</f>
        <v>0.35034013605442177</v>
      </c>
      <c r="D124" s="61" t="s">
        <v>1</v>
      </c>
      <c r="E124" s="154">
        <f>IF((E120+E121+E122)=0,0,(E121*$B124)/(E120+E121+E122))</f>
        <v>3.6123016831394121E-2</v>
      </c>
      <c r="F124" s="154">
        <f>IF((F120+F121+F122)=0,0,(F121*$B124)/(F120+F121+F122))</f>
        <v>3.844720632967865E-2</v>
      </c>
      <c r="G124" s="154">
        <f t="shared" ref="G124:O124" si="659">IF((G120+G121+G122)=0,0,(G121*$B124)/(G120+G121+G122))</f>
        <v>2.7004585398226671E-2</v>
      </c>
      <c r="H124" s="154">
        <f t="shared" si="659"/>
        <v>3.1999163888807775E-2</v>
      </c>
      <c r="I124" s="154">
        <f t="shared" si="659"/>
        <v>2.8870356753013242E-2</v>
      </c>
      <c r="J124" s="154">
        <f t="shared" si="659"/>
        <v>3.269291269940524E-2</v>
      </c>
      <c r="K124" s="154">
        <f t="shared" si="659"/>
        <v>5.5519916832717772E-2</v>
      </c>
      <c r="L124" s="154">
        <f t="shared" si="659"/>
        <v>7.1382750213494273E-2</v>
      </c>
      <c r="M124" s="154">
        <f t="shared" si="659"/>
        <v>4.884082909344345E-2</v>
      </c>
      <c r="N124" s="154">
        <f t="shared" si="659"/>
        <v>4.1243366790018915E-2</v>
      </c>
      <c r="O124" s="154">
        <f t="shared" si="659"/>
        <v>2.8641226937513135E-2</v>
      </c>
      <c r="P124" s="154">
        <f>IF((P120+P121+P122)=0,0,(P121*$B124)/(P120+P121+P122))</f>
        <v>0</v>
      </c>
      <c r="Q124" s="154">
        <f t="shared" ref="Q124:Y124" si="660">IF((Q120+Q121+Q122)=0,0,(Q121*$B124)/(Q120+Q121+Q122))</f>
        <v>0</v>
      </c>
      <c r="R124" s="154">
        <f t="shared" si="660"/>
        <v>0</v>
      </c>
      <c r="S124" s="154">
        <f t="shared" si="660"/>
        <v>0</v>
      </c>
      <c r="T124" s="154">
        <f t="shared" si="660"/>
        <v>0</v>
      </c>
      <c r="U124" s="154">
        <f t="shared" si="660"/>
        <v>0</v>
      </c>
      <c r="V124" s="154">
        <f t="shared" si="660"/>
        <v>0</v>
      </c>
      <c r="W124" s="154">
        <f t="shared" si="660"/>
        <v>0</v>
      </c>
      <c r="X124" s="154">
        <f t="shared" si="660"/>
        <v>0</v>
      </c>
      <c r="Y124" s="159">
        <f t="shared" si="660"/>
        <v>0</v>
      </c>
    </row>
    <row r="125" spans="2:25" ht="15" customHeight="1" thickBot="1" x14ac:dyDescent="0.25">
      <c r="B125" s="255"/>
      <c r="C125" s="93">
        <f>E125/SUM(E123:E125)</f>
        <v>0</v>
      </c>
      <c r="D125" s="75" t="s">
        <v>2</v>
      </c>
      <c r="E125" s="155">
        <f>IF((E120+E121+E122)=0,0,(E122*$B124)/(E120+E121+E122))</f>
        <v>0</v>
      </c>
      <c r="F125" s="155">
        <f>IF((F120+F121+F122)=0,0,(F122*$B124)/(F120+F121+F122))</f>
        <v>0</v>
      </c>
      <c r="G125" s="155">
        <f t="shared" ref="G125" si="661">IF((G120+G121+G122)=0,0,(G122*$B124)/(G120+G121+G122))</f>
        <v>0</v>
      </c>
      <c r="H125" s="155">
        <f t="shared" ref="H125" si="662">IF((H120+H121+H122)=0,0,(H122*$B124)/(H120+H121+H122))</f>
        <v>0</v>
      </c>
      <c r="I125" s="155">
        <f t="shared" ref="I125" si="663">IF((I120+I121+I122)=0,0,(I122*$B124)/(I120+I121+I122))</f>
        <v>0</v>
      </c>
      <c r="J125" s="155">
        <f t="shared" ref="J125" si="664">IF((J120+J121+J122)=0,0,(J122*$B124)/(J120+J121+J122))</f>
        <v>0</v>
      </c>
      <c r="K125" s="155">
        <f t="shared" ref="K125" si="665">IF((K120+K121+K122)=0,0,(K122*$B124)/(K120+K121+K122))</f>
        <v>0</v>
      </c>
      <c r="L125" s="155">
        <f t="shared" ref="L125" si="666">IF((L120+L121+L122)=0,0,(L122*$B124)/(L120+L121+L122))</f>
        <v>0</v>
      </c>
      <c r="M125" s="155">
        <f t="shared" ref="M125" si="667">IF((M120+M121+M122)=0,0,(M122*$B124)/(M120+M121+M122))</f>
        <v>0</v>
      </c>
      <c r="N125" s="155">
        <f t="shared" ref="N125" si="668">IF((N120+N121+N122)=0,0,(N122*$B124)/(N120+N121+N122))</f>
        <v>0</v>
      </c>
      <c r="O125" s="155">
        <f t="shared" ref="O125" si="669">IF((O120+O121+O122)=0,0,(O122*$B124)/(O120+O121+O122))</f>
        <v>0</v>
      </c>
      <c r="P125" s="155">
        <f t="shared" ref="P125" si="670">IF((P120+P121+P122)=0,0,(P122*$B124)/(P120+P121+P122))</f>
        <v>0</v>
      </c>
      <c r="Q125" s="155">
        <f t="shared" ref="Q125" si="671">IF((Q120+Q121+Q122)=0,0,(Q122*$B124)/(Q120+Q121+Q122))</f>
        <v>0</v>
      </c>
      <c r="R125" s="155">
        <f t="shared" ref="R125" si="672">IF((R120+R121+R122)=0,0,(R122*$B124)/(R120+R121+R122))</f>
        <v>0</v>
      </c>
      <c r="S125" s="155">
        <f t="shared" ref="S125" si="673">IF((S120+S121+S122)=0,0,(S122*$B124)/(S120+S121+S122))</f>
        <v>0</v>
      </c>
      <c r="T125" s="155">
        <f t="shared" ref="T125" si="674">IF((T120+T121+T122)=0,0,(T122*$B124)/(T120+T121+T122))</f>
        <v>0</v>
      </c>
      <c r="U125" s="155">
        <f t="shared" ref="U125" si="675">IF((U120+U121+U122)=0,0,(U122*$B124)/(U120+U121+U122))</f>
        <v>0</v>
      </c>
      <c r="V125" s="155">
        <f t="shared" ref="V125" si="676">IF((V120+V121+V122)=0,0,(V122*$B124)/(V120+V121+V122))</f>
        <v>0</v>
      </c>
      <c r="W125" s="155">
        <f t="shared" ref="W125" si="677">IF((W120+W121+W122)=0,0,(W122*$B124)/(W120+W121+W122))</f>
        <v>0</v>
      </c>
      <c r="X125" s="155">
        <f t="shared" ref="X125" si="678">IF((X120+X121+X122)=0,0,(X122*$B124)/(X120+X121+X122))</f>
        <v>0</v>
      </c>
      <c r="Y125" s="160">
        <f t="shared" ref="Y125" si="679">IF((Y120+Y121+Y122)=0,0,(Y122*$B124)/(Y120+Y121+Y122))</f>
        <v>0</v>
      </c>
    </row>
    <row r="126" spans="2:25" ht="15" customHeight="1" x14ac:dyDescent="0.2">
      <c r="B126" s="250" t="s">
        <v>51</v>
      </c>
      <c r="C126" s="91">
        <f>E126/SUM(E126:E128)</f>
        <v>0.59024390243902436</v>
      </c>
      <c r="D126" s="67" t="s">
        <v>0</v>
      </c>
      <c r="E126" s="68">
        <f t="shared" si="551"/>
        <v>121</v>
      </c>
      <c r="F126" s="68">
        <f>SUMIFS([0]!Chavez,[0]!Centro,$B128,[0]!Turno,F$101)</f>
        <v>24</v>
      </c>
      <c r="G126" s="68">
        <f>SUMIFS([0]!Chavez,[0]!Centro,$B128,[0]!Turno,G$101)</f>
        <v>25</v>
      </c>
      <c r="H126" s="68">
        <f>SUMIFS([0]!Chavez,[0]!Centro,$B128,[0]!Turno,H$101)</f>
        <v>25</v>
      </c>
      <c r="I126" s="68">
        <f>SUMIFS([0]!Chavez,[0]!Centro,$B128,[0]!Turno,I$101)</f>
        <v>15</v>
      </c>
      <c r="J126" s="68">
        <f>SUMIFS([0]!Chavez,[0]!Centro,$B128,[0]!Turno,J$101)</f>
        <v>11</v>
      </c>
      <c r="K126" s="68">
        <f>SUMIFS([0]!Chavez,[0]!Centro,$B128,[0]!Turno,K$101)</f>
        <v>3</v>
      </c>
      <c r="L126" s="68">
        <f>SUMIFS([0]!Chavez,[0]!Centro,$B128,[0]!Turno,L$101)</f>
        <v>0</v>
      </c>
      <c r="M126" s="68">
        <f>SUMIFS([0]!Chavez,[0]!Centro,$B128,[0]!Turno,M$101)</f>
        <v>10</v>
      </c>
      <c r="N126" s="68">
        <f>SUMIFS([0]!Chavez,[0]!Centro,$B128,[0]!Turno,N$101)</f>
        <v>8</v>
      </c>
      <c r="O126" s="68">
        <f>SUMIFS([0]!Chavez,[0]!Centro,$B128,[0]!Turno,O$101)</f>
        <v>0</v>
      </c>
      <c r="P126" s="68">
        <f>SUMIFS([0]!Chavez,[0]!Centro,$B128,[0]!Turno,P$101)</f>
        <v>0</v>
      </c>
      <c r="Q126" s="68">
        <f>SUMIFS([0]!Chavez,[0]!Centro,$B128,[0]!Turno,Q$101)</f>
        <v>0</v>
      </c>
      <c r="R126" s="68">
        <f>SUMIFS([0]!Chavez,[0]!Centro,$B128,[0]!Turno,R$101)</f>
        <v>0</v>
      </c>
      <c r="S126" s="68">
        <f>SUMIFS([0]!Chavez,[0]!Centro,$B128,[0]!Turno,S$101)</f>
        <v>0</v>
      </c>
      <c r="T126" s="68">
        <f>SUMIFS([0]!Chavez,[0]!Centro,$B128,[0]!Turno,T$101)</f>
        <v>0</v>
      </c>
      <c r="U126" s="68">
        <f>SUMIFS([0]!Chavez,[0]!Centro,$B128,[0]!Turno,U$101)</f>
        <v>0</v>
      </c>
      <c r="V126" s="68">
        <f>SUMIFS([0]!Chavez,[0]!Centro,$B128,[0]!Turno,V$101)</f>
        <v>0</v>
      </c>
      <c r="W126" s="68">
        <f>SUMIFS([0]!Chavez,[0]!Centro,$B128,[0]!Turno,W$101)</f>
        <v>0</v>
      </c>
      <c r="X126" s="68">
        <f>SUMIFS([0]!Chavez,[0]!Centro,$B128,[0]!Turno,X$101)</f>
        <v>0</v>
      </c>
      <c r="Y126" s="69">
        <f>SUMIFS([0]!Chavez,[0]!Centro,$B128,[0]!Turno,Y$101)</f>
        <v>0</v>
      </c>
    </row>
    <row r="127" spans="2:25" ht="15" customHeight="1" x14ac:dyDescent="0.2">
      <c r="B127" s="250"/>
      <c r="C127" s="92">
        <f>E127/SUM(E126:E128)</f>
        <v>0.40487804878048783</v>
      </c>
      <c r="D127" s="61" t="s">
        <v>1</v>
      </c>
      <c r="E127" s="62">
        <f t="shared" si="551"/>
        <v>83</v>
      </c>
      <c r="F127" s="62">
        <f>SUMIFS([0]!Capriles,[0]!Centro,$B128,[0]!Turno,F$101)</f>
        <v>16</v>
      </c>
      <c r="G127" s="62">
        <f>SUMIFS([0]!Capriles,[0]!Centro,$B128,[0]!Turno,G$101)</f>
        <v>15</v>
      </c>
      <c r="H127" s="62">
        <f>SUMIFS([0]!Capriles,[0]!Centro,$B128,[0]!Turno,H$101)</f>
        <v>21</v>
      </c>
      <c r="I127" s="62">
        <f>SUMIFS([0]!Capriles,[0]!Centro,$B128,[0]!Turno,I$101)</f>
        <v>2</v>
      </c>
      <c r="J127" s="62">
        <f>SUMIFS([0]!Capriles,[0]!Centro,$B128,[0]!Turno,J$101)</f>
        <v>10</v>
      </c>
      <c r="K127" s="62">
        <f>SUMIFS([0]!Capriles,[0]!Centro,$B128,[0]!Turno,K$101)</f>
        <v>4</v>
      </c>
      <c r="L127" s="62">
        <f>SUMIFS([0]!Capriles,[0]!Centro,$B128,[0]!Turno,L$101)</f>
        <v>0</v>
      </c>
      <c r="M127" s="62">
        <f>SUMIFS([0]!Capriles,[0]!Centro,$B128,[0]!Turno,M$101)</f>
        <v>8</v>
      </c>
      <c r="N127" s="62">
        <f>SUMIFS([0]!Capriles,[0]!Centro,$B128,[0]!Turno,N$101)</f>
        <v>7</v>
      </c>
      <c r="O127" s="62">
        <f>SUMIFS([0]!Capriles,[0]!Centro,$B128,[0]!Turno,O$101)</f>
        <v>0</v>
      </c>
      <c r="P127" s="62">
        <f>SUMIFS([0]!Capriles,[0]!Centro,$B128,[0]!Turno,P$101)</f>
        <v>0</v>
      </c>
      <c r="Q127" s="62">
        <f>SUMIFS([0]!Capriles,[0]!Centro,$B128,[0]!Turno,Q$101)</f>
        <v>0</v>
      </c>
      <c r="R127" s="62">
        <f>SUMIFS([0]!Capriles,[0]!Centro,$B128,[0]!Turno,R$101)</f>
        <v>0</v>
      </c>
      <c r="S127" s="62">
        <f>SUMIFS([0]!Capriles,[0]!Centro,$B128,[0]!Turno,S$101)</f>
        <v>0</v>
      </c>
      <c r="T127" s="62">
        <f>SUMIFS([0]!Capriles,[0]!Centro,$B128,[0]!Turno,T$101)</f>
        <v>0</v>
      </c>
      <c r="U127" s="62">
        <f>SUMIFS([0]!Capriles,[0]!Centro,$B128,[0]!Turno,U$101)</f>
        <v>0</v>
      </c>
      <c r="V127" s="62">
        <f>SUMIFS([0]!Capriles,[0]!Centro,$B128,[0]!Turno,V$101)</f>
        <v>0</v>
      </c>
      <c r="W127" s="62">
        <f>SUMIFS([0]!Capriles,[0]!Centro,$B128,[0]!Turno,W$101)</f>
        <v>0</v>
      </c>
      <c r="X127" s="62">
        <f>SUMIFS([0]!Capriles,[0]!Centro,$B128,[0]!Turno,X$101)</f>
        <v>0</v>
      </c>
      <c r="Y127" s="70">
        <f>SUMIFS([0]!Capriles,[0]!Centro,$B128,[0]!Turno,Y$101)</f>
        <v>0</v>
      </c>
    </row>
    <row r="128" spans="2:25" ht="15" customHeight="1" thickBot="1" x14ac:dyDescent="0.25">
      <c r="B128" s="261">
        <v>35</v>
      </c>
      <c r="C128" s="100">
        <f>E128/SUM(E126:E128)</f>
        <v>4.8780487804878049E-3</v>
      </c>
      <c r="D128" s="71" t="s">
        <v>2</v>
      </c>
      <c r="E128" s="72">
        <f t="shared" si="551"/>
        <v>1</v>
      </c>
      <c r="F128" s="72">
        <f>SUMIFS([0]!Otro,[0]!Centro,$B128,[0]!Turno,F$101)</f>
        <v>0</v>
      </c>
      <c r="G128" s="72">
        <f>SUMIFS([0]!Otro,[0]!Centro,$B128,[0]!Turno,G$101)</f>
        <v>0</v>
      </c>
      <c r="H128" s="72">
        <f>SUMIFS([0]!Otro,[0]!Centro,$B128,[0]!Turno,H$101)</f>
        <v>0</v>
      </c>
      <c r="I128" s="72">
        <f>SUMIFS([0]!Otro,[0]!Centro,$B128,[0]!Turno,I$101)</f>
        <v>1</v>
      </c>
      <c r="J128" s="72">
        <f>SUMIFS([0]!Otro,[0]!Centro,$B128,[0]!Turno,J$101)</f>
        <v>0</v>
      </c>
      <c r="K128" s="72">
        <f>SUMIFS([0]!Otro,[0]!Centro,$B128,[0]!Turno,K$101)</f>
        <v>0</v>
      </c>
      <c r="L128" s="72">
        <f>SUMIFS([0]!Otro,[0]!Centro,$B128,[0]!Turno,L$101)</f>
        <v>0</v>
      </c>
      <c r="M128" s="72">
        <f>SUMIFS([0]!Otro,[0]!Centro,$B128,[0]!Turno,M$101)</f>
        <v>0</v>
      </c>
      <c r="N128" s="72">
        <f>SUMIFS([0]!Otro,[0]!Centro,$B128,[0]!Turno,N$101)</f>
        <v>0</v>
      </c>
      <c r="O128" s="72">
        <f>SUMIFS([0]!Otro,[0]!Centro,$B128,[0]!Turno,O$101)</f>
        <v>0</v>
      </c>
      <c r="P128" s="72">
        <f>SUMIFS([0]!Otro,[0]!Centro,$B128,[0]!Turno,P$101)</f>
        <v>0</v>
      </c>
      <c r="Q128" s="72">
        <f>SUMIFS([0]!Otro,[0]!Centro,$B128,[0]!Turno,Q$101)</f>
        <v>0</v>
      </c>
      <c r="R128" s="72">
        <f>SUMIFS([0]!Otro,[0]!Centro,$B128,[0]!Turno,R$101)</f>
        <v>0</v>
      </c>
      <c r="S128" s="72">
        <f>SUMIFS([0]!Otro,[0]!Centro,$B128,[0]!Turno,S$101)</f>
        <v>0</v>
      </c>
      <c r="T128" s="72">
        <f>SUMIFS([0]!Otro,[0]!Centro,$B128,[0]!Turno,T$101)</f>
        <v>0</v>
      </c>
      <c r="U128" s="72">
        <f>SUMIFS([0]!Otro,[0]!Centro,$B128,[0]!Turno,U$101)</f>
        <v>0</v>
      </c>
      <c r="V128" s="72">
        <f>SUMIFS([0]!Otro,[0]!Centro,$B128,[0]!Turno,V$101)</f>
        <v>0</v>
      </c>
      <c r="W128" s="72">
        <f>SUMIFS([0]!Otro,[0]!Centro,$B128,[0]!Turno,W$101)</f>
        <v>0</v>
      </c>
      <c r="X128" s="72">
        <f>SUMIFS([0]!Otro,[0]!Centro,$B128,[0]!Turno,X$101)</f>
        <v>0</v>
      </c>
      <c r="Y128" s="73">
        <f>SUMIFS([0]!Otro,[0]!Centro,$B128,[0]!Turno,Y$101)</f>
        <v>0</v>
      </c>
    </row>
    <row r="129" spans="2:25" ht="15" customHeight="1" x14ac:dyDescent="0.2">
      <c r="B129" s="261"/>
      <c r="C129" s="94">
        <f>E129/SUM(E129:E131)</f>
        <v>0.59024390243902436</v>
      </c>
      <c r="D129" s="63" t="s">
        <v>0</v>
      </c>
      <c r="E129" s="150">
        <f>IF((E126+E127+E128)=0,0,(E126*$B130)/(E126+E127+E128))</f>
        <v>1.8181030530828386E-2</v>
      </c>
      <c r="F129" s="150">
        <f>IF((F126+F127+F128)=0,0,(F126*$B130)/(F126+F127+F128))</f>
        <v>1.8481543432164391E-2</v>
      </c>
      <c r="G129" s="150">
        <f t="shared" ref="G129" si="680">IF((G126+G127+G128)=0,0,(G126*$B130)/(G126+G127+G128))</f>
        <v>1.9251607741837908E-2</v>
      </c>
      <c r="H129" s="150">
        <f t="shared" ref="H129" si="681">IF((H126+H127+H128)=0,0,(H126*$B130)/(H126+H127+H128))</f>
        <v>1.6740528471163398E-2</v>
      </c>
      <c r="I129" s="150">
        <f t="shared" ref="I129" si="682">IF((I126+I127+I128)=0,0,(I126*$B130)/(I126+I127+I128))</f>
        <v>2.5668810322450539E-2</v>
      </c>
      <c r="J129" s="150">
        <f t="shared" ref="J129" si="683">IF((J126+J127+J128)=0,0,(J126*$B130)/(J126+J127+J128))</f>
        <v>1.613468077411177E-2</v>
      </c>
      <c r="K129" s="150">
        <f t="shared" ref="K129" si="684">IF((K126+K127+K128)=0,0,(K126*$B130)/(K126+K127+K128))</f>
        <v>1.3201102451545993E-2</v>
      </c>
      <c r="L129" s="150">
        <f t="shared" ref="L129" si="685">IF((L126+L127+L128)=0,0,(L126*$B130)/(L126+L127+L128))</f>
        <v>0</v>
      </c>
      <c r="M129" s="150">
        <f t="shared" ref="M129" si="686">IF((M126+M127+M128)=0,0,(M126*$B130)/(M126+M127+M128))</f>
        <v>1.7112540214967029E-2</v>
      </c>
      <c r="N129" s="150">
        <f t="shared" ref="N129" si="687">IF((N126+N127+N128)=0,0,(N126*$B130)/(N126+N127+N128))</f>
        <v>1.6428038606368347E-2</v>
      </c>
      <c r="O129" s="150">
        <f t="shared" ref="O129" si="688">IF((O126+O127+O128)=0,0,(O126*$B130)/(O126+O127+O128))</f>
        <v>0</v>
      </c>
      <c r="P129" s="150">
        <f t="shared" ref="P129" si="689">IF((P126+P127+P128)=0,0,(P126*$B130)/(P126+P127+P128))</f>
        <v>0</v>
      </c>
      <c r="Q129" s="150">
        <f t="shared" ref="Q129" si="690">IF((Q126+Q127+Q128)=0,0,(Q126*$B130)/(Q126+Q127+Q128))</f>
        <v>0</v>
      </c>
      <c r="R129" s="150">
        <f t="shared" ref="R129" si="691">IF((R126+R127+R128)=0,0,(R126*$B130)/(R126+R127+R128))</f>
        <v>0</v>
      </c>
      <c r="S129" s="150">
        <f t="shared" ref="S129" si="692">IF((S126+S127+S128)=0,0,(S126*$B130)/(S126+S127+S128))</f>
        <v>0</v>
      </c>
      <c r="T129" s="150">
        <f t="shared" ref="T129" si="693">IF((T126+T127+T128)=0,0,(T126*$B130)/(T126+T127+T128))</f>
        <v>0</v>
      </c>
      <c r="U129" s="150">
        <f t="shared" ref="U129" si="694">IF((U126+U127+U128)=0,0,(U126*$B130)/(U126+U127+U128))</f>
        <v>0</v>
      </c>
      <c r="V129" s="150">
        <f t="shared" ref="V129" si="695">IF((V126+V127+V128)=0,0,(V126*$B130)/(V126+V127+V128))</f>
        <v>0</v>
      </c>
      <c r="W129" s="150">
        <f t="shared" ref="W129" si="696">IF((W126+W127+W128)=0,0,(W126*$B130)/(W126+W127+W128))</f>
        <v>0</v>
      </c>
      <c r="X129" s="150">
        <f t="shared" ref="X129" si="697">IF((X126+X127+X128)=0,0,(X126*$B130)/(X126+X127+X128))</f>
        <v>0</v>
      </c>
      <c r="Y129" s="163">
        <f t="shared" ref="Y129" si="698">IF((Y126+Y127+Y128)=0,0,(Y126*$B130)/(Y126+Y127+Y128))</f>
        <v>0</v>
      </c>
    </row>
    <row r="130" spans="2:25" ht="15" customHeight="1" x14ac:dyDescent="0.2">
      <c r="B130" s="254">
        <v>3.080257238694065E-2</v>
      </c>
      <c r="C130" s="92">
        <f>E130/SUM(E129:E131)</f>
        <v>0.40487804878048778</v>
      </c>
      <c r="D130" s="61" t="s">
        <v>1</v>
      </c>
      <c r="E130" s="154">
        <f>IF((E126+E127+E128)=0,0,(E127*$B130)/(E126+E127+E128))</f>
        <v>1.2471285405444264E-2</v>
      </c>
      <c r="F130" s="154">
        <f>IF((F126+F127+F128)=0,0,(F127*$B130)/(F126+F127+F128))</f>
        <v>1.2321028954776259E-2</v>
      </c>
      <c r="G130" s="154">
        <f t="shared" ref="G130:O130" si="699">IF((G126+G127+G128)=0,0,(G127*$B130)/(G126+G127+G128))</f>
        <v>1.1550964645102742E-2</v>
      </c>
      <c r="H130" s="154">
        <f t="shared" si="699"/>
        <v>1.4062043915777254E-2</v>
      </c>
      <c r="I130" s="154">
        <f t="shared" si="699"/>
        <v>3.4225080429934056E-3</v>
      </c>
      <c r="J130" s="154">
        <f t="shared" si="699"/>
        <v>1.4667891612828882E-2</v>
      </c>
      <c r="K130" s="154">
        <f t="shared" si="699"/>
        <v>1.7601469935394656E-2</v>
      </c>
      <c r="L130" s="154">
        <f t="shared" si="699"/>
        <v>0</v>
      </c>
      <c r="M130" s="154">
        <f t="shared" si="699"/>
        <v>1.3690032171973622E-2</v>
      </c>
      <c r="N130" s="154">
        <f t="shared" si="699"/>
        <v>1.4374533780572303E-2</v>
      </c>
      <c r="O130" s="154">
        <f t="shared" si="699"/>
        <v>0</v>
      </c>
      <c r="P130" s="154">
        <f>IF((P126+P127+P128)=0,0,(P127*$B130)/(P126+P127+P128))</f>
        <v>0</v>
      </c>
      <c r="Q130" s="154">
        <f t="shared" ref="Q130:Y130" si="700">IF((Q126+Q127+Q128)=0,0,(Q127*$B130)/(Q126+Q127+Q128))</f>
        <v>0</v>
      </c>
      <c r="R130" s="154">
        <f t="shared" si="700"/>
        <v>0</v>
      </c>
      <c r="S130" s="154">
        <f t="shared" si="700"/>
        <v>0</v>
      </c>
      <c r="T130" s="154">
        <f t="shared" si="700"/>
        <v>0</v>
      </c>
      <c r="U130" s="154">
        <f t="shared" si="700"/>
        <v>0</v>
      </c>
      <c r="V130" s="154">
        <f t="shared" si="700"/>
        <v>0</v>
      </c>
      <c r="W130" s="154">
        <f t="shared" si="700"/>
        <v>0</v>
      </c>
      <c r="X130" s="154">
        <f t="shared" si="700"/>
        <v>0</v>
      </c>
      <c r="Y130" s="159">
        <f t="shared" si="700"/>
        <v>0</v>
      </c>
    </row>
    <row r="131" spans="2:25" ht="15" customHeight="1" thickBot="1" x14ac:dyDescent="0.25">
      <c r="B131" s="255"/>
      <c r="C131" s="93">
        <f>E131/SUM(E129:E131)</f>
        <v>4.878048780487804E-3</v>
      </c>
      <c r="D131" s="75" t="s">
        <v>2</v>
      </c>
      <c r="E131" s="155">
        <f>IF((E126+E127+E128)=0,0,(E128*$B130)/(E126+E127+E128))</f>
        <v>1.5025645066800317E-4</v>
      </c>
      <c r="F131" s="155">
        <f>IF((F126+F127+F128)=0,0,(F128*$B130)/(F126+F127+F128))</f>
        <v>0</v>
      </c>
      <c r="G131" s="155">
        <f t="shared" ref="G131" si="701">IF((G126+G127+G128)=0,0,(G128*$B130)/(G126+G127+G128))</f>
        <v>0</v>
      </c>
      <c r="H131" s="155">
        <f t="shared" ref="H131" si="702">IF((H126+H127+H128)=0,0,(H128*$B130)/(H126+H127+H128))</f>
        <v>0</v>
      </c>
      <c r="I131" s="155">
        <f t="shared" ref="I131" si="703">IF((I126+I127+I128)=0,0,(I128*$B130)/(I126+I127+I128))</f>
        <v>1.7112540214967028E-3</v>
      </c>
      <c r="J131" s="155">
        <f t="shared" ref="J131" si="704">IF((J126+J127+J128)=0,0,(J128*$B130)/(J126+J127+J128))</f>
        <v>0</v>
      </c>
      <c r="K131" s="155">
        <f t="shared" ref="K131" si="705">IF((K126+K127+K128)=0,0,(K128*$B130)/(K126+K127+K128))</f>
        <v>0</v>
      </c>
      <c r="L131" s="155">
        <f t="shared" ref="L131" si="706">IF((L126+L127+L128)=0,0,(L128*$B130)/(L126+L127+L128))</f>
        <v>0</v>
      </c>
      <c r="M131" s="155">
        <f t="shared" ref="M131" si="707">IF((M126+M127+M128)=0,0,(M128*$B130)/(M126+M127+M128))</f>
        <v>0</v>
      </c>
      <c r="N131" s="155">
        <f t="shared" ref="N131" si="708">IF((N126+N127+N128)=0,0,(N128*$B130)/(N126+N127+N128))</f>
        <v>0</v>
      </c>
      <c r="O131" s="155">
        <f t="shared" ref="O131" si="709">IF((O126+O127+O128)=0,0,(O128*$B130)/(O126+O127+O128))</f>
        <v>0</v>
      </c>
      <c r="P131" s="155">
        <f t="shared" ref="P131" si="710">IF((P126+P127+P128)=0,0,(P128*$B130)/(P126+P127+P128))</f>
        <v>0</v>
      </c>
      <c r="Q131" s="155">
        <f t="shared" ref="Q131" si="711">IF((Q126+Q127+Q128)=0,0,(Q128*$B130)/(Q126+Q127+Q128))</f>
        <v>0</v>
      </c>
      <c r="R131" s="155">
        <f t="shared" ref="R131" si="712">IF((R126+R127+R128)=0,0,(R128*$B130)/(R126+R127+R128))</f>
        <v>0</v>
      </c>
      <c r="S131" s="155">
        <f t="shared" ref="S131" si="713">IF((S126+S127+S128)=0,0,(S128*$B130)/(S126+S127+S128))</f>
        <v>0</v>
      </c>
      <c r="T131" s="155">
        <f t="shared" ref="T131" si="714">IF((T126+T127+T128)=0,0,(T128*$B130)/(T126+T127+T128))</f>
        <v>0</v>
      </c>
      <c r="U131" s="155">
        <f t="shared" ref="U131" si="715">IF((U126+U127+U128)=0,0,(U128*$B130)/(U126+U127+U128))</f>
        <v>0</v>
      </c>
      <c r="V131" s="155">
        <f t="shared" ref="V131" si="716">IF((V126+V127+V128)=0,0,(V128*$B130)/(V126+V127+V128))</f>
        <v>0</v>
      </c>
      <c r="W131" s="155">
        <f t="shared" ref="W131" si="717">IF((W126+W127+W128)=0,0,(W128*$B130)/(W126+W127+W128))</f>
        <v>0</v>
      </c>
      <c r="X131" s="155">
        <f t="shared" ref="X131" si="718">IF((X126+X127+X128)=0,0,(X128*$B130)/(X126+X127+X128))</f>
        <v>0</v>
      </c>
      <c r="Y131" s="160">
        <f t="shared" ref="Y131" si="719">IF((Y126+Y127+Y128)=0,0,(Y128*$B130)/(Y126+Y127+Y128))</f>
        <v>0</v>
      </c>
    </row>
    <row r="132" spans="2:25" ht="15" customHeight="1" x14ac:dyDescent="0.2">
      <c r="B132" s="250" t="s">
        <v>52</v>
      </c>
      <c r="C132" s="91">
        <f>E132/SUM(E132:E134)</f>
        <v>0.48623853211009177</v>
      </c>
      <c r="D132" s="67" t="s">
        <v>0</v>
      </c>
      <c r="E132" s="68">
        <f t="shared" si="551"/>
        <v>53</v>
      </c>
      <c r="F132" s="68">
        <f>SUMIFS([0]!Chavez,[0]!Centro,$B134,[0]!Turno,F$101)</f>
        <v>0</v>
      </c>
      <c r="G132" s="68">
        <f>SUMIFS([0]!Chavez,[0]!Centro,$B134,[0]!Turno,G$101)</f>
        <v>12</v>
      </c>
      <c r="H132" s="68">
        <f>SUMIFS([0]!Chavez,[0]!Centro,$B134,[0]!Turno,H$101)</f>
        <v>10</v>
      </c>
      <c r="I132" s="68">
        <f>SUMIFS([0]!Chavez,[0]!Centro,$B134,[0]!Turno,I$101)</f>
        <v>0</v>
      </c>
      <c r="J132" s="68">
        <f>SUMIFS([0]!Chavez,[0]!Centro,$B134,[0]!Turno,J$101)</f>
        <v>12</v>
      </c>
      <c r="K132" s="68">
        <f>SUMIFS([0]!Chavez,[0]!Centro,$B134,[0]!Turno,K$101)</f>
        <v>0</v>
      </c>
      <c r="L132" s="68">
        <f>SUMIFS([0]!Chavez,[0]!Centro,$B134,[0]!Turno,L$101)</f>
        <v>0</v>
      </c>
      <c r="M132" s="68">
        <f>SUMIFS([0]!Chavez,[0]!Centro,$B134,[0]!Turno,M$101)</f>
        <v>13</v>
      </c>
      <c r="N132" s="68">
        <f>SUMIFS([0]!Chavez,[0]!Centro,$B134,[0]!Turno,N$101)</f>
        <v>0</v>
      </c>
      <c r="O132" s="68">
        <f>SUMIFS([0]!Chavez,[0]!Centro,$B134,[0]!Turno,O$101)</f>
        <v>6</v>
      </c>
      <c r="P132" s="68">
        <f>SUMIFS([0]!Chavez,[0]!Centro,$B134,[0]!Turno,P$101)</f>
        <v>0</v>
      </c>
      <c r="Q132" s="68">
        <f>SUMIFS([0]!Chavez,[0]!Centro,$B134,[0]!Turno,Q$101)</f>
        <v>0</v>
      </c>
      <c r="R132" s="68">
        <f>SUMIFS([0]!Chavez,[0]!Centro,$B134,[0]!Turno,R$101)</f>
        <v>0</v>
      </c>
      <c r="S132" s="68">
        <f>SUMIFS([0]!Chavez,[0]!Centro,$B134,[0]!Turno,S$101)</f>
        <v>0</v>
      </c>
      <c r="T132" s="68">
        <f>SUMIFS([0]!Chavez,[0]!Centro,$B134,[0]!Turno,T$101)</f>
        <v>0</v>
      </c>
      <c r="U132" s="68">
        <f>SUMIFS([0]!Chavez,[0]!Centro,$B134,[0]!Turno,U$101)</f>
        <v>0</v>
      </c>
      <c r="V132" s="68">
        <f>SUMIFS([0]!Chavez,[0]!Centro,$B134,[0]!Turno,V$101)</f>
        <v>0</v>
      </c>
      <c r="W132" s="68">
        <f>SUMIFS([0]!Chavez,[0]!Centro,$B134,[0]!Turno,W$101)</f>
        <v>0</v>
      </c>
      <c r="X132" s="68">
        <f>SUMIFS([0]!Chavez,[0]!Centro,$B134,[0]!Turno,X$101)</f>
        <v>0</v>
      </c>
      <c r="Y132" s="69">
        <f>SUMIFS([0]!Chavez,[0]!Centro,$B134,[0]!Turno,Y$101)</f>
        <v>0</v>
      </c>
    </row>
    <row r="133" spans="2:25" ht="15" customHeight="1" x14ac:dyDescent="0.2">
      <c r="B133" s="250"/>
      <c r="C133" s="92">
        <f>E133/SUM(E132:E134)</f>
        <v>0.51376146788990829</v>
      </c>
      <c r="D133" s="61" t="s">
        <v>1</v>
      </c>
      <c r="E133" s="62">
        <f t="shared" si="551"/>
        <v>56</v>
      </c>
      <c r="F133" s="62">
        <f>SUMIFS([0]!Capriles,[0]!Centro,$B134,[0]!Turno,F$101)</f>
        <v>0</v>
      </c>
      <c r="G133" s="62">
        <f>SUMIFS([0]!Capriles,[0]!Centro,$B134,[0]!Turno,G$101)</f>
        <v>8</v>
      </c>
      <c r="H133" s="62">
        <f>SUMIFS([0]!Capriles,[0]!Centro,$B134,[0]!Turno,H$101)</f>
        <v>10</v>
      </c>
      <c r="I133" s="62">
        <f>SUMIFS([0]!Capriles,[0]!Centro,$B134,[0]!Turno,I$101)</f>
        <v>16</v>
      </c>
      <c r="J133" s="62">
        <f>SUMIFS([0]!Capriles,[0]!Centro,$B134,[0]!Turno,J$101)</f>
        <v>8</v>
      </c>
      <c r="K133" s="62">
        <f>SUMIFS([0]!Capriles,[0]!Centro,$B134,[0]!Turno,K$101)</f>
        <v>0</v>
      </c>
      <c r="L133" s="62">
        <f>SUMIFS([0]!Capriles,[0]!Centro,$B134,[0]!Turno,L$101)</f>
        <v>0</v>
      </c>
      <c r="M133" s="62">
        <f>SUMIFS([0]!Capriles,[0]!Centro,$B134,[0]!Turno,M$101)</f>
        <v>7</v>
      </c>
      <c r="N133" s="62">
        <f>SUMIFS([0]!Capriles,[0]!Centro,$B134,[0]!Turno,N$101)</f>
        <v>0</v>
      </c>
      <c r="O133" s="62">
        <f>SUMIFS([0]!Capriles,[0]!Centro,$B134,[0]!Turno,O$101)</f>
        <v>7</v>
      </c>
      <c r="P133" s="62">
        <f>SUMIFS([0]!Capriles,[0]!Centro,$B134,[0]!Turno,P$101)</f>
        <v>0</v>
      </c>
      <c r="Q133" s="62">
        <f>SUMIFS([0]!Capriles,[0]!Centro,$B134,[0]!Turno,Q$101)</f>
        <v>0</v>
      </c>
      <c r="R133" s="62">
        <f>SUMIFS([0]!Capriles,[0]!Centro,$B134,[0]!Turno,R$101)</f>
        <v>0</v>
      </c>
      <c r="S133" s="62">
        <f>SUMIFS([0]!Capriles,[0]!Centro,$B134,[0]!Turno,S$101)</f>
        <v>0</v>
      </c>
      <c r="T133" s="62">
        <f>SUMIFS([0]!Capriles,[0]!Centro,$B134,[0]!Turno,T$101)</f>
        <v>0</v>
      </c>
      <c r="U133" s="62">
        <f>SUMIFS([0]!Capriles,[0]!Centro,$B134,[0]!Turno,U$101)</f>
        <v>0</v>
      </c>
      <c r="V133" s="62">
        <f>SUMIFS([0]!Capriles,[0]!Centro,$B134,[0]!Turno,V$101)</f>
        <v>0</v>
      </c>
      <c r="W133" s="62">
        <f>SUMIFS([0]!Capriles,[0]!Centro,$B134,[0]!Turno,W$101)</f>
        <v>0</v>
      </c>
      <c r="X133" s="62">
        <f>SUMIFS([0]!Capriles,[0]!Centro,$B134,[0]!Turno,X$101)</f>
        <v>0</v>
      </c>
      <c r="Y133" s="70">
        <f>SUMIFS([0]!Capriles,[0]!Centro,$B134,[0]!Turno,Y$101)</f>
        <v>0</v>
      </c>
    </row>
    <row r="134" spans="2:25" ht="15" customHeight="1" thickBot="1" x14ac:dyDescent="0.25">
      <c r="B134" s="261">
        <v>36</v>
      </c>
      <c r="C134" s="100">
        <f>E134/SUM(E132:E134)</f>
        <v>0</v>
      </c>
      <c r="D134" s="71" t="s">
        <v>2</v>
      </c>
      <c r="E134" s="72">
        <f t="shared" si="551"/>
        <v>0</v>
      </c>
      <c r="F134" s="72">
        <f>SUMIFS([0]!Otro,[0]!Centro,$B134,[0]!Turno,F$101)</f>
        <v>0</v>
      </c>
      <c r="G134" s="72">
        <f>SUMIFS([0]!Otro,[0]!Centro,$B134,[0]!Turno,G$101)</f>
        <v>0</v>
      </c>
      <c r="H134" s="72">
        <f>SUMIFS([0]!Otro,[0]!Centro,$B134,[0]!Turno,H$101)</f>
        <v>0</v>
      </c>
      <c r="I134" s="72">
        <f>SUMIFS([0]!Otro,[0]!Centro,$B134,[0]!Turno,I$101)</f>
        <v>0</v>
      </c>
      <c r="J134" s="72">
        <f>SUMIFS([0]!Otro,[0]!Centro,$B134,[0]!Turno,J$101)</f>
        <v>0</v>
      </c>
      <c r="K134" s="72">
        <f>SUMIFS([0]!Otro,[0]!Centro,$B134,[0]!Turno,K$101)</f>
        <v>0</v>
      </c>
      <c r="L134" s="72">
        <f>SUMIFS([0]!Otro,[0]!Centro,$B134,[0]!Turno,L$101)</f>
        <v>0</v>
      </c>
      <c r="M134" s="72">
        <f>SUMIFS([0]!Otro,[0]!Centro,$B134,[0]!Turno,M$101)</f>
        <v>0</v>
      </c>
      <c r="N134" s="72">
        <f>SUMIFS([0]!Otro,[0]!Centro,$B134,[0]!Turno,N$101)</f>
        <v>0</v>
      </c>
      <c r="O134" s="72">
        <f>SUMIFS([0]!Otro,[0]!Centro,$B134,[0]!Turno,O$101)</f>
        <v>0</v>
      </c>
      <c r="P134" s="72">
        <f>SUMIFS([0]!Otro,[0]!Centro,$B134,[0]!Turno,P$101)</f>
        <v>0</v>
      </c>
      <c r="Q134" s="72">
        <f>SUMIFS([0]!Otro,[0]!Centro,$B134,[0]!Turno,Q$101)</f>
        <v>0</v>
      </c>
      <c r="R134" s="72">
        <f>SUMIFS([0]!Otro,[0]!Centro,$B134,[0]!Turno,R$101)</f>
        <v>0</v>
      </c>
      <c r="S134" s="72">
        <f>SUMIFS([0]!Otro,[0]!Centro,$B134,[0]!Turno,S$101)</f>
        <v>0</v>
      </c>
      <c r="T134" s="72">
        <f>SUMIFS([0]!Otro,[0]!Centro,$B134,[0]!Turno,T$101)</f>
        <v>0</v>
      </c>
      <c r="U134" s="72">
        <f>SUMIFS([0]!Otro,[0]!Centro,$B134,[0]!Turno,U$101)</f>
        <v>0</v>
      </c>
      <c r="V134" s="72">
        <f>SUMIFS([0]!Otro,[0]!Centro,$B134,[0]!Turno,V$101)</f>
        <v>0</v>
      </c>
      <c r="W134" s="72">
        <f>SUMIFS([0]!Otro,[0]!Centro,$B134,[0]!Turno,W$101)</f>
        <v>0</v>
      </c>
      <c r="X134" s="72">
        <f>SUMIFS([0]!Otro,[0]!Centro,$B134,[0]!Turno,X$101)</f>
        <v>0</v>
      </c>
      <c r="Y134" s="73">
        <f>SUMIFS([0]!Otro,[0]!Centro,$B134,[0]!Turno,Y$101)</f>
        <v>0</v>
      </c>
    </row>
    <row r="135" spans="2:25" ht="15" customHeight="1" x14ac:dyDescent="0.2">
      <c r="B135" s="261"/>
      <c r="C135" s="94">
        <f>E135/SUM(E135:E137)</f>
        <v>0.48623853211009177</v>
      </c>
      <c r="D135" s="63" t="s">
        <v>0</v>
      </c>
      <c r="E135" s="150">
        <f>IF((E132+E133+E134)=0,0,(E132*$B136)/(E132+E133+E134))</f>
        <v>2.9097934746659917E-2</v>
      </c>
      <c r="F135" s="150">
        <f>IF((F132+F133+F134)=0,0,(F132*$B136)/(F132+F133+F134))</f>
        <v>0</v>
      </c>
      <c r="G135" s="150">
        <f t="shared" ref="G135" si="720">IF((G132+G133+G134)=0,0,(G132*$B136)/(G132+G133+G134))</f>
        <v>3.5905753442104879E-2</v>
      </c>
      <c r="H135" s="150">
        <f t="shared" ref="H135" si="721">IF((H132+H133+H134)=0,0,(H132*$B136)/(H132+H133+H134))</f>
        <v>2.9921461201754061E-2</v>
      </c>
      <c r="I135" s="150">
        <f t="shared" ref="I135" si="722">IF((I132+I133+I134)=0,0,(I132*$B136)/(I132+I133+I134))</f>
        <v>0</v>
      </c>
      <c r="J135" s="150">
        <f t="shared" ref="J135" si="723">IF((J132+J133+J134)=0,0,(J132*$B136)/(J132+J133+J134))</f>
        <v>3.5905753442104879E-2</v>
      </c>
      <c r="K135" s="150">
        <f t="shared" ref="K135" si="724">IF((K132+K133+K134)=0,0,(K132*$B136)/(K132+K133+K134))</f>
        <v>0</v>
      </c>
      <c r="L135" s="150">
        <f t="shared" ref="L135" si="725">IF((L132+L133+L134)=0,0,(L132*$B136)/(L132+L133+L134))</f>
        <v>0</v>
      </c>
      <c r="M135" s="150">
        <f t="shared" ref="M135" si="726">IF((M132+M133+M134)=0,0,(M132*$B136)/(M132+M133+M134))</f>
        <v>3.8897899562280285E-2</v>
      </c>
      <c r="N135" s="150">
        <f t="shared" ref="N135" si="727">IF((N132+N133+N134)=0,0,(N132*$B136)/(N132+N133+N134))</f>
        <v>0</v>
      </c>
      <c r="O135" s="150">
        <f t="shared" ref="O135" si="728">IF((O132+O133+O134)=0,0,(O132*$B136)/(O132+O133+O134))</f>
        <v>2.7619810340080674E-2</v>
      </c>
      <c r="P135" s="150">
        <f t="shared" ref="P135" si="729">IF((P132+P133+P134)=0,0,(P132*$B136)/(P132+P133+P134))</f>
        <v>0</v>
      </c>
      <c r="Q135" s="150">
        <f t="shared" ref="Q135" si="730">IF((Q132+Q133+Q134)=0,0,(Q132*$B136)/(Q132+Q133+Q134))</f>
        <v>0</v>
      </c>
      <c r="R135" s="150">
        <f t="shared" ref="R135" si="731">IF((R132+R133+R134)=0,0,(R132*$B136)/(R132+R133+R134))</f>
        <v>0</v>
      </c>
      <c r="S135" s="150">
        <f t="shared" ref="S135" si="732">IF((S132+S133+S134)=0,0,(S132*$B136)/(S132+S133+S134))</f>
        <v>0</v>
      </c>
      <c r="T135" s="150">
        <f t="shared" ref="T135" si="733">IF((T132+T133+T134)=0,0,(T132*$B136)/(T132+T133+T134))</f>
        <v>0</v>
      </c>
      <c r="U135" s="150">
        <f t="shared" ref="U135" si="734">IF((U132+U133+U134)=0,0,(U132*$B136)/(U132+U133+U134))</f>
        <v>0</v>
      </c>
      <c r="V135" s="150">
        <f t="shared" ref="V135" si="735">IF((V132+V133+V134)=0,0,(V132*$B136)/(V132+V133+V134))</f>
        <v>0</v>
      </c>
      <c r="W135" s="150">
        <f t="shared" ref="W135" si="736">IF((W132+W133+W134)=0,0,(W132*$B136)/(W132+W133+W134))</f>
        <v>0</v>
      </c>
      <c r="X135" s="150">
        <f t="shared" ref="X135" si="737">IF((X132+X133+X134)=0,0,(X132*$B136)/(X132+X133+X134))</f>
        <v>0</v>
      </c>
      <c r="Y135" s="163">
        <f t="shared" ref="Y135" si="738">IF((Y132+Y133+Y134)=0,0,(Y132*$B136)/(Y132+Y133+Y134))</f>
        <v>0</v>
      </c>
    </row>
    <row r="136" spans="2:25" ht="15" customHeight="1" x14ac:dyDescent="0.2">
      <c r="B136" s="254">
        <v>5.9842922403508129E-2</v>
      </c>
      <c r="C136" s="92">
        <f>E136/SUM(E135:E137)</f>
        <v>0.51376146788990829</v>
      </c>
      <c r="D136" s="61" t="s">
        <v>1</v>
      </c>
      <c r="E136" s="154">
        <f>IF((E132+E133+E134)=0,0,(E133*$B136)/(E132+E133+E134))</f>
        <v>3.0744987656848213E-2</v>
      </c>
      <c r="F136" s="154">
        <f>IF((F132+F133+F134)=0,0,(F133*$B136)/(F132+F133+F134))</f>
        <v>0</v>
      </c>
      <c r="G136" s="154">
        <f t="shared" ref="G136:O136" si="739">IF((G132+G133+G134)=0,0,(G133*$B136)/(G132+G133+G134))</f>
        <v>2.393716896140325E-2</v>
      </c>
      <c r="H136" s="154">
        <f t="shared" si="739"/>
        <v>2.9921461201754061E-2</v>
      </c>
      <c r="I136" s="154">
        <f t="shared" si="739"/>
        <v>5.9842922403508129E-2</v>
      </c>
      <c r="J136" s="154">
        <f t="shared" si="739"/>
        <v>2.393716896140325E-2</v>
      </c>
      <c r="K136" s="154">
        <f t="shared" si="739"/>
        <v>0</v>
      </c>
      <c r="L136" s="154">
        <f t="shared" si="739"/>
        <v>0</v>
      </c>
      <c r="M136" s="154">
        <f t="shared" si="739"/>
        <v>2.0945022841227845E-2</v>
      </c>
      <c r="N136" s="154">
        <f t="shared" si="739"/>
        <v>0</v>
      </c>
      <c r="O136" s="154">
        <f t="shared" si="739"/>
        <v>3.2223112063427456E-2</v>
      </c>
      <c r="P136" s="154">
        <f>IF((P132+P133+P134)=0,0,(P133*$B136)/(P132+P133+P134))</f>
        <v>0</v>
      </c>
      <c r="Q136" s="154">
        <f t="shared" ref="Q136:Y136" si="740">IF((Q132+Q133+Q134)=0,0,(Q133*$B136)/(Q132+Q133+Q134))</f>
        <v>0</v>
      </c>
      <c r="R136" s="154">
        <f t="shared" si="740"/>
        <v>0</v>
      </c>
      <c r="S136" s="154">
        <f t="shared" si="740"/>
        <v>0</v>
      </c>
      <c r="T136" s="154">
        <f>IF((T132+T133+T134)=0,0,(T133*$B136)/(T132+T133+T134))</f>
        <v>0</v>
      </c>
      <c r="U136" s="154">
        <f t="shared" si="740"/>
        <v>0</v>
      </c>
      <c r="V136" s="154">
        <f t="shared" si="740"/>
        <v>0</v>
      </c>
      <c r="W136" s="154">
        <f t="shared" si="740"/>
        <v>0</v>
      </c>
      <c r="X136" s="154">
        <f t="shared" si="740"/>
        <v>0</v>
      </c>
      <c r="Y136" s="159">
        <f t="shared" si="740"/>
        <v>0</v>
      </c>
    </row>
    <row r="137" spans="2:25" ht="15" customHeight="1" thickBot="1" x14ac:dyDescent="0.25">
      <c r="B137" s="255"/>
      <c r="C137" s="93">
        <f>E137/SUM(E135:E137)</f>
        <v>0</v>
      </c>
      <c r="D137" s="75" t="s">
        <v>2</v>
      </c>
      <c r="E137" s="155">
        <f>IF((E132+E133+E134)=0,0,(E134*$B136)/(E132+E133+E134))</f>
        <v>0</v>
      </c>
      <c r="F137" s="155">
        <f>IF((F132+F133+F134)=0,0,(F134*$B136)/(F132+F133+F134))</f>
        <v>0</v>
      </c>
      <c r="G137" s="155">
        <f t="shared" ref="G137" si="741">IF((G132+G133+G134)=0,0,(G134*$B136)/(G132+G133+G134))</f>
        <v>0</v>
      </c>
      <c r="H137" s="155">
        <f t="shared" ref="H137" si="742">IF((H132+H133+H134)=0,0,(H134*$B136)/(H132+H133+H134))</f>
        <v>0</v>
      </c>
      <c r="I137" s="155">
        <f t="shared" ref="I137" si="743">IF((I132+I133+I134)=0,0,(I134*$B136)/(I132+I133+I134))</f>
        <v>0</v>
      </c>
      <c r="J137" s="155">
        <f t="shared" ref="J137" si="744">IF((J132+J133+J134)=0,0,(J134*$B136)/(J132+J133+J134))</f>
        <v>0</v>
      </c>
      <c r="K137" s="155">
        <f t="shared" ref="K137" si="745">IF((K132+K133+K134)=0,0,(K134*$B136)/(K132+K133+K134))</f>
        <v>0</v>
      </c>
      <c r="L137" s="155">
        <f t="shared" ref="L137" si="746">IF((L132+L133+L134)=0,0,(L134*$B136)/(L132+L133+L134))</f>
        <v>0</v>
      </c>
      <c r="M137" s="155">
        <f t="shared" ref="M137" si="747">IF((M132+M133+M134)=0,0,(M134*$B136)/(M132+M133+M134))</f>
        <v>0</v>
      </c>
      <c r="N137" s="155">
        <f t="shared" ref="N137" si="748">IF((N132+N133+N134)=0,0,(N134*$B136)/(N132+N133+N134))</f>
        <v>0</v>
      </c>
      <c r="O137" s="155">
        <f t="shared" ref="O137" si="749">IF((O132+O133+O134)=0,0,(O134*$B136)/(O132+O133+O134))</f>
        <v>0</v>
      </c>
      <c r="P137" s="155">
        <f t="shared" ref="P137" si="750">IF((P132+P133+P134)=0,0,(P134*$B136)/(P132+P133+P134))</f>
        <v>0</v>
      </c>
      <c r="Q137" s="155">
        <f t="shared" ref="Q137" si="751">IF((Q132+Q133+Q134)=0,0,(Q134*$B136)/(Q132+Q133+Q134))</f>
        <v>0</v>
      </c>
      <c r="R137" s="155">
        <f t="shared" ref="R137" si="752">IF((R132+R133+R134)=0,0,(R134*$B136)/(R132+R133+R134))</f>
        <v>0</v>
      </c>
      <c r="S137" s="155">
        <f t="shared" ref="S137" si="753">IF((S132+S133+S134)=0,0,(S134*$B136)/(S132+S133+S134))</f>
        <v>0</v>
      </c>
      <c r="T137" s="155">
        <f t="shared" ref="T137" si="754">IF((T132+T133+T134)=0,0,(T134*$B136)/(T132+T133+T134))</f>
        <v>0</v>
      </c>
      <c r="U137" s="155">
        <f t="shared" ref="U137" si="755">IF((U132+U133+U134)=0,0,(U134*$B136)/(U132+U133+U134))</f>
        <v>0</v>
      </c>
      <c r="V137" s="155">
        <f t="shared" ref="V137" si="756">IF((V132+V133+V134)=0,0,(V134*$B136)/(V132+V133+V134))</f>
        <v>0</v>
      </c>
      <c r="W137" s="155">
        <f t="shared" ref="W137" si="757">IF((W132+W133+W134)=0,0,(W134*$B136)/(W132+W133+W134))</f>
        <v>0</v>
      </c>
      <c r="X137" s="155">
        <f t="shared" ref="X137" si="758">IF((X132+X133+X134)=0,0,(X134*$B136)/(X132+X133+X134))</f>
        <v>0</v>
      </c>
      <c r="Y137" s="160">
        <f t="shared" ref="Y137" si="759">IF((Y132+Y133+Y134)=0,0,(Y134*$B136)/(Y132+Y133+Y134))</f>
        <v>0</v>
      </c>
    </row>
    <row r="138" spans="2:25" ht="15" customHeight="1" x14ac:dyDescent="0.2">
      <c r="B138" s="250" t="s">
        <v>53</v>
      </c>
      <c r="C138" s="91">
        <f>E138/SUM(E138:E140)</f>
        <v>0.21933085501858737</v>
      </c>
      <c r="D138" s="67" t="s">
        <v>0</v>
      </c>
      <c r="E138" s="68">
        <f t="shared" si="551"/>
        <v>59</v>
      </c>
      <c r="F138" s="68">
        <f>SUMIFS([0]!Chavez,[0]!Centro,$B140,[0]!Turno,F$101)</f>
        <v>14</v>
      </c>
      <c r="G138" s="68">
        <f>SUMIFS([0]!Chavez,[0]!Centro,$B140,[0]!Turno,G$101)</f>
        <v>10</v>
      </c>
      <c r="H138" s="68">
        <f>SUMIFS([0]!Chavez,[0]!Centro,$B140,[0]!Turno,H$101)</f>
        <v>7</v>
      </c>
      <c r="I138" s="68">
        <f>SUMIFS([0]!Chavez,[0]!Centro,$B140,[0]!Turno,I$101)</f>
        <v>5</v>
      </c>
      <c r="J138" s="68">
        <f>SUMIFS([0]!Chavez,[0]!Centro,$B140,[0]!Turno,J$101)</f>
        <v>9</v>
      </c>
      <c r="K138" s="68">
        <f>SUMIFS([0]!Chavez,[0]!Centro,$B140,[0]!Turno,K$101)</f>
        <v>7</v>
      </c>
      <c r="L138" s="68">
        <f>SUMIFS([0]!Chavez,[0]!Centro,$B140,[0]!Turno,L$101)</f>
        <v>0</v>
      </c>
      <c r="M138" s="68">
        <f>SUMIFS([0]!Chavez,[0]!Centro,$B140,[0]!Turno,M$101)</f>
        <v>7</v>
      </c>
      <c r="N138" s="68">
        <f>SUMIFS([0]!Chavez,[0]!Centro,$B140,[0]!Turno,N$101)</f>
        <v>0</v>
      </c>
      <c r="O138" s="68">
        <f>SUMIFS([0]!Chavez,[0]!Centro,$B140,[0]!Turno,O$101)</f>
        <v>0</v>
      </c>
      <c r="P138" s="68">
        <f>SUMIFS([0]!Chavez,[0]!Centro,$B140,[0]!Turno,P$101)</f>
        <v>0</v>
      </c>
      <c r="Q138" s="68">
        <f>SUMIFS([0]!Chavez,[0]!Centro,$B140,[0]!Turno,Q$101)</f>
        <v>0</v>
      </c>
      <c r="R138" s="68">
        <f>SUMIFS([0]!Chavez,[0]!Centro,$B140,[0]!Turno,R$101)</f>
        <v>0</v>
      </c>
      <c r="S138" s="68">
        <f>SUMIFS([0]!Chavez,[0]!Centro,$B140,[0]!Turno,S$101)</f>
        <v>0</v>
      </c>
      <c r="T138" s="68">
        <f>SUMIFS([0]!Chavez,[0]!Centro,$B140,[0]!Turno,T$101)</f>
        <v>0</v>
      </c>
      <c r="U138" s="68">
        <f>SUMIFS([0]!Chavez,[0]!Centro,$B140,[0]!Turno,U$101)</f>
        <v>0</v>
      </c>
      <c r="V138" s="68">
        <f>SUMIFS([0]!Chavez,[0]!Centro,$B140,[0]!Turno,V$101)</f>
        <v>0</v>
      </c>
      <c r="W138" s="68">
        <f>SUMIFS([0]!Chavez,[0]!Centro,$B140,[0]!Turno,W$101)</f>
        <v>0</v>
      </c>
      <c r="X138" s="68">
        <f>SUMIFS([0]!Chavez,[0]!Centro,$B140,[0]!Turno,X$101)</f>
        <v>0</v>
      </c>
      <c r="Y138" s="69">
        <f>SUMIFS([0]!Chavez,[0]!Centro,$B140,[0]!Turno,Y$101)</f>
        <v>0</v>
      </c>
    </row>
    <row r="139" spans="2:25" ht="15" customHeight="1" x14ac:dyDescent="0.2">
      <c r="B139" s="250"/>
      <c r="C139" s="92">
        <f>E139/SUM(E138:E140)</f>
        <v>0.74349442379182151</v>
      </c>
      <c r="D139" s="61" t="s">
        <v>1</v>
      </c>
      <c r="E139" s="62">
        <f t="shared" si="551"/>
        <v>200</v>
      </c>
      <c r="F139" s="62">
        <f>SUMIFS([0]!Capriles,[0]!Centro,$B140,[0]!Turno,F$101)</f>
        <v>18</v>
      </c>
      <c r="G139" s="62">
        <f>SUMIFS([0]!Capriles,[0]!Centro,$B140,[0]!Turno,G$101)</f>
        <v>19</v>
      </c>
      <c r="H139" s="62">
        <f>SUMIFS([0]!Capriles,[0]!Centro,$B140,[0]!Turno,H$101)</f>
        <v>26</v>
      </c>
      <c r="I139" s="62">
        <f>SUMIFS([0]!Capriles,[0]!Centro,$B140,[0]!Turno,I$101)</f>
        <v>27</v>
      </c>
      <c r="J139" s="62">
        <f>SUMIFS([0]!Capriles,[0]!Centro,$B140,[0]!Turno,J$101)</f>
        <v>24</v>
      </c>
      <c r="K139" s="62">
        <f>SUMIFS([0]!Capriles,[0]!Centro,$B140,[0]!Turno,K$101)</f>
        <v>34</v>
      </c>
      <c r="L139" s="62">
        <f>SUMIFS([0]!Capriles,[0]!Centro,$B140,[0]!Turno,L$101)</f>
        <v>0</v>
      </c>
      <c r="M139" s="62">
        <f>SUMIFS([0]!Capriles,[0]!Centro,$B140,[0]!Turno,M$101)</f>
        <v>12</v>
      </c>
      <c r="N139" s="62">
        <f>SUMIFS([0]!Capriles,[0]!Centro,$B140,[0]!Turno,N$101)</f>
        <v>20</v>
      </c>
      <c r="O139" s="62">
        <f>SUMIFS([0]!Capriles,[0]!Centro,$B140,[0]!Turno,O$101)</f>
        <v>20</v>
      </c>
      <c r="P139" s="62">
        <f>SUMIFS([0]!Capriles,[0]!Centro,$B140,[0]!Turno,P$101)</f>
        <v>0</v>
      </c>
      <c r="Q139" s="62">
        <f>SUMIFS([0]!Capriles,[0]!Centro,$B140,[0]!Turno,Q$101)</f>
        <v>0</v>
      </c>
      <c r="R139" s="62">
        <f>SUMIFS([0]!Capriles,[0]!Centro,$B140,[0]!Turno,R$101)</f>
        <v>0</v>
      </c>
      <c r="S139" s="62">
        <f>SUMIFS([0]!Capriles,[0]!Centro,$B140,[0]!Turno,S$101)</f>
        <v>0</v>
      </c>
      <c r="T139" s="62">
        <f>SUMIFS([0]!Capriles,[0]!Centro,$B140,[0]!Turno,T$101)</f>
        <v>0</v>
      </c>
      <c r="U139" s="62">
        <f>SUMIFS([0]!Capriles,[0]!Centro,$B140,[0]!Turno,U$101)</f>
        <v>0</v>
      </c>
      <c r="V139" s="62">
        <f>SUMIFS([0]!Capriles,[0]!Centro,$B140,[0]!Turno,V$101)</f>
        <v>0</v>
      </c>
      <c r="W139" s="62">
        <f>SUMIFS([0]!Capriles,[0]!Centro,$B140,[0]!Turno,W$101)</f>
        <v>0</v>
      </c>
      <c r="X139" s="62">
        <f>SUMIFS([0]!Capriles,[0]!Centro,$B140,[0]!Turno,X$101)</f>
        <v>0</v>
      </c>
      <c r="Y139" s="70">
        <f>SUMIFS([0]!Capriles,[0]!Centro,$B140,[0]!Turno,Y$101)</f>
        <v>0</v>
      </c>
    </row>
    <row r="140" spans="2:25" ht="15" customHeight="1" thickBot="1" x14ac:dyDescent="0.25">
      <c r="B140" s="261">
        <v>37</v>
      </c>
      <c r="C140" s="100">
        <f>E140/SUM(E138:E140)</f>
        <v>3.717472118959108E-2</v>
      </c>
      <c r="D140" s="71" t="s">
        <v>2</v>
      </c>
      <c r="E140" s="72">
        <f t="shared" si="551"/>
        <v>10</v>
      </c>
      <c r="F140" s="72">
        <f>SUMIFS([0]!Otro,[0]!Centro,$B140,[0]!Turno,F$101)</f>
        <v>0</v>
      </c>
      <c r="G140" s="72">
        <f>SUMIFS([0]!Otro,[0]!Centro,$B140,[0]!Turno,G$101)</f>
        <v>3</v>
      </c>
      <c r="H140" s="72">
        <f>SUMIFS([0]!Otro,[0]!Centro,$B140,[0]!Turno,H$101)</f>
        <v>1</v>
      </c>
      <c r="I140" s="72">
        <f>SUMIFS([0]!Otro,[0]!Centro,$B140,[0]!Turno,I$101)</f>
        <v>2</v>
      </c>
      <c r="J140" s="72">
        <f>SUMIFS([0]!Otro,[0]!Centro,$B140,[0]!Turno,J$101)</f>
        <v>2</v>
      </c>
      <c r="K140" s="72">
        <f>SUMIFS([0]!Otro,[0]!Centro,$B140,[0]!Turno,K$101)</f>
        <v>0</v>
      </c>
      <c r="L140" s="72">
        <f>SUMIFS([0]!Otro,[0]!Centro,$B140,[0]!Turno,L$101)</f>
        <v>0</v>
      </c>
      <c r="M140" s="72">
        <f>SUMIFS([0]!Otro,[0]!Centro,$B140,[0]!Turno,M$101)</f>
        <v>2</v>
      </c>
      <c r="N140" s="72">
        <f>SUMIFS([0]!Otro,[0]!Centro,$B140,[0]!Turno,N$101)</f>
        <v>0</v>
      </c>
      <c r="O140" s="72">
        <f>SUMIFS([0]!Otro,[0]!Centro,$B140,[0]!Turno,O$101)</f>
        <v>0</v>
      </c>
      <c r="P140" s="72">
        <f>SUMIFS([0]!Otro,[0]!Centro,$B140,[0]!Turno,P$101)</f>
        <v>0</v>
      </c>
      <c r="Q140" s="72">
        <f>SUMIFS([0]!Otro,[0]!Centro,$B140,[0]!Turno,Q$101)</f>
        <v>0</v>
      </c>
      <c r="R140" s="72">
        <f>SUMIFS([0]!Otro,[0]!Centro,$B140,[0]!Turno,R$101)</f>
        <v>0</v>
      </c>
      <c r="S140" s="72">
        <f>SUMIFS([0]!Otro,[0]!Centro,$B140,[0]!Turno,S$101)</f>
        <v>0</v>
      </c>
      <c r="T140" s="72">
        <f>SUMIFS([0]!Otro,[0]!Centro,$B140,[0]!Turno,T$101)</f>
        <v>0</v>
      </c>
      <c r="U140" s="72">
        <f>SUMIFS([0]!Otro,[0]!Centro,$B140,[0]!Turno,U$101)</f>
        <v>0</v>
      </c>
      <c r="V140" s="72">
        <f>SUMIFS([0]!Otro,[0]!Centro,$B140,[0]!Turno,V$101)</f>
        <v>0</v>
      </c>
      <c r="W140" s="72">
        <f>SUMIFS([0]!Otro,[0]!Centro,$B140,[0]!Turno,W$101)</f>
        <v>0</v>
      </c>
      <c r="X140" s="72">
        <f>SUMIFS([0]!Otro,[0]!Centro,$B140,[0]!Turno,X$101)</f>
        <v>0</v>
      </c>
      <c r="Y140" s="73">
        <f>SUMIFS([0]!Otro,[0]!Centro,$B140,[0]!Turno,Y$101)</f>
        <v>0</v>
      </c>
    </row>
    <row r="141" spans="2:25" ht="15" customHeight="1" x14ac:dyDescent="0.2">
      <c r="B141" s="261"/>
      <c r="C141" s="94">
        <f>E141/SUM(E141:E143)</f>
        <v>0.21933085501858732</v>
      </c>
      <c r="D141" s="63" t="s">
        <v>0</v>
      </c>
      <c r="E141" s="150">
        <f>IF((E138+E139+E140)=0,0,(E138*$B142)/(E138+E139+E140))</f>
        <v>1.7019086665379227E-2</v>
      </c>
      <c r="F141" s="150">
        <f>IF((F138+F139+F140)=0,0,(F138*$B142)/(F138+F139+F140))</f>
        <v>3.3948029863251149E-2</v>
      </c>
      <c r="G141" s="150">
        <f t="shared" ref="G141" si="760">IF((G138+G139+G140)=0,0,(G138*$B142)/(G138+G139+G140))</f>
        <v>2.4248592759465105E-2</v>
      </c>
      <c r="H141" s="150">
        <f t="shared" ref="H141" si="761">IF((H138+H139+H140)=0,0,(H138*$B142)/(H138+H139+H140))</f>
        <v>1.5975543465059364E-2</v>
      </c>
      <c r="I141" s="150">
        <f t="shared" ref="I141" si="762">IF((I138+I139+I140)=0,0,(I138*$B142)/(I138+I139+I140))</f>
        <v>1.1411102475042402E-2</v>
      </c>
      <c r="J141" s="150">
        <f t="shared" ref="J141" si="763">IF((J138+J139+J140)=0,0,(J138*$B142)/(J138+J139+J140))</f>
        <v>1.9953127756359858E-2</v>
      </c>
      <c r="K141" s="150">
        <f t="shared" ref="K141" si="764">IF((K138+K139+K140)=0,0,(K138*$B142)/(K138+K139+K140))</f>
        <v>1.3248011653951668E-2</v>
      </c>
      <c r="L141" s="150">
        <f t="shared" ref="L141" si="765">IF((L138+L139+L140)=0,0,(L138*$B142)/(L138+L139+L140))</f>
        <v>0</v>
      </c>
      <c r="M141" s="150">
        <f t="shared" ref="M141" si="766">IF((M138+M139+M140)=0,0,(M138*$B142)/(M138+M139+M140))</f>
        <v>2.5865165610096115E-2</v>
      </c>
      <c r="N141" s="150">
        <f t="shared" ref="N141" si="767">IF((N138+N139+N140)=0,0,(N138*$B142)/(N138+N139+N140))</f>
        <v>0</v>
      </c>
      <c r="O141" s="150">
        <f t="shared" ref="O141" si="768">IF((O138+O139+O140)=0,0,(O138*$B142)/(O138+O139+O140))</f>
        <v>0</v>
      </c>
      <c r="P141" s="150">
        <f t="shared" ref="P141" si="769">IF((P138+P139+P140)=0,0,(P138*$B142)/(P138+P139+P140))</f>
        <v>0</v>
      </c>
      <c r="Q141" s="150">
        <f t="shared" ref="Q141" si="770">IF((Q138+Q139+Q140)=0,0,(Q138*$B142)/(Q138+Q139+Q140))</f>
        <v>0</v>
      </c>
      <c r="R141" s="150">
        <f t="shared" ref="R141" si="771">IF((R138+R139+R140)=0,0,(R138*$B142)/(R138+R139+R140))</f>
        <v>0</v>
      </c>
      <c r="S141" s="150">
        <f t="shared" ref="S141" si="772">IF((S138+S139+S140)=0,0,(S138*$B142)/(S138+S139+S140))</f>
        <v>0</v>
      </c>
      <c r="T141" s="150">
        <f t="shared" ref="T141" si="773">IF((T138+T139+T140)=0,0,(T138*$B142)/(T138+T139+T140))</f>
        <v>0</v>
      </c>
      <c r="U141" s="150">
        <f t="shared" ref="U141" si="774">IF((U138+U139+U140)=0,0,(U138*$B142)/(U138+U139+U140))</f>
        <v>0</v>
      </c>
      <c r="V141" s="150">
        <f t="shared" ref="V141" si="775">IF((V138+V139+V140)=0,0,(V138*$B142)/(V138+V139+V140))</f>
        <v>0</v>
      </c>
      <c r="W141" s="150">
        <f t="shared" ref="W141" si="776">IF((W138+W139+W140)=0,0,(W138*$B142)/(W138+W139+W140))</f>
        <v>0</v>
      </c>
      <c r="X141" s="150">
        <f t="shared" ref="X141" si="777">IF((X138+X139+X140)=0,0,(X138*$B142)/(X138+X139+X140))</f>
        <v>0</v>
      </c>
      <c r="Y141" s="163">
        <f t="shared" ref="Y141" si="778">IF((Y138+Y139+Y140)=0,0,(Y138*$B142)/(Y138+Y139+Y140))</f>
        <v>0</v>
      </c>
    </row>
    <row r="142" spans="2:25" ht="15" customHeight="1" x14ac:dyDescent="0.2">
      <c r="B142" s="254">
        <v>7.7595496830288338E-2</v>
      </c>
      <c r="C142" s="92">
        <f>E142/SUM(E141:E143)</f>
        <v>0.7434944237918214</v>
      </c>
      <c r="D142" s="61" t="s">
        <v>1</v>
      </c>
      <c r="E142" s="154">
        <f>IF((E138+E139+E140)=0,0,(E139*$B142)/(E138+E139+E140))</f>
        <v>5.7691819204675344E-2</v>
      </c>
      <c r="F142" s="154">
        <f>IF((F138+F139+F140)=0,0,(F139*$B142)/(F138+F139+F140))</f>
        <v>4.3647466967037189E-2</v>
      </c>
      <c r="G142" s="154">
        <f t="shared" ref="G142:O142" si="779">IF((G138+G139+G140)=0,0,(G139*$B142)/(G138+G139+G140))</f>
        <v>4.6072326242983699E-2</v>
      </c>
      <c r="H142" s="154">
        <f t="shared" si="779"/>
        <v>5.9337732870220497E-2</v>
      </c>
      <c r="I142" s="154">
        <f t="shared" si="779"/>
        <v>6.161995336522897E-2</v>
      </c>
      <c r="J142" s="154">
        <f t="shared" si="779"/>
        <v>5.3208340683626294E-2</v>
      </c>
      <c r="K142" s="154">
        <f t="shared" si="779"/>
        <v>6.4347485176336663E-2</v>
      </c>
      <c r="L142" s="154">
        <f t="shared" si="779"/>
        <v>0</v>
      </c>
      <c r="M142" s="154">
        <f t="shared" si="779"/>
        <v>4.4340283903021908E-2</v>
      </c>
      <c r="N142" s="154">
        <f t="shared" si="779"/>
        <v>7.7595496830288338E-2</v>
      </c>
      <c r="O142" s="154">
        <f t="shared" si="779"/>
        <v>7.7595496830288338E-2</v>
      </c>
      <c r="P142" s="154">
        <f>IF((P138+P139+P140)=0,0,(P139*$B142)/(P138+P139+P140))</f>
        <v>0</v>
      </c>
      <c r="Q142" s="154">
        <f t="shared" ref="Q142:Y142" si="780">IF((Q138+Q139+Q140)=0,0,(Q139*$B142)/(Q138+Q139+Q140))</f>
        <v>0</v>
      </c>
      <c r="R142" s="154">
        <f t="shared" si="780"/>
        <v>0</v>
      </c>
      <c r="S142" s="154">
        <f t="shared" si="780"/>
        <v>0</v>
      </c>
      <c r="T142" s="154">
        <f t="shared" si="780"/>
        <v>0</v>
      </c>
      <c r="U142" s="154">
        <f t="shared" si="780"/>
        <v>0</v>
      </c>
      <c r="V142" s="154">
        <f t="shared" si="780"/>
        <v>0</v>
      </c>
      <c r="W142" s="154">
        <f t="shared" si="780"/>
        <v>0</v>
      </c>
      <c r="X142" s="154">
        <f t="shared" si="780"/>
        <v>0</v>
      </c>
      <c r="Y142" s="159">
        <f t="shared" si="780"/>
        <v>0</v>
      </c>
    </row>
    <row r="143" spans="2:25" ht="15" customHeight="1" thickBot="1" x14ac:dyDescent="0.25">
      <c r="B143" s="255"/>
      <c r="C143" s="93">
        <f>E143/SUM(E141:E143)</f>
        <v>3.7174721189591073E-2</v>
      </c>
      <c r="D143" s="75" t="s">
        <v>2</v>
      </c>
      <c r="E143" s="155">
        <f>IF((E138+E139+E140)=0,0,(E140*$B142)/(E138+E139+E140))</f>
        <v>2.8845909602337673E-3</v>
      </c>
      <c r="F143" s="155">
        <f>IF((F138+F139+F140)=0,0,(F140*$B142)/(F138+F139+F140))</f>
        <v>0</v>
      </c>
      <c r="G143" s="155">
        <f t="shared" ref="G143" si="781">IF((G138+G139+G140)=0,0,(G140*$B142)/(G138+G139+G140))</f>
        <v>7.2745778278395321E-3</v>
      </c>
      <c r="H143" s="155">
        <f t="shared" ref="H143" si="782">IF((H138+H139+H140)=0,0,(H140*$B142)/(H138+H139+H140))</f>
        <v>2.2822204950084806E-3</v>
      </c>
      <c r="I143" s="155">
        <f t="shared" ref="I143" si="783">IF((I138+I139+I140)=0,0,(I140*$B142)/(I138+I139+I140))</f>
        <v>4.5644409900169611E-3</v>
      </c>
      <c r="J143" s="155">
        <f t="shared" ref="J143" si="784">IF((J138+J139+J140)=0,0,(J140*$B142)/(J138+J139+J140))</f>
        <v>4.4340283903021903E-3</v>
      </c>
      <c r="K143" s="155">
        <f t="shared" ref="K143" si="785">IF((K138+K139+K140)=0,0,(K140*$B142)/(K138+K139+K140))</f>
        <v>0</v>
      </c>
      <c r="L143" s="155">
        <f t="shared" ref="L143" si="786">IF((L138+L139+L140)=0,0,(L140*$B142)/(L138+L139+L140))</f>
        <v>0</v>
      </c>
      <c r="M143" s="155">
        <f t="shared" ref="M143" si="787">IF((M138+M139+M140)=0,0,(M140*$B142)/(M138+M139+M140))</f>
        <v>7.3900473171703181E-3</v>
      </c>
      <c r="N143" s="155">
        <f t="shared" ref="N143" si="788">IF((N138+N139+N140)=0,0,(N140*$B142)/(N138+N139+N140))</f>
        <v>0</v>
      </c>
      <c r="O143" s="155">
        <f t="shared" ref="O143" si="789">IF((O138+O139+O140)=0,0,(O140*$B142)/(O138+O139+O140))</f>
        <v>0</v>
      </c>
      <c r="P143" s="155">
        <f t="shared" ref="P143" si="790">IF((P138+P139+P140)=0,0,(P140*$B142)/(P138+P139+P140))</f>
        <v>0</v>
      </c>
      <c r="Q143" s="155">
        <f t="shared" ref="Q143" si="791">IF((Q138+Q139+Q140)=0,0,(Q140*$B142)/(Q138+Q139+Q140))</f>
        <v>0</v>
      </c>
      <c r="R143" s="155">
        <f t="shared" ref="R143" si="792">IF((R138+R139+R140)=0,0,(R140*$B142)/(R138+R139+R140))</f>
        <v>0</v>
      </c>
      <c r="S143" s="155">
        <f t="shared" ref="S143" si="793">IF((S138+S139+S140)=0,0,(S140*$B142)/(S138+S139+S140))</f>
        <v>0</v>
      </c>
      <c r="T143" s="155">
        <f t="shared" ref="T143" si="794">IF((T138+T139+T140)=0,0,(T140*$B142)/(T138+T139+T140))</f>
        <v>0</v>
      </c>
      <c r="U143" s="155">
        <f t="shared" ref="U143" si="795">IF((U138+U139+U140)=0,0,(U140*$B142)/(U138+U139+U140))</f>
        <v>0</v>
      </c>
      <c r="V143" s="155">
        <f t="shared" ref="V143" si="796">IF((V138+V139+V140)=0,0,(V140*$B142)/(V138+V139+V140))</f>
        <v>0</v>
      </c>
      <c r="W143" s="155">
        <f t="shared" ref="W143" si="797">IF((W138+W139+W140)=0,0,(W140*$B142)/(W138+W139+W140))</f>
        <v>0</v>
      </c>
      <c r="X143" s="155">
        <f t="shared" ref="X143" si="798">IF((X138+X139+X140)=0,0,(X140*$B142)/(X138+X139+X140))</f>
        <v>0</v>
      </c>
      <c r="Y143" s="160">
        <f t="shared" ref="Y143" si="799">IF((Y138+Y139+Y140)=0,0,(Y140*$B142)/(Y138+Y139+Y140))</f>
        <v>0</v>
      </c>
    </row>
    <row r="144" spans="2:25" ht="15" customHeight="1" x14ac:dyDescent="0.2">
      <c r="B144" s="250" t="s">
        <v>54</v>
      </c>
      <c r="C144" s="91">
        <f>E144/SUM(E144:E146)</f>
        <v>0.67844522968197885</v>
      </c>
      <c r="D144" s="67" t="s">
        <v>0</v>
      </c>
      <c r="E144" s="68">
        <f t="shared" si="551"/>
        <v>192</v>
      </c>
      <c r="F144" s="68">
        <f>SUMIFS([0]!Chavez,[0]!Centro,$B146,[0]!Turno,F$101)</f>
        <v>8</v>
      </c>
      <c r="G144" s="68">
        <f>SUMIFS([0]!Chavez,[0]!Centro,$B146,[0]!Turno,G$101)</f>
        <v>29</v>
      </c>
      <c r="H144" s="68">
        <f>SUMIFS([0]!Chavez,[0]!Centro,$B146,[0]!Turno,H$101)</f>
        <v>8</v>
      </c>
      <c r="I144" s="68">
        <f>SUMIFS([0]!Chavez,[0]!Centro,$B146,[0]!Turno,I$101)</f>
        <v>45</v>
      </c>
      <c r="J144" s="68">
        <f>SUMIFS([0]!Chavez,[0]!Centro,$B146,[0]!Turno,J$101)</f>
        <v>40</v>
      </c>
      <c r="K144" s="68">
        <f>SUMIFS([0]!Chavez,[0]!Centro,$B146,[0]!Turno,K$101)</f>
        <v>31</v>
      </c>
      <c r="L144" s="68">
        <f>SUMIFS([0]!Chavez,[0]!Centro,$B146,[0]!Turno,L$101)</f>
        <v>7</v>
      </c>
      <c r="M144" s="68">
        <f>SUMIFS([0]!Chavez,[0]!Centro,$B146,[0]!Turno,M$101)</f>
        <v>9</v>
      </c>
      <c r="N144" s="68">
        <f>SUMIFS([0]!Chavez,[0]!Centro,$B146,[0]!Turno,N$101)</f>
        <v>15</v>
      </c>
      <c r="O144" s="68">
        <f>SUMIFS([0]!Chavez,[0]!Centro,$B146,[0]!Turno,O$101)</f>
        <v>0</v>
      </c>
      <c r="P144" s="68">
        <f>SUMIFS([0]!Chavez,[0]!Centro,$B146,[0]!Turno,P$101)</f>
        <v>0</v>
      </c>
      <c r="Q144" s="68">
        <f>SUMIFS([0]!Chavez,[0]!Centro,$B146,[0]!Turno,Q$101)</f>
        <v>0</v>
      </c>
      <c r="R144" s="68">
        <f>SUMIFS([0]!Chavez,[0]!Centro,$B146,[0]!Turno,R$101)</f>
        <v>0</v>
      </c>
      <c r="S144" s="68">
        <f>SUMIFS([0]!Chavez,[0]!Centro,$B146,[0]!Turno,S$101)</f>
        <v>0</v>
      </c>
      <c r="T144" s="68">
        <f>SUMIFS([0]!Chavez,[0]!Centro,$B146,[0]!Turno,T$101)</f>
        <v>0</v>
      </c>
      <c r="U144" s="68">
        <f>SUMIFS([0]!Chavez,[0]!Centro,$B146,[0]!Turno,U$101)</f>
        <v>0</v>
      </c>
      <c r="V144" s="68">
        <f>SUMIFS([0]!Chavez,[0]!Centro,$B146,[0]!Turno,V$101)</f>
        <v>0</v>
      </c>
      <c r="W144" s="68">
        <f>SUMIFS([0]!Chavez,[0]!Centro,$B146,[0]!Turno,W$101)</f>
        <v>0</v>
      </c>
      <c r="X144" s="68">
        <f>SUMIFS([0]!Chavez,[0]!Centro,$B146,[0]!Turno,X$101)</f>
        <v>0</v>
      </c>
      <c r="Y144" s="69">
        <f>SUMIFS([0]!Chavez,[0]!Centro,$B146,[0]!Turno,Y$101)</f>
        <v>0</v>
      </c>
    </row>
    <row r="145" spans="2:25" ht="15" customHeight="1" x14ac:dyDescent="0.2">
      <c r="B145" s="250"/>
      <c r="C145" s="92">
        <f>E145/SUM(E144:E146)</f>
        <v>0.31802120141342755</v>
      </c>
      <c r="D145" s="61" t="s">
        <v>1</v>
      </c>
      <c r="E145" s="62">
        <f t="shared" si="551"/>
        <v>90</v>
      </c>
      <c r="F145" s="62">
        <f>SUMIFS([0]!Capriles,[0]!Centro,$B146,[0]!Turno,F$101)</f>
        <v>10</v>
      </c>
      <c r="G145" s="62">
        <f>SUMIFS([0]!Capriles,[0]!Centro,$B146,[0]!Turno,G$101)</f>
        <v>11</v>
      </c>
      <c r="H145" s="62">
        <f>SUMIFS([0]!Capriles,[0]!Centro,$B146,[0]!Turno,H$101)</f>
        <v>4</v>
      </c>
      <c r="I145" s="62">
        <f>SUMIFS([0]!Capriles,[0]!Centro,$B146,[0]!Turno,I$101)</f>
        <v>13</v>
      </c>
      <c r="J145" s="62">
        <f>SUMIFS([0]!Capriles,[0]!Centro,$B146,[0]!Turno,J$101)</f>
        <v>14</v>
      </c>
      <c r="K145" s="62">
        <f>SUMIFS([0]!Capriles,[0]!Centro,$B146,[0]!Turno,K$101)</f>
        <v>10</v>
      </c>
      <c r="L145" s="62">
        <f>SUMIFS([0]!Capriles,[0]!Centro,$B146,[0]!Turno,L$101)</f>
        <v>10</v>
      </c>
      <c r="M145" s="62">
        <f>SUMIFS([0]!Capriles,[0]!Centro,$B146,[0]!Turno,M$101)</f>
        <v>7</v>
      </c>
      <c r="N145" s="62">
        <f>SUMIFS([0]!Capriles,[0]!Centro,$B146,[0]!Turno,N$101)</f>
        <v>11</v>
      </c>
      <c r="O145" s="62">
        <f>SUMIFS([0]!Capriles,[0]!Centro,$B146,[0]!Turno,O$101)</f>
        <v>0</v>
      </c>
      <c r="P145" s="62">
        <f>SUMIFS([0]!Capriles,[0]!Centro,$B146,[0]!Turno,P$101)</f>
        <v>0</v>
      </c>
      <c r="Q145" s="62">
        <f>SUMIFS([0]!Capriles,[0]!Centro,$B146,[0]!Turno,Q$101)</f>
        <v>0</v>
      </c>
      <c r="R145" s="62">
        <f>SUMIFS([0]!Capriles,[0]!Centro,$B146,[0]!Turno,R$101)</f>
        <v>0</v>
      </c>
      <c r="S145" s="62">
        <f>SUMIFS([0]!Capriles,[0]!Centro,$B146,[0]!Turno,S$101)</f>
        <v>0</v>
      </c>
      <c r="T145" s="62">
        <f>SUMIFS([0]!Capriles,[0]!Centro,$B146,[0]!Turno,T$101)</f>
        <v>0</v>
      </c>
      <c r="U145" s="62">
        <f>SUMIFS([0]!Capriles,[0]!Centro,$B146,[0]!Turno,U$101)</f>
        <v>0</v>
      </c>
      <c r="V145" s="62">
        <f>SUMIFS([0]!Capriles,[0]!Centro,$B146,[0]!Turno,V$101)</f>
        <v>0</v>
      </c>
      <c r="W145" s="62">
        <f>SUMIFS([0]!Capriles,[0]!Centro,$B146,[0]!Turno,W$101)</f>
        <v>0</v>
      </c>
      <c r="X145" s="62">
        <f>SUMIFS([0]!Capriles,[0]!Centro,$B146,[0]!Turno,X$101)</f>
        <v>0</v>
      </c>
      <c r="Y145" s="70">
        <f>SUMIFS([0]!Capriles,[0]!Centro,$B146,[0]!Turno,Y$101)</f>
        <v>0</v>
      </c>
    </row>
    <row r="146" spans="2:25" ht="15" customHeight="1" thickBot="1" x14ac:dyDescent="0.25">
      <c r="B146" s="261">
        <v>38</v>
      </c>
      <c r="C146" s="100">
        <f>E146/SUM(E144:E146)</f>
        <v>3.5335689045936395E-3</v>
      </c>
      <c r="D146" s="71" t="s">
        <v>2</v>
      </c>
      <c r="E146" s="72">
        <f t="shared" si="551"/>
        <v>1</v>
      </c>
      <c r="F146" s="72">
        <f>SUMIFS([0]!Otro,[0]!Centro,$B146,[0]!Turno,F$101)</f>
        <v>0</v>
      </c>
      <c r="G146" s="72">
        <f>SUMIFS([0]!Otro,[0]!Centro,$B146,[0]!Turno,G$101)</f>
        <v>0</v>
      </c>
      <c r="H146" s="72">
        <f>SUMIFS([0]!Otro,[0]!Centro,$B146,[0]!Turno,H$101)</f>
        <v>0</v>
      </c>
      <c r="I146" s="72">
        <f>SUMIFS([0]!Otro,[0]!Centro,$B146,[0]!Turno,I$101)</f>
        <v>0</v>
      </c>
      <c r="J146" s="72">
        <f>SUMIFS([0]!Otro,[0]!Centro,$B146,[0]!Turno,J$101)</f>
        <v>1</v>
      </c>
      <c r="K146" s="72">
        <f>SUMIFS([0]!Otro,[0]!Centro,$B146,[0]!Turno,K$101)</f>
        <v>0</v>
      </c>
      <c r="L146" s="72">
        <f>SUMIFS([0]!Otro,[0]!Centro,$B146,[0]!Turno,L$101)</f>
        <v>0</v>
      </c>
      <c r="M146" s="72">
        <f>SUMIFS([0]!Otro,[0]!Centro,$B146,[0]!Turno,M$101)</f>
        <v>0</v>
      </c>
      <c r="N146" s="72">
        <f>SUMIFS([0]!Otro,[0]!Centro,$B146,[0]!Turno,N$101)</f>
        <v>0</v>
      </c>
      <c r="O146" s="72">
        <f>SUMIFS([0]!Otro,[0]!Centro,$B146,[0]!Turno,O$101)</f>
        <v>0</v>
      </c>
      <c r="P146" s="72">
        <f>SUMIFS([0]!Otro,[0]!Centro,$B146,[0]!Turno,P$101)</f>
        <v>0</v>
      </c>
      <c r="Q146" s="72">
        <f>SUMIFS([0]!Otro,[0]!Centro,$B146,[0]!Turno,Q$101)</f>
        <v>0</v>
      </c>
      <c r="R146" s="72">
        <f>SUMIFS([0]!Otro,[0]!Centro,$B146,[0]!Turno,R$101)</f>
        <v>0</v>
      </c>
      <c r="S146" s="72">
        <f>SUMIFS([0]!Otro,[0]!Centro,$B146,[0]!Turno,S$101)</f>
        <v>0</v>
      </c>
      <c r="T146" s="72">
        <f>SUMIFS([0]!Otro,[0]!Centro,$B146,[0]!Turno,T$101)</f>
        <v>0</v>
      </c>
      <c r="U146" s="72">
        <f>SUMIFS([0]!Otro,[0]!Centro,$B146,[0]!Turno,U$101)</f>
        <v>0</v>
      </c>
      <c r="V146" s="72">
        <f>SUMIFS([0]!Otro,[0]!Centro,$B146,[0]!Turno,V$101)</f>
        <v>0</v>
      </c>
      <c r="W146" s="72">
        <f>SUMIFS([0]!Otro,[0]!Centro,$B146,[0]!Turno,W$101)</f>
        <v>0</v>
      </c>
      <c r="X146" s="72">
        <f>SUMIFS([0]!Otro,[0]!Centro,$B146,[0]!Turno,X$101)</f>
        <v>0</v>
      </c>
      <c r="Y146" s="73">
        <f>SUMIFS([0]!Otro,[0]!Centro,$B146,[0]!Turno,Y$101)</f>
        <v>0</v>
      </c>
    </row>
    <row r="147" spans="2:25" ht="15" customHeight="1" x14ac:dyDescent="0.2">
      <c r="B147" s="261"/>
      <c r="C147" s="94">
        <f>E147/SUM(E147:E149)</f>
        <v>0.67844522968197873</v>
      </c>
      <c r="D147" s="63" t="s">
        <v>0</v>
      </c>
      <c r="E147" s="150">
        <f>IF((E144+E145+E146)=0,0,(E144*$B148)/(E144+E145+E146))</f>
        <v>8.8796995451873292E-2</v>
      </c>
      <c r="F147" s="150">
        <f>IF((F144+F145+F146)=0,0,(F144*$B148)/(F144+F145+F146))</f>
        <v>5.8170253965000335E-2</v>
      </c>
      <c r="G147" s="150">
        <f t="shared" ref="G147" si="800">IF((G144+G145+G146)=0,0,(G144*$B148)/(G144+G145+G146))</f>
        <v>9.4890226780406789E-2</v>
      </c>
      <c r="H147" s="150">
        <f t="shared" ref="H147" si="801">IF((H144+H145+H146)=0,0,(H144*$B148)/(H144+H145+H146))</f>
        <v>8.7255380947500502E-2</v>
      </c>
      <c r="I147" s="150">
        <f t="shared" ref="I147" si="802">IF((I144+I145+I146)=0,0,(I144*$B148)/(I144+I145+I146))</f>
        <v>0.10154721058545316</v>
      </c>
      <c r="J147" s="150">
        <f t="shared" ref="J147" si="803">IF((J144+J145+J146)=0,0,(J144*$B148)/(J144+J145+J146))</f>
        <v>9.5187688306364177E-2</v>
      </c>
      <c r="K147" s="150">
        <f t="shared" ref="K147" si="804">IF((K144+K145+K146)=0,0,(K144*$B148)/(K144+K145+K146))</f>
        <v>9.8960371074604217E-2</v>
      </c>
      <c r="L147" s="150">
        <f t="shared" ref="L147" si="805">IF((L144+L145+L146)=0,0,(L144*$B148)/(L144+L145+L146))</f>
        <v>5.3893029408750306E-2</v>
      </c>
      <c r="M147" s="150">
        <f t="shared" ref="M147" si="806">IF((M144+M145+M146)=0,0,(M144*$B148)/(M144+M145+M146))</f>
        <v>7.3621727674453546E-2</v>
      </c>
      <c r="N147" s="150">
        <f t="shared" ref="N147" si="807">IF((N144+N145+N146)=0,0,(N144*$B148)/(N144+N145+N146))</f>
        <v>7.5509464281490815E-2</v>
      </c>
      <c r="O147" s="150">
        <f t="shared" ref="O147" si="808">IF((O144+O145+O146)=0,0,(O144*$B148)/(O144+O145+O146))</f>
        <v>0</v>
      </c>
      <c r="P147" s="150">
        <f t="shared" ref="P147" si="809">IF((P144+P145+P146)=0,0,(P144*$B148)/(P144+P145+P146))</f>
        <v>0</v>
      </c>
      <c r="Q147" s="150">
        <f t="shared" ref="Q147" si="810">IF((Q144+Q145+Q146)=0,0,(Q144*$B148)/(Q144+Q145+Q146))</f>
        <v>0</v>
      </c>
      <c r="R147" s="150">
        <f t="shared" ref="R147" si="811">IF((R144+R145+R146)=0,0,(R144*$B148)/(R144+R145+R146))</f>
        <v>0</v>
      </c>
      <c r="S147" s="150">
        <f t="shared" ref="S147" si="812">IF((S144+S145+S146)=0,0,(S144*$B148)/(S144+S145+S146))</f>
        <v>0</v>
      </c>
      <c r="T147" s="150">
        <f t="shared" ref="T147" si="813">IF((T144+T145+T146)=0,0,(T144*$B148)/(T144+T145+T146))</f>
        <v>0</v>
      </c>
      <c r="U147" s="150">
        <f t="shared" ref="U147" si="814">IF((U144+U145+U146)=0,0,(U144*$B148)/(U144+U145+U146))</f>
        <v>0</v>
      </c>
      <c r="V147" s="150">
        <f t="shared" ref="V147" si="815">IF((V144+V145+V146)=0,0,(V144*$B148)/(V144+V145+V146))</f>
        <v>0</v>
      </c>
      <c r="W147" s="150">
        <f t="shared" ref="W147" si="816">IF((W144+W145+W146)=0,0,(W144*$B148)/(W144+W145+W146))</f>
        <v>0</v>
      </c>
      <c r="X147" s="150">
        <f t="shared" ref="X147" si="817">IF((X144+X145+X146)=0,0,(X144*$B148)/(X144+X145+X146))</f>
        <v>0</v>
      </c>
      <c r="Y147" s="163">
        <f t="shared" ref="Y147" si="818">IF((Y144+Y145+Y146)=0,0,(Y144*$B148)/(Y144+Y145+Y146))</f>
        <v>0</v>
      </c>
    </row>
    <row r="148" spans="2:25" ht="15" customHeight="1" x14ac:dyDescent="0.2">
      <c r="B148" s="254">
        <v>0.13088307142125075</v>
      </c>
      <c r="C148" s="92">
        <f>E148/SUM(E147:E149)</f>
        <v>0.31802120141342755</v>
      </c>
      <c r="D148" s="61" t="s">
        <v>1</v>
      </c>
      <c r="E148" s="154">
        <f>IF((E144+E145+E146)=0,0,(E145*$B148)/(E144+E145+E146))</f>
        <v>4.1623591618065607E-2</v>
      </c>
      <c r="F148" s="154">
        <f>IF((F144+F145+F146)=0,0,(F145*$B148)/(F144+F145+F146))</f>
        <v>7.2712817456250411E-2</v>
      </c>
      <c r="G148" s="154">
        <f t="shared" ref="G148:O148" si="819">IF((G144+G145+G146)=0,0,(G145*$B148)/(G144+G145+G146))</f>
        <v>3.5992844640843957E-2</v>
      </c>
      <c r="H148" s="154">
        <f t="shared" si="819"/>
        <v>4.3627690473750251E-2</v>
      </c>
      <c r="I148" s="154">
        <f t="shared" si="819"/>
        <v>2.9335860835797579E-2</v>
      </c>
      <c r="J148" s="154">
        <f t="shared" si="819"/>
        <v>3.3315690907227462E-2</v>
      </c>
      <c r="K148" s="154">
        <f t="shared" si="819"/>
        <v>3.1922700346646522E-2</v>
      </c>
      <c r="L148" s="154">
        <f t="shared" si="819"/>
        <v>7.699004201250044E-2</v>
      </c>
      <c r="M148" s="154">
        <f t="shared" si="819"/>
        <v>5.72613437467972E-2</v>
      </c>
      <c r="N148" s="154">
        <f t="shared" si="819"/>
        <v>5.5373607139759931E-2</v>
      </c>
      <c r="O148" s="154">
        <f t="shared" si="819"/>
        <v>0</v>
      </c>
      <c r="P148" s="154">
        <f>IF((P144+P145+P146)=0,0,(P145*$B148)/(P144+P145+P146))</f>
        <v>0</v>
      </c>
      <c r="Q148" s="154">
        <f t="shared" ref="Q148:Y148" si="820">IF((Q144+Q145+Q146)=0,0,(Q145*$B148)/(Q144+Q145+Q146))</f>
        <v>0</v>
      </c>
      <c r="R148" s="154">
        <f t="shared" si="820"/>
        <v>0</v>
      </c>
      <c r="S148" s="154">
        <f t="shared" si="820"/>
        <v>0</v>
      </c>
      <c r="T148" s="154">
        <f t="shared" si="820"/>
        <v>0</v>
      </c>
      <c r="U148" s="154">
        <f t="shared" si="820"/>
        <v>0</v>
      </c>
      <c r="V148" s="154">
        <f t="shared" si="820"/>
        <v>0</v>
      </c>
      <c r="W148" s="154">
        <f t="shared" si="820"/>
        <v>0</v>
      </c>
      <c r="X148" s="154">
        <f t="shared" si="820"/>
        <v>0</v>
      </c>
      <c r="Y148" s="159">
        <f t="shared" si="820"/>
        <v>0</v>
      </c>
    </row>
    <row r="149" spans="2:25" ht="15" customHeight="1" thickBot="1" x14ac:dyDescent="0.25">
      <c r="B149" s="255"/>
      <c r="C149" s="93">
        <f>E149/SUM(E147:E149)</f>
        <v>3.53356890459364E-3</v>
      </c>
      <c r="D149" s="75" t="s">
        <v>2</v>
      </c>
      <c r="E149" s="155">
        <f>IF((E144+E145+E146)=0,0,(E146*$B148)/(E144+E145+E146))</f>
        <v>4.6248435131184012E-4</v>
      </c>
      <c r="F149" s="155">
        <f>IF((F144+F145+F146)=0,0,(F146*$B148)/(F144+F145+F146))</f>
        <v>0</v>
      </c>
      <c r="G149" s="155">
        <f t="shared" ref="G149" si="821">IF((G144+G145+G146)=0,0,(G146*$B148)/(G144+G145+G146))</f>
        <v>0</v>
      </c>
      <c r="H149" s="155">
        <f t="shared" ref="H149" si="822">IF((H144+H145+H146)=0,0,(H146*$B148)/(H144+H145+H146))</f>
        <v>0</v>
      </c>
      <c r="I149" s="155">
        <f t="shared" ref="I149" si="823">IF((I144+I145+I146)=0,0,(I146*$B148)/(I144+I145+I146))</f>
        <v>0</v>
      </c>
      <c r="J149" s="155">
        <f t="shared" ref="J149" si="824">IF((J144+J145+J146)=0,0,(J146*$B148)/(J144+J145+J146))</f>
        <v>2.3796922076591044E-3</v>
      </c>
      <c r="K149" s="155">
        <f t="shared" ref="K149" si="825">IF((K144+K145+K146)=0,0,(K146*$B148)/(K144+K145+K146))</f>
        <v>0</v>
      </c>
      <c r="L149" s="155">
        <f t="shared" ref="L149" si="826">IF((L144+L145+L146)=0,0,(L146*$B148)/(L144+L145+L146))</f>
        <v>0</v>
      </c>
      <c r="M149" s="155">
        <f t="shared" ref="M149" si="827">IF((M144+M145+M146)=0,0,(M146*$B148)/(M144+M145+M146))</f>
        <v>0</v>
      </c>
      <c r="N149" s="155">
        <f t="shared" ref="N149" si="828">IF((N144+N145+N146)=0,0,(N146*$B148)/(N144+N145+N146))</f>
        <v>0</v>
      </c>
      <c r="O149" s="155">
        <f t="shared" ref="O149" si="829">IF((O144+O145+O146)=0,0,(O146*$B148)/(O144+O145+O146))</f>
        <v>0</v>
      </c>
      <c r="P149" s="155">
        <f t="shared" ref="P149" si="830">IF((P144+P145+P146)=0,0,(P146*$B148)/(P144+P145+P146))</f>
        <v>0</v>
      </c>
      <c r="Q149" s="155">
        <f t="shared" ref="Q149" si="831">IF((Q144+Q145+Q146)=0,0,(Q146*$B148)/(Q144+Q145+Q146))</f>
        <v>0</v>
      </c>
      <c r="R149" s="155">
        <f t="shared" ref="R149" si="832">IF((R144+R145+R146)=0,0,(R146*$B148)/(R144+R145+R146))</f>
        <v>0</v>
      </c>
      <c r="S149" s="155">
        <f t="shared" ref="S149" si="833">IF((S144+S145+S146)=0,0,(S146*$B148)/(S144+S145+S146))</f>
        <v>0</v>
      </c>
      <c r="T149" s="155">
        <f t="shared" ref="T149" si="834">IF((T144+T145+T146)=0,0,(T146*$B148)/(T144+T145+T146))</f>
        <v>0</v>
      </c>
      <c r="U149" s="155">
        <f t="shared" ref="U149" si="835">IF((U144+U145+U146)=0,0,(U146*$B148)/(U144+U145+U146))</f>
        <v>0</v>
      </c>
      <c r="V149" s="155">
        <f t="shared" ref="V149" si="836">IF((V144+V145+V146)=0,0,(V146*$B148)/(V144+V145+V146))</f>
        <v>0</v>
      </c>
      <c r="W149" s="155">
        <f t="shared" ref="W149" si="837">IF((W144+W145+W146)=0,0,(W146*$B148)/(W144+W145+W146))</f>
        <v>0</v>
      </c>
      <c r="X149" s="155">
        <f t="shared" ref="X149" si="838">IF((X144+X145+X146)=0,0,(X146*$B148)/(X144+X145+X146))</f>
        <v>0</v>
      </c>
      <c r="Y149" s="160">
        <f t="shared" ref="Y149" si="839">IF((Y144+Y145+Y146)=0,0,(Y146*$B148)/(Y144+Y145+Y146))</f>
        <v>0</v>
      </c>
    </row>
    <row r="150" spans="2:25" ht="15" customHeight="1" x14ac:dyDescent="0.2">
      <c r="B150" s="250" t="s">
        <v>55</v>
      </c>
      <c r="C150" s="91">
        <f>E150/SUM(E150:E152)</f>
        <v>0.37804878048780488</v>
      </c>
      <c r="D150" s="67" t="s">
        <v>0</v>
      </c>
      <c r="E150" s="68">
        <f t="shared" si="551"/>
        <v>62</v>
      </c>
      <c r="F150" s="68">
        <f>SUMIFS([0]!Chavez,[0]!Centro,$B152,[0]!Turno,F$101)</f>
        <v>0</v>
      </c>
      <c r="G150" s="68">
        <f>SUMIFS([0]!Chavez,[0]!Centro,$B152,[0]!Turno,G$101)</f>
        <v>5</v>
      </c>
      <c r="H150" s="68">
        <f>SUMIFS([0]!Chavez,[0]!Centro,$B152,[0]!Turno,H$101)</f>
        <v>14</v>
      </c>
      <c r="I150" s="68">
        <f>SUMIFS([0]!Chavez,[0]!Centro,$B152,[0]!Turno,I$101)</f>
        <v>8</v>
      </c>
      <c r="J150" s="68">
        <f>SUMIFS([0]!Chavez,[0]!Centro,$B152,[0]!Turno,J$101)</f>
        <v>0</v>
      </c>
      <c r="K150" s="68">
        <f>SUMIFS([0]!Chavez,[0]!Centro,$B152,[0]!Turno,K$101)</f>
        <v>3</v>
      </c>
      <c r="L150" s="68">
        <f>SUMIFS([0]!Chavez,[0]!Centro,$B152,[0]!Turno,L$101)</f>
        <v>14</v>
      </c>
      <c r="M150" s="68">
        <f>SUMIFS([0]!Chavez,[0]!Centro,$B152,[0]!Turno,M$101)</f>
        <v>5</v>
      </c>
      <c r="N150" s="68">
        <f>SUMIFS([0]!Chavez,[0]!Centro,$B152,[0]!Turno,N$101)</f>
        <v>13</v>
      </c>
      <c r="O150" s="68">
        <f>SUMIFS([0]!Chavez,[0]!Centro,$B152,[0]!Turno,O$101)</f>
        <v>0</v>
      </c>
      <c r="P150" s="68">
        <f>SUMIFS([0]!Chavez,[0]!Centro,$B152,[0]!Turno,P$101)</f>
        <v>0</v>
      </c>
      <c r="Q150" s="68">
        <f>SUMIFS([0]!Chavez,[0]!Centro,$B152,[0]!Turno,Q$101)</f>
        <v>0</v>
      </c>
      <c r="R150" s="68">
        <f>SUMIFS([0]!Chavez,[0]!Centro,$B152,[0]!Turno,R$101)</f>
        <v>0</v>
      </c>
      <c r="S150" s="68">
        <f>SUMIFS([0]!Chavez,[0]!Centro,$B152,[0]!Turno,S$101)</f>
        <v>0</v>
      </c>
      <c r="T150" s="68">
        <f>SUMIFS([0]!Chavez,[0]!Centro,$B152,[0]!Turno,T$101)</f>
        <v>0</v>
      </c>
      <c r="U150" s="68">
        <f>SUMIFS([0]!Chavez,[0]!Centro,$B152,[0]!Turno,U$101)</f>
        <v>0</v>
      </c>
      <c r="V150" s="68">
        <f>SUMIFS([0]!Chavez,[0]!Centro,$B152,[0]!Turno,V$101)</f>
        <v>0</v>
      </c>
      <c r="W150" s="68">
        <f>SUMIFS([0]!Chavez,[0]!Centro,$B152,[0]!Turno,W$101)</f>
        <v>0</v>
      </c>
      <c r="X150" s="68">
        <f>SUMIFS([0]!Chavez,[0]!Centro,$B152,[0]!Turno,X$101)</f>
        <v>0</v>
      </c>
      <c r="Y150" s="69">
        <f>SUMIFS([0]!Chavez,[0]!Centro,$B152,[0]!Turno,Y$101)</f>
        <v>0</v>
      </c>
    </row>
    <row r="151" spans="2:25" ht="15" customHeight="1" x14ac:dyDescent="0.2">
      <c r="B151" s="250"/>
      <c r="C151" s="92">
        <f>E151/SUM(E150:E152)</f>
        <v>0.61585365853658536</v>
      </c>
      <c r="D151" s="61" t="s">
        <v>1</v>
      </c>
      <c r="E151" s="62">
        <f t="shared" si="551"/>
        <v>101</v>
      </c>
      <c r="F151" s="62">
        <f>SUMIFS([0]!Capriles,[0]!Centro,$B152,[0]!Turno,F$101)</f>
        <v>0</v>
      </c>
      <c r="G151" s="62">
        <f>SUMIFS([0]!Capriles,[0]!Centro,$B152,[0]!Turno,G$101)</f>
        <v>2</v>
      </c>
      <c r="H151" s="62">
        <f>SUMIFS([0]!Capriles,[0]!Centro,$B152,[0]!Turno,H$101)</f>
        <v>21</v>
      </c>
      <c r="I151" s="62">
        <f>SUMIFS([0]!Capriles,[0]!Centro,$B152,[0]!Turno,I$101)</f>
        <v>17</v>
      </c>
      <c r="J151" s="62">
        <f>SUMIFS([0]!Capriles,[0]!Centro,$B152,[0]!Turno,J$101)</f>
        <v>0</v>
      </c>
      <c r="K151" s="62">
        <f>SUMIFS([0]!Capriles,[0]!Centro,$B152,[0]!Turno,K$101)</f>
        <v>20</v>
      </c>
      <c r="L151" s="62">
        <f>SUMIFS([0]!Capriles,[0]!Centro,$B152,[0]!Turno,L$101)</f>
        <v>9</v>
      </c>
      <c r="M151" s="62">
        <f>SUMIFS([0]!Capriles,[0]!Centro,$B152,[0]!Turno,M$101)</f>
        <v>20</v>
      </c>
      <c r="N151" s="62">
        <f>SUMIFS([0]!Capriles,[0]!Centro,$B152,[0]!Turno,N$101)</f>
        <v>7</v>
      </c>
      <c r="O151" s="62">
        <f>SUMIFS([0]!Capriles,[0]!Centro,$B152,[0]!Turno,O$101)</f>
        <v>0</v>
      </c>
      <c r="P151" s="62">
        <f>SUMIFS([0]!Capriles,[0]!Centro,$B152,[0]!Turno,P$101)</f>
        <v>0</v>
      </c>
      <c r="Q151" s="62">
        <f>SUMIFS([0]!Capriles,[0]!Centro,$B152,[0]!Turno,Q$101)</f>
        <v>5</v>
      </c>
      <c r="R151" s="62">
        <f>SUMIFS([0]!Capriles,[0]!Centro,$B152,[0]!Turno,R$101)</f>
        <v>0</v>
      </c>
      <c r="S151" s="62">
        <f>SUMIFS([0]!Capriles,[0]!Centro,$B152,[0]!Turno,S$101)</f>
        <v>0</v>
      </c>
      <c r="T151" s="62">
        <f>SUMIFS([0]!Capriles,[0]!Centro,$B152,[0]!Turno,T$101)</f>
        <v>0</v>
      </c>
      <c r="U151" s="62">
        <f>SUMIFS([0]!Capriles,[0]!Centro,$B152,[0]!Turno,U$101)</f>
        <v>0</v>
      </c>
      <c r="V151" s="62">
        <f>SUMIFS([0]!Capriles,[0]!Centro,$B152,[0]!Turno,V$101)</f>
        <v>0</v>
      </c>
      <c r="W151" s="62">
        <f>SUMIFS([0]!Capriles,[0]!Centro,$B152,[0]!Turno,W$101)</f>
        <v>0</v>
      </c>
      <c r="X151" s="62">
        <f>SUMIFS([0]!Capriles,[0]!Centro,$B152,[0]!Turno,X$101)</f>
        <v>0</v>
      </c>
      <c r="Y151" s="70">
        <f>SUMIFS([0]!Capriles,[0]!Centro,$B152,[0]!Turno,Y$101)</f>
        <v>0</v>
      </c>
    </row>
    <row r="152" spans="2:25" ht="15" customHeight="1" thickBot="1" x14ac:dyDescent="0.25">
      <c r="B152" s="261">
        <v>39</v>
      </c>
      <c r="C152" s="100">
        <f>E152/SUM(E150:E152)</f>
        <v>6.0975609756097563E-3</v>
      </c>
      <c r="D152" s="71" t="s">
        <v>2</v>
      </c>
      <c r="E152" s="72">
        <f t="shared" si="551"/>
        <v>1</v>
      </c>
      <c r="F152" s="72">
        <f>SUMIFS([0]!Otro,[0]!Centro,$B152,[0]!Turno,F$101)</f>
        <v>0</v>
      </c>
      <c r="G152" s="72">
        <f>SUMIFS([0]!Otro,[0]!Centro,$B152,[0]!Turno,G$101)</f>
        <v>0</v>
      </c>
      <c r="H152" s="72">
        <f>SUMIFS([0]!Otro,[0]!Centro,$B152,[0]!Turno,H$101)</f>
        <v>0</v>
      </c>
      <c r="I152" s="72">
        <f>SUMIFS([0]!Otro,[0]!Centro,$B152,[0]!Turno,I$101)</f>
        <v>0</v>
      </c>
      <c r="J152" s="72">
        <f>SUMIFS([0]!Otro,[0]!Centro,$B152,[0]!Turno,J$101)</f>
        <v>0</v>
      </c>
      <c r="K152" s="72">
        <f>SUMIFS([0]!Otro,[0]!Centro,$B152,[0]!Turno,K$101)</f>
        <v>0</v>
      </c>
      <c r="L152" s="72">
        <f>SUMIFS([0]!Otro,[0]!Centro,$B152,[0]!Turno,L$101)</f>
        <v>1</v>
      </c>
      <c r="M152" s="72">
        <f>SUMIFS([0]!Otro,[0]!Centro,$B152,[0]!Turno,M$101)</f>
        <v>0</v>
      </c>
      <c r="N152" s="72">
        <f>SUMIFS([0]!Otro,[0]!Centro,$B152,[0]!Turno,N$101)</f>
        <v>0</v>
      </c>
      <c r="O152" s="72">
        <f>SUMIFS([0]!Otro,[0]!Centro,$B152,[0]!Turno,O$101)</f>
        <v>0</v>
      </c>
      <c r="P152" s="72">
        <f>SUMIFS([0]!Otro,[0]!Centro,$B152,[0]!Turno,P$101)</f>
        <v>0</v>
      </c>
      <c r="Q152" s="72">
        <f>SUMIFS([0]!Otro,[0]!Centro,$B152,[0]!Turno,Q$101)</f>
        <v>0</v>
      </c>
      <c r="R152" s="72">
        <f>SUMIFS([0]!Otro,[0]!Centro,$B152,[0]!Turno,R$101)</f>
        <v>0</v>
      </c>
      <c r="S152" s="72">
        <f>SUMIFS([0]!Otro,[0]!Centro,$B152,[0]!Turno,S$101)</f>
        <v>0</v>
      </c>
      <c r="T152" s="72">
        <f>SUMIFS([0]!Otro,[0]!Centro,$B152,[0]!Turno,T$101)</f>
        <v>0</v>
      </c>
      <c r="U152" s="72">
        <f>SUMIFS([0]!Otro,[0]!Centro,$B152,[0]!Turno,U$101)</f>
        <v>0</v>
      </c>
      <c r="V152" s="72">
        <f>SUMIFS([0]!Otro,[0]!Centro,$B152,[0]!Turno,V$101)</f>
        <v>0</v>
      </c>
      <c r="W152" s="72">
        <f>SUMIFS([0]!Otro,[0]!Centro,$B152,[0]!Turno,W$101)</f>
        <v>0</v>
      </c>
      <c r="X152" s="72">
        <f>SUMIFS([0]!Otro,[0]!Centro,$B152,[0]!Turno,X$101)</f>
        <v>0</v>
      </c>
      <c r="Y152" s="73">
        <f>SUMIFS([0]!Otro,[0]!Centro,$B152,[0]!Turno,Y$101)</f>
        <v>0</v>
      </c>
    </row>
    <row r="153" spans="2:25" ht="15" customHeight="1" x14ac:dyDescent="0.2">
      <c r="B153" s="261"/>
      <c r="C153" s="94">
        <f>E153/SUM(E153:E155)</f>
        <v>0.37804878048780488</v>
      </c>
      <c r="D153" s="63" t="s">
        <v>0</v>
      </c>
      <c r="E153" s="150">
        <f>IF((E150+E151+E152)=0,0,(E150*$B154)/(E150+E151+E152))</f>
        <v>3.1127733248494126E-2</v>
      </c>
      <c r="F153" s="150">
        <f>IF((F150+F151+F152)=0,0,(F150*$B154)/(F150+F151+F152))</f>
        <v>0</v>
      </c>
      <c r="G153" s="150">
        <f t="shared" ref="G153" si="840">IF((G150+G151+G152)=0,0,(G150*$B154)/(G150+G151+G152))</f>
        <v>5.881276788885987E-2</v>
      </c>
      <c r="H153" s="150">
        <f t="shared" ref="H153" si="841">IF((H150+H151+H152)=0,0,(H150*$B154)/(H150+H151+H152))</f>
        <v>3.2935150017761525E-2</v>
      </c>
      <c r="I153" s="150">
        <f t="shared" ref="I153" si="842">IF((I150+I151+I152)=0,0,(I150*$B154)/(I150+I151+I152))</f>
        <v>2.6348120014209223E-2</v>
      </c>
      <c r="J153" s="150">
        <f t="shared" ref="J153" si="843">IF((J150+J151+J152)=0,0,(J150*$B154)/(J150+J151+J152))</f>
        <v>0</v>
      </c>
      <c r="K153" s="150">
        <f t="shared" ref="K153" si="844">IF((K150+K151+K152)=0,0,(K150*$B154)/(K150+K151+K152))</f>
        <v>1.0739722831878759E-2</v>
      </c>
      <c r="L153" s="150">
        <f t="shared" ref="L153" si="845">IF((L150+L151+L152)=0,0,(L150*$B154)/(L150+L151+L152))</f>
        <v>4.8030427109235559E-2</v>
      </c>
      <c r="M153" s="150">
        <f t="shared" ref="M153" si="846">IF((M150+M151+M152)=0,0,(M150*$B154)/(M150+M151+M152))</f>
        <v>1.6467575008880762E-2</v>
      </c>
      <c r="N153" s="150">
        <f t="shared" ref="N153" si="847">IF((N150+N151+N152)=0,0,(N150*$B154)/(N150+N151+N152))</f>
        <v>5.3519618778862486E-2</v>
      </c>
      <c r="O153" s="150">
        <f t="shared" ref="O153" si="848">IF((O150+O151+O152)=0,0,(O150*$B154)/(O150+O151+O152))</f>
        <v>0</v>
      </c>
      <c r="P153" s="150">
        <f t="shared" ref="P153" si="849">IF((P150+P151+P152)=0,0,(P150*$B154)/(P150+P151+P152))</f>
        <v>0</v>
      </c>
      <c r="Q153" s="150">
        <f t="shared" ref="Q153" si="850">IF((Q150+Q151+Q152)=0,0,(Q150*$B154)/(Q150+Q151+Q152))</f>
        <v>0</v>
      </c>
      <c r="R153" s="150">
        <f t="shared" ref="R153" si="851">IF((R150+R151+R152)=0,0,(R150*$B154)/(R150+R151+R152))</f>
        <v>0</v>
      </c>
      <c r="S153" s="150">
        <f t="shared" ref="S153" si="852">IF((S150+S151+S152)=0,0,(S150*$B154)/(S150+S151+S152))</f>
        <v>0</v>
      </c>
      <c r="T153" s="150">
        <f t="shared" ref="T153" si="853">IF((T150+T151+T152)=0,0,(T150*$B154)/(T150+T151+T152))</f>
        <v>0</v>
      </c>
      <c r="U153" s="150">
        <f t="shared" ref="U153" si="854">IF((U150+U151+U152)=0,0,(U150*$B154)/(U150+U151+U152))</f>
        <v>0</v>
      </c>
      <c r="V153" s="150">
        <f t="shared" ref="V153" si="855">IF((V150+V151+V152)=0,0,(V150*$B154)/(V150+V151+V152))</f>
        <v>0</v>
      </c>
      <c r="W153" s="150">
        <f t="shared" ref="W153" si="856">IF((W150+W151+W152)=0,0,(W150*$B154)/(W150+W151+W152))</f>
        <v>0</v>
      </c>
      <c r="X153" s="150">
        <f t="shared" ref="X153" si="857">IF((X150+X151+X152)=0,0,(X150*$B154)/(X150+X151+X152))</f>
        <v>0</v>
      </c>
      <c r="Y153" s="163">
        <f t="shared" ref="Y153" si="858">IF((Y150+Y151+Y152)=0,0,(Y150*$B154)/(Y150+Y151+Y152))</f>
        <v>0</v>
      </c>
    </row>
    <row r="154" spans="2:25" ht="15" customHeight="1" x14ac:dyDescent="0.2">
      <c r="B154" s="254">
        <v>8.2337875044403819E-2</v>
      </c>
      <c r="C154" s="92">
        <f>E154/SUM(E153:E155)</f>
        <v>0.61585365853658536</v>
      </c>
      <c r="D154" s="61" t="s">
        <v>1</v>
      </c>
      <c r="E154" s="154">
        <f>IF((E150+E151+E152)=0,0,(E151*$B154)/(E150+E151+E152))</f>
        <v>5.0708081582224306E-2</v>
      </c>
      <c r="F154" s="154">
        <f>IF((F150+F151+F152)=0,0,(F151*$B154)/(F150+F151+F152))</f>
        <v>0</v>
      </c>
      <c r="G154" s="154">
        <f t="shared" ref="G154:O154" si="859">IF((G150+G151+G152)=0,0,(G151*$B154)/(G150+G151+G152))</f>
        <v>2.3525107155543949E-2</v>
      </c>
      <c r="H154" s="154">
        <f t="shared" si="859"/>
        <v>4.9402725026642294E-2</v>
      </c>
      <c r="I154" s="154">
        <f t="shared" si="859"/>
        <v>5.5989755030194599E-2</v>
      </c>
      <c r="J154" s="154">
        <f t="shared" si="859"/>
        <v>0</v>
      </c>
      <c r="K154" s="154">
        <f t="shared" si="859"/>
        <v>7.1598152212525065E-2</v>
      </c>
      <c r="L154" s="154">
        <f t="shared" si="859"/>
        <v>3.0876703141651432E-2</v>
      </c>
      <c r="M154" s="154">
        <f t="shared" si="859"/>
        <v>6.5870300035523049E-2</v>
      </c>
      <c r="N154" s="154">
        <f t="shared" si="859"/>
        <v>2.8818256265541336E-2</v>
      </c>
      <c r="O154" s="154">
        <f t="shared" si="859"/>
        <v>0</v>
      </c>
      <c r="P154" s="154">
        <f>IF((P150+P151+P152)=0,0,(P151*$B154)/(P150+P151+P152))</f>
        <v>0</v>
      </c>
      <c r="Q154" s="154">
        <f t="shared" ref="Q154:Y154" si="860">IF((Q150+Q151+Q152)=0,0,(Q151*$B154)/(Q150+Q151+Q152))</f>
        <v>8.2337875044403819E-2</v>
      </c>
      <c r="R154" s="154">
        <f t="shared" si="860"/>
        <v>0</v>
      </c>
      <c r="S154" s="154">
        <f t="shared" si="860"/>
        <v>0</v>
      </c>
      <c r="T154" s="154">
        <f t="shared" si="860"/>
        <v>0</v>
      </c>
      <c r="U154" s="154">
        <f t="shared" si="860"/>
        <v>0</v>
      </c>
      <c r="V154" s="154">
        <f t="shared" si="860"/>
        <v>0</v>
      </c>
      <c r="W154" s="154">
        <f t="shared" si="860"/>
        <v>0</v>
      </c>
      <c r="X154" s="154">
        <f t="shared" si="860"/>
        <v>0</v>
      </c>
      <c r="Y154" s="159">
        <f t="shared" si="860"/>
        <v>0</v>
      </c>
    </row>
    <row r="155" spans="2:25" ht="15" customHeight="1" thickBot="1" x14ac:dyDescent="0.25">
      <c r="B155" s="255"/>
      <c r="C155" s="93">
        <f>E155/SUM(E153:E155)</f>
        <v>6.0975609756097563E-3</v>
      </c>
      <c r="D155" s="75" t="s">
        <v>2</v>
      </c>
      <c r="E155" s="155">
        <f>IF((E150+E151+E152)=0,0,(E152*$B154)/(E150+E151+E152))</f>
        <v>5.0206021368538918E-4</v>
      </c>
      <c r="F155" s="155">
        <f>IF((F150+F151+F152)=0,0,(F152*$B154)/(F150+F151+F152))</f>
        <v>0</v>
      </c>
      <c r="G155" s="155">
        <f t="shared" ref="G155" si="861">IF((G150+G151+G152)=0,0,(G152*$B154)/(G150+G151+G152))</f>
        <v>0</v>
      </c>
      <c r="H155" s="155">
        <f t="shared" ref="H155" si="862">IF((H150+H151+H152)=0,0,(H152*$B154)/(H150+H151+H152))</f>
        <v>0</v>
      </c>
      <c r="I155" s="155">
        <f t="shared" ref="I155" si="863">IF((I150+I151+I152)=0,0,(I152*$B154)/(I150+I151+I152))</f>
        <v>0</v>
      </c>
      <c r="J155" s="155">
        <f t="shared" ref="J155" si="864">IF((J150+J151+J152)=0,0,(J152*$B154)/(J150+J151+J152))</f>
        <v>0</v>
      </c>
      <c r="K155" s="155">
        <f t="shared" ref="K155" si="865">IF((K150+K151+K152)=0,0,(K152*$B154)/(K150+K151+K152))</f>
        <v>0</v>
      </c>
      <c r="L155" s="155">
        <f t="shared" ref="L155" si="866">IF((L150+L151+L152)=0,0,(L152*$B154)/(L150+L151+L152))</f>
        <v>3.4307447935168259E-3</v>
      </c>
      <c r="M155" s="155">
        <f t="shared" ref="M155" si="867">IF((M150+M151+M152)=0,0,(M152*$B154)/(M150+M151+M152))</f>
        <v>0</v>
      </c>
      <c r="N155" s="155">
        <f t="shared" ref="N155" si="868">IF((N150+N151+N152)=0,0,(N152*$B154)/(N150+N151+N152))</f>
        <v>0</v>
      </c>
      <c r="O155" s="155">
        <f t="shared" ref="O155" si="869">IF((O150+O151+O152)=0,0,(O152*$B154)/(O150+O151+O152))</f>
        <v>0</v>
      </c>
      <c r="P155" s="155">
        <f t="shared" ref="P155" si="870">IF((P150+P151+P152)=0,0,(P152*$B154)/(P150+P151+P152))</f>
        <v>0</v>
      </c>
      <c r="Q155" s="155">
        <f t="shared" ref="Q155" si="871">IF((Q150+Q151+Q152)=0,0,(Q152*$B154)/(Q150+Q151+Q152))</f>
        <v>0</v>
      </c>
      <c r="R155" s="155">
        <f t="shared" ref="R155" si="872">IF((R150+R151+R152)=0,0,(R152*$B154)/(R150+R151+R152))</f>
        <v>0</v>
      </c>
      <c r="S155" s="155">
        <f t="shared" ref="S155" si="873">IF((S150+S151+S152)=0,0,(S152*$B154)/(S150+S151+S152))</f>
        <v>0</v>
      </c>
      <c r="T155" s="155">
        <f t="shared" ref="T155" si="874">IF((T150+T151+T152)=0,0,(T152*$B154)/(T150+T151+T152))</f>
        <v>0</v>
      </c>
      <c r="U155" s="155">
        <f t="shared" ref="U155" si="875">IF((U150+U151+U152)=0,0,(U152*$B154)/(U150+U151+U152))</f>
        <v>0</v>
      </c>
      <c r="V155" s="155">
        <f t="shared" ref="V155" si="876">IF((V150+V151+V152)=0,0,(V152*$B154)/(V150+V151+V152))</f>
        <v>0</v>
      </c>
      <c r="W155" s="155">
        <f t="shared" ref="W155" si="877">IF((W150+W151+W152)=0,0,(W152*$B154)/(W150+W151+W152))</f>
        <v>0</v>
      </c>
      <c r="X155" s="155">
        <f t="shared" ref="X155" si="878">IF((X150+X151+X152)=0,0,(X152*$B154)/(X150+X151+X152))</f>
        <v>0</v>
      </c>
      <c r="Y155" s="160">
        <f t="shared" ref="Y155" si="879">IF((Y150+Y151+Y152)=0,0,(Y152*$B154)/(Y150+Y151+Y152))</f>
        <v>0</v>
      </c>
    </row>
    <row r="156" spans="2:25" ht="15" customHeight="1" x14ac:dyDescent="0.2">
      <c r="B156" s="250" t="s">
        <v>56</v>
      </c>
      <c r="C156" s="91">
        <f>E156/SUM(E156:E158)</f>
        <v>0.58881578947368418</v>
      </c>
      <c r="D156" s="67" t="s">
        <v>0</v>
      </c>
      <c r="E156" s="68">
        <f t="shared" si="551"/>
        <v>179</v>
      </c>
      <c r="F156" s="68">
        <f>SUMIFS([0]!Chavez,[0]!Centro,$B158,[0]!Turno,F$101)</f>
        <v>26</v>
      </c>
      <c r="G156" s="68">
        <f>SUMIFS([0]!Chavez,[0]!Centro,$B158,[0]!Turno,G$101)</f>
        <v>29</v>
      </c>
      <c r="H156" s="68">
        <f>SUMIFS([0]!Chavez,[0]!Centro,$B158,[0]!Turno,H$101)</f>
        <v>0</v>
      </c>
      <c r="I156" s="68">
        <f>SUMIFS([0]!Chavez,[0]!Centro,$B158,[0]!Turno,I$101)</f>
        <v>16</v>
      </c>
      <c r="J156" s="68">
        <f>SUMIFS([0]!Chavez,[0]!Centro,$B158,[0]!Turno,J$101)</f>
        <v>15</v>
      </c>
      <c r="K156" s="68">
        <f>SUMIFS([0]!Chavez,[0]!Centro,$B158,[0]!Turno,K$101)</f>
        <v>11</v>
      </c>
      <c r="L156" s="68">
        <f>SUMIFS([0]!Chavez,[0]!Centro,$B158,[0]!Turno,L$101)</f>
        <v>23</v>
      </c>
      <c r="M156" s="68">
        <f>SUMIFS([0]!Chavez,[0]!Centro,$B158,[0]!Turno,M$101)</f>
        <v>34</v>
      </c>
      <c r="N156" s="68">
        <f>SUMIFS([0]!Chavez,[0]!Centro,$B158,[0]!Turno,N$101)</f>
        <v>17</v>
      </c>
      <c r="O156" s="68">
        <f>SUMIFS([0]!Chavez,[0]!Centro,$B158,[0]!Turno,O$101)</f>
        <v>0</v>
      </c>
      <c r="P156" s="68">
        <f>SUMIFS([0]!Chavez,[0]!Centro,$B158,[0]!Turno,P$101)</f>
        <v>0</v>
      </c>
      <c r="Q156" s="68">
        <f>SUMIFS([0]!Chavez,[0]!Centro,$B158,[0]!Turno,Q$101)</f>
        <v>8</v>
      </c>
      <c r="R156" s="68">
        <f>SUMIFS([0]!Chavez,[0]!Centro,$B158,[0]!Turno,R$101)</f>
        <v>0</v>
      </c>
      <c r="S156" s="68">
        <f>SUMIFS([0]!Chavez,[0]!Centro,$B158,[0]!Turno,S$101)</f>
        <v>0</v>
      </c>
      <c r="T156" s="68">
        <f>SUMIFS([0]!Chavez,[0]!Centro,$B158,[0]!Turno,T$101)</f>
        <v>0</v>
      </c>
      <c r="U156" s="68">
        <f>SUMIFS([0]!Chavez,[0]!Centro,$B158,[0]!Turno,U$101)</f>
        <v>0</v>
      </c>
      <c r="V156" s="68">
        <f>SUMIFS([0]!Chavez,[0]!Centro,$B158,[0]!Turno,V$101)</f>
        <v>0</v>
      </c>
      <c r="W156" s="68">
        <f>SUMIFS([0]!Chavez,[0]!Centro,$B158,[0]!Turno,W$101)</f>
        <v>0</v>
      </c>
      <c r="X156" s="68">
        <f>SUMIFS([0]!Chavez,[0]!Centro,$B158,[0]!Turno,X$101)</f>
        <v>0</v>
      </c>
      <c r="Y156" s="69">
        <f>SUMIFS([0]!Chavez,[0]!Centro,$B158,[0]!Turno,Y$101)</f>
        <v>0</v>
      </c>
    </row>
    <row r="157" spans="2:25" ht="15" customHeight="1" x14ac:dyDescent="0.2">
      <c r="B157" s="250"/>
      <c r="C157" s="92">
        <f>E157/SUM(E156:E158)</f>
        <v>0.40460526315789475</v>
      </c>
      <c r="D157" s="61" t="s">
        <v>1</v>
      </c>
      <c r="E157" s="62">
        <f t="shared" si="551"/>
        <v>123</v>
      </c>
      <c r="F157" s="62">
        <f>SUMIFS([0]!Capriles,[0]!Centro,$B158,[0]!Turno,F$101)</f>
        <v>22</v>
      </c>
      <c r="G157" s="62">
        <f>SUMIFS([0]!Capriles,[0]!Centro,$B158,[0]!Turno,G$101)</f>
        <v>20</v>
      </c>
      <c r="H157" s="62">
        <f>SUMIFS([0]!Capriles,[0]!Centro,$B158,[0]!Turno,H$101)</f>
        <v>0</v>
      </c>
      <c r="I157" s="62">
        <f>SUMIFS([0]!Capriles,[0]!Centro,$B158,[0]!Turno,I$101)</f>
        <v>4</v>
      </c>
      <c r="J157" s="62">
        <f>SUMIFS([0]!Capriles,[0]!Centro,$B158,[0]!Turno,J$101)</f>
        <v>6</v>
      </c>
      <c r="K157" s="62">
        <f>SUMIFS([0]!Capriles,[0]!Centro,$B158,[0]!Turno,K$101)</f>
        <v>7</v>
      </c>
      <c r="L157" s="62">
        <f>SUMIFS([0]!Capriles,[0]!Centro,$B158,[0]!Turno,L$101)</f>
        <v>8</v>
      </c>
      <c r="M157" s="62">
        <f>SUMIFS([0]!Capriles,[0]!Centro,$B158,[0]!Turno,M$101)</f>
        <v>19</v>
      </c>
      <c r="N157" s="62">
        <f>SUMIFS([0]!Capriles,[0]!Centro,$B158,[0]!Turno,N$101)</f>
        <v>5</v>
      </c>
      <c r="O157" s="62">
        <f>SUMIFS([0]!Capriles,[0]!Centro,$B158,[0]!Turno,O$101)</f>
        <v>0</v>
      </c>
      <c r="P157" s="62">
        <f>SUMIFS([0]!Capriles,[0]!Centro,$B158,[0]!Turno,P$101)</f>
        <v>0</v>
      </c>
      <c r="Q157" s="62">
        <f>SUMIFS([0]!Capriles,[0]!Centro,$B158,[0]!Turno,Q$101)</f>
        <v>32</v>
      </c>
      <c r="R157" s="62">
        <f>SUMIFS([0]!Capriles,[0]!Centro,$B158,[0]!Turno,R$101)</f>
        <v>0</v>
      </c>
      <c r="S157" s="62">
        <f>SUMIFS([0]!Capriles,[0]!Centro,$B158,[0]!Turno,S$101)</f>
        <v>0</v>
      </c>
      <c r="T157" s="62">
        <f>SUMIFS([0]!Capriles,[0]!Centro,$B158,[0]!Turno,T$101)</f>
        <v>0</v>
      </c>
      <c r="U157" s="62">
        <f>SUMIFS([0]!Capriles,[0]!Centro,$B158,[0]!Turno,U$101)</f>
        <v>0</v>
      </c>
      <c r="V157" s="62">
        <f>SUMIFS([0]!Capriles,[0]!Centro,$B158,[0]!Turno,V$101)</f>
        <v>0</v>
      </c>
      <c r="W157" s="62">
        <f>SUMIFS([0]!Capriles,[0]!Centro,$B158,[0]!Turno,W$101)</f>
        <v>0</v>
      </c>
      <c r="X157" s="62">
        <f>SUMIFS([0]!Capriles,[0]!Centro,$B158,[0]!Turno,X$101)</f>
        <v>0</v>
      </c>
      <c r="Y157" s="70">
        <f>SUMIFS([0]!Capriles,[0]!Centro,$B158,[0]!Turno,Y$101)</f>
        <v>0</v>
      </c>
    </row>
    <row r="158" spans="2:25" ht="15" customHeight="1" thickBot="1" x14ac:dyDescent="0.25">
      <c r="B158" s="261">
        <v>40</v>
      </c>
      <c r="C158" s="100">
        <f>E158/SUM(E156:E158)</f>
        <v>6.5789473684210523E-3</v>
      </c>
      <c r="D158" s="71" t="s">
        <v>2</v>
      </c>
      <c r="E158" s="72">
        <f t="shared" si="551"/>
        <v>2</v>
      </c>
      <c r="F158" s="72">
        <f>SUMIFS([0]!Otro,[0]!Centro,$B158,[0]!Turno,F$101)</f>
        <v>0</v>
      </c>
      <c r="G158" s="72">
        <f>SUMIFS([0]!Otro,[0]!Centro,$B158,[0]!Turno,G$101)</f>
        <v>2</v>
      </c>
      <c r="H158" s="72">
        <f>SUMIFS([0]!Otro,[0]!Centro,$B158,[0]!Turno,H$101)</f>
        <v>0</v>
      </c>
      <c r="I158" s="72">
        <f>SUMIFS([0]!Otro,[0]!Centro,$B158,[0]!Turno,I$101)</f>
        <v>0</v>
      </c>
      <c r="J158" s="72">
        <f>SUMIFS([0]!Otro,[0]!Centro,$B158,[0]!Turno,J$101)</f>
        <v>0</v>
      </c>
      <c r="K158" s="72">
        <f>SUMIFS([0]!Otro,[0]!Centro,$B158,[0]!Turno,K$101)</f>
        <v>0</v>
      </c>
      <c r="L158" s="72">
        <f>SUMIFS([0]!Otro,[0]!Centro,$B158,[0]!Turno,L$101)</f>
        <v>0</v>
      </c>
      <c r="M158" s="72">
        <f>SUMIFS([0]!Otro,[0]!Centro,$B158,[0]!Turno,M$101)</f>
        <v>0</v>
      </c>
      <c r="N158" s="72">
        <f>SUMIFS([0]!Otro,[0]!Centro,$B158,[0]!Turno,N$101)</f>
        <v>0</v>
      </c>
      <c r="O158" s="72">
        <f>SUMIFS([0]!Otro,[0]!Centro,$B158,[0]!Turno,O$101)</f>
        <v>0</v>
      </c>
      <c r="P158" s="72">
        <f>SUMIFS([0]!Otro,[0]!Centro,$B158,[0]!Turno,P$101)</f>
        <v>0</v>
      </c>
      <c r="Q158" s="72">
        <f>SUMIFS([0]!Otro,[0]!Centro,$B158,[0]!Turno,Q$101)</f>
        <v>0</v>
      </c>
      <c r="R158" s="72">
        <f>SUMIFS([0]!Otro,[0]!Centro,$B158,[0]!Turno,R$101)</f>
        <v>0</v>
      </c>
      <c r="S158" s="72">
        <f>SUMIFS([0]!Otro,[0]!Centro,$B158,[0]!Turno,S$101)</f>
        <v>0</v>
      </c>
      <c r="T158" s="72">
        <f>SUMIFS([0]!Otro,[0]!Centro,$B158,[0]!Turno,T$101)</f>
        <v>0</v>
      </c>
      <c r="U158" s="72">
        <f>SUMIFS([0]!Otro,[0]!Centro,$B158,[0]!Turno,U$101)</f>
        <v>0</v>
      </c>
      <c r="V158" s="72">
        <f>SUMIFS([0]!Otro,[0]!Centro,$B158,[0]!Turno,V$101)</f>
        <v>0</v>
      </c>
      <c r="W158" s="72">
        <f>SUMIFS([0]!Otro,[0]!Centro,$B158,[0]!Turno,W$101)</f>
        <v>0</v>
      </c>
      <c r="X158" s="72">
        <f>SUMIFS([0]!Otro,[0]!Centro,$B158,[0]!Turno,X$101)</f>
        <v>0</v>
      </c>
      <c r="Y158" s="73">
        <f>SUMIFS([0]!Otro,[0]!Centro,$B158,[0]!Turno,Y$101)</f>
        <v>0</v>
      </c>
    </row>
    <row r="159" spans="2:25" ht="15" customHeight="1" x14ac:dyDescent="0.2">
      <c r="B159" s="261"/>
      <c r="C159" s="94">
        <f>E159/SUM(E159:E161)</f>
        <v>0.58881578947368418</v>
      </c>
      <c r="D159" s="63" t="s">
        <v>0</v>
      </c>
      <c r="E159" s="150">
        <f>IF((E156+E157+E158)=0,0,(E156*$B160)/(E156+E157+E158))</f>
        <v>5.4632592163695787E-2</v>
      </c>
      <c r="F159" s="150">
        <f>IF((F156+F157+F158)=0,0,(F156*$B160)/(F156+F157+F158))</f>
        <v>5.0257915323772294E-2</v>
      </c>
      <c r="G159" s="150">
        <f t="shared" ref="G159" si="880">IF((G156+G157+G158)=0,0,(G156*$B160)/(G156+G157+G158))</f>
        <v>5.2759440520883126E-2</v>
      </c>
      <c r="H159" s="150">
        <f t="shared" ref="H159" si="881">IF((H156+H157+H158)=0,0,(H156*$B160)/(H156+H157+H158))</f>
        <v>0</v>
      </c>
      <c r="I159" s="150">
        <f t="shared" ref="I159" si="882">IF((I156+I157+I158)=0,0,(I156*$B160)/(I156+I157+I158))</f>
        <v>7.4227074939725218E-2</v>
      </c>
      <c r="J159" s="150">
        <f t="shared" ref="J159" si="883">IF((J156+J157+J158)=0,0,(J156*$B160)/(J156+J157+J158))</f>
        <v>6.6274174053326085E-2</v>
      </c>
      <c r="K159" s="150">
        <f t="shared" ref="K159" si="884">IF((K156+K157+K158)=0,0,(K156*$B160)/(K156+K157+K158))</f>
        <v>5.6701237801178986E-2</v>
      </c>
      <c r="L159" s="150">
        <f t="shared" ref="L159" si="885">IF((L156+L157+L158)=0,0,(L156*$B160)/(L156+L157+L158))</f>
        <v>6.8839625952164515E-2</v>
      </c>
      <c r="M159" s="150">
        <f t="shared" ref="M159" si="886">IF((M156+M157+M158)=0,0,(M156*$B160)/(M156+M157+M158))</f>
        <v>5.9521711036572118E-2</v>
      </c>
      <c r="N159" s="150">
        <f t="shared" ref="N159" si="887">IF((N156+N157+N158)=0,0,(N156*$B160)/(N156+N157+N158))</f>
        <v>7.1696606475870964E-2</v>
      </c>
      <c r="O159" s="150">
        <f t="shared" ref="O159" si="888">IF((O156+O157+O158)=0,0,(O156*$B160)/(O156+O157+O158))</f>
        <v>0</v>
      </c>
      <c r="P159" s="150">
        <f t="shared" ref="P159" si="889">IF((P156+P157+P158)=0,0,(P156*$B160)/(P156+P157+P158))</f>
        <v>0</v>
      </c>
      <c r="Q159" s="150">
        <f t="shared" ref="Q159" si="890">IF((Q156+Q157+Q158)=0,0,(Q156*$B160)/(Q156+Q157+Q158))</f>
        <v>1.8556768734931305E-2</v>
      </c>
      <c r="R159" s="150">
        <f t="shared" ref="R159" si="891">IF((R156+R157+R158)=0,0,(R156*$B160)/(R156+R157+R158))</f>
        <v>0</v>
      </c>
      <c r="S159" s="150">
        <f t="shared" ref="S159" si="892">IF((S156+S157+S158)=0,0,(S156*$B160)/(S156+S157+S158))</f>
        <v>0</v>
      </c>
      <c r="T159" s="150">
        <f t="shared" ref="T159" si="893">IF((T156+T157+T158)=0,0,(T156*$B160)/(T156+T157+T158))</f>
        <v>0</v>
      </c>
      <c r="U159" s="150">
        <f t="shared" ref="U159" si="894">IF((U156+U157+U158)=0,0,(U156*$B160)/(U156+U157+U158))</f>
        <v>0</v>
      </c>
      <c r="V159" s="150">
        <f t="shared" ref="V159" si="895">IF((V156+V157+V158)=0,0,(V156*$B160)/(V156+V157+V158))</f>
        <v>0</v>
      </c>
      <c r="W159" s="150">
        <f t="shared" ref="W159" si="896">IF((W156+W157+W158)=0,0,(W156*$B160)/(W156+W157+W158))</f>
        <v>0</v>
      </c>
      <c r="X159" s="150">
        <f t="shared" ref="X159" si="897">IF((X156+X157+X158)=0,0,(X156*$B160)/(X156+X157+X158))</f>
        <v>0</v>
      </c>
      <c r="Y159" s="163">
        <f t="shared" ref="Y159" si="898">IF((Y156+Y157+Y158)=0,0,(Y156*$B160)/(Y156+Y157+Y158))</f>
        <v>0</v>
      </c>
    </row>
    <row r="160" spans="2:25" ht="15" customHeight="1" x14ac:dyDescent="0.2">
      <c r="B160" s="254">
        <v>9.278384367465653E-2</v>
      </c>
      <c r="C160" s="92">
        <f>E160/SUM(E159:E161)</f>
        <v>0.40460526315789475</v>
      </c>
      <c r="D160" s="61" t="s">
        <v>1</v>
      </c>
      <c r="E160" s="154">
        <f>IF((E156+E157+E158)=0,0,(E157*$B160)/(E156+E157+E158))</f>
        <v>3.7540831486785373E-2</v>
      </c>
      <c r="F160" s="154">
        <f>IF((F156+F157+F158)=0,0,(F157*$B160)/(F156+F157+F158))</f>
        <v>4.2525928350884236E-2</v>
      </c>
      <c r="G160" s="154">
        <f t="shared" ref="G160:O160" si="899">IF((G156+G157+G158)=0,0,(G157*$B160)/(G156+G157+G158))</f>
        <v>3.6385821048884916E-2</v>
      </c>
      <c r="H160" s="154">
        <f t="shared" si="899"/>
        <v>0</v>
      </c>
      <c r="I160" s="154">
        <f t="shared" si="899"/>
        <v>1.8556768734931305E-2</v>
      </c>
      <c r="J160" s="154">
        <f t="shared" si="899"/>
        <v>2.6509669621330438E-2</v>
      </c>
      <c r="K160" s="154">
        <f t="shared" si="899"/>
        <v>3.6082605873477537E-2</v>
      </c>
      <c r="L160" s="154">
        <f t="shared" si="899"/>
        <v>2.3944217722492007E-2</v>
      </c>
      <c r="M160" s="154">
        <f t="shared" si="899"/>
        <v>3.3262132638084412E-2</v>
      </c>
      <c r="N160" s="154">
        <f t="shared" si="899"/>
        <v>2.1087237198785577E-2</v>
      </c>
      <c r="O160" s="154">
        <f t="shared" si="899"/>
        <v>0</v>
      </c>
      <c r="P160" s="154">
        <f>IF((P156+P157+P158)=0,0,(P157*$B160)/(P156+P157+P158))</f>
        <v>0</v>
      </c>
      <c r="Q160" s="154">
        <f t="shared" ref="Q160:Y160" si="900">IF((Q156+Q157+Q158)=0,0,(Q157*$B160)/(Q156+Q157+Q158))</f>
        <v>7.4227074939725218E-2</v>
      </c>
      <c r="R160" s="154">
        <f t="shared" si="900"/>
        <v>0</v>
      </c>
      <c r="S160" s="154">
        <f t="shared" si="900"/>
        <v>0</v>
      </c>
      <c r="T160" s="154">
        <f t="shared" si="900"/>
        <v>0</v>
      </c>
      <c r="U160" s="154">
        <f t="shared" si="900"/>
        <v>0</v>
      </c>
      <c r="V160" s="154">
        <f t="shared" si="900"/>
        <v>0</v>
      </c>
      <c r="W160" s="154">
        <f t="shared" si="900"/>
        <v>0</v>
      </c>
      <c r="X160" s="154">
        <f t="shared" si="900"/>
        <v>0</v>
      </c>
      <c r="Y160" s="159">
        <f t="shared" si="900"/>
        <v>0</v>
      </c>
    </row>
    <row r="161" spans="2:25" ht="15" customHeight="1" thickBot="1" x14ac:dyDescent="0.25">
      <c r="B161" s="255"/>
      <c r="C161" s="93">
        <f>E161/SUM(E159:E161)</f>
        <v>6.5789473684210523E-3</v>
      </c>
      <c r="D161" s="75" t="s">
        <v>2</v>
      </c>
      <c r="E161" s="155">
        <f>IF((E156+E157+E158)=0,0,(E158*$B160)/(E156+E157+E158))</f>
        <v>6.1042002417537186E-4</v>
      </c>
      <c r="F161" s="155">
        <f>IF((F156+F157+F158)=0,0,(F158*$B160)/(F156+F157+F158))</f>
        <v>0</v>
      </c>
      <c r="G161" s="155">
        <f t="shared" ref="G161" si="901">IF((G156+G157+G158)=0,0,(G158*$B160)/(G156+G157+G158))</f>
        <v>3.6385821048884916E-3</v>
      </c>
      <c r="H161" s="155">
        <f t="shared" ref="H161" si="902">IF((H156+H157+H158)=0,0,(H158*$B160)/(H156+H157+H158))</f>
        <v>0</v>
      </c>
      <c r="I161" s="155">
        <f t="shared" ref="I161" si="903">IF((I156+I157+I158)=0,0,(I158*$B160)/(I156+I157+I158))</f>
        <v>0</v>
      </c>
      <c r="J161" s="155">
        <f t="shared" ref="J161" si="904">IF((J156+J157+J158)=0,0,(J158*$B160)/(J156+J157+J158))</f>
        <v>0</v>
      </c>
      <c r="K161" s="155">
        <f t="shared" ref="K161" si="905">IF((K156+K157+K158)=0,0,(K158*$B160)/(K156+K157+K158))</f>
        <v>0</v>
      </c>
      <c r="L161" s="155">
        <f t="shared" ref="L161" si="906">IF((L156+L157+L158)=0,0,(L158*$B160)/(L156+L157+L158))</f>
        <v>0</v>
      </c>
      <c r="M161" s="155">
        <f t="shared" ref="M161" si="907">IF((M156+M157+M158)=0,0,(M158*$B160)/(M156+M157+M158))</f>
        <v>0</v>
      </c>
      <c r="N161" s="155">
        <f t="shared" ref="N161" si="908">IF((N156+N157+N158)=0,0,(N158*$B160)/(N156+N157+N158))</f>
        <v>0</v>
      </c>
      <c r="O161" s="155">
        <f t="shared" ref="O161" si="909">IF((O156+O157+O158)=0,0,(O158*$B160)/(O156+O157+O158))</f>
        <v>0</v>
      </c>
      <c r="P161" s="155">
        <f t="shared" ref="P161" si="910">IF((P156+P157+P158)=0,0,(P158*$B160)/(P156+P157+P158))</f>
        <v>0</v>
      </c>
      <c r="Q161" s="155">
        <f t="shared" ref="Q161" si="911">IF((Q156+Q157+Q158)=0,0,(Q158*$B160)/(Q156+Q157+Q158))</f>
        <v>0</v>
      </c>
      <c r="R161" s="155">
        <f t="shared" ref="R161" si="912">IF((R156+R157+R158)=0,0,(R158*$B160)/(R156+R157+R158))</f>
        <v>0</v>
      </c>
      <c r="S161" s="155">
        <f t="shared" ref="S161" si="913">IF((S156+S157+S158)=0,0,(S158*$B160)/(S156+S157+S158))</f>
        <v>0</v>
      </c>
      <c r="T161" s="155">
        <f t="shared" ref="T161" si="914">IF((T156+T157+T158)=0,0,(T158*$B160)/(T156+T157+T158))</f>
        <v>0</v>
      </c>
      <c r="U161" s="155">
        <f t="shared" ref="U161" si="915">IF((U156+U157+U158)=0,0,(U158*$B160)/(U156+U157+U158))</f>
        <v>0</v>
      </c>
      <c r="V161" s="155">
        <f t="shared" ref="V161" si="916">IF((V156+V157+V158)=0,0,(V158*$B160)/(V156+V157+V158))</f>
        <v>0</v>
      </c>
      <c r="W161" s="155">
        <f t="shared" ref="W161" si="917">IF((W156+W157+W158)=0,0,(W158*$B160)/(W156+W157+W158))</f>
        <v>0</v>
      </c>
      <c r="X161" s="155">
        <f t="shared" ref="X161" si="918">IF((X156+X157+X158)=0,0,(X158*$B160)/(X156+X157+X158))</f>
        <v>0</v>
      </c>
      <c r="Y161" s="160">
        <f t="shared" ref="Y161" si="919">IF((Y156+Y157+Y158)=0,0,(Y158*$B160)/(Y156+Y157+Y158))</f>
        <v>0</v>
      </c>
    </row>
    <row r="162" spans="2:25" ht="15" customHeight="1" thickBot="1" x14ac:dyDescent="0.25">
      <c r="B162" s="13" t="s">
        <v>3</v>
      </c>
      <c r="C162" s="12" t="s">
        <v>226</v>
      </c>
      <c r="D162" s="21" t="s">
        <v>4</v>
      </c>
      <c r="E162" s="13" t="s">
        <v>225</v>
      </c>
      <c r="F162" s="14">
        <v>1</v>
      </c>
      <c r="G162" s="14">
        <v>2</v>
      </c>
      <c r="H162" s="14">
        <v>3</v>
      </c>
      <c r="I162" s="14">
        <v>4</v>
      </c>
      <c r="J162" s="14">
        <v>5</v>
      </c>
      <c r="K162" s="14">
        <v>6</v>
      </c>
      <c r="L162" s="14">
        <v>7</v>
      </c>
      <c r="M162" s="14">
        <v>8</v>
      </c>
      <c r="N162" s="14">
        <v>9</v>
      </c>
      <c r="O162" s="14">
        <v>10</v>
      </c>
      <c r="P162" s="14">
        <v>11</v>
      </c>
      <c r="Q162" s="14">
        <v>12</v>
      </c>
      <c r="R162" s="14">
        <v>13</v>
      </c>
      <c r="S162" s="14">
        <v>14</v>
      </c>
      <c r="T162" s="14">
        <v>15</v>
      </c>
      <c r="U162" s="14">
        <v>16</v>
      </c>
      <c r="V162" s="14">
        <v>17</v>
      </c>
      <c r="W162" s="14">
        <v>18</v>
      </c>
      <c r="X162" s="14">
        <v>19</v>
      </c>
      <c r="Y162" s="14">
        <v>20</v>
      </c>
    </row>
    <row r="163" spans="2:25" ht="15" customHeight="1" x14ac:dyDescent="0.2">
      <c r="B163" s="262" t="s">
        <v>57</v>
      </c>
      <c r="C163" s="95">
        <f>E163/SUM(E163:E165)</f>
        <v>0.41843971631205673</v>
      </c>
      <c r="D163" s="81" t="s">
        <v>0</v>
      </c>
      <c r="E163" s="82">
        <f>SUM(F163:Y163)</f>
        <v>590</v>
      </c>
      <c r="F163" s="82">
        <f t="shared" ref="F163:Y163" si="920">SUM(F169,F175,F181,F187,F193)</f>
        <v>81</v>
      </c>
      <c r="G163" s="82">
        <f t="shared" si="920"/>
        <v>78</v>
      </c>
      <c r="H163" s="82">
        <f t="shared" si="920"/>
        <v>76</v>
      </c>
      <c r="I163" s="82">
        <f t="shared" si="920"/>
        <v>116</v>
      </c>
      <c r="J163" s="82">
        <f t="shared" si="920"/>
        <v>91</v>
      </c>
      <c r="K163" s="82">
        <f t="shared" si="920"/>
        <v>36</v>
      </c>
      <c r="L163" s="82">
        <f t="shared" si="920"/>
        <v>21</v>
      </c>
      <c r="M163" s="82">
        <f t="shared" si="920"/>
        <v>17</v>
      </c>
      <c r="N163" s="82">
        <f t="shared" si="920"/>
        <v>74</v>
      </c>
      <c r="O163" s="82">
        <f t="shared" si="920"/>
        <v>0</v>
      </c>
      <c r="P163" s="82">
        <f t="shared" si="920"/>
        <v>0</v>
      </c>
      <c r="Q163" s="82">
        <f t="shared" si="920"/>
        <v>0</v>
      </c>
      <c r="R163" s="82">
        <f t="shared" si="920"/>
        <v>0</v>
      </c>
      <c r="S163" s="82">
        <f t="shared" si="920"/>
        <v>0</v>
      </c>
      <c r="T163" s="82">
        <f t="shared" si="920"/>
        <v>0</v>
      </c>
      <c r="U163" s="82">
        <f t="shared" si="920"/>
        <v>0</v>
      </c>
      <c r="V163" s="82">
        <f t="shared" si="920"/>
        <v>0</v>
      </c>
      <c r="W163" s="82">
        <f t="shared" si="920"/>
        <v>0</v>
      </c>
      <c r="X163" s="82">
        <f t="shared" si="920"/>
        <v>0</v>
      </c>
      <c r="Y163" s="83">
        <f t="shared" si="920"/>
        <v>0</v>
      </c>
    </row>
    <row r="164" spans="2:25" ht="15" customHeight="1" x14ac:dyDescent="0.2">
      <c r="B164" s="263"/>
      <c r="C164" s="96">
        <f>E164/SUM(E163:E165)</f>
        <v>0.56595744680851068</v>
      </c>
      <c r="D164" s="79" t="s">
        <v>1</v>
      </c>
      <c r="E164" s="80">
        <f t="shared" ref="E164:E195" si="921">SUM(F164:Y164)</f>
        <v>798</v>
      </c>
      <c r="F164" s="80">
        <f t="shared" ref="F164:Y164" si="922">SUM(F170,F176,F182,F188,F194)</f>
        <v>105</v>
      </c>
      <c r="G164" s="80">
        <f t="shared" si="922"/>
        <v>126</v>
      </c>
      <c r="H164" s="80">
        <f t="shared" si="922"/>
        <v>139</v>
      </c>
      <c r="I164" s="80">
        <f t="shared" si="922"/>
        <v>107</v>
      </c>
      <c r="J164" s="80">
        <f t="shared" si="922"/>
        <v>107</v>
      </c>
      <c r="K164" s="80">
        <f t="shared" si="922"/>
        <v>88</v>
      </c>
      <c r="L164" s="80">
        <f t="shared" si="922"/>
        <v>38</v>
      </c>
      <c r="M164" s="80">
        <f t="shared" si="922"/>
        <v>37</v>
      </c>
      <c r="N164" s="80">
        <f t="shared" si="922"/>
        <v>51</v>
      </c>
      <c r="O164" s="80">
        <f t="shared" si="922"/>
        <v>0</v>
      </c>
      <c r="P164" s="80">
        <f t="shared" si="922"/>
        <v>0</v>
      </c>
      <c r="Q164" s="80">
        <f t="shared" si="922"/>
        <v>0</v>
      </c>
      <c r="R164" s="80">
        <f t="shared" si="922"/>
        <v>0</v>
      </c>
      <c r="S164" s="80">
        <f t="shared" si="922"/>
        <v>0</v>
      </c>
      <c r="T164" s="80">
        <f t="shared" si="922"/>
        <v>0</v>
      </c>
      <c r="U164" s="80">
        <f t="shared" si="922"/>
        <v>0</v>
      </c>
      <c r="V164" s="80">
        <f t="shared" si="922"/>
        <v>0</v>
      </c>
      <c r="W164" s="80">
        <f t="shared" si="922"/>
        <v>0</v>
      </c>
      <c r="X164" s="80">
        <f t="shared" si="922"/>
        <v>0</v>
      </c>
      <c r="Y164" s="84">
        <f t="shared" si="922"/>
        <v>0</v>
      </c>
    </row>
    <row r="165" spans="2:25" ht="15" customHeight="1" thickBot="1" x14ac:dyDescent="0.25">
      <c r="B165" s="263"/>
      <c r="C165" s="97">
        <f>E165/SUM(E163:E165)</f>
        <v>1.5602836879432624E-2</v>
      </c>
      <c r="D165" s="86" t="s">
        <v>2</v>
      </c>
      <c r="E165" s="87">
        <f t="shared" si="921"/>
        <v>22</v>
      </c>
      <c r="F165" s="87">
        <f t="shared" ref="F165:Y165" si="923">SUM(F171,F177,F183,F189,F195)</f>
        <v>1</v>
      </c>
      <c r="G165" s="87">
        <f t="shared" si="923"/>
        <v>0</v>
      </c>
      <c r="H165" s="87">
        <f t="shared" si="923"/>
        <v>3</v>
      </c>
      <c r="I165" s="87">
        <f t="shared" si="923"/>
        <v>0</v>
      </c>
      <c r="J165" s="87">
        <f t="shared" si="923"/>
        <v>0</v>
      </c>
      <c r="K165" s="87">
        <f t="shared" si="923"/>
        <v>2</v>
      </c>
      <c r="L165" s="87">
        <f t="shared" si="923"/>
        <v>0</v>
      </c>
      <c r="M165" s="87">
        <f t="shared" si="923"/>
        <v>16</v>
      </c>
      <c r="N165" s="87">
        <f t="shared" si="923"/>
        <v>0</v>
      </c>
      <c r="O165" s="87">
        <f t="shared" si="923"/>
        <v>0</v>
      </c>
      <c r="P165" s="87">
        <f t="shared" si="923"/>
        <v>0</v>
      </c>
      <c r="Q165" s="87">
        <f t="shared" si="923"/>
        <v>0</v>
      </c>
      <c r="R165" s="87">
        <f t="shared" si="923"/>
        <v>0</v>
      </c>
      <c r="S165" s="87">
        <f t="shared" si="923"/>
        <v>0</v>
      </c>
      <c r="T165" s="87">
        <f t="shared" si="923"/>
        <v>0</v>
      </c>
      <c r="U165" s="87">
        <f t="shared" si="923"/>
        <v>0</v>
      </c>
      <c r="V165" s="87">
        <f t="shared" si="923"/>
        <v>0</v>
      </c>
      <c r="W165" s="87">
        <f t="shared" si="923"/>
        <v>0</v>
      </c>
      <c r="X165" s="87">
        <f t="shared" si="923"/>
        <v>0</v>
      </c>
      <c r="Y165" s="88">
        <f t="shared" si="923"/>
        <v>0</v>
      </c>
    </row>
    <row r="166" spans="2:25" ht="15" customHeight="1" x14ac:dyDescent="0.2">
      <c r="B166" s="263"/>
      <c r="C166" s="98">
        <f>E166/SUM(E166:E168)</f>
        <v>0.40729112588551908</v>
      </c>
      <c r="D166" s="85" t="s">
        <v>0</v>
      </c>
      <c r="E166" s="151">
        <f t="shared" ref="E166" si="924">SUM(E172,E178,E184,E190,E196)</f>
        <v>0.36913217561855161</v>
      </c>
      <c r="F166" s="151">
        <f t="shared" ref="F166:Y166" si="925">SUM(F172,F178,F184,F190,F196)</f>
        <v>0.379878413388201</v>
      </c>
      <c r="G166" s="151">
        <f t="shared" si="925"/>
        <v>0.34406487515109885</v>
      </c>
      <c r="H166" s="151">
        <f t="shared" si="925"/>
        <v>0.32060384722322022</v>
      </c>
      <c r="I166" s="151">
        <f t="shared" si="925"/>
        <v>0.39577461549983711</v>
      </c>
      <c r="J166" s="151">
        <f t="shared" si="925"/>
        <v>0.35839494427744023</v>
      </c>
      <c r="K166" s="151">
        <f t="shared" si="925"/>
        <v>0.21530484270891914</v>
      </c>
      <c r="L166" s="151">
        <f t="shared" si="925"/>
        <v>0.20529442485819577</v>
      </c>
      <c r="M166" s="151">
        <f t="shared" si="925"/>
        <v>0.14007503954610229</v>
      </c>
      <c r="N166" s="151">
        <f t="shared" si="925"/>
        <v>0.36596425887406797</v>
      </c>
      <c r="O166" s="151">
        <f t="shared" si="925"/>
        <v>0</v>
      </c>
      <c r="P166" s="151">
        <f t="shared" si="925"/>
        <v>0</v>
      </c>
      <c r="Q166" s="151">
        <f t="shared" si="925"/>
        <v>0</v>
      </c>
      <c r="R166" s="151">
        <f t="shared" si="925"/>
        <v>0</v>
      </c>
      <c r="S166" s="151">
        <f t="shared" si="925"/>
        <v>0</v>
      </c>
      <c r="T166" s="151">
        <f t="shared" si="925"/>
        <v>0</v>
      </c>
      <c r="U166" s="151">
        <f t="shared" si="925"/>
        <v>0</v>
      </c>
      <c r="V166" s="151">
        <f t="shared" si="925"/>
        <v>0</v>
      </c>
      <c r="W166" s="151">
        <f t="shared" si="925"/>
        <v>0</v>
      </c>
      <c r="X166" s="151">
        <f t="shared" si="925"/>
        <v>0</v>
      </c>
      <c r="Y166" s="156">
        <f t="shared" si="925"/>
        <v>0</v>
      </c>
    </row>
    <row r="167" spans="2:25" ht="15" customHeight="1" x14ac:dyDescent="0.2">
      <c r="B167" s="263"/>
      <c r="C167" s="96">
        <f>E167/SUM(E166:E168)</f>
        <v>0.57581586211551095</v>
      </c>
      <c r="D167" s="79" t="s">
        <v>1</v>
      </c>
      <c r="E167" s="152">
        <f t="shared" ref="E167" si="926">SUM(E173,E179,E185,E191,E197)</f>
        <v>0.52186789357672969</v>
      </c>
      <c r="F167" s="152">
        <f t="shared" ref="F167:Y167" si="927">SUM(F173,F179,F185,F191,F197)</f>
        <v>0.52181773135707032</v>
      </c>
      <c r="G167" s="152">
        <f t="shared" si="927"/>
        <v>0.56224550619098512</v>
      </c>
      <c r="H167" s="152">
        <f t="shared" si="927"/>
        <v>0.57288849091274829</v>
      </c>
      <c r="I167" s="152">
        <f t="shared" si="927"/>
        <v>0.51053576584224702</v>
      </c>
      <c r="J167" s="152">
        <f t="shared" si="927"/>
        <v>0.54791543706464385</v>
      </c>
      <c r="K167" s="152">
        <f t="shared" si="927"/>
        <v>0.54748260189385545</v>
      </c>
      <c r="L167" s="152">
        <f t="shared" si="927"/>
        <v>0.3714851497434018</v>
      </c>
      <c r="M167" s="152">
        <f t="shared" si="927"/>
        <v>0.30486920371798731</v>
      </c>
      <c r="N167" s="152">
        <f t="shared" si="927"/>
        <v>0.4174224562501922</v>
      </c>
      <c r="O167" s="152">
        <f t="shared" si="927"/>
        <v>0</v>
      </c>
      <c r="P167" s="152">
        <f t="shared" si="927"/>
        <v>0</v>
      </c>
      <c r="Q167" s="152">
        <f t="shared" si="927"/>
        <v>0</v>
      </c>
      <c r="R167" s="152">
        <f t="shared" si="927"/>
        <v>0</v>
      </c>
      <c r="S167" s="152">
        <f t="shared" si="927"/>
        <v>0</v>
      </c>
      <c r="T167" s="152">
        <f t="shared" si="927"/>
        <v>0</v>
      </c>
      <c r="U167" s="152">
        <f t="shared" si="927"/>
        <v>0</v>
      </c>
      <c r="V167" s="152">
        <f t="shared" si="927"/>
        <v>0</v>
      </c>
      <c r="W167" s="152">
        <f t="shared" si="927"/>
        <v>0</v>
      </c>
      <c r="X167" s="152">
        <f t="shared" si="927"/>
        <v>0</v>
      </c>
      <c r="Y167" s="157">
        <f t="shared" si="927"/>
        <v>0</v>
      </c>
    </row>
    <row r="168" spans="2:25" ht="15" customHeight="1" thickBot="1" x14ac:dyDescent="0.25">
      <c r="B168" s="264"/>
      <c r="C168" s="99">
        <f>E168/SUM(E166:E168)</f>
        <v>1.6893011998969955E-2</v>
      </c>
      <c r="D168" s="89" t="s">
        <v>2</v>
      </c>
      <c r="E168" s="153">
        <f t="shared" ref="E168" si="928">SUM(E174,E180,E186,E192,E198)</f>
        <v>1.5310312146802863E-2</v>
      </c>
      <c r="F168" s="153">
        <f t="shared" ref="F168:Y168" si="929">SUM(F174,F180,F186,F192,F198)</f>
        <v>4.6142365968127805E-3</v>
      </c>
      <c r="G168" s="153">
        <f t="shared" si="929"/>
        <v>0</v>
      </c>
      <c r="H168" s="153">
        <f t="shared" si="929"/>
        <v>1.2818043206115581E-2</v>
      </c>
      <c r="I168" s="153">
        <f t="shared" si="929"/>
        <v>0</v>
      </c>
      <c r="J168" s="153">
        <f t="shared" si="929"/>
        <v>0</v>
      </c>
      <c r="K168" s="153">
        <f t="shared" si="929"/>
        <v>2.0599270521485628E-2</v>
      </c>
      <c r="L168" s="153">
        <f t="shared" si="929"/>
        <v>0</v>
      </c>
      <c r="M168" s="153">
        <f t="shared" si="929"/>
        <v>0.13183533133750802</v>
      </c>
      <c r="N168" s="153">
        <f t="shared" si="929"/>
        <v>0</v>
      </c>
      <c r="O168" s="153">
        <f t="shared" si="929"/>
        <v>0</v>
      </c>
      <c r="P168" s="153">
        <f t="shared" si="929"/>
        <v>0</v>
      </c>
      <c r="Q168" s="153">
        <f t="shared" si="929"/>
        <v>0</v>
      </c>
      <c r="R168" s="153">
        <f t="shared" si="929"/>
        <v>0</v>
      </c>
      <c r="S168" s="153">
        <f t="shared" si="929"/>
        <v>0</v>
      </c>
      <c r="T168" s="153">
        <f t="shared" si="929"/>
        <v>0</v>
      </c>
      <c r="U168" s="153">
        <f t="shared" si="929"/>
        <v>0</v>
      </c>
      <c r="V168" s="153">
        <f t="shared" si="929"/>
        <v>0</v>
      </c>
      <c r="W168" s="153">
        <f t="shared" si="929"/>
        <v>0</v>
      </c>
      <c r="X168" s="153">
        <f t="shared" si="929"/>
        <v>0</v>
      </c>
      <c r="Y168" s="158">
        <f t="shared" si="929"/>
        <v>0</v>
      </c>
    </row>
    <row r="169" spans="2:25" ht="15" customHeight="1" x14ac:dyDescent="0.2">
      <c r="B169" s="249" t="s">
        <v>58</v>
      </c>
      <c r="C169" s="91">
        <f>E169/SUM(E169:E171)</f>
        <v>0.52941176470588236</v>
      </c>
      <c r="D169" s="67" t="s">
        <v>0</v>
      </c>
      <c r="E169" s="68">
        <f t="shared" si="921"/>
        <v>54</v>
      </c>
      <c r="F169" s="68">
        <f>SUMIFS([0]!Chavez,[0]!Centro,B171,[0]!Turno,F$162)</f>
        <v>5</v>
      </c>
      <c r="G169" s="68">
        <f>SUMIFS([0]!Chavez,[0]!Centro,B171,[0]!Turno,G$162)</f>
        <v>8</v>
      </c>
      <c r="H169" s="68">
        <f>SUMIFS([0]!Chavez,[0]!Centro,B171,[0]!Turno,H$162)</f>
        <v>9</v>
      </c>
      <c r="I169" s="68">
        <f>SUMIFS([0]!Chavez,[0]!Centro,B171,[0]!Turno,I$162)</f>
        <v>30</v>
      </c>
      <c r="J169" s="68">
        <f>SUMIFS([0]!Chavez,[0]!Centro,B171,[0]!Turno,J$162)</f>
        <v>2</v>
      </c>
      <c r="K169" s="68">
        <f>SUMIFS([0]!Chavez,[0]!Centro,B171,[0]!Turno,K$162)</f>
        <v>0</v>
      </c>
      <c r="L169" s="68">
        <f>SUMIFS([0]!Chavez,[0]!Centro,B171,[0]!Turno,L$162)</f>
        <v>0</v>
      </c>
      <c r="M169" s="68">
        <f>SUMIFS([0]!Chavez,[0]!Centro,B171,[0]!Turno,M$162)</f>
        <v>0</v>
      </c>
      <c r="N169" s="68">
        <f>SUMIFS([0]!Chavez,[0]!Centro,B171,[0]!Turno,N$162)</f>
        <v>0</v>
      </c>
      <c r="O169" s="68">
        <f>SUMIFS([0]!Chavez,[0]!Centro,B171,[0]!Turno,O$162)</f>
        <v>0</v>
      </c>
      <c r="P169" s="68">
        <f>SUMIFS([0]!Chavez,[0]!Centro,B171,[0]!Turno,P$162)</f>
        <v>0</v>
      </c>
      <c r="Q169" s="68">
        <f>SUMIFS([0]!Chavez,[0]!Centro,B171,[0]!Turno,Q$162)</f>
        <v>0</v>
      </c>
      <c r="R169" s="68">
        <f>SUMIFS([0]!Chavez,[0]!Centro,B171,[0]!Turno,R$162)</f>
        <v>0</v>
      </c>
      <c r="S169" s="68">
        <f>SUMIFS([0]!Chavez,[0]!Centro,B171,[0]!Turno,S$162)</f>
        <v>0</v>
      </c>
      <c r="T169" s="68">
        <f>SUMIFS([0]!Chavez,[0]!Centro,B171,[0]!Turno,T$162)</f>
        <v>0</v>
      </c>
      <c r="U169" s="68">
        <f>SUMIFS([0]!Chavez,[0]!Centro,B171,[0]!Turno,U$162)</f>
        <v>0</v>
      </c>
      <c r="V169" s="68">
        <f>SUMIFS([0]!Chavez,[0]!Centro,B171,[0]!Turno,V$162)</f>
        <v>0</v>
      </c>
      <c r="W169" s="68">
        <f>SUMIFS([0]!Chavez,[0]!Centro,B171,[0]!Turno,W$162)</f>
        <v>0</v>
      </c>
      <c r="X169" s="68">
        <f>SUMIFS([0]!Chavez,[0]!Centro,B171,[0]!Turno,X$162)</f>
        <v>0</v>
      </c>
      <c r="Y169" s="69">
        <f>SUMIFS([0]!Chavez,[0]!Centro,B171,[0]!Turno,Y$162)</f>
        <v>0</v>
      </c>
    </row>
    <row r="170" spans="2:25" ht="15" customHeight="1" x14ac:dyDescent="0.2">
      <c r="B170" s="250"/>
      <c r="C170" s="92">
        <f>E170/SUM(E169:E171)</f>
        <v>0.47058823529411764</v>
      </c>
      <c r="D170" s="61" t="s">
        <v>1</v>
      </c>
      <c r="E170" s="62">
        <f t="shared" si="921"/>
        <v>48</v>
      </c>
      <c r="F170" s="62">
        <f>SUMIFS([0]!Capriles,[0]!Centro,B171,[0]!Turno,F$162)</f>
        <v>6</v>
      </c>
      <c r="G170" s="62">
        <f>SUMIFS([0]!Capriles,[0]!Centro,B171,[0]!Turno,G$162)</f>
        <v>8</v>
      </c>
      <c r="H170" s="62">
        <f>SUMIFS([0]!Capriles,[0]!Centro,B171,[0]!Turno,H$162)</f>
        <v>9</v>
      </c>
      <c r="I170" s="62">
        <f>SUMIFS([0]!Capriles,[0]!Centro,B171,[0]!Turno,I$162)</f>
        <v>19</v>
      </c>
      <c r="J170" s="62">
        <f>SUMIFS([0]!Capriles,[0]!Centro,B171,[0]!Turno,J$162)</f>
        <v>6</v>
      </c>
      <c r="K170" s="62">
        <f>SUMIFS([0]!Capriles,[0]!Centro,B171,[0]!Turno,K$162)</f>
        <v>0</v>
      </c>
      <c r="L170" s="62">
        <f>SUMIFS([0]!Capriles,[0]!Centro,B171,[0]!Turno,L$162)</f>
        <v>0</v>
      </c>
      <c r="M170" s="62">
        <f>SUMIFS([0]!Capriles,[0]!Centro,B171,[0]!Turno,M$162)</f>
        <v>0</v>
      </c>
      <c r="N170" s="62">
        <f>SUMIFS([0]!Capriles,[0]!Centro,B171,[0]!Turno,N$162)</f>
        <v>0</v>
      </c>
      <c r="O170" s="62">
        <f>SUMIFS([0]!Capriles,[0]!Centro,B171,[0]!Turno,O$162)</f>
        <v>0</v>
      </c>
      <c r="P170" s="62">
        <f>SUMIFS([0]!Capriles,[0]!Centro,B171,[0]!Turno,P$162)</f>
        <v>0</v>
      </c>
      <c r="Q170" s="62">
        <f>SUMIFS([0]!Capriles,[0]!Centro,B171,[0]!Turno,Q$162)</f>
        <v>0</v>
      </c>
      <c r="R170" s="62">
        <f>SUMIFS([0]!Capriles,[0]!Centro,B171,[0]!Turno,R$162)</f>
        <v>0</v>
      </c>
      <c r="S170" s="62">
        <f>SUMIFS([0]!Capriles,[0]!Centro,B171,[0]!Turno,S$162)</f>
        <v>0</v>
      </c>
      <c r="T170" s="62">
        <f>SUMIFS([0]!Capriles,[0]!Centro,B171,[0]!Turno,T$162)</f>
        <v>0</v>
      </c>
      <c r="U170" s="62">
        <f>SUMIFS([0]!Capriles,[0]!Centro,B171,[0]!Turno,U$162)</f>
        <v>0</v>
      </c>
      <c r="V170" s="62">
        <f>SUMIFS([0]!Capriles,[0]!Centro,B171,[0]!Turno,V$162)</f>
        <v>0</v>
      </c>
      <c r="W170" s="62">
        <f>SUMIFS([0]!Capriles,[0]!Centro,B171,[0]!Turno,W$162)</f>
        <v>0</v>
      </c>
      <c r="X170" s="62">
        <f>SUMIFS([0]!Capriles,[0]!Centro,B171,[0]!Turno,X$162)</f>
        <v>0</v>
      </c>
      <c r="Y170" s="70">
        <f>SUMIFS([0]!Capriles,[0]!Centro,B171,[0]!Turno,Y$162)</f>
        <v>0</v>
      </c>
    </row>
    <row r="171" spans="2:25" ht="15" customHeight="1" thickBot="1" x14ac:dyDescent="0.25">
      <c r="B171" s="261">
        <v>41</v>
      </c>
      <c r="C171" s="100">
        <f>E171/SUM(E169:E171)</f>
        <v>0</v>
      </c>
      <c r="D171" s="71" t="s">
        <v>2</v>
      </c>
      <c r="E171" s="72">
        <f t="shared" si="921"/>
        <v>0</v>
      </c>
      <c r="F171" s="72">
        <f>SUMIFS([0]!Otro,[0]!Centro,B171,[0]!Turno,F$162)</f>
        <v>0</v>
      </c>
      <c r="G171" s="72">
        <f>SUMIFS([0]!Otro,[0]!Centro,B171,[0]!Turno,G$162)</f>
        <v>0</v>
      </c>
      <c r="H171" s="72">
        <f>SUMIFS([0]!Otro,[0]!Centro,B171,[0]!Turno,H$162)</f>
        <v>0</v>
      </c>
      <c r="I171" s="72">
        <f>SUMIFS([0]!Otro,[0]!Centro,B171,[0]!Turno,I$162)</f>
        <v>0</v>
      </c>
      <c r="J171" s="72">
        <f>SUMIFS([0]!Otro,[0]!Centro,B171,[0]!Turno,J$162)</f>
        <v>0</v>
      </c>
      <c r="K171" s="72">
        <f>SUMIFS([0]!Otro,[0]!Centro,B171,[0]!Turno,K$162)</f>
        <v>0</v>
      </c>
      <c r="L171" s="72">
        <f>SUMIFS([0]!Otro,[0]!Centro,B171,[0]!Turno,L$162)</f>
        <v>0</v>
      </c>
      <c r="M171" s="72">
        <f>SUMIFS([0]!Otro,[0]!Centro,B171,[0]!Turno,M$162)</f>
        <v>0</v>
      </c>
      <c r="N171" s="72">
        <f>SUMIFS([0]!Otro,[0]!Centro,B171,[0]!Turno,N$162)</f>
        <v>0</v>
      </c>
      <c r="O171" s="72">
        <f>SUMIFS([0]!Otro,[0]!Centro,B171,[0]!Turno,O$162)</f>
        <v>0</v>
      </c>
      <c r="P171" s="72">
        <f>SUMIFS([0]!Otro,[0]!Centro,B171,[0]!Turno,P$162)</f>
        <v>0</v>
      </c>
      <c r="Q171" s="72">
        <f>SUMIFS([0]!Otro,[0]!Centro,B171,[0]!Turno,Q$162)</f>
        <v>0</v>
      </c>
      <c r="R171" s="72">
        <f>SUMIFS([0]!Otro,[0]!Centro,B171,[0]!Turno,R$162)</f>
        <v>0</v>
      </c>
      <c r="S171" s="72">
        <f>SUMIFS([0]!Otro,[0]!Centro,B171,[0]!Turno,S$162)</f>
        <v>0</v>
      </c>
      <c r="T171" s="72">
        <f>SUMIFS([0]!Otro,[0]!Centro,B171,[0]!Turno,T$162)</f>
        <v>0</v>
      </c>
      <c r="U171" s="72">
        <f>SUMIFS([0]!Otro,[0]!Centro,B171,[0]!Turno,U$162)</f>
        <v>0</v>
      </c>
      <c r="V171" s="72">
        <f>SUMIFS([0]!Otro,[0]!Centro,B171,[0]!Turno,V$162)</f>
        <v>0</v>
      </c>
      <c r="W171" s="72">
        <f>SUMIFS([0]!Otro,[0]!Centro,B171,[0]!Turno,W$162)</f>
        <v>0</v>
      </c>
      <c r="X171" s="72">
        <f>SUMIFS([0]!Otro,[0]!Centro,B171,[0]!Turno,X$162)</f>
        <v>0</v>
      </c>
      <c r="Y171" s="73">
        <f>SUMIFS([0]!Otro,[0]!Centro,B171,[0]!Turno,Y$162)</f>
        <v>0</v>
      </c>
    </row>
    <row r="172" spans="2:25" ht="15" customHeight="1" x14ac:dyDescent="0.2">
      <c r="B172" s="261"/>
      <c r="C172" s="94">
        <f>E172/SUM(E172:E174)</f>
        <v>0.52941176470588236</v>
      </c>
      <c r="D172" s="63" t="s">
        <v>0</v>
      </c>
      <c r="E172" s="150">
        <f>IF((E169+E170+E171)=0,0,(E169*$B173)/(E169+E170+E171))</f>
        <v>6.5077235056494986E-2</v>
      </c>
      <c r="F172" s="150">
        <f>IF((F169+F170+F171)=0,0,(F169*$B173)/(F169+F170+F171))</f>
        <v>5.5874393735374485E-2</v>
      </c>
      <c r="G172" s="150">
        <f t="shared" ref="G172" si="930">IF((G169+G170+G171)=0,0,(G169*$B173)/(G169+G170+G171))</f>
        <v>6.1461833108911929E-2</v>
      </c>
      <c r="H172" s="150">
        <f t="shared" ref="H172" si="931">IF((H169+H170+H171)=0,0,(H169*$B173)/(H169+H170+H171))</f>
        <v>6.1461833108911929E-2</v>
      </c>
      <c r="I172" s="150">
        <f t="shared" ref="I172" si="932">IF((I169+I170+I171)=0,0,(I169*$B173)/(I169+I170+I171))</f>
        <v>7.5259387480300324E-2</v>
      </c>
      <c r="J172" s="150">
        <f t="shared" ref="J172" si="933">IF((J169+J170+J171)=0,0,(J169*$B173)/(J169+J170+J171))</f>
        <v>3.0730916554455964E-2</v>
      </c>
      <c r="K172" s="150">
        <f t="shared" ref="K172" si="934">IF((K169+K170+K171)=0,0,(K169*$B173)/(K169+K170+K171))</f>
        <v>0</v>
      </c>
      <c r="L172" s="150">
        <f t="shared" ref="L172" si="935">IF((L169+L170+L171)=0,0,(L169*$B173)/(L169+L170+L171))</f>
        <v>0</v>
      </c>
      <c r="M172" s="150">
        <f t="shared" ref="M172" si="936">IF((M169+M170+M171)=0,0,(M169*$B173)/(M169+M170+M171))</f>
        <v>0</v>
      </c>
      <c r="N172" s="150">
        <f t="shared" ref="N172" si="937">IF((N169+N170+N171)=0,0,(N169*$B173)/(N169+N170+N171))</f>
        <v>0</v>
      </c>
      <c r="O172" s="150">
        <f t="shared" ref="O172" si="938">IF((O169+O170+O171)=0,0,(O169*$B173)/(O169+O170+O171))</f>
        <v>0</v>
      </c>
      <c r="P172" s="150">
        <f t="shared" ref="P172" si="939">IF((P169+P170+P171)=0,0,(P169*$B173)/(P169+P170+P171))</f>
        <v>0</v>
      </c>
      <c r="Q172" s="150">
        <f t="shared" ref="Q172" si="940">IF((Q169+Q170+Q171)=0,0,(Q169*$B173)/(Q169+Q170+Q171))</f>
        <v>0</v>
      </c>
      <c r="R172" s="150">
        <f t="shared" ref="R172" si="941">IF((R169+R170+R171)=0,0,(R169*$B173)/(R169+R170+R171))</f>
        <v>0</v>
      </c>
      <c r="S172" s="150">
        <f t="shared" ref="S172" si="942">IF((S169+S170+S171)=0,0,(S169*$B173)/(S169+S170+S171))</f>
        <v>0</v>
      </c>
      <c r="T172" s="150">
        <f t="shared" ref="T172" si="943">IF((T169+T170+T171)=0,0,(T169*$B173)/(T169+T170+T171))</f>
        <v>0</v>
      </c>
      <c r="U172" s="150">
        <f t="shared" ref="U172" si="944">IF((U169+U170+U171)=0,0,(U169*$B173)/(U169+U170+U171))</f>
        <v>0</v>
      </c>
      <c r="V172" s="150">
        <f t="shared" ref="V172" si="945">IF((V169+V170+V171)=0,0,(V169*$B173)/(V169+V170+V171))</f>
        <v>0</v>
      </c>
      <c r="W172" s="150">
        <f t="shared" ref="W172" si="946">IF((W169+W170+W171)=0,0,(W169*$B173)/(W169+W170+W171))</f>
        <v>0</v>
      </c>
      <c r="X172" s="150">
        <f t="shared" ref="X172" si="947">IF((X169+X170+X171)=0,0,(X169*$B173)/(X169+X170+X171))</f>
        <v>0</v>
      </c>
      <c r="Y172" s="163">
        <f t="shared" ref="Y172" si="948">IF((Y169+Y170+Y171)=0,0,(Y169*$B173)/(Y169+Y170+Y171))</f>
        <v>0</v>
      </c>
    </row>
    <row r="173" spans="2:25" ht="15" customHeight="1" x14ac:dyDescent="0.2">
      <c r="B173" s="254">
        <v>0.12292366621782386</v>
      </c>
      <c r="C173" s="92">
        <f>E173/SUM(E172:E174)</f>
        <v>0.47058823529411764</v>
      </c>
      <c r="D173" s="61" t="s">
        <v>1</v>
      </c>
      <c r="E173" s="154">
        <f>IF((E169+E170+E171)=0,0,(E170*$B173)/(E169+E170+E171))</f>
        <v>5.7846431161328871E-2</v>
      </c>
      <c r="F173" s="154">
        <f>IF((F169+F170+F171)=0,0,(F170*$B173)/(F169+F170+F171))</f>
        <v>6.7049272482449379E-2</v>
      </c>
      <c r="G173" s="154">
        <f t="shared" ref="G173:O173" si="949">IF((G169+G170+G171)=0,0,(G170*$B173)/(G169+G170+G171))</f>
        <v>6.1461833108911929E-2</v>
      </c>
      <c r="H173" s="154">
        <f t="shared" si="949"/>
        <v>6.1461833108911929E-2</v>
      </c>
      <c r="I173" s="154">
        <f t="shared" si="949"/>
        <v>4.7664278737523533E-2</v>
      </c>
      <c r="J173" s="154">
        <f t="shared" si="949"/>
        <v>9.2192749663367893E-2</v>
      </c>
      <c r="K173" s="154">
        <f t="shared" si="949"/>
        <v>0</v>
      </c>
      <c r="L173" s="154">
        <f t="shared" si="949"/>
        <v>0</v>
      </c>
      <c r="M173" s="154">
        <f t="shared" si="949"/>
        <v>0</v>
      </c>
      <c r="N173" s="154">
        <f t="shared" si="949"/>
        <v>0</v>
      </c>
      <c r="O173" s="154">
        <f t="shared" si="949"/>
        <v>0</v>
      </c>
      <c r="P173" s="154">
        <f>IF((P169+P170+P171)=0,0,(P170*$B173)/(P169+P170+P171))</f>
        <v>0</v>
      </c>
      <c r="Q173" s="154">
        <f t="shared" ref="Q173:Y173" si="950">IF((Q169+Q170+Q171)=0,0,(Q170*$B173)/(Q169+Q170+Q171))</f>
        <v>0</v>
      </c>
      <c r="R173" s="154">
        <f t="shared" si="950"/>
        <v>0</v>
      </c>
      <c r="S173" s="154">
        <f t="shared" si="950"/>
        <v>0</v>
      </c>
      <c r="T173" s="154">
        <f t="shared" si="950"/>
        <v>0</v>
      </c>
      <c r="U173" s="154">
        <f t="shared" si="950"/>
        <v>0</v>
      </c>
      <c r="V173" s="154">
        <f t="shared" si="950"/>
        <v>0</v>
      </c>
      <c r="W173" s="154">
        <f t="shared" si="950"/>
        <v>0</v>
      </c>
      <c r="X173" s="154">
        <f t="shared" si="950"/>
        <v>0</v>
      </c>
      <c r="Y173" s="159">
        <f t="shared" si="950"/>
        <v>0</v>
      </c>
    </row>
    <row r="174" spans="2:25" ht="15" customHeight="1" thickBot="1" x14ac:dyDescent="0.25">
      <c r="B174" s="255"/>
      <c r="C174" s="93">
        <f>E174/SUM(E172:E174)</f>
        <v>0</v>
      </c>
      <c r="D174" s="75" t="s">
        <v>2</v>
      </c>
      <c r="E174" s="155">
        <f>IF((E169+E170+E171)=0,0,(E171*$B173)/(E169+E170+E171))</f>
        <v>0</v>
      </c>
      <c r="F174" s="155">
        <f>IF((F169+F170+F171)=0,0,(F171*$B173)/(F169+F170+F171))</f>
        <v>0</v>
      </c>
      <c r="G174" s="155">
        <f t="shared" ref="G174" si="951">IF((G169+G170+G171)=0,0,(G171*$B173)/(G169+G170+G171))</f>
        <v>0</v>
      </c>
      <c r="H174" s="155">
        <f t="shared" ref="H174" si="952">IF((H169+H170+H171)=0,0,(H171*$B173)/(H169+H170+H171))</f>
        <v>0</v>
      </c>
      <c r="I174" s="155">
        <f t="shared" ref="I174" si="953">IF((I169+I170+I171)=0,0,(I171*$B173)/(I169+I170+I171))</f>
        <v>0</v>
      </c>
      <c r="J174" s="155">
        <f t="shared" ref="J174" si="954">IF((J169+J170+J171)=0,0,(J171*$B173)/(J169+J170+J171))</f>
        <v>0</v>
      </c>
      <c r="K174" s="155">
        <f t="shared" ref="K174" si="955">IF((K169+K170+K171)=0,0,(K171*$B173)/(K169+K170+K171))</f>
        <v>0</v>
      </c>
      <c r="L174" s="155">
        <f t="shared" ref="L174" si="956">IF((L169+L170+L171)=0,0,(L171*$B173)/(L169+L170+L171))</f>
        <v>0</v>
      </c>
      <c r="M174" s="155">
        <f t="shared" ref="M174" si="957">IF((M169+M170+M171)=0,0,(M171*$B173)/(M169+M170+M171))</f>
        <v>0</v>
      </c>
      <c r="N174" s="155">
        <f t="shared" ref="N174" si="958">IF((N169+N170+N171)=0,0,(N171*$B173)/(N169+N170+N171))</f>
        <v>0</v>
      </c>
      <c r="O174" s="155">
        <f t="shared" ref="O174" si="959">IF((O169+O170+O171)=0,0,(O171*$B173)/(O169+O170+O171))</f>
        <v>0</v>
      </c>
      <c r="P174" s="155">
        <f t="shared" ref="P174" si="960">IF((P169+P170+P171)=0,0,(P171*$B173)/(P169+P170+P171))</f>
        <v>0</v>
      </c>
      <c r="Q174" s="155">
        <f t="shared" ref="Q174" si="961">IF((Q169+Q170+Q171)=0,0,(Q171*$B173)/(Q169+Q170+Q171))</f>
        <v>0</v>
      </c>
      <c r="R174" s="155">
        <f t="shared" ref="R174" si="962">IF((R169+R170+R171)=0,0,(R171*$B173)/(R169+R170+R171))</f>
        <v>0</v>
      </c>
      <c r="S174" s="155">
        <f t="shared" ref="S174" si="963">IF((S169+S170+S171)=0,0,(S171*$B173)/(S169+S170+S171))</f>
        <v>0</v>
      </c>
      <c r="T174" s="155">
        <f t="shared" ref="T174" si="964">IF((T169+T170+T171)=0,0,(T171*$B173)/(T169+T170+T171))</f>
        <v>0</v>
      </c>
      <c r="U174" s="155">
        <f t="shared" ref="U174" si="965">IF((U169+U170+U171)=0,0,(U171*$B173)/(U169+U170+U171))</f>
        <v>0</v>
      </c>
      <c r="V174" s="155">
        <f t="shared" ref="V174" si="966">IF((V169+V170+V171)=0,0,(V171*$B173)/(V169+V170+V171))</f>
        <v>0</v>
      </c>
      <c r="W174" s="155">
        <f t="shared" ref="W174" si="967">IF((W169+W170+W171)=0,0,(W171*$B173)/(W169+W170+W171))</f>
        <v>0</v>
      </c>
      <c r="X174" s="155">
        <f t="shared" ref="X174" si="968">IF((X169+X170+X171)=0,0,(X171*$B173)/(X169+X170+X171))</f>
        <v>0</v>
      </c>
      <c r="Y174" s="160">
        <f t="shared" ref="Y174" si="969">IF((Y169+Y170+Y171)=0,0,(Y171*$B173)/(Y169+Y170+Y171))</f>
        <v>0</v>
      </c>
    </row>
    <row r="175" spans="2:25" ht="15" customHeight="1" x14ac:dyDescent="0.2">
      <c r="B175" s="249" t="s">
        <v>57</v>
      </c>
      <c r="C175" s="91">
        <f>E175/SUM(E175:E177)</f>
        <v>0.32962962962962961</v>
      </c>
      <c r="D175" s="67" t="s">
        <v>0</v>
      </c>
      <c r="E175" s="68">
        <f t="shared" si="921"/>
        <v>267</v>
      </c>
      <c r="F175" s="68">
        <f>SUMIFS([0]!Chavez,[0]!Centro,B177,[0]!Turno,F$162)</f>
        <v>49</v>
      </c>
      <c r="G175" s="68">
        <f>SUMIFS([0]!Chavez,[0]!Centro,B177,[0]!Turno,G$162)</f>
        <v>38</v>
      </c>
      <c r="H175" s="68">
        <f>SUMIFS([0]!Chavez,[0]!Centro,B177,[0]!Turno,H$162)</f>
        <v>48</v>
      </c>
      <c r="I175" s="68">
        <f>SUMIFS([0]!Chavez,[0]!Centro,B177,[0]!Turno,I$162)</f>
        <v>26</v>
      </c>
      <c r="J175" s="68">
        <f>SUMIFS([0]!Chavez,[0]!Centro,B177,[0]!Turno,J$162)</f>
        <v>36</v>
      </c>
      <c r="K175" s="68">
        <f>SUMIFS([0]!Chavez,[0]!Centro,B177,[0]!Turno,K$162)</f>
        <v>14</v>
      </c>
      <c r="L175" s="68">
        <f>SUMIFS([0]!Chavez,[0]!Centro,B177,[0]!Turno,L$162)</f>
        <v>21</v>
      </c>
      <c r="M175" s="68">
        <f>SUMIFS([0]!Chavez,[0]!Centro,B177,[0]!Turno,M$162)</f>
        <v>17</v>
      </c>
      <c r="N175" s="68">
        <f>SUMIFS([0]!Chavez,[0]!Centro,B177,[0]!Turno,N$162)</f>
        <v>18</v>
      </c>
      <c r="O175" s="68">
        <f>SUMIFS([0]!Chavez,[0]!Centro,B177,[0]!Turno,O$162)</f>
        <v>0</v>
      </c>
      <c r="P175" s="68">
        <f>SUMIFS([0]!Chavez,[0]!Centro,B177,[0]!Turno,P$162)</f>
        <v>0</v>
      </c>
      <c r="Q175" s="68">
        <f>SUMIFS([0]!Chavez,[0]!Centro,B177,[0]!Turno,Q$162)</f>
        <v>0</v>
      </c>
      <c r="R175" s="68">
        <f>SUMIFS([0]!Chavez,[0]!Centro,B177,[0]!Turno,R$162)</f>
        <v>0</v>
      </c>
      <c r="S175" s="68">
        <f>SUMIFS([0]!Chavez,[0]!Centro,B177,[0]!Turno,S$162)</f>
        <v>0</v>
      </c>
      <c r="T175" s="68">
        <f>SUMIFS([0]!Chavez,[0]!Centro,B177,[0]!Turno,T$162)</f>
        <v>0</v>
      </c>
      <c r="U175" s="68">
        <f>SUMIFS([0]!Chavez,[0]!Centro,B177,[0]!Turno,U$162)</f>
        <v>0</v>
      </c>
      <c r="V175" s="68">
        <f>SUMIFS([0]!Chavez,[0]!Centro,B177,[0]!Turno,V$162)</f>
        <v>0</v>
      </c>
      <c r="W175" s="68">
        <f>SUMIFS([0]!Chavez,[0]!Centro,B177,[0]!Turno,W$162)</f>
        <v>0</v>
      </c>
      <c r="X175" s="68">
        <f>SUMIFS([0]!Chavez,[0]!Centro,B177,[0]!Turno,X$162)</f>
        <v>0</v>
      </c>
      <c r="Y175" s="69">
        <f>SUMIFS([0]!Chavez,[0]!Centro,B177,[0]!Turno,Y$162)</f>
        <v>0</v>
      </c>
    </row>
    <row r="176" spans="2:25" ht="15" customHeight="1" x14ac:dyDescent="0.2">
      <c r="B176" s="250"/>
      <c r="C176" s="92">
        <f>E176/SUM(E175:E177)</f>
        <v>0.64444444444444449</v>
      </c>
      <c r="D176" s="61" t="s">
        <v>1</v>
      </c>
      <c r="E176" s="62">
        <f t="shared" si="921"/>
        <v>522</v>
      </c>
      <c r="F176" s="62">
        <f>SUMIFS([0]!Capriles,[0]!Centro,B177,[0]!Turno,F$162)</f>
        <v>75</v>
      </c>
      <c r="G176" s="62">
        <f>SUMIFS([0]!Capriles,[0]!Centro,B177,[0]!Turno,G$162)</f>
        <v>77</v>
      </c>
      <c r="H176" s="62">
        <f>SUMIFS([0]!Capriles,[0]!Centro,B177,[0]!Turno,H$162)</f>
        <v>89</v>
      </c>
      <c r="I176" s="62">
        <f>SUMIFS([0]!Capriles,[0]!Centro,B177,[0]!Turno,I$162)</f>
        <v>59</v>
      </c>
      <c r="J176" s="62">
        <f>SUMIFS([0]!Capriles,[0]!Centro,B177,[0]!Turno,J$162)</f>
        <v>77</v>
      </c>
      <c r="K176" s="62">
        <f>SUMIFS([0]!Capriles,[0]!Centro,B177,[0]!Turno,K$162)</f>
        <v>40</v>
      </c>
      <c r="L176" s="62">
        <f>SUMIFS([0]!Capriles,[0]!Centro,B177,[0]!Turno,L$162)</f>
        <v>38</v>
      </c>
      <c r="M176" s="62">
        <f>SUMIFS([0]!Capriles,[0]!Centro,B177,[0]!Turno,M$162)</f>
        <v>37</v>
      </c>
      <c r="N176" s="62">
        <f>SUMIFS([0]!Capriles,[0]!Centro,B177,[0]!Turno,N$162)</f>
        <v>30</v>
      </c>
      <c r="O176" s="62">
        <f>SUMIFS([0]!Capriles,[0]!Centro,B177,[0]!Turno,O$162)</f>
        <v>0</v>
      </c>
      <c r="P176" s="62">
        <f>SUMIFS([0]!Capriles,[0]!Centro,B177,[0]!Turno,P$162)</f>
        <v>0</v>
      </c>
      <c r="Q176" s="62">
        <f>SUMIFS([0]!Capriles,[0]!Centro,B177,[0]!Turno,Q$162)</f>
        <v>0</v>
      </c>
      <c r="R176" s="62">
        <f>SUMIFS([0]!Capriles,[0]!Centro,B177,[0]!Turno,R$162)</f>
        <v>0</v>
      </c>
      <c r="S176" s="62">
        <f>SUMIFS([0]!Capriles,[0]!Centro,B177,[0]!Turno,S$162)</f>
        <v>0</v>
      </c>
      <c r="T176" s="62">
        <f>SUMIFS([0]!Capriles,[0]!Centro,B177,[0]!Turno,T$162)</f>
        <v>0</v>
      </c>
      <c r="U176" s="62">
        <f>SUMIFS([0]!Capriles,[0]!Centro,B177,[0]!Turno,U$162)</f>
        <v>0</v>
      </c>
      <c r="V176" s="62">
        <f>SUMIFS([0]!Capriles,[0]!Centro,B177,[0]!Turno,V$162)</f>
        <v>0</v>
      </c>
      <c r="W176" s="62">
        <f>SUMIFS([0]!Capriles,[0]!Centro,B177,[0]!Turno,W$162)</f>
        <v>0</v>
      </c>
      <c r="X176" s="62">
        <f>SUMIFS([0]!Capriles,[0]!Centro,B177,[0]!Turno,X$162)</f>
        <v>0</v>
      </c>
      <c r="Y176" s="70">
        <f>SUMIFS([0]!Capriles,[0]!Centro,B177,[0]!Turno,Y$162)</f>
        <v>0</v>
      </c>
    </row>
    <row r="177" spans="2:25" ht="15" customHeight="1" thickBot="1" x14ac:dyDescent="0.25">
      <c r="B177" s="261">
        <v>42</v>
      </c>
      <c r="C177" s="100">
        <f>E177/SUM(E175:E177)</f>
        <v>2.5925925925925925E-2</v>
      </c>
      <c r="D177" s="71" t="s">
        <v>2</v>
      </c>
      <c r="E177" s="72">
        <f t="shared" si="921"/>
        <v>21</v>
      </c>
      <c r="F177" s="72">
        <f>SUMIFS([0]!Otro,[0]!Centro,B177,[0]!Turno,F$162)</f>
        <v>1</v>
      </c>
      <c r="G177" s="72">
        <f>SUMIFS([0]!Otro,[0]!Centro,B177,[0]!Turno,G$162)</f>
        <v>0</v>
      </c>
      <c r="H177" s="72">
        <f>SUMIFS([0]!Otro,[0]!Centro,B177,[0]!Turno,H$162)</f>
        <v>2</v>
      </c>
      <c r="I177" s="72">
        <f>SUMIFS([0]!Otro,[0]!Centro,B177,[0]!Turno,I$162)</f>
        <v>0</v>
      </c>
      <c r="J177" s="72">
        <f>SUMIFS([0]!Otro,[0]!Centro,B177,[0]!Turno,J$162)</f>
        <v>0</v>
      </c>
      <c r="K177" s="72">
        <f>SUMIFS([0]!Otro,[0]!Centro,B177,[0]!Turno,K$162)</f>
        <v>2</v>
      </c>
      <c r="L177" s="72">
        <f>SUMIFS([0]!Otro,[0]!Centro,B177,[0]!Turno,L$162)</f>
        <v>0</v>
      </c>
      <c r="M177" s="72">
        <f>SUMIFS([0]!Otro,[0]!Centro,B177,[0]!Turno,M$162)</f>
        <v>16</v>
      </c>
      <c r="N177" s="72">
        <f>SUMIFS([0]!Otro,[0]!Centro,B177,[0]!Turno,N$162)</f>
        <v>0</v>
      </c>
      <c r="O177" s="72">
        <f>SUMIFS([0]!Otro,[0]!Centro,B177,[0]!Turno,O$162)</f>
        <v>0</v>
      </c>
      <c r="P177" s="72">
        <f>SUMIFS([0]!Otro,[0]!Centro,B177,[0]!Turno,P$162)</f>
        <v>0</v>
      </c>
      <c r="Q177" s="72">
        <f>SUMIFS([0]!Otro,[0]!Centro,B177,[0]!Turno,Q$162)</f>
        <v>0</v>
      </c>
      <c r="R177" s="72">
        <f>SUMIFS([0]!Otro,[0]!Centro,B177,[0]!Turno,R$162)</f>
        <v>0</v>
      </c>
      <c r="S177" s="72">
        <f>SUMIFS([0]!Otro,[0]!Centro,B177,[0]!Turno,S$162)</f>
        <v>0</v>
      </c>
      <c r="T177" s="72">
        <f>SUMIFS([0]!Otro,[0]!Centro,B177,[0]!Turno,T$162)</f>
        <v>0</v>
      </c>
      <c r="U177" s="72">
        <f>SUMIFS([0]!Otro,[0]!Centro,B177,[0]!Turno,U$162)</f>
        <v>0</v>
      </c>
      <c r="V177" s="72">
        <f>SUMIFS([0]!Otro,[0]!Centro,B177,[0]!Turno,V$162)</f>
        <v>0</v>
      </c>
      <c r="W177" s="72">
        <f>SUMIFS([0]!Otro,[0]!Centro,B177,[0]!Turno,W$162)</f>
        <v>0</v>
      </c>
      <c r="X177" s="72">
        <f>SUMIFS([0]!Otro,[0]!Centro,B177,[0]!Turno,X$162)</f>
        <v>0</v>
      </c>
      <c r="Y177" s="73">
        <f>SUMIFS([0]!Otro,[0]!Centro,B177,[0]!Turno,Y$162)</f>
        <v>0</v>
      </c>
    </row>
    <row r="178" spans="2:25" ht="15" customHeight="1" x14ac:dyDescent="0.2">
      <c r="B178" s="261"/>
      <c r="C178" s="94">
        <f>E178/SUM(E178:E180)</f>
        <v>0.32962962962962966</v>
      </c>
      <c r="D178" s="63" t="s">
        <v>0</v>
      </c>
      <c r="E178" s="150">
        <f>IF((E175+E176+E177)=0,0,(E175*$B179)/(E175+E176+E177))</f>
        <v>0.19012363755385994</v>
      </c>
      <c r="F178" s="150">
        <f>IF((F175+F176+F177)=0,0,(F175*$B179)/(F175+F176+F177))</f>
        <v>0.22609759324382625</v>
      </c>
      <c r="G178" s="150">
        <f t="shared" ref="G178" si="970">IF((G175+G176+G177)=0,0,(G175*$B179)/(G175+G176+G177))</f>
        <v>0.19058803334661484</v>
      </c>
      <c r="H178" s="150">
        <f t="shared" ref="H178" si="971">IF((H175+H176+H177)=0,0,(H175*$B179)/(H175+H176+H177))</f>
        <v>0.19917568043796174</v>
      </c>
      <c r="I178" s="150">
        <f t="shared" ref="I178" si="972">IF((I175+I176+I177)=0,0,(I175*$B179)/(I175+I176+I177))</f>
        <v>0.17642669340754749</v>
      </c>
      <c r="J178" s="150">
        <f t="shared" ref="J178" si="973">IF((J175+J176+J177)=0,0,(J175*$B179)/(J175+J176+J177))</f>
        <v>0.18375278482882754</v>
      </c>
      <c r="K178" s="150">
        <f t="shared" ref="K178" si="974">IF((K175+K176+K177)=0,0,(K175*$B179)/(K175+K176+K177))</f>
        <v>0.14419489365039939</v>
      </c>
      <c r="L178" s="150">
        <f t="shared" ref="L178" si="975">IF((L175+L176+L177)=0,0,(L175*$B179)/(L175+L176+L177))</f>
        <v>0.20529442485819577</v>
      </c>
      <c r="M178" s="150">
        <f t="shared" ref="M178" si="976">IF((M175+M176+M177)=0,0,(M175*$B179)/(M175+M176+M177))</f>
        <v>0.14007503954610229</v>
      </c>
      <c r="N178" s="150">
        <f t="shared" ref="N178" si="977">IF((N175+N176+N177)=0,0,(N175*$B179)/(N175+N176+N177))</f>
        <v>0.21629234047559909</v>
      </c>
      <c r="O178" s="150">
        <f t="shared" ref="O178" si="978">IF((O175+O176+O177)=0,0,(O175*$B179)/(O175+O176+O177))</f>
        <v>0</v>
      </c>
      <c r="P178" s="150">
        <f t="shared" ref="P178" si="979">IF((P175+P176+P177)=0,0,(P175*$B179)/(P175+P176+P177))</f>
        <v>0</v>
      </c>
      <c r="Q178" s="150">
        <f t="shared" ref="Q178" si="980">IF((Q175+Q176+Q177)=0,0,(Q175*$B179)/(Q175+Q176+Q177))</f>
        <v>0</v>
      </c>
      <c r="R178" s="150">
        <f t="shared" ref="R178" si="981">IF((R175+R176+R177)=0,0,(R175*$B179)/(R175+R176+R177))</f>
        <v>0</v>
      </c>
      <c r="S178" s="150">
        <f t="shared" ref="S178" si="982">IF((S175+S176+S177)=0,0,(S175*$B179)/(S175+S176+S177))</f>
        <v>0</v>
      </c>
      <c r="T178" s="150">
        <f t="shared" ref="T178" si="983">IF((T175+T176+T177)=0,0,(T175*$B179)/(T175+T176+T177))</f>
        <v>0</v>
      </c>
      <c r="U178" s="150">
        <f t="shared" ref="U178" si="984">IF((U175+U176+U177)=0,0,(U175*$B179)/(U175+U176+U177))</f>
        <v>0</v>
      </c>
      <c r="V178" s="150">
        <f t="shared" ref="V178" si="985">IF((V175+V176+V177)=0,0,(V175*$B179)/(V175+V176+V177))</f>
        <v>0</v>
      </c>
      <c r="W178" s="150">
        <f t="shared" ref="W178" si="986">IF((W175+W176+W177)=0,0,(W175*$B179)/(W175+W176+W177))</f>
        <v>0</v>
      </c>
      <c r="X178" s="150">
        <f t="shared" ref="X178" si="987">IF((X175+X176+X177)=0,0,(X175*$B179)/(X175+X176+X177))</f>
        <v>0</v>
      </c>
      <c r="Y178" s="163">
        <f t="shared" ref="Y178" si="988">IF((Y175+Y176+Y177)=0,0,(Y175*$B179)/(Y175+Y176+Y177))</f>
        <v>0</v>
      </c>
    </row>
    <row r="179" spans="2:25" ht="15" customHeight="1" x14ac:dyDescent="0.2">
      <c r="B179" s="254">
        <v>0.57677957460159757</v>
      </c>
      <c r="C179" s="92">
        <f>E179/SUM(E178:E180)</f>
        <v>0.64444444444444449</v>
      </c>
      <c r="D179" s="61" t="s">
        <v>1</v>
      </c>
      <c r="E179" s="154">
        <f>IF((E175+E176+E177)=0,0,(E176*$B179)/(E175+E176+E177))</f>
        <v>0.37170239252102955</v>
      </c>
      <c r="F179" s="154">
        <f>IF((F175+F176+F177)=0,0,(F176*$B179)/(F175+F176+F177))</f>
        <v>0.34606774476095853</v>
      </c>
      <c r="G179" s="154">
        <f t="shared" ref="G179:O179" si="989">IF((G175+G176+G177)=0,0,(G176*$B179)/(G175+G176+G177))</f>
        <v>0.38619154125498273</v>
      </c>
      <c r="H179" s="154">
        <f t="shared" si="989"/>
        <v>0.36930490747872075</v>
      </c>
      <c r="I179" s="154">
        <f t="shared" si="989"/>
        <v>0.40035288119405005</v>
      </c>
      <c r="J179" s="154">
        <f t="shared" si="989"/>
        <v>0.39302678977277006</v>
      </c>
      <c r="K179" s="154">
        <f t="shared" si="989"/>
        <v>0.41198541042971254</v>
      </c>
      <c r="L179" s="154">
        <f t="shared" si="989"/>
        <v>0.3714851497434018</v>
      </c>
      <c r="M179" s="154">
        <f t="shared" si="989"/>
        <v>0.30486920371798731</v>
      </c>
      <c r="N179" s="154">
        <f t="shared" si="989"/>
        <v>0.36048723412599842</v>
      </c>
      <c r="O179" s="154">
        <f t="shared" si="989"/>
        <v>0</v>
      </c>
      <c r="P179" s="154">
        <f>IF((P175+P176+P177)=0,0,(P176*$B179)/(P175+P176+P177))</f>
        <v>0</v>
      </c>
      <c r="Q179" s="154">
        <f t="shared" ref="Q179:Y179" si="990">IF((Q175+Q176+Q177)=0,0,(Q176*$B179)/(Q175+Q176+Q177))</f>
        <v>0</v>
      </c>
      <c r="R179" s="154">
        <f t="shared" si="990"/>
        <v>0</v>
      </c>
      <c r="S179" s="154">
        <f t="shared" si="990"/>
        <v>0</v>
      </c>
      <c r="T179" s="154">
        <f t="shared" si="990"/>
        <v>0</v>
      </c>
      <c r="U179" s="154">
        <f t="shared" si="990"/>
        <v>0</v>
      </c>
      <c r="V179" s="154">
        <f t="shared" si="990"/>
        <v>0</v>
      </c>
      <c r="W179" s="154">
        <f t="shared" si="990"/>
        <v>0</v>
      </c>
      <c r="X179" s="154">
        <f t="shared" si="990"/>
        <v>0</v>
      </c>
      <c r="Y179" s="159">
        <f t="shared" si="990"/>
        <v>0</v>
      </c>
    </row>
    <row r="180" spans="2:25" ht="15" customHeight="1" thickBot="1" x14ac:dyDescent="0.25">
      <c r="B180" s="255"/>
      <c r="C180" s="93">
        <f>E180/SUM(E178:E180)</f>
        <v>2.5925925925925929E-2</v>
      </c>
      <c r="D180" s="75" t="s">
        <v>2</v>
      </c>
      <c r="E180" s="155">
        <f>IF((E175+E176+E177)=0,0,(E177*$B179)/(E175+E176+E177))</f>
        <v>1.4953544526708086E-2</v>
      </c>
      <c r="F180" s="155">
        <f>IF((F175+F176+F177)=0,0,(F177*$B179)/(F175+F176+F177))</f>
        <v>4.6142365968127805E-3</v>
      </c>
      <c r="G180" s="155">
        <f t="shared" ref="G180" si="991">IF((G175+G176+G177)=0,0,(G177*$B179)/(G175+G176+G177))</f>
        <v>0</v>
      </c>
      <c r="H180" s="155">
        <f t="shared" ref="H180" si="992">IF((H175+H176+H177)=0,0,(H177*$B179)/(H175+H176+H177))</f>
        <v>8.2989866849150721E-3</v>
      </c>
      <c r="I180" s="155">
        <f t="shared" ref="I180" si="993">IF((I175+I176+I177)=0,0,(I177*$B179)/(I175+I176+I177))</f>
        <v>0</v>
      </c>
      <c r="J180" s="155">
        <f t="shared" ref="J180" si="994">IF((J175+J176+J177)=0,0,(J177*$B179)/(J175+J176+J177))</f>
        <v>0</v>
      </c>
      <c r="K180" s="155">
        <f t="shared" ref="K180" si="995">IF((K175+K176+K177)=0,0,(K177*$B179)/(K175+K176+K177))</f>
        <v>2.0599270521485628E-2</v>
      </c>
      <c r="L180" s="155">
        <f t="shared" ref="L180" si="996">IF((L175+L176+L177)=0,0,(L177*$B179)/(L175+L176+L177))</f>
        <v>0</v>
      </c>
      <c r="M180" s="155">
        <f t="shared" ref="M180" si="997">IF((M175+M176+M177)=0,0,(M177*$B179)/(M175+M176+M177))</f>
        <v>0.13183533133750802</v>
      </c>
      <c r="N180" s="155">
        <f t="shared" ref="N180" si="998">IF((N175+N176+N177)=0,0,(N177*$B179)/(N175+N176+N177))</f>
        <v>0</v>
      </c>
      <c r="O180" s="155">
        <f t="shared" ref="O180" si="999">IF((O175+O176+O177)=0,0,(O177*$B179)/(O175+O176+O177))</f>
        <v>0</v>
      </c>
      <c r="P180" s="155">
        <f t="shared" ref="P180" si="1000">IF((P175+P176+P177)=0,0,(P177*$B179)/(P175+P176+P177))</f>
        <v>0</v>
      </c>
      <c r="Q180" s="155">
        <f t="shared" ref="Q180" si="1001">IF((Q175+Q176+Q177)=0,0,(Q177*$B179)/(Q175+Q176+Q177))</f>
        <v>0</v>
      </c>
      <c r="R180" s="155">
        <f t="shared" ref="R180" si="1002">IF((R175+R176+R177)=0,0,(R177*$B179)/(R175+R176+R177))</f>
        <v>0</v>
      </c>
      <c r="S180" s="155">
        <f t="shared" ref="S180" si="1003">IF((S175+S176+S177)=0,0,(S177*$B179)/(S175+S176+S177))</f>
        <v>0</v>
      </c>
      <c r="T180" s="155">
        <f t="shared" ref="T180" si="1004">IF((T175+T176+T177)=0,0,(T177*$B179)/(T175+T176+T177))</f>
        <v>0</v>
      </c>
      <c r="U180" s="155">
        <f t="shared" ref="U180" si="1005">IF((U175+U176+U177)=0,0,(U177*$B179)/(U175+U176+U177))</f>
        <v>0</v>
      </c>
      <c r="V180" s="155">
        <f t="shared" ref="V180" si="1006">IF((V175+V176+V177)=0,0,(V177*$B179)/(V175+V176+V177))</f>
        <v>0</v>
      </c>
      <c r="W180" s="155">
        <f t="shared" ref="W180" si="1007">IF((W175+W176+W177)=0,0,(W177*$B179)/(W175+W176+W177))</f>
        <v>0</v>
      </c>
      <c r="X180" s="155">
        <f t="shared" ref="X180" si="1008">IF((X175+X176+X177)=0,0,(X177*$B179)/(X175+X176+X177))</f>
        <v>0</v>
      </c>
      <c r="Y180" s="160">
        <f t="shared" ref="Y180" si="1009">IF((Y175+Y176+Y177)=0,0,(Y177*$B179)/(Y175+Y176+Y177))</f>
        <v>0</v>
      </c>
    </row>
    <row r="181" spans="2:25" ht="15" customHeight="1" x14ac:dyDescent="0.2">
      <c r="B181" s="249" t="s">
        <v>35</v>
      </c>
      <c r="C181" s="91" t="e">
        <f>E181/SUM(E181:E183)</f>
        <v>#DIV/0!</v>
      </c>
      <c r="D181" s="67" t="s">
        <v>0</v>
      </c>
      <c r="E181" s="68">
        <f t="shared" si="921"/>
        <v>0</v>
      </c>
      <c r="F181" s="68">
        <f>SUMIFS([0]!Chavez,[0]!Centro,B183,[0]!Turno,F$162)</f>
        <v>0</v>
      </c>
      <c r="G181" s="68">
        <f>SUMIFS([0]!Chavez,[0]!Centro,B183,[0]!Turno,G$162)</f>
        <v>0</v>
      </c>
      <c r="H181" s="68">
        <f>SUMIFS([0]!Chavez,[0]!Centro,B183,[0]!Turno,H$162)</f>
        <v>0</v>
      </c>
      <c r="I181" s="68">
        <f>SUMIFS([0]!Chavez,[0]!Centro,B183,[0]!Turno,I$162)</f>
        <v>0</v>
      </c>
      <c r="J181" s="68">
        <f>SUMIFS([0]!Chavez,[0]!Centro,B183,[0]!Turno,J$162)</f>
        <v>0</v>
      </c>
      <c r="K181" s="68">
        <f>SUMIFS([0]!Chavez,[0]!Centro,B183,[0]!Turno,K$162)</f>
        <v>0</v>
      </c>
      <c r="L181" s="68">
        <f>SUMIFS([0]!Chavez,[0]!Centro,B183,[0]!Turno,L$162)</f>
        <v>0</v>
      </c>
      <c r="M181" s="68">
        <f>SUMIFS([0]!Chavez,[0]!Centro,B183,[0]!Turno,M$162)</f>
        <v>0</v>
      </c>
      <c r="N181" s="68">
        <f>SUMIFS([0]!Chavez,[0]!Centro,B183,[0]!Turno,N$162)</f>
        <v>0</v>
      </c>
      <c r="O181" s="68">
        <f>SUMIFS([0]!Chavez,[0]!Centro,B183,[0]!Turno,O$162)</f>
        <v>0</v>
      </c>
      <c r="P181" s="68">
        <f>SUMIFS([0]!Chavez,[0]!Centro,B183,[0]!Turno,P$162)</f>
        <v>0</v>
      </c>
      <c r="Q181" s="68">
        <f>SUMIFS([0]!Chavez,[0]!Centro,B183,[0]!Turno,Q$162)</f>
        <v>0</v>
      </c>
      <c r="R181" s="68">
        <f>SUMIFS([0]!Chavez,[0]!Centro,B183,[0]!Turno,R$162)</f>
        <v>0</v>
      </c>
      <c r="S181" s="68">
        <f>SUMIFS([0]!Chavez,[0]!Centro,B183,[0]!Turno,S$162)</f>
        <v>0</v>
      </c>
      <c r="T181" s="68">
        <f>SUMIFS([0]!Chavez,[0]!Centro,B183,[0]!Turno,T$162)</f>
        <v>0</v>
      </c>
      <c r="U181" s="68">
        <f>SUMIFS([0]!Chavez,[0]!Centro,B183,[0]!Turno,U$162)</f>
        <v>0</v>
      </c>
      <c r="V181" s="68">
        <f>SUMIFS([0]!Chavez,[0]!Centro,B183,[0]!Turno,V$162)</f>
        <v>0</v>
      </c>
      <c r="W181" s="68">
        <f>SUMIFS([0]!Chavez,[0]!Centro,B183,[0]!Turno,W$162)</f>
        <v>0</v>
      </c>
      <c r="X181" s="68">
        <f>SUMIFS([0]!Chavez,[0]!Centro,B183,[0]!Turno,X$162)</f>
        <v>0</v>
      </c>
      <c r="Y181" s="69">
        <f>SUMIFS([0]!Chavez,[0]!Centro,B183,[0]!Turno,Y$162)</f>
        <v>0</v>
      </c>
    </row>
    <row r="182" spans="2:25" ht="15" customHeight="1" x14ac:dyDescent="0.2">
      <c r="B182" s="250"/>
      <c r="C182" s="92" t="e">
        <f>E182/SUM(E181:E183)</f>
        <v>#DIV/0!</v>
      </c>
      <c r="D182" s="61" t="s">
        <v>1</v>
      </c>
      <c r="E182" s="62">
        <f t="shared" si="921"/>
        <v>0</v>
      </c>
      <c r="F182" s="62">
        <f>SUMIFS([0]!Capriles,[0]!Centro,B183,[0]!Turno,F$162)</f>
        <v>0</v>
      </c>
      <c r="G182" s="62">
        <f>SUMIFS([0]!Capriles,[0]!Centro,B183,[0]!Turno,G$162)</f>
        <v>0</v>
      </c>
      <c r="H182" s="62">
        <f>SUMIFS([0]!Capriles,[0]!Centro,B183,[0]!Turno,H$162)</f>
        <v>0</v>
      </c>
      <c r="I182" s="62">
        <f>SUMIFS([0]!Capriles,[0]!Centro,B183,[0]!Turno,I$162)</f>
        <v>0</v>
      </c>
      <c r="J182" s="62">
        <f>SUMIFS([0]!Capriles,[0]!Centro,B183,[0]!Turno,J$162)</f>
        <v>0</v>
      </c>
      <c r="K182" s="62">
        <f>SUMIFS([0]!Capriles,[0]!Centro,B183,[0]!Turno,K$162)</f>
        <v>0</v>
      </c>
      <c r="L182" s="62">
        <f>SUMIFS([0]!Capriles,[0]!Centro,B183,[0]!Turno,L$162)</f>
        <v>0</v>
      </c>
      <c r="M182" s="62">
        <f>SUMIFS([0]!Capriles,[0]!Centro,B183,[0]!Turno,M$162)</f>
        <v>0</v>
      </c>
      <c r="N182" s="62">
        <f>SUMIFS([0]!Capriles,[0]!Centro,B183,[0]!Turno,N$162)</f>
        <v>0</v>
      </c>
      <c r="O182" s="62">
        <f>SUMIFS([0]!Capriles,[0]!Centro,B183,[0]!Turno,O$162)</f>
        <v>0</v>
      </c>
      <c r="P182" s="62">
        <f>SUMIFS([0]!Capriles,[0]!Centro,B183,[0]!Turno,P$162)</f>
        <v>0</v>
      </c>
      <c r="Q182" s="62">
        <f>SUMIFS([0]!Capriles,[0]!Centro,B183,[0]!Turno,Q$162)</f>
        <v>0</v>
      </c>
      <c r="R182" s="62">
        <f>SUMIFS([0]!Capriles,[0]!Centro,B183,[0]!Turno,R$162)</f>
        <v>0</v>
      </c>
      <c r="S182" s="62">
        <f>SUMIFS([0]!Capriles,[0]!Centro,B183,[0]!Turno,S$162)</f>
        <v>0</v>
      </c>
      <c r="T182" s="62">
        <f>SUMIFS([0]!Capriles,[0]!Centro,B183,[0]!Turno,T$162)</f>
        <v>0</v>
      </c>
      <c r="U182" s="62">
        <f>SUMIFS([0]!Capriles,[0]!Centro,B183,[0]!Turno,U$162)</f>
        <v>0</v>
      </c>
      <c r="V182" s="62">
        <f>SUMIFS([0]!Capriles,[0]!Centro,B183,[0]!Turno,V$162)</f>
        <v>0</v>
      </c>
      <c r="W182" s="62">
        <f>SUMIFS([0]!Capriles,[0]!Centro,B183,[0]!Turno,W$162)</f>
        <v>0</v>
      </c>
      <c r="X182" s="62">
        <f>SUMIFS([0]!Capriles,[0]!Centro,B183,[0]!Turno,X$162)</f>
        <v>0</v>
      </c>
      <c r="Y182" s="70">
        <f>SUMIFS([0]!Capriles,[0]!Centro,B183,[0]!Turno,Y$162)</f>
        <v>0</v>
      </c>
    </row>
    <row r="183" spans="2:25" ht="15" customHeight="1" thickBot="1" x14ac:dyDescent="0.25">
      <c r="B183" s="261">
        <v>43</v>
      </c>
      <c r="C183" s="100" t="e">
        <f>E183/SUM(E181:E183)</f>
        <v>#DIV/0!</v>
      </c>
      <c r="D183" s="71" t="s">
        <v>2</v>
      </c>
      <c r="E183" s="72">
        <f t="shared" si="921"/>
        <v>0</v>
      </c>
      <c r="F183" s="72">
        <f>SUMIFS([0]!Otro,[0]!Centro,B183,[0]!Turno,F$162)</f>
        <v>0</v>
      </c>
      <c r="G183" s="72">
        <f>SUMIFS([0]!Otro,[0]!Centro,B183,[0]!Turno,G$162)</f>
        <v>0</v>
      </c>
      <c r="H183" s="72">
        <f>SUMIFS([0]!Otro,[0]!Centro,B183,[0]!Turno,H$162)</f>
        <v>0</v>
      </c>
      <c r="I183" s="72">
        <f>SUMIFS([0]!Otro,[0]!Centro,B183,[0]!Turno,I$162)</f>
        <v>0</v>
      </c>
      <c r="J183" s="72">
        <f>SUMIFS([0]!Otro,[0]!Centro,B183,[0]!Turno,J$162)</f>
        <v>0</v>
      </c>
      <c r="K183" s="72">
        <f>SUMIFS([0]!Otro,[0]!Centro,B183,[0]!Turno,K$162)</f>
        <v>0</v>
      </c>
      <c r="L183" s="72">
        <f>SUMIFS([0]!Otro,[0]!Centro,B183,[0]!Turno,L$162)</f>
        <v>0</v>
      </c>
      <c r="M183" s="72">
        <f>SUMIFS([0]!Otro,[0]!Centro,B183,[0]!Turno,M$162)</f>
        <v>0</v>
      </c>
      <c r="N183" s="72">
        <f>SUMIFS([0]!Otro,[0]!Centro,B183,[0]!Turno,N$162)</f>
        <v>0</v>
      </c>
      <c r="O183" s="72">
        <f>SUMIFS([0]!Otro,[0]!Centro,B183,[0]!Turno,O$162)</f>
        <v>0</v>
      </c>
      <c r="P183" s="72">
        <f>SUMIFS([0]!Otro,[0]!Centro,B183,[0]!Turno,P$162)</f>
        <v>0</v>
      </c>
      <c r="Q183" s="72">
        <f>SUMIFS([0]!Otro,[0]!Centro,B183,[0]!Turno,Q$162)</f>
        <v>0</v>
      </c>
      <c r="R183" s="72">
        <f>SUMIFS([0]!Otro,[0]!Centro,B183,[0]!Turno,R$162)</f>
        <v>0</v>
      </c>
      <c r="S183" s="72">
        <f>SUMIFS([0]!Otro,[0]!Centro,B183,[0]!Turno,S$162)</f>
        <v>0</v>
      </c>
      <c r="T183" s="72">
        <f>SUMIFS([0]!Otro,[0]!Centro,B183,[0]!Turno,T$162)</f>
        <v>0</v>
      </c>
      <c r="U183" s="72">
        <f>SUMIFS([0]!Otro,[0]!Centro,B183,[0]!Turno,U$162)</f>
        <v>0</v>
      </c>
      <c r="V183" s="72">
        <f>SUMIFS([0]!Otro,[0]!Centro,B183,[0]!Turno,V$162)</f>
        <v>0</v>
      </c>
      <c r="W183" s="72">
        <f>SUMIFS([0]!Otro,[0]!Centro,B183,[0]!Turno,W$162)</f>
        <v>0</v>
      </c>
      <c r="X183" s="72">
        <f>SUMIFS([0]!Otro,[0]!Centro,B183,[0]!Turno,X$162)</f>
        <v>0</v>
      </c>
      <c r="Y183" s="73">
        <f>SUMIFS([0]!Otro,[0]!Centro,B183,[0]!Turno,Y$162)</f>
        <v>0</v>
      </c>
    </row>
    <row r="184" spans="2:25" ht="15" customHeight="1" x14ac:dyDescent="0.2">
      <c r="B184" s="261"/>
      <c r="C184" s="94" t="e">
        <f>E184/SUM(E184:E186)</f>
        <v>#DIV/0!</v>
      </c>
      <c r="D184" s="63" t="s">
        <v>0</v>
      </c>
      <c r="E184" s="150">
        <f>IF((E181+E182+E183)=0,0,(E181*$B185)/(E181+E182+E183))</f>
        <v>0</v>
      </c>
      <c r="F184" s="150">
        <f>IF((F181+F182+F183)=0,0,(F181*$B185)/(F181+F182+F183))</f>
        <v>0</v>
      </c>
      <c r="G184" s="150">
        <f t="shared" ref="G184" si="1010">IF((G181+G182+G183)=0,0,(G181*$B185)/(G181+G182+G183))</f>
        <v>0</v>
      </c>
      <c r="H184" s="150">
        <f t="shared" ref="H184" si="1011">IF((H181+H182+H183)=0,0,(H181*$B185)/(H181+H182+H183))</f>
        <v>0</v>
      </c>
      <c r="I184" s="150">
        <f t="shared" ref="I184" si="1012">IF((I181+I182+I183)=0,0,(I181*$B185)/(I181+I182+I183))</f>
        <v>0</v>
      </c>
      <c r="J184" s="150">
        <f t="shared" ref="J184" si="1013">IF((J181+J182+J183)=0,0,(J181*$B185)/(J181+J182+J183))</f>
        <v>0</v>
      </c>
      <c r="K184" s="150">
        <f t="shared" ref="K184" si="1014">IF((K181+K182+K183)=0,0,(K181*$B185)/(K181+K182+K183))</f>
        <v>0</v>
      </c>
      <c r="L184" s="150">
        <f t="shared" ref="L184" si="1015">IF((L181+L182+L183)=0,0,(L181*$B185)/(L181+L182+L183))</f>
        <v>0</v>
      </c>
      <c r="M184" s="150">
        <f t="shared" ref="M184" si="1016">IF((M181+M182+M183)=0,0,(M181*$B185)/(M181+M182+M183))</f>
        <v>0</v>
      </c>
      <c r="N184" s="150">
        <f t="shared" ref="N184" si="1017">IF((N181+N182+N183)=0,0,(N181*$B185)/(N181+N182+N183))</f>
        <v>0</v>
      </c>
      <c r="O184" s="150">
        <f t="shared" ref="O184" si="1018">IF((O181+O182+O183)=0,0,(O181*$B185)/(O181+O182+O183))</f>
        <v>0</v>
      </c>
      <c r="P184" s="150">
        <f t="shared" ref="P184" si="1019">IF((P181+P182+P183)=0,0,(P181*$B185)/(P181+P182+P183))</f>
        <v>0</v>
      </c>
      <c r="Q184" s="150">
        <f t="shared" ref="Q184" si="1020">IF((Q181+Q182+Q183)=0,0,(Q181*$B185)/(Q181+Q182+Q183))</f>
        <v>0</v>
      </c>
      <c r="R184" s="150">
        <f t="shared" ref="R184" si="1021">IF((R181+R182+R183)=0,0,(R181*$B185)/(R181+R182+R183))</f>
        <v>0</v>
      </c>
      <c r="S184" s="150">
        <f t="shared" ref="S184" si="1022">IF((S181+S182+S183)=0,0,(S181*$B185)/(S181+S182+S183))</f>
        <v>0</v>
      </c>
      <c r="T184" s="150">
        <f t="shared" ref="T184" si="1023">IF((T181+T182+T183)=0,0,(T181*$B185)/(T181+T182+T183))</f>
        <v>0</v>
      </c>
      <c r="U184" s="150">
        <f t="shared" ref="U184" si="1024">IF((U181+U182+U183)=0,0,(U181*$B185)/(U181+U182+U183))</f>
        <v>0</v>
      </c>
      <c r="V184" s="150">
        <f t="shared" ref="V184" si="1025">IF((V181+V182+V183)=0,0,(V181*$B185)/(V181+V182+V183))</f>
        <v>0</v>
      </c>
      <c r="W184" s="150">
        <f t="shared" ref="W184" si="1026">IF((W181+W182+W183)=0,0,(W181*$B185)/(W181+W182+W183))</f>
        <v>0</v>
      </c>
      <c r="X184" s="150">
        <f t="shared" ref="X184" si="1027">IF((X181+X182+X183)=0,0,(X181*$B185)/(X181+X182+X183))</f>
        <v>0</v>
      </c>
      <c r="Y184" s="163">
        <f t="shared" ref="Y184" si="1028">IF((Y181+Y182+Y183)=0,0,(Y181*$B185)/(Y181+Y182+Y183))</f>
        <v>0</v>
      </c>
    </row>
    <row r="185" spans="2:25" ht="15" customHeight="1" x14ac:dyDescent="0.2">
      <c r="B185" s="254">
        <v>9.3689618657916404E-2</v>
      </c>
      <c r="C185" s="92" t="e">
        <f>E185/SUM(E184:E186)</f>
        <v>#DIV/0!</v>
      </c>
      <c r="D185" s="61" t="s">
        <v>1</v>
      </c>
      <c r="E185" s="154">
        <f>IF((E181+E182+E183)=0,0,(E182*$B185)/(E181+E182+E183))</f>
        <v>0</v>
      </c>
      <c r="F185" s="154">
        <f>IF((F181+F182+F183)=0,0,(F182*$B185)/(F181+F182+F183))</f>
        <v>0</v>
      </c>
      <c r="G185" s="154">
        <f t="shared" ref="G185:O185" si="1029">IF((G181+G182+G183)=0,0,(G182*$B185)/(G181+G182+G183))</f>
        <v>0</v>
      </c>
      <c r="H185" s="154">
        <f t="shared" si="1029"/>
        <v>0</v>
      </c>
      <c r="I185" s="154">
        <f t="shared" si="1029"/>
        <v>0</v>
      </c>
      <c r="J185" s="154">
        <f t="shared" si="1029"/>
        <v>0</v>
      </c>
      <c r="K185" s="154">
        <f t="shared" si="1029"/>
        <v>0</v>
      </c>
      <c r="L185" s="154">
        <f t="shared" si="1029"/>
        <v>0</v>
      </c>
      <c r="M185" s="154">
        <f t="shared" si="1029"/>
        <v>0</v>
      </c>
      <c r="N185" s="154">
        <f t="shared" si="1029"/>
        <v>0</v>
      </c>
      <c r="O185" s="154">
        <f t="shared" si="1029"/>
        <v>0</v>
      </c>
      <c r="P185" s="154">
        <f>IF((P181+P182+P183)=0,0,(P182*$B185)/(P181+P182+P183))</f>
        <v>0</v>
      </c>
      <c r="Q185" s="154">
        <f t="shared" ref="Q185:Y185" si="1030">IF((Q181+Q182+Q183)=0,0,(Q182*$B185)/(Q181+Q182+Q183))</f>
        <v>0</v>
      </c>
      <c r="R185" s="154">
        <f t="shared" si="1030"/>
        <v>0</v>
      </c>
      <c r="S185" s="154">
        <f t="shared" si="1030"/>
        <v>0</v>
      </c>
      <c r="T185" s="154">
        <f t="shared" si="1030"/>
        <v>0</v>
      </c>
      <c r="U185" s="154">
        <f t="shared" si="1030"/>
        <v>0</v>
      </c>
      <c r="V185" s="154">
        <f t="shared" si="1030"/>
        <v>0</v>
      </c>
      <c r="W185" s="154">
        <f t="shared" si="1030"/>
        <v>0</v>
      </c>
      <c r="X185" s="154">
        <f t="shared" si="1030"/>
        <v>0</v>
      </c>
      <c r="Y185" s="159">
        <f t="shared" si="1030"/>
        <v>0</v>
      </c>
    </row>
    <row r="186" spans="2:25" ht="15" customHeight="1" thickBot="1" x14ac:dyDescent="0.25">
      <c r="B186" s="255"/>
      <c r="C186" s="93" t="e">
        <f>E186/SUM(E184:E186)</f>
        <v>#DIV/0!</v>
      </c>
      <c r="D186" s="75" t="s">
        <v>2</v>
      </c>
      <c r="E186" s="155">
        <f>IF((E181+E182+E183)=0,0,(E183*$B185)/(E181+E182+E183))</f>
        <v>0</v>
      </c>
      <c r="F186" s="155">
        <f>IF((F181+F182+F183)=0,0,(F183*$B185)/(F181+F182+F183))</f>
        <v>0</v>
      </c>
      <c r="G186" s="155">
        <f t="shared" ref="G186" si="1031">IF((G181+G182+G183)=0,0,(G183*$B185)/(G181+G182+G183))</f>
        <v>0</v>
      </c>
      <c r="H186" s="155">
        <f t="shared" ref="H186" si="1032">IF((H181+H182+H183)=0,0,(H183*$B185)/(H181+H182+H183))</f>
        <v>0</v>
      </c>
      <c r="I186" s="155">
        <f t="shared" ref="I186" si="1033">IF((I181+I182+I183)=0,0,(I183*$B185)/(I181+I182+I183))</f>
        <v>0</v>
      </c>
      <c r="J186" s="155">
        <f t="shared" ref="J186" si="1034">IF((J181+J182+J183)=0,0,(J183*$B185)/(J181+J182+J183))</f>
        <v>0</v>
      </c>
      <c r="K186" s="155">
        <f t="shared" ref="K186" si="1035">IF((K181+K182+K183)=0,0,(K183*$B185)/(K181+K182+K183))</f>
        <v>0</v>
      </c>
      <c r="L186" s="155">
        <f t="shared" ref="L186" si="1036">IF((L181+L182+L183)=0,0,(L183*$B185)/(L181+L182+L183))</f>
        <v>0</v>
      </c>
      <c r="M186" s="155">
        <f t="shared" ref="M186" si="1037">IF((M181+M182+M183)=0,0,(M183*$B185)/(M181+M182+M183))</f>
        <v>0</v>
      </c>
      <c r="N186" s="155">
        <f t="shared" ref="N186" si="1038">IF((N181+N182+N183)=0,0,(N183*$B185)/(N181+N182+N183))</f>
        <v>0</v>
      </c>
      <c r="O186" s="155">
        <f t="shared" ref="O186" si="1039">IF((O181+O182+O183)=0,0,(O183*$B185)/(O181+O182+O183))</f>
        <v>0</v>
      </c>
      <c r="P186" s="155">
        <f t="shared" ref="P186" si="1040">IF((P181+P182+P183)=0,0,(P183*$B185)/(P181+P182+P183))</f>
        <v>0</v>
      </c>
      <c r="Q186" s="155">
        <f t="shared" ref="Q186" si="1041">IF((Q181+Q182+Q183)=0,0,(Q183*$B185)/(Q181+Q182+Q183))</f>
        <v>0</v>
      </c>
      <c r="R186" s="155">
        <f t="shared" ref="R186" si="1042">IF((R181+R182+R183)=0,0,(R183*$B185)/(R181+R182+R183))</f>
        <v>0</v>
      </c>
      <c r="S186" s="155">
        <f t="shared" ref="S186" si="1043">IF((S181+S182+S183)=0,0,(S183*$B185)/(S181+S182+S183))</f>
        <v>0</v>
      </c>
      <c r="T186" s="155">
        <f t="shared" ref="T186" si="1044">IF((T181+T182+T183)=0,0,(T183*$B185)/(T181+T182+T183))</f>
        <v>0</v>
      </c>
      <c r="U186" s="155">
        <f t="shared" ref="U186" si="1045">IF((U181+U182+U183)=0,0,(U183*$B185)/(U181+U182+U183))</f>
        <v>0</v>
      </c>
      <c r="V186" s="155">
        <f t="shared" ref="V186" si="1046">IF((V181+V182+V183)=0,0,(V183*$B185)/(V181+V182+V183))</f>
        <v>0</v>
      </c>
      <c r="W186" s="155">
        <f t="shared" ref="W186" si="1047">IF((W181+W182+W183)=0,0,(W183*$B185)/(W181+W182+W183))</f>
        <v>0</v>
      </c>
      <c r="X186" s="155">
        <f t="shared" ref="X186" si="1048">IF((X181+X182+X183)=0,0,(X183*$B185)/(X181+X182+X183))</f>
        <v>0</v>
      </c>
      <c r="Y186" s="160">
        <f t="shared" ref="Y186" si="1049">IF((Y181+Y182+Y183)=0,0,(Y183*$B185)/(Y181+Y182+Y183))</f>
        <v>0</v>
      </c>
    </row>
    <row r="187" spans="2:25" ht="15" customHeight="1" x14ac:dyDescent="0.2">
      <c r="B187" s="249" t="s">
        <v>59</v>
      </c>
      <c r="C187" s="91">
        <f>E187/SUM(E187:E189)</f>
        <v>0.46992481203007519</v>
      </c>
      <c r="D187" s="67" t="s">
        <v>0</v>
      </c>
      <c r="E187" s="68">
        <f t="shared" si="921"/>
        <v>125</v>
      </c>
      <c r="F187" s="68">
        <f>SUMIFS([0]!Chavez,[0]!Centro,B189,[0]!Turno,F$162)</f>
        <v>22</v>
      </c>
      <c r="G187" s="68">
        <f>SUMIFS([0]!Chavez,[0]!Centro,B189,[0]!Turno,G$162)</f>
        <v>9</v>
      </c>
      <c r="H187" s="68">
        <f>SUMIFS([0]!Chavez,[0]!Centro,B189,[0]!Turno,H$162)</f>
        <v>4</v>
      </c>
      <c r="I187" s="68">
        <f>SUMIFS([0]!Chavez,[0]!Centro,B189,[0]!Turno,I$162)</f>
        <v>34</v>
      </c>
      <c r="J187" s="68">
        <f>SUMIFS([0]!Chavez,[0]!Centro,B189,[0]!Turno,J$162)</f>
        <v>18</v>
      </c>
      <c r="K187" s="68">
        <f>SUMIFS([0]!Chavez,[0]!Centro,B189,[0]!Turno,K$162)</f>
        <v>8</v>
      </c>
      <c r="L187" s="68">
        <f>SUMIFS([0]!Chavez,[0]!Centro,B189,[0]!Turno,L$162)</f>
        <v>0</v>
      </c>
      <c r="M187" s="68">
        <f>SUMIFS([0]!Chavez,[0]!Centro,B189,[0]!Turno,M$162)</f>
        <v>0</v>
      </c>
      <c r="N187" s="68">
        <f>SUMIFS([0]!Chavez,[0]!Centro,B189,[0]!Turno,N$162)</f>
        <v>30</v>
      </c>
      <c r="O187" s="68">
        <f>SUMIFS([0]!Chavez,[0]!Centro,B189,[0]!Turno,O$162)</f>
        <v>0</v>
      </c>
      <c r="P187" s="68">
        <f>SUMIFS([0]!Chavez,[0]!Centro,B189,[0]!Turno,P$162)</f>
        <v>0</v>
      </c>
      <c r="Q187" s="68">
        <f>SUMIFS([0]!Chavez,[0]!Centro,B189,[0]!Turno,Q$162)</f>
        <v>0</v>
      </c>
      <c r="R187" s="68">
        <f>SUMIFS([0]!Chavez,[0]!Centro,B189,[0]!Turno,R$162)</f>
        <v>0</v>
      </c>
      <c r="S187" s="68">
        <f>SUMIFS([0]!Chavez,[0]!Centro,B189,[0]!Turno,S$162)</f>
        <v>0</v>
      </c>
      <c r="T187" s="68">
        <f>SUMIFS([0]!Chavez,[0]!Centro,B189,[0]!Turno,T$162)</f>
        <v>0</v>
      </c>
      <c r="U187" s="68">
        <f>SUMIFS([0]!Chavez,[0]!Centro,B189,[0]!Turno,U$162)</f>
        <v>0</v>
      </c>
      <c r="V187" s="68">
        <f>SUMIFS([0]!Chavez,[0]!Centro,B189,[0]!Turno,V$162)</f>
        <v>0</v>
      </c>
      <c r="W187" s="68">
        <f>SUMIFS([0]!Chavez,[0]!Centro,B189,[0]!Turno,W$162)</f>
        <v>0</v>
      </c>
      <c r="X187" s="68">
        <f>SUMIFS([0]!Chavez,[0]!Centro,B189,[0]!Turno,X$162)</f>
        <v>0</v>
      </c>
      <c r="Y187" s="69">
        <f>SUMIFS([0]!Chavez,[0]!Centro,B189,[0]!Turno,Y$162)</f>
        <v>0</v>
      </c>
    </row>
    <row r="188" spans="2:25" ht="15" customHeight="1" x14ac:dyDescent="0.2">
      <c r="B188" s="250"/>
      <c r="C188" s="92">
        <f>E188/SUM(E187:E189)</f>
        <v>0.52631578947368418</v>
      </c>
      <c r="D188" s="61" t="s">
        <v>1</v>
      </c>
      <c r="E188" s="62">
        <f t="shared" si="921"/>
        <v>140</v>
      </c>
      <c r="F188" s="62">
        <f>SUMIFS([0]!Capriles,[0]!Centro,B189,[0]!Turno,F$162)</f>
        <v>16</v>
      </c>
      <c r="G188" s="62">
        <f>SUMIFS([0]!Capriles,[0]!Centro,B189,[0]!Turno,G$162)</f>
        <v>26</v>
      </c>
      <c r="H188" s="62">
        <f>SUMIFS([0]!Capriles,[0]!Centro,B189,[0]!Turno,H$162)</f>
        <v>16</v>
      </c>
      <c r="I188" s="62">
        <f>SUMIFS([0]!Capriles,[0]!Centro,B189,[0]!Turno,I$162)</f>
        <v>21</v>
      </c>
      <c r="J188" s="62">
        <f>SUMIFS([0]!Capriles,[0]!Centro,B189,[0]!Turno,J$162)</f>
        <v>19</v>
      </c>
      <c r="K188" s="62">
        <f>SUMIFS([0]!Capriles,[0]!Centro,B189,[0]!Turno,K$162)</f>
        <v>32</v>
      </c>
      <c r="L188" s="62">
        <f>SUMIFS([0]!Capriles,[0]!Centro,B189,[0]!Turno,L$162)</f>
        <v>0</v>
      </c>
      <c r="M188" s="62">
        <f>SUMIFS([0]!Capriles,[0]!Centro,B189,[0]!Turno,M$162)</f>
        <v>0</v>
      </c>
      <c r="N188" s="62">
        <f>SUMIFS([0]!Capriles,[0]!Centro,B189,[0]!Turno,N$162)</f>
        <v>10</v>
      </c>
      <c r="O188" s="62">
        <f>SUMIFS([0]!Capriles,[0]!Centro,B189,[0]!Turno,O$162)</f>
        <v>0</v>
      </c>
      <c r="P188" s="62">
        <f>SUMIFS([0]!Capriles,[0]!Centro,B189,[0]!Turno,P$162)</f>
        <v>0</v>
      </c>
      <c r="Q188" s="62">
        <f>SUMIFS([0]!Capriles,[0]!Centro,B189,[0]!Turno,Q$162)</f>
        <v>0</v>
      </c>
      <c r="R188" s="62">
        <f>SUMIFS([0]!Capriles,[0]!Centro,B189,[0]!Turno,R$162)</f>
        <v>0</v>
      </c>
      <c r="S188" s="62">
        <f>SUMIFS([0]!Capriles,[0]!Centro,B189,[0]!Turno,S$162)</f>
        <v>0</v>
      </c>
      <c r="T188" s="62">
        <f>SUMIFS([0]!Capriles,[0]!Centro,B189,[0]!Turno,T$162)</f>
        <v>0</v>
      </c>
      <c r="U188" s="62">
        <f>SUMIFS([0]!Capriles,[0]!Centro,B189,[0]!Turno,U$162)</f>
        <v>0</v>
      </c>
      <c r="V188" s="62">
        <f>SUMIFS([0]!Capriles,[0]!Centro,B189,[0]!Turno,V$162)</f>
        <v>0</v>
      </c>
      <c r="W188" s="62">
        <f>SUMIFS([0]!Capriles,[0]!Centro,B189,[0]!Turno,W$162)</f>
        <v>0</v>
      </c>
      <c r="X188" s="62">
        <f>SUMIFS([0]!Capriles,[0]!Centro,B189,[0]!Turno,X$162)</f>
        <v>0</v>
      </c>
      <c r="Y188" s="70">
        <f>SUMIFS([0]!Capriles,[0]!Centro,B189,[0]!Turno,Y$162)</f>
        <v>0</v>
      </c>
    </row>
    <row r="189" spans="2:25" ht="15" customHeight="1" thickBot="1" x14ac:dyDescent="0.25">
      <c r="B189" s="261">
        <v>44</v>
      </c>
      <c r="C189" s="100">
        <f>E189/SUM(E187:E189)</f>
        <v>3.7593984962406013E-3</v>
      </c>
      <c r="D189" s="71" t="s">
        <v>2</v>
      </c>
      <c r="E189" s="72">
        <f t="shared" si="921"/>
        <v>1</v>
      </c>
      <c r="F189" s="72">
        <f>SUMIFS([0]!Otro,[0]!Centro,B189,[0]!Turno,F$162)</f>
        <v>0</v>
      </c>
      <c r="G189" s="72">
        <f>SUMIFS([0]!Otro,[0]!Centro,B189,[0]!Turno,G$162)</f>
        <v>0</v>
      </c>
      <c r="H189" s="72">
        <f>SUMIFS([0]!Otro,[0]!Centro,B189,[0]!Turno,H$162)</f>
        <v>1</v>
      </c>
      <c r="I189" s="72">
        <f>SUMIFS([0]!Otro,[0]!Centro,B189,[0]!Turno,I$162)</f>
        <v>0</v>
      </c>
      <c r="J189" s="72">
        <f>SUMIFS([0]!Otro,[0]!Centro,B189,[0]!Turno,J$162)</f>
        <v>0</v>
      </c>
      <c r="K189" s="72">
        <f>SUMIFS([0]!Otro,[0]!Centro,B189,[0]!Turno,K$162)</f>
        <v>0</v>
      </c>
      <c r="L189" s="72">
        <f>SUMIFS([0]!Otro,[0]!Centro,B189,[0]!Turno,L$162)</f>
        <v>0</v>
      </c>
      <c r="M189" s="72">
        <f>SUMIFS([0]!Otro,[0]!Centro,B189,[0]!Turno,M$162)</f>
        <v>0</v>
      </c>
      <c r="N189" s="72">
        <f>SUMIFS([0]!Otro,[0]!Centro,B189,[0]!Turno,N$162)</f>
        <v>0</v>
      </c>
      <c r="O189" s="72">
        <f>SUMIFS([0]!Otro,[0]!Centro,B189,[0]!Turno,O$162)</f>
        <v>0</v>
      </c>
      <c r="P189" s="72">
        <f>SUMIFS([0]!Otro,[0]!Centro,B189,[0]!Turno,P$162)</f>
        <v>0</v>
      </c>
      <c r="Q189" s="72">
        <f>SUMIFS([0]!Otro,[0]!Centro,B189,[0]!Turno,Q$162)</f>
        <v>0</v>
      </c>
      <c r="R189" s="72">
        <f>SUMIFS([0]!Otro,[0]!Centro,B189,[0]!Turno,R$162)</f>
        <v>0</v>
      </c>
      <c r="S189" s="72">
        <f>SUMIFS([0]!Otro,[0]!Centro,B189,[0]!Turno,S$162)</f>
        <v>0</v>
      </c>
      <c r="T189" s="72">
        <f>SUMIFS([0]!Otro,[0]!Centro,B189,[0]!Turno,T$162)</f>
        <v>0</v>
      </c>
      <c r="U189" s="72">
        <f>SUMIFS([0]!Otro,[0]!Centro,B189,[0]!Turno,U$162)</f>
        <v>0</v>
      </c>
      <c r="V189" s="72">
        <f>SUMIFS([0]!Otro,[0]!Centro,B189,[0]!Turno,V$162)</f>
        <v>0</v>
      </c>
      <c r="W189" s="72">
        <f>SUMIFS([0]!Otro,[0]!Centro,B189,[0]!Turno,W$162)</f>
        <v>0</v>
      </c>
      <c r="X189" s="72">
        <f>SUMIFS([0]!Otro,[0]!Centro,B189,[0]!Turno,X$162)</f>
        <v>0</v>
      </c>
      <c r="Y189" s="73">
        <f>SUMIFS([0]!Otro,[0]!Centro,B189,[0]!Turno,Y$162)</f>
        <v>0</v>
      </c>
    </row>
    <row r="190" spans="2:25" ht="15" customHeight="1" x14ac:dyDescent="0.2">
      <c r="B190" s="261"/>
      <c r="C190" s="94">
        <f>E190/SUM(E190:E192)</f>
        <v>0.46992481203007519</v>
      </c>
      <c r="D190" s="63" t="s">
        <v>0</v>
      </c>
      <c r="E190" s="150">
        <f>IF((E187+E188+E189)=0,0,(E187*$B191)/(E187+E188+E189))</f>
        <v>4.4595952511847135E-2</v>
      </c>
      <c r="F190" s="150">
        <f>IF((F187+F188+F189)=0,0,(F187*$B191)/(F187+F188+F189))</f>
        <v>5.494221349459566E-2</v>
      </c>
      <c r="G190" s="150">
        <f t="shared" ref="G190" si="1050">IF((G187+G188+G189)=0,0,(G187*$B191)/(G187+G188+G189))</f>
        <v>2.4402905214482754E-2</v>
      </c>
      <c r="H190" s="150">
        <f t="shared" ref="H190" si="1051">IF((H187+H188+H189)=0,0,(H187*$B191)/(H187+H188+H189))</f>
        <v>1.8076226084802038E-2</v>
      </c>
      <c r="I190" s="150">
        <f t="shared" ref="I190" si="1052">IF((I187+I188+I189)=0,0,(I187*$B191)/(I187+I188+I189))</f>
        <v>5.866557011158479E-2</v>
      </c>
      <c r="J190" s="150">
        <f t="shared" ref="J190" si="1053">IF((J187+J188+J189)=0,0,(J187*$B191)/(J187+J188+J189))</f>
        <v>4.6167658513886288E-2</v>
      </c>
      <c r="K190" s="150">
        <f t="shared" ref="K190" si="1054">IF((K187+K188+K189)=0,0,(K187*$B191)/(K187+K188+K189))</f>
        <v>1.898003738904214E-2</v>
      </c>
      <c r="L190" s="150">
        <f t="shared" ref="L190" si="1055">IF((L187+L188+L189)=0,0,(L187*$B191)/(L187+L188+L189))</f>
        <v>0</v>
      </c>
      <c r="M190" s="150">
        <f t="shared" ref="M190" si="1056">IF((M187+M188+M189)=0,0,(M187*$B191)/(M187+M188+M189))</f>
        <v>0</v>
      </c>
      <c r="N190" s="150">
        <f t="shared" ref="N190" si="1057">IF((N187+N188+N189)=0,0,(N187*$B191)/(N187+N188+N189))</f>
        <v>7.1175140208908028E-2</v>
      </c>
      <c r="O190" s="150">
        <f t="shared" ref="O190" si="1058">IF((O187+O188+O189)=0,0,(O187*$B191)/(O187+O188+O189))</f>
        <v>0</v>
      </c>
      <c r="P190" s="150">
        <f t="shared" ref="P190" si="1059">IF((P187+P188+P189)=0,0,(P187*$B191)/(P187+P188+P189))</f>
        <v>0</v>
      </c>
      <c r="Q190" s="150">
        <f t="shared" ref="Q190" si="1060">IF((Q187+Q188+Q189)=0,0,(Q187*$B191)/(Q187+Q188+Q189))</f>
        <v>0</v>
      </c>
      <c r="R190" s="150">
        <f t="shared" ref="R190" si="1061">IF((R187+R188+R189)=0,0,(R187*$B191)/(R187+R188+R189))</f>
        <v>0</v>
      </c>
      <c r="S190" s="150">
        <f t="shared" ref="S190" si="1062">IF((S187+S188+S189)=0,0,(S187*$B191)/(S187+S188+S189))</f>
        <v>0</v>
      </c>
      <c r="T190" s="150">
        <f t="shared" ref="T190" si="1063">IF((T187+T188+T189)=0,0,(T187*$B191)/(T187+T188+T189))</f>
        <v>0</v>
      </c>
      <c r="U190" s="150">
        <f t="shared" ref="U190" si="1064">IF((U187+U188+U189)=0,0,(U187*$B191)/(U187+U188+U189))</f>
        <v>0</v>
      </c>
      <c r="V190" s="150">
        <f t="shared" ref="V190" si="1065">IF((V187+V188+V189)=0,0,(V187*$B191)/(V187+V188+V189))</f>
        <v>0</v>
      </c>
      <c r="W190" s="150">
        <f t="shared" ref="W190" si="1066">IF((W187+W188+W189)=0,0,(W187*$B191)/(W187+W188+W189))</f>
        <v>0</v>
      </c>
      <c r="X190" s="150">
        <f t="shared" ref="X190" si="1067">IF((X187+X188+X189)=0,0,(X187*$B191)/(X187+X188+X189))</f>
        <v>0</v>
      </c>
      <c r="Y190" s="163">
        <f t="shared" ref="Y190" si="1068">IF((Y187+Y188+Y189)=0,0,(Y187*$B191)/(Y187+Y188+Y189))</f>
        <v>0</v>
      </c>
    </row>
    <row r="191" spans="2:25" ht="15" customHeight="1" x14ac:dyDescent="0.2">
      <c r="B191" s="254">
        <v>9.4900186945210699E-2</v>
      </c>
      <c r="C191" s="92">
        <f>E191/SUM(E190:E192)</f>
        <v>0.52631578947368418</v>
      </c>
      <c r="D191" s="61" t="s">
        <v>1</v>
      </c>
      <c r="E191" s="154">
        <f>IF((E187+E188+E189)=0,0,(E188*$B191)/(E187+E188+E189))</f>
        <v>4.9947466813268789E-2</v>
      </c>
      <c r="F191" s="154">
        <f>IF((F187+F188+F189)=0,0,(F188*$B191)/(F187+F188+F189))</f>
        <v>3.9957973450615032E-2</v>
      </c>
      <c r="G191" s="154">
        <f t="shared" ref="G191:O191" si="1069">IF((G187+G188+G189)=0,0,(G188*$B191)/(G187+G188+G189))</f>
        <v>7.0497281730727945E-2</v>
      </c>
      <c r="H191" s="154">
        <f t="shared" si="1069"/>
        <v>7.2304904339208151E-2</v>
      </c>
      <c r="I191" s="154">
        <f t="shared" si="1069"/>
        <v>3.6234616833625902E-2</v>
      </c>
      <c r="J191" s="154">
        <f t="shared" si="1069"/>
        <v>4.8732528431324411E-2</v>
      </c>
      <c r="K191" s="154">
        <f t="shared" si="1069"/>
        <v>7.5920149556168562E-2</v>
      </c>
      <c r="L191" s="154">
        <f t="shared" si="1069"/>
        <v>0</v>
      </c>
      <c r="M191" s="154">
        <f t="shared" si="1069"/>
        <v>0</v>
      </c>
      <c r="N191" s="154">
        <f t="shared" si="1069"/>
        <v>2.3725046736302675E-2</v>
      </c>
      <c r="O191" s="154">
        <f t="shared" si="1069"/>
        <v>0</v>
      </c>
      <c r="P191" s="154">
        <f>IF((P187+P188+P189)=0,0,(P188*$B191)/(P187+P188+P189))</f>
        <v>0</v>
      </c>
      <c r="Q191" s="154">
        <f t="shared" ref="Q191:Y191" si="1070">IF((Q187+Q188+Q189)=0,0,(Q188*$B191)/(Q187+Q188+Q189))</f>
        <v>0</v>
      </c>
      <c r="R191" s="154">
        <f t="shared" si="1070"/>
        <v>0</v>
      </c>
      <c r="S191" s="154">
        <f t="shared" si="1070"/>
        <v>0</v>
      </c>
      <c r="T191" s="154">
        <f t="shared" si="1070"/>
        <v>0</v>
      </c>
      <c r="U191" s="154">
        <f t="shared" si="1070"/>
        <v>0</v>
      </c>
      <c r="V191" s="154">
        <f t="shared" si="1070"/>
        <v>0</v>
      </c>
      <c r="W191" s="154">
        <f t="shared" si="1070"/>
        <v>0</v>
      </c>
      <c r="X191" s="154">
        <f t="shared" si="1070"/>
        <v>0</v>
      </c>
      <c r="Y191" s="159">
        <f t="shared" si="1070"/>
        <v>0</v>
      </c>
    </row>
    <row r="192" spans="2:25" ht="15" customHeight="1" thickBot="1" x14ac:dyDescent="0.25">
      <c r="B192" s="255"/>
      <c r="C192" s="93">
        <f>E192/SUM(E190:E192)</f>
        <v>3.7593984962406017E-3</v>
      </c>
      <c r="D192" s="75" t="s">
        <v>2</v>
      </c>
      <c r="E192" s="155">
        <f>IF((E187+E188+E189)=0,0,(E189*$B191)/(E187+E188+E189))</f>
        <v>3.5676762009477709E-4</v>
      </c>
      <c r="F192" s="155">
        <f>IF((F187+F188+F189)=0,0,(F189*$B191)/(F187+F188+F189))</f>
        <v>0</v>
      </c>
      <c r="G192" s="155">
        <f t="shared" ref="G192" si="1071">IF((G187+G188+G189)=0,0,(G189*$B191)/(G187+G188+G189))</f>
        <v>0</v>
      </c>
      <c r="H192" s="155">
        <f t="shared" ref="H192" si="1072">IF((H187+H188+H189)=0,0,(H189*$B191)/(H187+H188+H189))</f>
        <v>4.5190565212005094E-3</v>
      </c>
      <c r="I192" s="155">
        <f t="shared" ref="I192" si="1073">IF((I187+I188+I189)=0,0,(I189*$B191)/(I187+I188+I189))</f>
        <v>0</v>
      </c>
      <c r="J192" s="155">
        <f t="shared" ref="J192" si="1074">IF((J187+J188+J189)=0,0,(J189*$B191)/(J187+J188+J189))</f>
        <v>0</v>
      </c>
      <c r="K192" s="155">
        <f t="shared" ref="K192" si="1075">IF((K187+K188+K189)=0,0,(K189*$B191)/(K187+K188+K189))</f>
        <v>0</v>
      </c>
      <c r="L192" s="155">
        <f t="shared" ref="L192" si="1076">IF((L187+L188+L189)=0,0,(L189*$B191)/(L187+L188+L189))</f>
        <v>0</v>
      </c>
      <c r="M192" s="155">
        <f t="shared" ref="M192" si="1077">IF((M187+M188+M189)=0,0,(M189*$B191)/(M187+M188+M189))</f>
        <v>0</v>
      </c>
      <c r="N192" s="155">
        <f t="shared" ref="N192" si="1078">IF((N187+N188+N189)=0,0,(N189*$B191)/(N187+N188+N189))</f>
        <v>0</v>
      </c>
      <c r="O192" s="155">
        <f t="shared" ref="O192" si="1079">IF((O187+O188+O189)=0,0,(O189*$B191)/(O187+O188+O189))</f>
        <v>0</v>
      </c>
      <c r="P192" s="155">
        <f t="shared" ref="P192" si="1080">IF((P187+P188+P189)=0,0,(P189*$B191)/(P187+P188+P189))</f>
        <v>0</v>
      </c>
      <c r="Q192" s="155">
        <f t="shared" ref="Q192" si="1081">IF((Q187+Q188+Q189)=0,0,(Q189*$B191)/(Q187+Q188+Q189))</f>
        <v>0</v>
      </c>
      <c r="R192" s="155">
        <f t="shared" ref="R192" si="1082">IF((R187+R188+R189)=0,0,(R189*$B191)/(R187+R188+R189))</f>
        <v>0</v>
      </c>
      <c r="S192" s="155">
        <f t="shared" ref="S192" si="1083">IF((S187+S188+S189)=0,0,(S189*$B191)/(S187+S188+S189))</f>
        <v>0</v>
      </c>
      <c r="T192" s="155">
        <f t="shared" ref="T192" si="1084">IF((T187+T188+T189)=0,0,(T189*$B191)/(T187+T188+T189))</f>
        <v>0</v>
      </c>
      <c r="U192" s="155">
        <f t="shared" ref="U192" si="1085">IF((U187+U188+U189)=0,0,(U189*$B191)/(U187+U188+U189))</f>
        <v>0</v>
      </c>
      <c r="V192" s="155">
        <f t="shared" ref="V192" si="1086">IF((V187+V188+V189)=0,0,(V189*$B191)/(V187+V188+V189))</f>
        <v>0</v>
      </c>
      <c r="W192" s="155">
        <f t="shared" ref="W192" si="1087">IF((W187+W188+W189)=0,0,(W189*$B191)/(W187+W188+W189))</f>
        <v>0</v>
      </c>
      <c r="X192" s="155">
        <f t="shared" ref="X192" si="1088">IF((X187+X188+X189)=0,0,(X189*$B191)/(X187+X188+X189))</f>
        <v>0</v>
      </c>
      <c r="Y192" s="160">
        <f t="shared" ref="Y192" si="1089">IF((Y187+Y188+Y189)=0,0,(Y189*$B191)/(Y187+Y188+Y189))</f>
        <v>0</v>
      </c>
    </row>
    <row r="193" spans="2:25" ht="15" customHeight="1" x14ac:dyDescent="0.2">
      <c r="B193" s="249" t="s">
        <v>60</v>
      </c>
      <c r="C193" s="91">
        <f>E193/SUM(E193:E195)</f>
        <v>0.62068965517241381</v>
      </c>
      <c r="D193" s="67" t="s">
        <v>0</v>
      </c>
      <c r="E193" s="68">
        <f t="shared" si="921"/>
        <v>144</v>
      </c>
      <c r="F193" s="68">
        <f>SUMIFS([0]!Chavez,[0]!Centro,B195,[0]!Turno,F$162)</f>
        <v>5</v>
      </c>
      <c r="G193" s="68">
        <f>SUMIFS([0]!Chavez,[0]!Centro,B195,[0]!Turno,G$162)</f>
        <v>23</v>
      </c>
      <c r="H193" s="68">
        <f>SUMIFS([0]!Chavez,[0]!Centro,B195,[0]!Turno,H$162)</f>
        <v>15</v>
      </c>
      <c r="I193" s="68">
        <f>SUMIFS([0]!Chavez,[0]!Centro,B195,[0]!Turno,I$162)</f>
        <v>26</v>
      </c>
      <c r="J193" s="68">
        <f>SUMIFS([0]!Chavez,[0]!Centro,B195,[0]!Turno,J$162)</f>
        <v>35</v>
      </c>
      <c r="K193" s="68">
        <f>SUMIFS([0]!Chavez,[0]!Centro,B195,[0]!Turno,K$162)</f>
        <v>14</v>
      </c>
      <c r="L193" s="68">
        <f>SUMIFS([0]!Chavez,[0]!Centro,B195,[0]!Turno,L$162)</f>
        <v>0</v>
      </c>
      <c r="M193" s="68">
        <f>SUMIFS([0]!Chavez,[0]!Centro,B195,[0]!Turno,M$162)</f>
        <v>0</v>
      </c>
      <c r="N193" s="68">
        <f>SUMIFS([0]!Chavez,[0]!Centro,B195,[0]!Turno,N$162)</f>
        <v>26</v>
      </c>
      <c r="O193" s="68">
        <f>SUMIFS([0]!Chavez,[0]!Centro,B195,[0]!Turno,O$162)</f>
        <v>0</v>
      </c>
      <c r="P193" s="68">
        <f>SUMIFS([0]!Chavez,[0]!Centro,B195,[0]!Turno,P$162)</f>
        <v>0</v>
      </c>
      <c r="Q193" s="68">
        <f>SUMIFS([0]!Chavez,[0]!Centro,B195,[0]!Turno,Q$162)</f>
        <v>0</v>
      </c>
      <c r="R193" s="68">
        <f>SUMIFS([0]!Chavez,[0]!Centro,B195,[0]!Turno,R$162)</f>
        <v>0</v>
      </c>
      <c r="S193" s="68">
        <f>SUMIFS([0]!Chavez,[0]!Centro,B195,[0]!Turno,S$162)</f>
        <v>0</v>
      </c>
      <c r="T193" s="68">
        <f>SUMIFS([0]!Chavez,[0]!Centro,B195,[0]!Turno,T$162)</f>
        <v>0</v>
      </c>
      <c r="U193" s="68">
        <f>SUMIFS([0]!Chavez,[0]!Centro,B195,[0]!Turno,U$162)</f>
        <v>0</v>
      </c>
      <c r="V193" s="68">
        <f>SUMIFS([0]!Chavez,[0]!Centro,B195,[0]!Turno,V$162)</f>
        <v>0</v>
      </c>
      <c r="W193" s="68">
        <f>SUMIFS([0]!Chavez,[0]!Centro,B195,[0]!Turno,W$162)</f>
        <v>0</v>
      </c>
      <c r="X193" s="68">
        <f>SUMIFS([0]!Chavez,[0]!Centro,B195,[0]!Turno,X$162)</f>
        <v>0</v>
      </c>
      <c r="Y193" s="69">
        <f>SUMIFS([0]!Chavez,[0]!Centro,B195,[0]!Turno,Y$162)</f>
        <v>0</v>
      </c>
    </row>
    <row r="194" spans="2:25" ht="15" customHeight="1" x14ac:dyDescent="0.2">
      <c r="B194" s="250"/>
      <c r="C194" s="92">
        <f>E194/SUM(E193:E195)</f>
        <v>0.37931034482758619</v>
      </c>
      <c r="D194" s="61" t="s">
        <v>1</v>
      </c>
      <c r="E194" s="62">
        <f t="shared" si="921"/>
        <v>88</v>
      </c>
      <c r="F194" s="62">
        <f>SUMIFS([0]!Capriles,[0]!Centro,B195,[0]!Turno,F$162)</f>
        <v>8</v>
      </c>
      <c r="G194" s="62">
        <f>SUMIFS([0]!Capriles,[0]!Centro,B195,[0]!Turno,G$162)</f>
        <v>15</v>
      </c>
      <c r="H194" s="62">
        <f>SUMIFS([0]!Capriles,[0]!Centro,B195,[0]!Turno,H$162)</f>
        <v>25</v>
      </c>
      <c r="I194" s="62">
        <f>SUMIFS([0]!Capriles,[0]!Centro,B195,[0]!Turno,I$162)</f>
        <v>8</v>
      </c>
      <c r="J194" s="62">
        <f>SUMIFS([0]!Capriles,[0]!Centro,B195,[0]!Turno,J$162)</f>
        <v>5</v>
      </c>
      <c r="K194" s="62">
        <f>SUMIFS([0]!Capriles,[0]!Centro,B195,[0]!Turno,K$162)</f>
        <v>16</v>
      </c>
      <c r="L194" s="62">
        <f>SUMIFS([0]!Capriles,[0]!Centro,B195,[0]!Turno,L$162)</f>
        <v>0</v>
      </c>
      <c r="M194" s="62">
        <f>SUMIFS([0]!Capriles,[0]!Centro,B195,[0]!Turno,M$162)</f>
        <v>0</v>
      </c>
      <c r="N194" s="62">
        <f>SUMIFS([0]!Capriles,[0]!Centro,B195,[0]!Turno,N$162)</f>
        <v>11</v>
      </c>
      <c r="O194" s="62">
        <f>SUMIFS([0]!Capriles,[0]!Centro,B195,[0]!Turno,O$162)</f>
        <v>0</v>
      </c>
      <c r="P194" s="62">
        <f>SUMIFS([0]!Capriles,[0]!Centro,B195,[0]!Turno,P$162)</f>
        <v>0</v>
      </c>
      <c r="Q194" s="62">
        <f>SUMIFS([0]!Capriles,[0]!Centro,B195,[0]!Turno,Q$162)</f>
        <v>0</v>
      </c>
      <c r="R194" s="62">
        <f>SUMIFS([0]!Capriles,[0]!Centro,B195,[0]!Turno,R$162)</f>
        <v>0</v>
      </c>
      <c r="S194" s="62">
        <f>SUMIFS([0]!Capriles,[0]!Centro,B195,[0]!Turno,S$162)</f>
        <v>0</v>
      </c>
      <c r="T194" s="62">
        <f>SUMIFS([0]!Capriles,[0]!Centro,B195,[0]!Turno,T$162)</f>
        <v>0</v>
      </c>
      <c r="U194" s="62">
        <f>SUMIFS([0]!Capriles,[0]!Centro,B195,[0]!Turno,U$162)</f>
        <v>0</v>
      </c>
      <c r="V194" s="62">
        <f>SUMIFS([0]!Capriles,[0]!Centro,B195,[0]!Turno,V$162)</f>
        <v>0</v>
      </c>
      <c r="W194" s="62">
        <f>SUMIFS([0]!Capriles,[0]!Centro,B195,[0]!Turno,W$162)</f>
        <v>0</v>
      </c>
      <c r="X194" s="62">
        <f>SUMIFS([0]!Capriles,[0]!Centro,B195,[0]!Turno,X$162)</f>
        <v>0</v>
      </c>
      <c r="Y194" s="70">
        <f>SUMIFS([0]!Capriles,[0]!Centro,B195,[0]!Turno,Y$162)</f>
        <v>0</v>
      </c>
    </row>
    <row r="195" spans="2:25" ht="15" customHeight="1" thickBot="1" x14ac:dyDescent="0.25">
      <c r="B195" s="261">
        <v>45</v>
      </c>
      <c r="C195" s="100">
        <f>E195/SUM(E193:E195)</f>
        <v>0</v>
      </c>
      <c r="D195" s="71" t="s">
        <v>2</v>
      </c>
      <c r="E195" s="72">
        <f t="shared" si="921"/>
        <v>0</v>
      </c>
      <c r="F195" s="72">
        <f>SUMIFS([0]!Otro,[0]!Centro,B195,[0]!Turno,F$162)</f>
        <v>0</v>
      </c>
      <c r="G195" s="72">
        <f>SUMIFS([0]!Otro,[0]!Centro,B195,[0]!Turno,G$162)</f>
        <v>0</v>
      </c>
      <c r="H195" s="72">
        <f>SUMIFS([0]!Otro,[0]!Centro,B195,[0]!Turno,H$162)</f>
        <v>0</v>
      </c>
      <c r="I195" s="72">
        <f>SUMIFS([0]!Otro,[0]!Centro,B195,[0]!Turno,I$162)</f>
        <v>0</v>
      </c>
      <c r="J195" s="72">
        <f>SUMIFS([0]!Otro,[0]!Centro,B195,[0]!Turno,J$162)</f>
        <v>0</v>
      </c>
      <c r="K195" s="72">
        <f>SUMIFS([0]!Otro,[0]!Centro,B195,[0]!Turno,K$162)</f>
        <v>0</v>
      </c>
      <c r="L195" s="72">
        <f>SUMIFS([0]!Otro,[0]!Centro,B195,[0]!Turno,L$162)</f>
        <v>0</v>
      </c>
      <c r="M195" s="72">
        <f>SUMIFS([0]!Otro,[0]!Centro,B195,[0]!Turno,M$162)</f>
        <v>0</v>
      </c>
      <c r="N195" s="72">
        <f>SUMIFS([0]!Otro,[0]!Centro,B195,[0]!Turno,N$162)</f>
        <v>0</v>
      </c>
      <c r="O195" s="72">
        <f>SUMIFS([0]!Otro,[0]!Centro,B195,[0]!Turno,O$162)</f>
        <v>0</v>
      </c>
      <c r="P195" s="72">
        <f>SUMIFS([0]!Otro,[0]!Centro,B195,[0]!Turno,P$162)</f>
        <v>0</v>
      </c>
      <c r="Q195" s="72">
        <f>SUMIFS([0]!Otro,[0]!Centro,B195,[0]!Turno,Q$162)</f>
        <v>0</v>
      </c>
      <c r="R195" s="72">
        <f>SUMIFS([0]!Otro,[0]!Centro,B195,[0]!Turno,R$162)</f>
        <v>0</v>
      </c>
      <c r="S195" s="72">
        <f>SUMIFS([0]!Otro,[0]!Centro,B195,[0]!Turno,S$162)</f>
        <v>0</v>
      </c>
      <c r="T195" s="72">
        <f>SUMIFS([0]!Otro,[0]!Centro,B195,[0]!Turno,T$162)</f>
        <v>0</v>
      </c>
      <c r="U195" s="72">
        <f>SUMIFS([0]!Otro,[0]!Centro,B195,[0]!Turno,U$162)</f>
        <v>0</v>
      </c>
      <c r="V195" s="72">
        <f>SUMIFS([0]!Otro,[0]!Centro,B195,[0]!Turno,V$162)</f>
        <v>0</v>
      </c>
      <c r="W195" s="72">
        <f>SUMIFS([0]!Otro,[0]!Centro,B195,[0]!Turno,W$162)</f>
        <v>0</v>
      </c>
      <c r="X195" s="72">
        <f>SUMIFS([0]!Otro,[0]!Centro,B195,[0]!Turno,X$162)</f>
        <v>0</v>
      </c>
      <c r="Y195" s="73">
        <f>SUMIFS([0]!Otro,[0]!Centro,B195,[0]!Turno,Y$162)</f>
        <v>0</v>
      </c>
    </row>
    <row r="196" spans="2:25" ht="15" customHeight="1" x14ac:dyDescent="0.2">
      <c r="B196" s="261"/>
      <c r="C196" s="94">
        <f>E196/SUM(E196:E198)</f>
        <v>0.62068965517241381</v>
      </c>
      <c r="D196" s="63" t="s">
        <v>0</v>
      </c>
      <c r="E196" s="150">
        <f>IF((E193+E194+E195)=0,0,(E193*$B197)/(E193+E194+E195))</f>
        <v>6.9335350496349521E-2</v>
      </c>
      <c r="F196" s="150">
        <f>IF((F193+F194+F195)=0,0,(F193*$B197)/(F193+F194+F195))</f>
        <v>4.2964212914404616E-2</v>
      </c>
      <c r="G196" s="150">
        <f t="shared" ref="G196" si="1090">IF((G193+G194+G195)=0,0,(G193*$B197)/(G193+G194+G195))</f>
        <v>6.761210348108937E-2</v>
      </c>
      <c r="H196" s="150">
        <f t="shared" ref="H196" si="1091">IF((H193+H194+H195)=0,0,(H193*$B197)/(H193+H194+H195))</f>
        <v>4.1890107591544504E-2</v>
      </c>
      <c r="I196" s="150">
        <f t="shared" ref="I196" si="1092">IF((I193+I194+I195)=0,0,(I193*$B197)/(I193+I194+I195))</f>
        <v>8.5422964500404472E-2</v>
      </c>
      <c r="J196" s="150">
        <f t="shared" ref="J196" si="1093">IF((J193+J194+J195)=0,0,(J193*$B197)/(J193+J194+J195))</f>
        <v>9.7743584380270504E-2</v>
      </c>
      <c r="K196" s="150">
        <f t="shared" ref="K196" si="1094">IF((K193+K194+K195)=0,0,(K193*$B197)/(K193+K194+K195))</f>
        <v>5.2129911669477599E-2</v>
      </c>
      <c r="L196" s="150">
        <f t="shared" ref="L196" si="1095">IF((L193+L194+L195)=0,0,(L193*$B197)/(L193+L194+L195))</f>
        <v>0</v>
      </c>
      <c r="M196" s="150">
        <f t="shared" ref="M196" si="1096">IF((M193+M194+M195)=0,0,(M193*$B197)/(M193+M194+M195))</f>
        <v>0</v>
      </c>
      <c r="N196" s="150">
        <f t="shared" ref="N196" si="1097">IF((N193+N194+N195)=0,0,(N193*$B197)/(N193+N194+N195))</f>
        <v>7.849677818956087E-2</v>
      </c>
      <c r="O196" s="150">
        <f t="shared" ref="O196" si="1098">IF((O193+O194+O195)=0,0,(O193*$B197)/(O193+O194+O195))</f>
        <v>0</v>
      </c>
      <c r="P196" s="150">
        <f t="shared" ref="P196" si="1099">IF((P193+P194+P195)=0,0,(P193*$B197)/(P193+P194+P195))</f>
        <v>0</v>
      </c>
      <c r="Q196" s="150">
        <f t="shared" ref="Q196" si="1100">IF((Q193+Q194+Q195)=0,0,(Q193*$B197)/(Q193+Q194+Q195))</f>
        <v>0</v>
      </c>
      <c r="R196" s="150">
        <f t="shared" ref="R196" si="1101">IF((R193+R194+R195)=0,0,(R193*$B197)/(R193+R194+R195))</f>
        <v>0</v>
      </c>
      <c r="S196" s="150">
        <f t="shared" ref="S196" si="1102">IF((S193+S194+S195)=0,0,(S193*$B197)/(S193+S194+S195))</f>
        <v>0</v>
      </c>
      <c r="T196" s="150">
        <f t="shared" ref="T196" si="1103">IF((T193+T194+T195)=0,0,(T193*$B197)/(T193+T194+T195))</f>
        <v>0</v>
      </c>
      <c r="U196" s="150">
        <f t="shared" ref="U196" si="1104">IF((U193+U194+U195)=0,0,(U193*$B197)/(U193+U194+U195))</f>
        <v>0</v>
      </c>
      <c r="V196" s="150">
        <f t="shared" ref="V196" si="1105">IF((V193+V194+V195)=0,0,(V193*$B197)/(V193+V194+V195))</f>
        <v>0</v>
      </c>
      <c r="W196" s="150">
        <f t="shared" ref="W196" si="1106">IF((W193+W194+W195)=0,0,(W193*$B197)/(W193+W194+W195))</f>
        <v>0</v>
      </c>
      <c r="X196" s="150">
        <f t="shared" ref="X196" si="1107">IF((X193+X194+X195)=0,0,(X193*$B197)/(X193+X194+X195))</f>
        <v>0</v>
      </c>
      <c r="Y196" s="163">
        <f t="shared" ref="Y196" si="1108">IF((Y193+Y194+Y195)=0,0,(Y193*$B197)/(Y193+Y194+Y195))</f>
        <v>0</v>
      </c>
    </row>
    <row r="197" spans="2:25" ht="15" customHeight="1" x14ac:dyDescent="0.2">
      <c r="B197" s="254">
        <v>0.111706953577452</v>
      </c>
      <c r="C197" s="92">
        <f>E197/SUM(E196:E198)</f>
        <v>0.37931034482758619</v>
      </c>
      <c r="D197" s="61" t="s">
        <v>1</v>
      </c>
      <c r="E197" s="154">
        <f>IF((E193+E194+E195)=0,0,(E194*$B197)/(E193+E194+E195))</f>
        <v>4.237160308110248E-2</v>
      </c>
      <c r="F197" s="154">
        <f>IF((F193+F194+F195)=0,0,(F194*$B197)/(F193+F194+F195))</f>
        <v>6.8742740663047391E-2</v>
      </c>
      <c r="G197" s="154">
        <f t="shared" ref="G197:O197" si="1109">IF((G193+G194+G195)=0,0,(G194*$B197)/(G193+G194+G195))</f>
        <v>4.4094850096362631E-2</v>
      </c>
      <c r="H197" s="154">
        <f t="shared" si="1109"/>
        <v>6.9816845985907511E-2</v>
      </c>
      <c r="I197" s="154">
        <f t="shared" si="1109"/>
        <v>2.6283989077047529E-2</v>
      </c>
      <c r="J197" s="154">
        <f t="shared" si="1109"/>
        <v>1.39633691971815E-2</v>
      </c>
      <c r="K197" s="154">
        <f t="shared" si="1109"/>
        <v>5.9577041907974401E-2</v>
      </c>
      <c r="L197" s="154">
        <f t="shared" si="1109"/>
        <v>0</v>
      </c>
      <c r="M197" s="154">
        <f t="shared" si="1109"/>
        <v>0</v>
      </c>
      <c r="N197" s="154">
        <f t="shared" si="1109"/>
        <v>3.321017538789113E-2</v>
      </c>
      <c r="O197" s="154">
        <f t="shared" si="1109"/>
        <v>0</v>
      </c>
      <c r="P197" s="154">
        <f>IF((P193+P194+P195)=0,0,(P194*$B197)/(P193+P194+P195))</f>
        <v>0</v>
      </c>
      <c r="Q197" s="154">
        <f t="shared" ref="Q197:Y197" si="1110">IF((Q193+Q194+Q195)=0,0,(Q194*$B197)/(Q193+Q194+Q195))</f>
        <v>0</v>
      </c>
      <c r="R197" s="154">
        <f t="shared" si="1110"/>
        <v>0</v>
      </c>
      <c r="S197" s="154">
        <f t="shared" si="1110"/>
        <v>0</v>
      </c>
      <c r="T197" s="154">
        <f t="shared" si="1110"/>
        <v>0</v>
      </c>
      <c r="U197" s="154">
        <f t="shared" si="1110"/>
        <v>0</v>
      </c>
      <c r="V197" s="154">
        <f t="shared" si="1110"/>
        <v>0</v>
      </c>
      <c r="W197" s="154">
        <f t="shared" si="1110"/>
        <v>0</v>
      </c>
      <c r="X197" s="154">
        <f t="shared" si="1110"/>
        <v>0</v>
      </c>
      <c r="Y197" s="159">
        <f t="shared" si="1110"/>
        <v>0</v>
      </c>
    </row>
    <row r="198" spans="2:25" ht="15" customHeight="1" thickBot="1" x14ac:dyDescent="0.25">
      <c r="B198" s="255"/>
      <c r="C198" s="93">
        <f>E198/SUM(E196:E198)</f>
        <v>0</v>
      </c>
      <c r="D198" s="75" t="s">
        <v>2</v>
      </c>
      <c r="E198" s="155">
        <f>IF((E193+E194+E195)=0,0,(E195*$B197)/(E193+E194+E195))</f>
        <v>0</v>
      </c>
      <c r="F198" s="155">
        <f>IF((F193+F194+F195)=0,0,(F195*$B197)/(F193+F194+F195))</f>
        <v>0</v>
      </c>
      <c r="G198" s="155">
        <f t="shared" ref="G198" si="1111">IF((G193+G194+G195)=0,0,(G195*$B197)/(G193+G194+G195))</f>
        <v>0</v>
      </c>
      <c r="H198" s="155">
        <f t="shared" ref="H198" si="1112">IF((H193+H194+H195)=0,0,(H195*$B197)/(H193+H194+H195))</f>
        <v>0</v>
      </c>
      <c r="I198" s="155">
        <f t="shared" ref="I198" si="1113">IF((I193+I194+I195)=0,0,(I195*$B197)/(I193+I194+I195))</f>
        <v>0</v>
      </c>
      <c r="J198" s="155">
        <f t="shared" ref="J198" si="1114">IF((J193+J194+J195)=0,0,(J195*$B197)/(J193+J194+J195))</f>
        <v>0</v>
      </c>
      <c r="K198" s="155">
        <f t="shared" ref="K198" si="1115">IF((K193+K194+K195)=0,0,(K195*$B197)/(K193+K194+K195))</f>
        <v>0</v>
      </c>
      <c r="L198" s="155">
        <f t="shared" ref="L198" si="1116">IF((L193+L194+L195)=0,0,(L195*$B197)/(L193+L194+L195))</f>
        <v>0</v>
      </c>
      <c r="M198" s="155">
        <f t="shared" ref="M198" si="1117">IF((M193+M194+M195)=0,0,(M195*$B197)/(M193+M194+M195))</f>
        <v>0</v>
      </c>
      <c r="N198" s="155">
        <f t="shared" ref="N198" si="1118">IF((N193+N194+N195)=0,0,(N195*$B197)/(N193+N194+N195))</f>
        <v>0</v>
      </c>
      <c r="O198" s="155">
        <f t="shared" ref="O198" si="1119">IF((O193+O194+O195)=0,0,(O195*$B197)/(O193+O194+O195))</f>
        <v>0</v>
      </c>
      <c r="P198" s="155">
        <f t="shared" ref="P198" si="1120">IF((P193+P194+P195)=0,0,(P195*$B197)/(P193+P194+P195))</f>
        <v>0</v>
      </c>
      <c r="Q198" s="155">
        <f t="shared" ref="Q198" si="1121">IF((Q193+Q194+Q195)=0,0,(Q195*$B197)/(Q193+Q194+Q195))</f>
        <v>0</v>
      </c>
      <c r="R198" s="155">
        <f t="shared" ref="R198" si="1122">IF((R193+R194+R195)=0,0,(R195*$B197)/(R193+R194+R195))</f>
        <v>0</v>
      </c>
      <c r="S198" s="155">
        <f t="shared" ref="S198" si="1123">IF((S193+S194+S195)=0,0,(S195*$B197)/(S193+S194+S195))</f>
        <v>0</v>
      </c>
      <c r="T198" s="155">
        <f t="shared" ref="T198" si="1124">IF((T193+T194+T195)=0,0,(T195*$B197)/(T193+T194+T195))</f>
        <v>0</v>
      </c>
      <c r="U198" s="155">
        <f t="shared" ref="U198" si="1125">IF((U193+U194+U195)=0,0,(U195*$B197)/(U193+U194+U195))</f>
        <v>0</v>
      </c>
      <c r="V198" s="155">
        <f t="shared" ref="V198" si="1126">IF((V193+V194+V195)=0,0,(V195*$B197)/(V193+V194+V195))</f>
        <v>0</v>
      </c>
      <c r="W198" s="155">
        <f t="shared" ref="W198" si="1127">IF((W193+W194+W195)=0,0,(W195*$B197)/(W193+W194+W195))</f>
        <v>0</v>
      </c>
      <c r="X198" s="155">
        <f t="shared" ref="X198" si="1128">IF((X193+X194+X195)=0,0,(X195*$B197)/(X193+X194+X195))</f>
        <v>0</v>
      </c>
      <c r="Y198" s="160">
        <f t="shared" ref="Y198" si="1129">IF((Y193+Y194+Y195)=0,0,(Y195*$B197)/(Y193+Y194+Y195))</f>
        <v>0</v>
      </c>
    </row>
    <row r="199" spans="2:25" ht="15" customHeight="1" thickBot="1" x14ac:dyDescent="0.25">
      <c r="B199" s="101" t="s">
        <v>3</v>
      </c>
      <c r="C199" s="12" t="s">
        <v>226</v>
      </c>
      <c r="D199" s="21" t="s">
        <v>4</v>
      </c>
      <c r="E199" s="13" t="s">
        <v>225</v>
      </c>
      <c r="F199" s="14">
        <v>1</v>
      </c>
      <c r="G199" s="14">
        <v>2</v>
      </c>
      <c r="H199" s="14">
        <v>3</v>
      </c>
      <c r="I199" s="14">
        <v>4</v>
      </c>
      <c r="J199" s="14">
        <v>5</v>
      </c>
      <c r="K199" s="14">
        <v>6</v>
      </c>
      <c r="L199" s="14">
        <v>7</v>
      </c>
      <c r="M199" s="14">
        <v>8</v>
      </c>
      <c r="N199" s="14">
        <v>9</v>
      </c>
      <c r="O199" s="14">
        <v>10</v>
      </c>
      <c r="P199" s="14">
        <v>11</v>
      </c>
      <c r="Q199" s="14">
        <v>12</v>
      </c>
      <c r="R199" s="14">
        <v>13</v>
      </c>
      <c r="S199" s="14">
        <v>14</v>
      </c>
      <c r="T199" s="14">
        <v>15</v>
      </c>
      <c r="U199" s="14">
        <v>16</v>
      </c>
      <c r="V199" s="14">
        <v>17</v>
      </c>
      <c r="W199" s="14">
        <v>18</v>
      </c>
      <c r="X199" s="14">
        <v>19</v>
      </c>
      <c r="Y199" s="102">
        <v>20</v>
      </c>
    </row>
    <row r="200" spans="2:25" ht="15" customHeight="1" x14ac:dyDescent="0.2">
      <c r="B200" s="262" t="s">
        <v>35</v>
      </c>
      <c r="C200" s="95">
        <f>E200/SUM(E200:E202)</f>
        <v>0.56416972236773177</v>
      </c>
      <c r="D200" s="81" t="s">
        <v>0</v>
      </c>
      <c r="E200" s="82">
        <f>SUM(F200:Y200)</f>
        <v>1077</v>
      </c>
      <c r="F200" s="82">
        <f t="shared" ref="F200:Y200" si="1130">SUM(F206,F212,F218,F224)</f>
        <v>178</v>
      </c>
      <c r="G200" s="82">
        <f t="shared" si="1130"/>
        <v>136</v>
      </c>
      <c r="H200" s="82">
        <f t="shared" si="1130"/>
        <v>130</v>
      </c>
      <c r="I200" s="82">
        <f t="shared" si="1130"/>
        <v>140</v>
      </c>
      <c r="J200" s="82">
        <f t="shared" si="1130"/>
        <v>119</v>
      </c>
      <c r="K200" s="82">
        <f t="shared" si="1130"/>
        <v>142</v>
      </c>
      <c r="L200" s="82">
        <f t="shared" si="1130"/>
        <v>61</v>
      </c>
      <c r="M200" s="82">
        <f t="shared" si="1130"/>
        <v>23</v>
      </c>
      <c r="N200" s="82">
        <f t="shared" si="1130"/>
        <v>78</v>
      </c>
      <c r="O200" s="82">
        <f t="shared" si="1130"/>
        <v>34</v>
      </c>
      <c r="P200" s="82">
        <f t="shared" si="1130"/>
        <v>7</v>
      </c>
      <c r="Q200" s="82">
        <f t="shared" si="1130"/>
        <v>0</v>
      </c>
      <c r="R200" s="82">
        <f t="shared" si="1130"/>
        <v>29</v>
      </c>
      <c r="S200" s="82">
        <f t="shared" si="1130"/>
        <v>0</v>
      </c>
      <c r="T200" s="82">
        <f t="shared" si="1130"/>
        <v>0</v>
      </c>
      <c r="U200" s="82">
        <f t="shared" si="1130"/>
        <v>0</v>
      </c>
      <c r="V200" s="82">
        <f t="shared" si="1130"/>
        <v>0</v>
      </c>
      <c r="W200" s="82">
        <f t="shared" si="1130"/>
        <v>0</v>
      </c>
      <c r="X200" s="82">
        <f t="shared" si="1130"/>
        <v>0</v>
      </c>
      <c r="Y200" s="83">
        <f t="shared" si="1130"/>
        <v>0</v>
      </c>
    </row>
    <row r="201" spans="2:25" ht="15" customHeight="1" x14ac:dyDescent="0.2">
      <c r="B201" s="263"/>
      <c r="C201" s="96">
        <f>E201/SUM(E200:E202)</f>
        <v>0.43006809848088007</v>
      </c>
      <c r="D201" s="79" t="s">
        <v>1</v>
      </c>
      <c r="E201" s="80">
        <f t="shared" ref="E201:E226" si="1131">SUM(F201:Y201)</f>
        <v>821</v>
      </c>
      <c r="F201" s="80">
        <f t="shared" ref="F201:Y201" si="1132">SUM(F207,F213,F219,F225)</f>
        <v>95</v>
      </c>
      <c r="G201" s="80">
        <f t="shared" si="1132"/>
        <v>127</v>
      </c>
      <c r="H201" s="80">
        <f t="shared" si="1132"/>
        <v>103</v>
      </c>
      <c r="I201" s="80">
        <f t="shared" si="1132"/>
        <v>108</v>
      </c>
      <c r="J201" s="80">
        <f t="shared" si="1132"/>
        <v>101</v>
      </c>
      <c r="K201" s="80">
        <f t="shared" si="1132"/>
        <v>107</v>
      </c>
      <c r="L201" s="80">
        <f t="shared" si="1132"/>
        <v>46</v>
      </c>
      <c r="M201" s="80">
        <f t="shared" si="1132"/>
        <v>25</v>
      </c>
      <c r="N201" s="80">
        <f t="shared" si="1132"/>
        <v>53</v>
      </c>
      <c r="O201" s="80">
        <f t="shared" si="1132"/>
        <v>17</v>
      </c>
      <c r="P201" s="80">
        <f t="shared" si="1132"/>
        <v>13</v>
      </c>
      <c r="Q201" s="80">
        <f t="shared" si="1132"/>
        <v>0</v>
      </c>
      <c r="R201" s="80">
        <f t="shared" si="1132"/>
        <v>26</v>
      </c>
      <c r="S201" s="80">
        <f t="shared" si="1132"/>
        <v>0</v>
      </c>
      <c r="T201" s="80">
        <f t="shared" si="1132"/>
        <v>0</v>
      </c>
      <c r="U201" s="80">
        <f t="shared" si="1132"/>
        <v>0</v>
      </c>
      <c r="V201" s="80">
        <f t="shared" si="1132"/>
        <v>0</v>
      </c>
      <c r="W201" s="80">
        <f t="shared" si="1132"/>
        <v>0</v>
      </c>
      <c r="X201" s="80">
        <f t="shared" si="1132"/>
        <v>0</v>
      </c>
      <c r="Y201" s="84">
        <f t="shared" si="1132"/>
        <v>0</v>
      </c>
    </row>
    <row r="202" spans="2:25" ht="15" customHeight="1" thickBot="1" x14ac:dyDescent="0.25">
      <c r="B202" s="263"/>
      <c r="C202" s="97">
        <f>E202/SUM(E200:E202)</f>
        <v>5.7621791513881616E-3</v>
      </c>
      <c r="D202" s="86" t="s">
        <v>2</v>
      </c>
      <c r="E202" s="87">
        <f t="shared" si="1131"/>
        <v>11</v>
      </c>
      <c r="F202" s="87">
        <f t="shared" ref="F202:Y202" si="1133">SUM(F208,F214,F220,F226)</f>
        <v>0</v>
      </c>
      <c r="G202" s="87">
        <f t="shared" si="1133"/>
        <v>3</v>
      </c>
      <c r="H202" s="87">
        <f t="shared" si="1133"/>
        <v>0</v>
      </c>
      <c r="I202" s="87">
        <f t="shared" si="1133"/>
        <v>0</v>
      </c>
      <c r="J202" s="87">
        <f t="shared" si="1133"/>
        <v>2</v>
      </c>
      <c r="K202" s="87">
        <f t="shared" si="1133"/>
        <v>3</v>
      </c>
      <c r="L202" s="87">
        <f t="shared" si="1133"/>
        <v>2</v>
      </c>
      <c r="M202" s="87">
        <f t="shared" si="1133"/>
        <v>0</v>
      </c>
      <c r="N202" s="87">
        <f t="shared" si="1133"/>
        <v>1</v>
      </c>
      <c r="O202" s="87">
        <f t="shared" si="1133"/>
        <v>0</v>
      </c>
      <c r="P202" s="87">
        <f t="shared" si="1133"/>
        <v>0</v>
      </c>
      <c r="Q202" s="87">
        <f t="shared" si="1133"/>
        <v>0</v>
      </c>
      <c r="R202" s="87">
        <f t="shared" si="1133"/>
        <v>0</v>
      </c>
      <c r="S202" s="87">
        <f t="shared" si="1133"/>
        <v>0</v>
      </c>
      <c r="T202" s="87">
        <f t="shared" si="1133"/>
        <v>0</v>
      </c>
      <c r="U202" s="87">
        <f t="shared" si="1133"/>
        <v>0</v>
      </c>
      <c r="V202" s="87">
        <f t="shared" si="1133"/>
        <v>0</v>
      </c>
      <c r="W202" s="87">
        <f t="shared" si="1133"/>
        <v>0</v>
      </c>
      <c r="X202" s="87">
        <f t="shared" si="1133"/>
        <v>0</v>
      </c>
      <c r="Y202" s="88">
        <f t="shared" si="1133"/>
        <v>0</v>
      </c>
    </row>
    <row r="203" spans="2:25" ht="15" customHeight="1" x14ac:dyDescent="0.2">
      <c r="B203" s="263"/>
      <c r="C203" s="98">
        <f>E203/SUM(E203:E205)</f>
        <v>0.56873238931497072</v>
      </c>
      <c r="D203" s="85" t="s">
        <v>0</v>
      </c>
      <c r="E203" s="151">
        <f t="shared" ref="E203" si="1134">SUM(E209,E215,E221,E227)</f>
        <v>0.56873238931497072</v>
      </c>
      <c r="F203" s="151">
        <f t="shared" ref="F203:Y203" si="1135">SUM(F209,F215,F221,F227)</f>
        <v>0.65011673337423748</v>
      </c>
      <c r="G203" s="151">
        <f t="shared" si="1135"/>
        <v>0.48896584509282304</v>
      </c>
      <c r="H203" s="151">
        <f t="shared" si="1135"/>
        <v>0.51824461072721861</v>
      </c>
      <c r="I203" s="151">
        <f t="shared" si="1135"/>
        <v>0.54596946201069718</v>
      </c>
      <c r="J203" s="151">
        <f t="shared" si="1135"/>
        <v>0.50288543388581142</v>
      </c>
      <c r="K203" s="151">
        <f t="shared" si="1135"/>
        <v>0.58723367567524964</v>
      </c>
      <c r="L203" s="151">
        <f t="shared" si="1135"/>
        <v>0.58624974683134934</v>
      </c>
      <c r="M203" s="151">
        <f t="shared" si="1135"/>
        <v>0.21329227614644389</v>
      </c>
      <c r="N203" s="151">
        <f t="shared" si="1135"/>
        <v>0.58443518474598188</v>
      </c>
      <c r="O203" s="151">
        <f t="shared" si="1135"/>
        <v>0.28620288257111104</v>
      </c>
      <c r="P203" s="151">
        <f t="shared" si="1135"/>
        <v>1.9508269792378082E-2</v>
      </c>
      <c r="Q203" s="151">
        <f t="shared" si="1135"/>
        <v>0</v>
      </c>
      <c r="R203" s="151">
        <f t="shared" si="1135"/>
        <v>0.23363399089876033</v>
      </c>
      <c r="S203" s="151">
        <f t="shared" si="1135"/>
        <v>0</v>
      </c>
      <c r="T203" s="151">
        <f t="shared" si="1135"/>
        <v>0</v>
      </c>
      <c r="U203" s="151">
        <f t="shared" si="1135"/>
        <v>0</v>
      </c>
      <c r="V203" s="151">
        <f t="shared" si="1135"/>
        <v>0</v>
      </c>
      <c r="W203" s="151">
        <f t="shared" si="1135"/>
        <v>0</v>
      </c>
      <c r="X203" s="151">
        <f t="shared" si="1135"/>
        <v>0</v>
      </c>
      <c r="Y203" s="156">
        <f t="shared" si="1135"/>
        <v>0</v>
      </c>
    </row>
    <row r="204" spans="2:25" ht="15" customHeight="1" x14ac:dyDescent="0.2">
      <c r="B204" s="263"/>
      <c r="C204" s="96">
        <f>E204/SUM(E203:E205)</f>
        <v>0.4244518972693575</v>
      </c>
      <c r="D204" s="79" t="s">
        <v>1</v>
      </c>
      <c r="E204" s="152">
        <f t="shared" ref="E204" si="1136">SUM(E210,E216,E222,E228)</f>
        <v>0.4244518972693575</v>
      </c>
      <c r="F204" s="152">
        <f t="shared" ref="F204:Y204" si="1137">SUM(F210,F216,F222,F228)</f>
        <v>0.34988326662576269</v>
      </c>
      <c r="G204" s="152">
        <f t="shared" si="1137"/>
        <v>0.49812942051714737</v>
      </c>
      <c r="H204" s="152">
        <f t="shared" si="1137"/>
        <v>0.3922428619138586</v>
      </c>
      <c r="I204" s="152">
        <f t="shared" si="1137"/>
        <v>0.45403053798930282</v>
      </c>
      <c r="J204" s="152">
        <f t="shared" si="1137"/>
        <v>0.39741105994134701</v>
      </c>
      <c r="K204" s="152">
        <f t="shared" si="1137"/>
        <v>0.40398053092064884</v>
      </c>
      <c r="L204" s="152">
        <f t="shared" si="1137"/>
        <v>0.38496073801932995</v>
      </c>
      <c r="M204" s="152">
        <f t="shared" si="1137"/>
        <v>0.1551795071746328</v>
      </c>
      <c r="N204" s="152">
        <f t="shared" si="1137"/>
        <v>0.41212202574021345</v>
      </c>
      <c r="O204" s="152">
        <f t="shared" si="1137"/>
        <v>8.2268900749965651E-2</v>
      </c>
      <c r="P204" s="152">
        <f t="shared" si="1137"/>
        <v>3.6229643900130719E-2</v>
      </c>
      <c r="Q204" s="152">
        <f t="shared" si="1137"/>
        <v>0</v>
      </c>
      <c r="R204" s="152">
        <f t="shared" si="1137"/>
        <v>0.13483779242231633</v>
      </c>
      <c r="S204" s="152">
        <f t="shared" si="1137"/>
        <v>0</v>
      </c>
      <c r="T204" s="152">
        <f t="shared" si="1137"/>
        <v>0</v>
      </c>
      <c r="U204" s="152">
        <f t="shared" si="1137"/>
        <v>0</v>
      </c>
      <c r="V204" s="152">
        <f t="shared" si="1137"/>
        <v>0</v>
      </c>
      <c r="W204" s="152">
        <f t="shared" si="1137"/>
        <v>0</v>
      </c>
      <c r="X204" s="152">
        <f t="shared" si="1137"/>
        <v>0</v>
      </c>
      <c r="Y204" s="157">
        <f t="shared" si="1137"/>
        <v>0</v>
      </c>
    </row>
    <row r="205" spans="2:25" ht="15" customHeight="1" thickBot="1" x14ac:dyDescent="0.25">
      <c r="B205" s="264"/>
      <c r="C205" s="99">
        <f>E205/SUM(E203:E205)</f>
        <v>6.8157134156717298E-3</v>
      </c>
      <c r="D205" s="89" t="s">
        <v>2</v>
      </c>
      <c r="E205" s="153">
        <f t="shared" ref="E205" si="1138">SUM(E211,E217,E223,E229)</f>
        <v>6.8157134156717298E-3</v>
      </c>
      <c r="F205" s="153">
        <f t="shared" ref="F205:Y205" si="1139">SUM(F211,F217,F223,F229)</f>
        <v>0</v>
      </c>
      <c r="G205" s="153">
        <f t="shared" si="1139"/>
        <v>1.2904734390029567E-2</v>
      </c>
      <c r="H205" s="153">
        <f t="shared" si="1139"/>
        <v>0</v>
      </c>
      <c r="I205" s="153">
        <f t="shared" si="1139"/>
        <v>0</v>
      </c>
      <c r="J205" s="153">
        <f t="shared" si="1139"/>
        <v>1.0190978813918842E-2</v>
      </c>
      <c r="K205" s="153">
        <f t="shared" si="1139"/>
        <v>8.7857934041014572E-3</v>
      </c>
      <c r="L205" s="153">
        <f t="shared" si="1139"/>
        <v>2.8789515149320728E-2</v>
      </c>
      <c r="M205" s="153">
        <f t="shared" si="1139"/>
        <v>0</v>
      </c>
      <c r="N205" s="153">
        <f t="shared" si="1139"/>
        <v>3.4427895138047231E-3</v>
      </c>
      <c r="O205" s="153">
        <f t="shared" si="1139"/>
        <v>0</v>
      </c>
      <c r="P205" s="153">
        <f t="shared" si="1139"/>
        <v>0</v>
      </c>
      <c r="Q205" s="153">
        <f t="shared" si="1139"/>
        <v>0</v>
      </c>
      <c r="R205" s="153">
        <f t="shared" si="1139"/>
        <v>0</v>
      </c>
      <c r="S205" s="153">
        <f t="shared" si="1139"/>
        <v>0</v>
      </c>
      <c r="T205" s="153">
        <f t="shared" si="1139"/>
        <v>0</v>
      </c>
      <c r="U205" s="153">
        <f t="shared" si="1139"/>
        <v>0</v>
      </c>
      <c r="V205" s="153">
        <f t="shared" si="1139"/>
        <v>0</v>
      </c>
      <c r="W205" s="153">
        <f t="shared" si="1139"/>
        <v>0</v>
      </c>
      <c r="X205" s="153">
        <f t="shared" si="1139"/>
        <v>0</v>
      </c>
      <c r="Y205" s="158">
        <f t="shared" si="1139"/>
        <v>0</v>
      </c>
    </row>
    <row r="206" spans="2:25" ht="15" customHeight="1" x14ac:dyDescent="0.2">
      <c r="B206" s="249" t="s">
        <v>61</v>
      </c>
      <c r="C206" s="91">
        <f>E206/SUM(E206:E208)</f>
        <v>0.56853582554517135</v>
      </c>
      <c r="D206" s="67" t="s">
        <v>0</v>
      </c>
      <c r="E206" s="68">
        <f t="shared" si="1131"/>
        <v>365</v>
      </c>
      <c r="F206" s="68">
        <f>SUMIFS([0]!Chavez,[0]!Centro,B208,[0]!Turno,F$199)</f>
        <v>56</v>
      </c>
      <c r="G206" s="68">
        <f>SUMIFS([0]!Chavez,[0]!Centro,B208,[0]!Turno,G$199)</f>
        <v>40</v>
      </c>
      <c r="H206" s="68">
        <f>SUMIFS([0]!Chavez,[0]!Centro,B208,[0]!Turno,H$199)</f>
        <v>55</v>
      </c>
      <c r="I206" s="68">
        <f>SUMIFS([0]!Chavez,[0]!Centro,B208,[0]!Turno,I$199)</f>
        <v>45</v>
      </c>
      <c r="J206" s="68">
        <f>SUMIFS([0]!Chavez,[0]!Centro,B208,[0]!Turno,J$199)</f>
        <v>66</v>
      </c>
      <c r="K206" s="68">
        <f>SUMIFS([0]!Chavez,[0]!Centro,B208,[0]!Turno,K$199)</f>
        <v>61</v>
      </c>
      <c r="L206" s="68">
        <f>SUMIFS([0]!Chavez,[0]!Centro,B208,[0]!Turno,L$199)</f>
        <v>24</v>
      </c>
      <c r="M206" s="68">
        <f>SUMIFS([0]!Chavez,[0]!Centro,B208,[0]!Turno,M$199)</f>
        <v>0</v>
      </c>
      <c r="N206" s="68">
        <f>SUMIFS([0]!Chavez,[0]!Centro,B208,[0]!Turno,N$199)</f>
        <v>18</v>
      </c>
      <c r="O206" s="68">
        <f>SUMIFS([0]!Chavez,[0]!Centro,B208,[0]!Turno,O$199)</f>
        <v>0</v>
      </c>
      <c r="P206" s="68">
        <f>SUMIFS([0]!Chavez,[0]!Centro,B208,[0]!Turno,P$199)</f>
        <v>0</v>
      </c>
      <c r="Q206" s="68">
        <f>SUMIFS([0]!Chavez,[0]!Centro,B208,[0]!Turno,Q$199)</f>
        <v>0</v>
      </c>
      <c r="R206" s="68">
        <f>SUMIFS([0]!Chavez,[0]!Centro,B208,[0]!Turno,R$199)</f>
        <v>0</v>
      </c>
      <c r="S206" s="68">
        <f>SUMIFS([0]!Chavez,[0]!Centro,B208,[0]!Turno,S$199)</f>
        <v>0</v>
      </c>
      <c r="T206" s="68">
        <f>SUMIFS([0]!Chavez,[0]!Centro,B208,[0]!Turno,T$199)</f>
        <v>0</v>
      </c>
      <c r="U206" s="68">
        <f>SUMIFS([0]!Chavez,[0]!Centro,B208,[0]!Turno,U$199)</f>
        <v>0</v>
      </c>
      <c r="V206" s="68">
        <f>SUMIFS([0]!Chavez,[0]!Centro,B208,[0]!Turno,V$199)</f>
        <v>0</v>
      </c>
      <c r="W206" s="68">
        <f>SUMIFS([0]!Chavez,[0]!Centro,B208,[0]!Turno,W$199)</f>
        <v>0</v>
      </c>
      <c r="X206" s="68">
        <f>SUMIFS([0]!Chavez,[0]!Centro,B208,[0]!Turno,X$199)</f>
        <v>0</v>
      </c>
      <c r="Y206" s="69">
        <f>SUMIFS([0]!Chavez,[0]!Centro,B208,[0]!Turno,Y$199)</f>
        <v>0</v>
      </c>
    </row>
    <row r="207" spans="2:25" ht="15" customHeight="1" x14ac:dyDescent="0.2">
      <c r="B207" s="250"/>
      <c r="C207" s="92">
        <f>E207/SUM(E206:E208)</f>
        <v>0.42211838006230529</v>
      </c>
      <c r="D207" s="61" t="s">
        <v>1</v>
      </c>
      <c r="E207" s="62">
        <f t="shared" si="1131"/>
        <v>271</v>
      </c>
      <c r="F207" s="62">
        <f>SUMIFS([0]!Capriles,[0]!Centro,B208,[0]!Turno,F$199)</f>
        <v>30</v>
      </c>
      <c r="G207" s="62">
        <f>SUMIFS([0]!Capriles,[0]!Centro,B208,[0]!Turno,G$199)</f>
        <v>42</v>
      </c>
      <c r="H207" s="62">
        <f>SUMIFS([0]!Capriles,[0]!Centro,B208,[0]!Turno,H$199)</f>
        <v>36</v>
      </c>
      <c r="I207" s="62">
        <f>SUMIFS([0]!Capriles,[0]!Centro,B208,[0]!Turno,I$199)</f>
        <v>47</v>
      </c>
      <c r="J207" s="62">
        <f>SUMIFS([0]!Capriles,[0]!Centro,B208,[0]!Turno,J$199)</f>
        <v>45</v>
      </c>
      <c r="K207" s="62">
        <f>SUMIFS([0]!Capriles,[0]!Centro,B208,[0]!Turno,K$199)</f>
        <v>40</v>
      </c>
      <c r="L207" s="62">
        <f>SUMIFS([0]!Capriles,[0]!Centro,B208,[0]!Turno,L$199)</f>
        <v>14</v>
      </c>
      <c r="M207" s="62">
        <f>SUMIFS([0]!Capriles,[0]!Centro,B208,[0]!Turno,M$199)</f>
        <v>0</v>
      </c>
      <c r="N207" s="62">
        <f>SUMIFS([0]!Capriles,[0]!Centro,B208,[0]!Turno,N$199)</f>
        <v>17</v>
      </c>
      <c r="O207" s="62">
        <f>SUMIFS([0]!Capriles,[0]!Centro,B208,[0]!Turno,O$199)</f>
        <v>0</v>
      </c>
      <c r="P207" s="62">
        <f>SUMIFS([0]!Capriles,[0]!Centro,B208,[0]!Turno,P$199)</f>
        <v>0</v>
      </c>
      <c r="Q207" s="62">
        <f>SUMIFS([0]!Capriles,[0]!Centro,B208,[0]!Turno,Q$199)</f>
        <v>0</v>
      </c>
      <c r="R207" s="62">
        <f>SUMIFS([0]!Capriles,[0]!Centro,B208,[0]!Turno,R$199)</f>
        <v>0</v>
      </c>
      <c r="S207" s="62">
        <f>SUMIFS([0]!Capriles,[0]!Centro,B208,[0]!Turno,S$199)</f>
        <v>0</v>
      </c>
      <c r="T207" s="62">
        <f>SUMIFS([0]!Capriles,[0]!Centro,B208,[0]!Turno,T$199)</f>
        <v>0</v>
      </c>
      <c r="U207" s="62">
        <f>SUMIFS([0]!Capriles,[0]!Centro,B208,[0]!Turno,U$199)</f>
        <v>0</v>
      </c>
      <c r="V207" s="62">
        <f>SUMIFS([0]!Capriles,[0]!Centro,B208,[0]!Turno,V$199)</f>
        <v>0</v>
      </c>
      <c r="W207" s="62">
        <f>SUMIFS([0]!Capriles,[0]!Centro,B208,[0]!Turno,W$199)</f>
        <v>0</v>
      </c>
      <c r="X207" s="62">
        <f>SUMIFS([0]!Capriles,[0]!Centro,B208,[0]!Turno,X$199)</f>
        <v>0</v>
      </c>
      <c r="Y207" s="70">
        <f>SUMIFS([0]!Capriles,[0]!Centro,B208,[0]!Turno,Y$199)</f>
        <v>0</v>
      </c>
    </row>
    <row r="208" spans="2:25" ht="15" customHeight="1" thickBot="1" x14ac:dyDescent="0.25">
      <c r="B208" s="261">
        <v>46</v>
      </c>
      <c r="C208" s="100">
        <f>E208/SUM(E206:E208)</f>
        <v>9.3457943925233638E-3</v>
      </c>
      <c r="D208" s="71" t="s">
        <v>2</v>
      </c>
      <c r="E208" s="72">
        <f t="shared" si="1131"/>
        <v>6</v>
      </c>
      <c r="F208" s="149">
        <f>SUMIFS([0]!Otro,[0]!Centro,B208,[0]!Turno,F$199)</f>
        <v>0</v>
      </c>
      <c r="G208" s="72">
        <f>SUMIFS([0]!Otro,[0]!Centro,B208,[0]!Turno,G$199)</f>
        <v>1</v>
      </c>
      <c r="H208" s="72">
        <f>SUMIFS([0]!Otro,[0]!Centro,B208,[0]!Turno,H$199)</f>
        <v>0</v>
      </c>
      <c r="I208" s="72">
        <f>SUMIFS([0]!Otro,[0]!Centro,B208,[0]!Turno,I$199)</f>
        <v>0</v>
      </c>
      <c r="J208" s="72">
        <f>SUMIFS([0]!Otro,[0]!Centro,B208,[0]!Turno,J$199)</f>
        <v>2</v>
      </c>
      <c r="K208" s="72">
        <f>SUMIFS([0]!Otro,[0]!Centro,B208,[0]!Turno,K$199)</f>
        <v>1</v>
      </c>
      <c r="L208" s="72">
        <f>SUMIFS([0]!Otro,[0]!Centro,B208,[0]!Turno,L$199)</f>
        <v>2</v>
      </c>
      <c r="M208" s="72">
        <f>SUMIFS([0]!Otro,[0]!Centro,B208,[0]!Turno,M$199)</f>
        <v>0</v>
      </c>
      <c r="N208" s="72">
        <f>SUMIFS([0]!Otro,[0]!Centro,B208,[0]!Turno,N$199)</f>
        <v>0</v>
      </c>
      <c r="O208" s="72">
        <f>SUMIFS([0]!Otro,[0]!Centro,B208,[0]!Turno,O$199)</f>
        <v>0</v>
      </c>
      <c r="P208" s="72">
        <f>SUMIFS([0]!Otro,[0]!Centro,B208,[0]!Turno,P$199)</f>
        <v>0</v>
      </c>
      <c r="Q208" s="72">
        <f>SUMIFS([0]!Otro,[0]!Centro,B208,[0]!Turno,Q$199)</f>
        <v>0</v>
      </c>
      <c r="R208" s="72">
        <f>SUMIFS([0]!Otro,[0]!Centro,B208,[0]!Turno,R$199)</f>
        <v>0</v>
      </c>
      <c r="S208" s="72">
        <f>SUMIFS([0]!Otro,[0]!Centro,B208,[0]!Turno,S$199)</f>
        <v>0</v>
      </c>
      <c r="T208" s="72">
        <f>SUMIFS([0]!Otro,[0]!Centro,B208,[0]!Turno,T$199)</f>
        <v>0</v>
      </c>
      <c r="U208" s="72">
        <f>SUMIFS([0]!Otro,[0]!Centro,B208,[0]!Turno,U$199)</f>
        <v>0</v>
      </c>
      <c r="V208" s="72">
        <f>SUMIFS([0]!Otro,[0]!Centro,B208,[0]!Turno,V$199)</f>
        <v>0</v>
      </c>
      <c r="W208" s="72">
        <f>SUMIFS([0]!Otro,[0]!Centro,B208,[0]!Turno,W$199)</f>
        <v>0</v>
      </c>
      <c r="X208" s="72">
        <f>SUMIFS([0]!Otro,[0]!Centro,B208,[0]!Turno,X$199)</f>
        <v>0</v>
      </c>
      <c r="Y208" s="73">
        <f>SUMIFS([0]!Otro,[0]!Centro,B208,[0]!Turno,Y$199)</f>
        <v>0</v>
      </c>
    </row>
    <row r="209" spans="2:25" ht="15" customHeight="1" x14ac:dyDescent="0.2">
      <c r="B209" s="261"/>
      <c r="C209" s="94">
        <f>E209/SUM(E209:E211)</f>
        <v>0.56853582554517135</v>
      </c>
      <c r="D209" s="63" t="s">
        <v>0</v>
      </c>
      <c r="E209" s="150">
        <f>IF((E206+E207+E208)=0,0,(E206*$B210)/(E206+E207+E208))</f>
        <v>0.32735741524928552</v>
      </c>
      <c r="F209" s="150">
        <f>IF((F206+F207+F208)=0,0,(F206*$B210)/(F206+F207+F208))</f>
        <v>0.37493322054929323</v>
      </c>
      <c r="G209" s="150">
        <f t="shared" ref="G209" si="1140">IF((G206+G207+G208)=0,0,(G206*$B210)/(G206+G207+G208))</f>
        <v>0.27748930264405519</v>
      </c>
      <c r="H209" s="150">
        <f t="shared" ref="H209" si="1141">IF((H206+H207+H208)=0,0,(H206*$B210)/(H206+H207+H208))</f>
        <v>0.34800512817860219</v>
      </c>
      <c r="I209" s="150">
        <f t="shared" ref="I209" si="1142">IF((I206+I207+I208)=0,0,(I206*$B210)/(I206+I207+I208))</f>
        <v>0.28163656124335495</v>
      </c>
      <c r="J209" s="150">
        <f t="shared" ref="J209" si="1143">IF((J206+J207+J208)=0,0,(J206*$B210)/(J206+J207+J208))</f>
        <v>0.33630230085932178</v>
      </c>
      <c r="K209" s="150">
        <f t="shared" ref="K209" si="1144">IF((K206+K207+K208)=0,0,(K206*$B210)/(K206+K207+K208))</f>
        <v>0.3443451811977577</v>
      </c>
      <c r="L209" s="150">
        <f t="shared" ref="L209" si="1145">IF((L206+L207+L208)=0,0,(L206*$B210)/(L206+L207+L208))</f>
        <v>0.34547418179184869</v>
      </c>
      <c r="M209" s="150">
        <f t="shared" ref="M209" si="1146">IF((M206+M207+M208)=0,0,(M206*$B210)/(M206+M207+M208))</f>
        <v>0</v>
      </c>
      <c r="N209" s="150">
        <f t="shared" ref="N209" si="1147">IF((N206+N207+N208)=0,0,(N206*$B210)/(N206+N207+N208))</f>
        <v>0.29612072725015604</v>
      </c>
      <c r="O209" s="150">
        <f t="shared" ref="O209" si="1148">IF((O206+O207+O208)=0,0,(O206*$B210)/(O206+O207+O208))</f>
        <v>0</v>
      </c>
      <c r="P209" s="150">
        <f t="shared" ref="P209" si="1149">IF((P206+P207+P208)=0,0,(P206*$B210)/(P206+P207+P208))</f>
        <v>0</v>
      </c>
      <c r="Q209" s="150">
        <f t="shared" ref="Q209" si="1150">IF((Q206+Q207+Q208)=0,0,(Q206*$B210)/(Q206+Q207+Q208))</f>
        <v>0</v>
      </c>
      <c r="R209" s="150">
        <f t="shared" ref="R209" si="1151">IF((R206+R207+R208)=0,0,(R206*$B210)/(R206+R207+R208))</f>
        <v>0</v>
      </c>
      <c r="S209" s="150">
        <f t="shared" ref="S209" si="1152">IF((S206+S207+S208)=0,0,(S206*$B210)/(S206+S207+S208))</f>
        <v>0</v>
      </c>
      <c r="T209" s="150">
        <f t="shared" ref="T209" si="1153">IF((T206+T207+T208)=0,0,(T206*$B210)/(T206+T207+T208))</f>
        <v>0</v>
      </c>
      <c r="U209" s="150">
        <f t="shared" ref="U209" si="1154">IF((U206+U207+U208)=0,0,(U206*$B210)/(U206+U207+U208))</f>
        <v>0</v>
      </c>
      <c r="V209" s="150">
        <f t="shared" ref="V209" si="1155">IF((V206+V207+V208)=0,0,(V206*$B210)/(V206+V207+V208))</f>
        <v>0</v>
      </c>
      <c r="W209" s="150">
        <f t="shared" ref="W209" si="1156">IF((W206+W207+W208)=0,0,(W206*$B210)/(W206+W207+W208))</f>
        <v>0</v>
      </c>
      <c r="X209" s="150">
        <f t="shared" ref="X209" si="1157">IF((X206+X207+X208)=0,0,(X206*$B210)/(X206+X207+X208))</f>
        <v>0</v>
      </c>
      <c r="Y209" s="163">
        <f t="shared" ref="Y209" si="1158">IF((Y206+Y207+Y208)=0,0,(Y206*$B210)/(Y206+Y207+Y208))</f>
        <v>0</v>
      </c>
    </row>
    <row r="210" spans="2:25" ht="15" customHeight="1" x14ac:dyDescent="0.2">
      <c r="B210" s="254">
        <v>0.57579030298641454</v>
      </c>
      <c r="C210" s="92">
        <f>E210/SUM(E209:E211)</f>
        <v>0.42211838006230529</v>
      </c>
      <c r="D210" s="61" t="s">
        <v>1</v>
      </c>
      <c r="E210" s="154">
        <f>IF((E206+E207+E208)=0,0,(E207*$B210)/(E206+E207+E208))</f>
        <v>0.24305166995220925</v>
      </c>
      <c r="F210" s="154">
        <f>IF((F206+F207+F208)=0,0,(F207*$B210)/(F206+F207+F208))</f>
        <v>0.20085708243712136</v>
      </c>
      <c r="G210" s="154">
        <f t="shared" ref="G210:O210" si="1159">IF((G206+G207+G208)=0,0,(G207*$B210)/(G206+G207+G208))</f>
        <v>0.29136376777625794</v>
      </c>
      <c r="H210" s="154">
        <f t="shared" si="1159"/>
        <v>0.22778517480781232</v>
      </c>
      <c r="I210" s="154">
        <f t="shared" si="1159"/>
        <v>0.29415374174305958</v>
      </c>
      <c r="J210" s="154">
        <f t="shared" si="1159"/>
        <v>0.22929702331317395</v>
      </c>
      <c r="K210" s="154">
        <f t="shared" si="1159"/>
        <v>0.22580011881820178</v>
      </c>
      <c r="L210" s="154">
        <f t="shared" si="1159"/>
        <v>0.20152660604524511</v>
      </c>
      <c r="M210" s="154">
        <f t="shared" si="1159"/>
        <v>0</v>
      </c>
      <c r="N210" s="154">
        <f t="shared" si="1159"/>
        <v>0.2796695757362585</v>
      </c>
      <c r="O210" s="154">
        <f t="shared" si="1159"/>
        <v>0</v>
      </c>
      <c r="P210" s="154">
        <f>IF((P206+P207+P208)=0,0,(P207*$B210)/(P206+P207+P208))</f>
        <v>0</v>
      </c>
      <c r="Q210" s="154">
        <f t="shared" ref="Q210:Y210" si="1160">IF((Q206+Q207+Q208)=0,0,(Q207*$B210)/(Q206+Q207+Q208))</f>
        <v>0</v>
      </c>
      <c r="R210" s="154">
        <f t="shared" si="1160"/>
        <v>0</v>
      </c>
      <c r="S210" s="154">
        <f t="shared" si="1160"/>
        <v>0</v>
      </c>
      <c r="T210" s="154">
        <f t="shared" si="1160"/>
        <v>0</v>
      </c>
      <c r="U210" s="154">
        <f t="shared" si="1160"/>
        <v>0</v>
      </c>
      <c r="V210" s="154">
        <f t="shared" si="1160"/>
        <v>0</v>
      </c>
      <c r="W210" s="154">
        <f t="shared" si="1160"/>
        <v>0</v>
      </c>
      <c r="X210" s="154">
        <f t="shared" si="1160"/>
        <v>0</v>
      </c>
      <c r="Y210" s="159">
        <f t="shared" si="1160"/>
        <v>0</v>
      </c>
    </row>
    <row r="211" spans="2:25" ht="15" customHeight="1" thickBot="1" x14ac:dyDescent="0.25">
      <c r="B211" s="255"/>
      <c r="C211" s="93">
        <f>E211/SUM(E209:E211)</f>
        <v>9.3457943925233638E-3</v>
      </c>
      <c r="D211" s="75" t="s">
        <v>2</v>
      </c>
      <c r="E211" s="155">
        <f>IF((E206+E207+E208)=0,0,(E208*$B210)/(E206+E207+E208))</f>
        <v>5.3812177849197618E-3</v>
      </c>
      <c r="F211" s="155">
        <f>IF((F206+F207+F208)=0,0,(F208*$B210)/(F206+F207+F208))</f>
        <v>0</v>
      </c>
      <c r="G211" s="155">
        <f t="shared" ref="G211" si="1161">IF((G206+G207+G208)=0,0,(G208*$B210)/(G206+G207+G208))</f>
        <v>6.93723256610138E-3</v>
      </c>
      <c r="H211" s="155">
        <f t="shared" ref="H211" si="1162">IF((H206+H207+H208)=0,0,(H208*$B210)/(H206+H207+H208))</f>
        <v>0</v>
      </c>
      <c r="I211" s="155">
        <f t="shared" ref="I211" si="1163">IF((I206+I207+I208)=0,0,(I208*$B210)/(I206+I207+I208))</f>
        <v>0</v>
      </c>
      <c r="J211" s="155">
        <f t="shared" ref="J211" si="1164">IF((J206+J207+J208)=0,0,(J208*$B210)/(J206+J207+J208))</f>
        <v>1.0190978813918842E-2</v>
      </c>
      <c r="K211" s="155">
        <f t="shared" ref="K211" si="1165">IF((K206+K207+K208)=0,0,(K208*$B210)/(K206+K207+K208))</f>
        <v>5.6450029704550441E-3</v>
      </c>
      <c r="L211" s="155">
        <f t="shared" ref="L211" si="1166">IF((L206+L207+L208)=0,0,(L208*$B210)/(L206+L207+L208))</f>
        <v>2.8789515149320728E-2</v>
      </c>
      <c r="M211" s="155">
        <f t="shared" ref="M211" si="1167">IF((M206+M207+M208)=0,0,(M208*$B210)/(M206+M207+M208))</f>
        <v>0</v>
      </c>
      <c r="N211" s="155">
        <f t="shared" ref="N211" si="1168">IF((N206+N207+N208)=0,0,(N208*$B210)/(N206+N207+N208))</f>
        <v>0</v>
      </c>
      <c r="O211" s="155">
        <f t="shared" ref="O211" si="1169">IF((O206+O207+O208)=0,0,(O208*$B210)/(O206+O207+O208))</f>
        <v>0</v>
      </c>
      <c r="P211" s="155">
        <f t="shared" ref="P211" si="1170">IF((P206+P207+P208)=0,0,(P208*$B210)/(P206+P207+P208))</f>
        <v>0</v>
      </c>
      <c r="Q211" s="155">
        <f t="shared" ref="Q211" si="1171">IF((Q206+Q207+Q208)=0,0,(Q208*$B210)/(Q206+Q207+Q208))</f>
        <v>0</v>
      </c>
      <c r="R211" s="155">
        <f t="shared" ref="R211" si="1172">IF((R206+R207+R208)=0,0,(R208*$B210)/(R206+R207+R208))</f>
        <v>0</v>
      </c>
      <c r="S211" s="155">
        <f t="shared" ref="S211" si="1173">IF((S206+S207+S208)=0,0,(S208*$B210)/(S206+S207+S208))</f>
        <v>0</v>
      </c>
      <c r="T211" s="155">
        <f t="shared" ref="T211" si="1174">IF((T206+T207+T208)=0,0,(T208*$B210)/(T206+T207+T208))</f>
        <v>0</v>
      </c>
      <c r="U211" s="155">
        <f t="shared" ref="U211" si="1175">IF((U206+U207+U208)=0,0,(U208*$B210)/(U206+U207+U208))</f>
        <v>0</v>
      </c>
      <c r="V211" s="155">
        <f t="shared" ref="V211" si="1176">IF((V206+V207+V208)=0,0,(V208*$B210)/(V206+V207+V208))</f>
        <v>0</v>
      </c>
      <c r="W211" s="155">
        <f t="shared" ref="W211" si="1177">IF((W206+W207+W208)=0,0,(W208*$B210)/(W206+W207+W208))</f>
        <v>0</v>
      </c>
      <c r="X211" s="155">
        <f t="shared" ref="X211" si="1178">IF((X206+X207+X208)=0,0,(X208*$B210)/(X206+X207+X208))</f>
        <v>0</v>
      </c>
      <c r="Y211" s="160">
        <f t="shared" ref="Y211" si="1179">IF((Y206+Y207+Y208)=0,0,(Y208*$B210)/(Y206+Y207+Y208))</f>
        <v>0</v>
      </c>
    </row>
    <row r="212" spans="2:25" ht="15" customHeight="1" x14ac:dyDescent="0.2">
      <c r="B212" s="249" t="s">
        <v>62</v>
      </c>
      <c r="C212" s="91">
        <f>E212/SUM(E212:E214)</f>
        <v>0.57620817843866168</v>
      </c>
      <c r="D212" s="67" t="s">
        <v>0</v>
      </c>
      <c r="E212" s="68">
        <f t="shared" si="1131"/>
        <v>155</v>
      </c>
      <c r="F212" s="68">
        <f>SUMIFS([0]!Chavez,[0]!Centro,B214,[0]!Turno,F$199)</f>
        <v>16</v>
      </c>
      <c r="G212" s="68">
        <f>SUMIFS([0]!Chavez,[0]!Centro,B214,[0]!Turno,G$199)</f>
        <v>29</v>
      </c>
      <c r="H212" s="68">
        <f>SUMIFS([0]!Chavez,[0]!Centro,B214,[0]!Turno,H$199)</f>
        <v>26</v>
      </c>
      <c r="I212" s="68">
        <f>SUMIFS([0]!Chavez,[0]!Centro,B214,[0]!Turno,I$199)</f>
        <v>12</v>
      </c>
      <c r="J212" s="68">
        <f>SUMIFS([0]!Chavez,[0]!Centro,B214,[0]!Turno,J$199)</f>
        <v>18</v>
      </c>
      <c r="K212" s="68">
        <f>SUMIFS([0]!Chavez,[0]!Centro,B214,[0]!Turno,K$199)</f>
        <v>21</v>
      </c>
      <c r="L212" s="68">
        <f>SUMIFS([0]!Chavez,[0]!Centro,B214,[0]!Turno,L$199)</f>
        <v>7</v>
      </c>
      <c r="M212" s="68">
        <f>SUMIFS([0]!Chavez,[0]!Centro,B214,[0]!Turno,M$199)</f>
        <v>0</v>
      </c>
      <c r="N212" s="68">
        <f>SUMIFS([0]!Chavez,[0]!Centro,B214,[0]!Turno,N$199)</f>
        <v>19</v>
      </c>
      <c r="O212" s="68">
        <f>SUMIFS([0]!Chavez,[0]!Centro,B214,[0]!Turno,O$199)</f>
        <v>0</v>
      </c>
      <c r="P212" s="68">
        <f>SUMIFS([0]!Chavez,[0]!Centro,B214,[0]!Turno,P$199)</f>
        <v>7</v>
      </c>
      <c r="Q212" s="68">
        <f>SUMIFS([0]!Chavez,[0]!Centro,B214,[0]!Turno,Q$199)</f>
        <v>0</v>
      </c>
      <c r="R212" s="68">
        <f>SUMIFS([0]!Chavez,[0]!Centro,B214,[0]!Turno,R$199)</f>
        <v>0</v>
      </c>
      <c r="S212" s="68">
        <f>SUMIFS([0]!Chavez,[0]!Centro,B214,[0]!Turno,S$199)</f>
        <v>0</v>
      </c>
      <c r="T212" s="68">
        <f>SUMIFS([0]!Chavez,[0]!Centro,B214,[0]!Turno,T$199)</f>
        <v>0</v>
      </c>
      <c r="U212" s="68">
        <f>SUMIFS([0]!Chavez,[0]!Centro,B214,[0]!Turno,U$199)</f>
        <v>0</v>
      </c>
      <c r="V212" s="68">
        <f>SUMIFS([0]!Chavez,[0]!Centro,B214,[0]!Turno,V$199)</f>
        <v>0</v>
      </c>
      <c r="W212" s="68">
        <f>SUMIFS([0]!Chavez,[0]!Centro,B214,[0]!Turno,W$199)</f>
        <v>0</v>
      </c>
      <c r="X212" s="68">
        <f>SUMIFS([0]!Chavez,[0]!Centro,B214,[0]!Turno,X$199)</f>
        <v>0</v>
      </c>
      <c r="Y212" s="69">
        <f>SUMIFS([0]!Chavez,[0]!Centro,B214,[0]!Turno,Y$199)</f>
        <v>0</v>
      </c>
    </row>
    <row r="213" spans="2:25" ht="15" customHeight="1" x14ac:dyDescent="0.2">
      <c r="B213" s="250"/>
      <c r="C213" s="92">
        <f>E213/SUM(E212:E214)</f>
        <v>0.42379182156133827</v>
      </c>
      <c r="D213" s="61" t="s">
        <v>1</v>
      </c>
      <c r="E213" s="62">
        <f t="shared" si="1131"/>
        <v>114</v>
      </c>
      <c r="F213" s="62">
        <f>SUMIFS([0]!Capriles,[0]!Centro,B214,[0]!Turno,F$199)</f>
        <v>14</v>
      </c>
      <c r="G213" s="62">
        <f>SUMIFS([0]!Capriles,[0]!Centro,B214,[0]!Turno,G$199)</f>
        <v>11</v>
      </c>
      <c r="H213" s="62">
        <f>SUMIFS([0]!Capriles,[0]!Centro,B214,[0]!Turno,H$199)</f>
        <v>14</v>
      </c>
      <c r="I213" s="62">
        <f>SUMIFS([0]!Capriles,[0]!Centro,B214,[0]!Turno,I$199)</f>
        <v>2</v>
      </c>
      <c r="J213" s="62">
        <f>SUMIFS([0]!Capriles,[0]!Centro,B214,[0]!Turno,J$199)</f>
        <v>22</v>
      </c>
      <c r="K213" s="62">
        <f>SUMIFS([0]!Capriles,[0]!Centro,B214,[0]!Turno,K$199)</f>
        <v>18</v>
      </c>
      <c r="L213" s="62">
        <f>SUMIFS([0]!Capriles,[0]!Centro,B214,[0]!Turno,L$199)</f>
        <v>8</v>
      </c>
      <c r="M213" s="62">
        <f>SUMIFS([0]!Capriles,[0]!Centro,B214,[0]!Turno,M$199)</f>
        <v>0</v>
      </c>
      <c r="N213" s="62">
        <f>SUMIFS([0]!Capriles,[0]!Centro,B214,[0]!Turno,N$199)</f>
        <v>12</v>
      </c>
      <c r="O213" s="62">
        <f>SUMIFS([0]!Capriles,[0]!Centro,B214,[0]!Turno,O$199)</f>
        <v>0</v>
      </c>
      <c r="P213" s="62">
        <f>SUMIFS([0]!Capriles,[0]!Centro,B214,[0]!Turno,P$199)</f>
        <v>13</v>
      </c>
      <c r="Q213" s="62">
        <f>SUMIFS([0]!Capriles,[0]!Centro,B214,[0]!Turno,Q$199)</f>
        <v>0</v>
      </c>
      <c r="R213" s="62">
        <f>SUMIFS([0]!Capriles,[0]!Centro,B214,[0]!Turno,R$199)</f>
        <v>0</v>
      </c>
      <c r="S213" s="62">
        <f>SUMIFS([0]!Capriles,[0]!Centro,B214,[0]!Turno,S$199)</f>
        <v>0</v>
      </c>
      <c r="T213" s="62">
        <f>SUMIFS([0]!Capriles,[0]!Centro,B214,[0]!Turno,T$199)</f>
        <v>0</v>
      </c>
      <c r="U213" s="62">
        <f>SUMIFS([0]!Capriles,[0]!Centro,B214,[0]!Turno,U$199)</f>
        <v>0</v>
      </c>
      <c r="V213" s="62">
        <f>SUMIFS([0]!Capriles,[0]!Centro,B214,[0]!Turno,V$199)</f>
        <v>0</v>
      </c>
      <c r="W213" s="62">
        <f>SUMIFS([0]!Capriles,[0]!Centro,B214,[0]!Turno,W$199)</f>
        <v>0</v>
      </c>
      <c r="X213" s="62">
        <f>SUMIFS([0]!Capriles,[0]!Centro,B214,[0]!Turno,X$199)</f>
        <v>0</v>
      </c>
      <c r="Y213" s="70">
        <f>SUMIFS([0]!Capriles,[0]!Centro,B214,[0]!Turno,Y$199)</f>
        <v>0</v>
      </c>
    </row>
    <row r="214" spans="2:25" ht="15" customHeight="1" thickBot="1" x14ac:dyDescent="0.25">
      <c r="B214" s="261">
        <v>47</v>
      </c>
      <c r="C214" s="100">
        <f>E214/SUM(E212:E214)</f>
        <v>0</v>
      </c>
      <c r="D214" s="71" t="s">
        <v>2</v>
      </c>
      <c r="E214" s="72">
        <f t="shared" si="1131"/>
        <v>0</v>
      </c>
      <c r="F214" s="72">
        <f>SUMIFS([0]!Otro,[0]!Centro,B214,[0]!Turno,F$199)</f>
        <v>0</v>
      </c>
      <c r="G214" s="72">
        <f>SUMIFS([0]!Otro,[0]!Centro,B214,[0]!Turno,G$199)</f>
        <v>0</v>
      </c>
      <c r="H214" s="72">
        <f>SUMIFS([0]!Otro,[0]!Centro,B214,[0]!Turno,H$199)</f>
        <v>0</v>
      </c>
      <c r="I214" s="72">
        <f>SUMIFS([0]!Otro,[0]!Centro,B214,[0]!Turno,I$199)</f>
        <v>0</v>
      </c>
      <c r="J214" s="72">
        <f>SUMIFS([0]!Otro,[0]!Centro,B214,[0]!Turno,J$199)</f>
        <v>0</v>
      </c>
      <c r="K214" s="72">
        <f>SUMIFS([0]!Otro,[0]!Centro,B214,[0]!Turno,K$199)</f>
        <v>0</v>
      </c>
      <c r="L214" s="72">
        <f>SUMIFS([0]!Otro,[0]!Centro,B214,[0]!Turno,L$199)</f>
        <v>0</v>
      </c>
      <c r="M214" s="72">
        <f>SUMIFS([0]!Otro,[0]!Centro,B214,[0]!Turno,M$199)</f>
        <v>0</v>
      </c>
      <c r="N214" s="72">
        <f>SUMIFS([0]!Otro,[0]!Centro,B214,[0]!Turno,N$199)</f>
        <v>0</v>
      </c>
      <c r="O214" s="72">
        <f>SUMIFS([0]!Otro,[0]!Centro,B214,[0]!Turno,O$199)</f>
        <v>0</v>
      </c>
      <c r="P214" s="72">
        <f>SUMIFS([0]!Otro,[0]!Centro,B214,[0]!Turno,P$199)</f>
        <v>0</v>
      </c>
      <c r="Q214" s="72">
        <f>SUMIFS([0]!Otro,[0]!Centro,B214,[0]!Turno,Q$199)</f>
        <v>0</v>
      </c>
      <c r="R214" s="72">
        <f>SUMIFS([0]!Otro,[0]!Centro,B214,[0]!Turno,R$199)</f>
        <v>0</v>
      </c>
      <c r="S214" s="72">
        <f>SUMIFS([0]!Otro,[0]!Centro,B214,[0]!Turno,S$199)</f>
        <v>0</v>
      </c>
      <c r="T214" s="72">
        <f>SUMIFS([0]!Otro,[0]!Centro,B214,[0]!Turno,T$199)</f>
        <v>0</v>
      </c>
      <c r="U214" s="72">
        <f>SUMIFS([0]!Otro,[0]!Centro,B214,[0]!Turno,U$199)</f>
        <v>0</v>
      </c>
      <c r="V214" s="72">
        <f>SUMIFS([0]!Otro,[0]!Centro,B214,[0]!Turno,V$199)</f>
        <v>0</v>
      </c>
      <c r="W214" s="72">
        <f>SUMIFS([0]!Otro,[0]!Centro,B214,[0]!Turno,W$199)</f>
        <v>0</v>
      </c>
      <c r="X214" s="72">
        <f>SUMIFS([0]!Otro,[0]!Centro,B214,[0]!Turno,X$199)</f>
        <v>0</v>
      </c>
      <c r="Y214" s="73">
        <f>SUMIFS([0]!Otro,[0]!Centro,B214,[0]!Turno,Y$199)</f>
        <v>0</v>
      </c>
    </row>
    <row r="215" spans="2:25" ht="15" customHeight="1" x14ac:dyDescent="0.2">
      <c r="B215" s="261"/>
      <c r="C215" s="94">
        <f>E215/SUM(E215:E217)</f>
        <v>0.57620817843866168</v>
      </c>
      <c r="D215" s="63" t="s">
        <v>0</v>
      </c>
      <c r="E215" s="150">
        <f>IF((E212+E213+E214)=0,0,(E212*$B216)/(E212+E213+E214))</f>
        <v>3.2116641718731832E-2</v>
      </c>
      <c r="F215" s="150">
        <f>IF((F212+F213+F214)=0,0,(F212*$B216)/(F212+F213+F214))</f>
        <v>2.9726887302671361E-2</v>
      </c>
      <c r="G215" s="150">
        <f t="shared" ref="G215" si="1180">IF((G212+G213+G214)=0,0,(G212*$B216)/(G212+G213+G214))</f>
        <v>4.0409987427068882E-2</v>
      </c>
      <c r="H215" s="150">
        <f t="shared" ref="H215" si="1181">IF((H212+H213+H214)=0,0,(H212*$B216)/(H212+H213+H214))</f>
        <v>3.6229643900130719E-2</v>
      </c>
      <c r="I215" s="150">
        <f t="shared" ref="I215" si="1182">IF((I212+I213+I214)=0,0,(I212*$B216)/(I212+I213+I214))</f>
        <v>4.777535459357897E-2</v>
      </c>
      <c r="J215" s="150">
        <f t="shared" ref="J215" si="1183">IF((J212+J213+J214)=0,0,(J212*$B216)/(J212+J213+J214))</f>
        <v>2.5082061161628959E-2</v>
      </c>
      <c r="K215" s="150">
        <f t="shared" ref="K215" si="1184">IF((K212+K213+K214)=0,0,(K212*$B216)/(K212+K213+K214))</f>
        <v>3.0012722757504742E-2</v>
      </c>
      <c r="L215" s="150">
        <f t="shared" ref="L215" si="1185">IF((L212+L213+L214)=0,0,(L212*$B216)/(L212+L213+L214))</f>
        <v>2.601102638983744E-2</v>
      </c>
      <c r="M215" s="150">
        <f t="shared" ref="M215" si="1186">IF((M212+M213+M214)=0,0,(M212*$B216)/(M212+M213+M214))</f>
        <v>0</v>
      </c>
      <c r="N215" s="150">
        <f t="shared" ref="N215" si="1187">IF((N212+N213+N214)=0,0,(N212*$B216)/(N212+N213+N214))</f>
        <v>3.4161947101860227E-2</v>
      </c>
      <c r="O215" s="150">
        <f t="shared" ref="O215" si="1188">IF((O212+O213+O214)=0,0,(O212*$B216)/(O212+O213+O214))</f>
        <v>0</v>
      </c>
      <c r="P215" s="150">
        <f t="shared" ref="P215" si="1189">IF((P212+P213+P214)=0,0,(P212*$B216)/(P212+P213+P214))</f>
        <v>1.9508269792378082E-2</v>
      </c>
      <c r="Q215" s="150">
        <f t="shared" ref="Q215" si="1190">IF((Q212+Q213+Q214)=0,0,(Q212*$B216)/(Q212+Q213+Q214))</f>
        <v>0</v>
      </c>
      <c r="R215" s="150">
        <f t="shared" ref="R215" si="1191">IF((R212+R213+R214)=0,0,(R212*$B216)/(R212+R213+R214))</f>
        <v>0</v>
      </c>
      <c r="S215" s="150">
        <f t="shared" ref="S215" si="1192">IF((S212+S213+S214)=0,0,(S212*$B216)/(S212+S213+S214))</f>
        <v>0</v>
      </c>
      <c r="T215" s="150">
        <f t="shared" ref="T215" si="1193">IF((T212+T213+T214)=0,0,(T212*$B216)/(T212+T213+T214))</f>
        <v>0</v>
      </c>
      <c r="U215" s="150">
        <f t="shared" ref="U215" si="1194">IF((U212+U213+U214)=0,0,(U212*$B216)/(U212+U213+U214))</f>
        <v>0</v>
      </c>
      <c r="V215" s="150">
        <f t="shared" ref="V215" si="1195">IF((V212+V213+V214)=0,0,(V212*$B216)/(V212+V213+V214))</f>
        <v>0</v>
      </c>
      <c r="W215" s="150">
        <f t="shared" ref="W215" si="1196">IF((W212+W213+W214)=0,0,(W212*$B216)/(W212+W213+W214))</f>
        <v>0</v>
      </c>
      <c r="X215" s="150">
        <f t="shared" ref="X215" si="1197">IF((X212+X213+X214)=0,0,(X212*$B216)/(X212+X213+X214))</f>
        <v>0</v>
      </c>
      <c r="Y215" s="163">
        <f t="shared" ref="Y215" si="1198">IF((Y212+Y213+Y214)=0,0,(Y212*$B216)/(Y212+Y213+Y214))</f>
        <v>0</v>
      </c>
    </row>
    <row r="216" spans="2:25" ht="15" customHeight="1" x14ac:dyDescent="0.2">
      <c r="B216" s="254">
        <v>5.57379136925088E-2</v>
      </c>
      <c r="C216" s="92">
        <f>E216/SUM(E215:E217)</f>
        <v>0.42379182156133832</v>
      </c>
      <c r="D216" s="61" t="s">
        <v>1</v>
      </c>
      <c r="E216" s="154">
        <f>IF((E212+E213+E214)=0,0,(E213*$B216)/(E212+E213+E214))</f>
        <v>2.3621271973776965E-2</v>
      </c>
      <c r="F216" s="154">
        <f>IF((F212+F213+F214)=0,0,(F213*$B216)/(F212+F213+F214))</f>
        <v>2.601102638983744E-2</v>
      </c>
      <c r="G216" s="154">
        <f t="shared" ref="G216:O216" si="1199">IF((G212+G213+G214)=0,0,(G213*$B216)/(G212+G213+G214))</f>
        <v>1.532792626543992E-2</v>
      </c>
      <c r="H216" s="154">
        <f t="shared" si="1199"/>
        <v>1.9508269792378082E-2</v>
      </c>
      <c r="I216" s="154">
        <f t="shared" si="1199"/>
        <v>7.9625590989298289E-3</v>
      </c>
      <c r="J216" s="154">
        <f t="shared" si="1199"/>
        <v>3.0655852530879841E-2</v>
      </c>
      <c r="K216" s="154">
        <f t="shared" si="1199"/>
        <v>2.5725190935004062E-2</v>
      </c>
      <c r="L216" s="154">
        <f t="shared" si="1199"/>
        <v>2.9726887302671361E-2</v>
      </c>
      <c r="M216" s="154">
        <f t="shared" si="1199"/>
        <v>0</v>
      </c>
      <c r="N216" s="154">
        <f t="shared" si="1199"/>
        <v>2.1575966590648567E-2</v>
      </c>
      <c r="O216" s="154">
        <f t="shared" si="1199"/>
        <v>0</v>
      </c>
      <c r="P216" s="154">
        <f>IF((P212+P213+P214)=0,0,(P213*$B216)/(P212+P213+P214))</f>
        <v>3.6229643900130719E-2</v>
      </c>
      <c r="Q216" s="154">
        <f t="shared" ref="Q216:Y216" si="1200">IF((Q212+Q213+Q214)=0,0,(Q213*$B216)/(Q212+Q213+Q214))</f>
        <v>0</v>
      </c>
      <c r="R216" s="154">
        <f t="shared" si="1200"/>
        <v>0</v>
      </c>
      <c r="S216" s="154">
        <f t="shared" si="1200"/>
        <v>0</v>
      </c>
      <c r="T216" s="154">
        <f t="shared" si="1200"/>
        <v>0</v>
      </c>
      <c r="U216" s="154">
        <f t="shared" si="1200"/>
        <v>0</v>
      </c>
      <c r="V216" s="154">
        <f t="shared" si="1200"/>
        <v>0</v>
      </c>
      <c r="W216" s="154">
        <f t="shared" si="1200"/>
        <v>0</v>
      </c>
      <c r="X216" s="154">
        <f t="shared" si="1200"/>
        <v>0</v>
      </c>
      <c r="Y216" s="159">
        <f t="shared" si="1200"/>
        <v>0</v>
      </c>
    </row>
    <row r="217" spans="2:25" ht="15" customHeight="1" thickBot="1" x14ac:dyDescent="0.25">
      <c r="B217" s="255"/>
      <c r="C217" s="93">
        <f>E217/SUM(E215:E217)</f>
        <v>0</v>
      </c>
      <c r="D217" s="75" t="s">
        <v>2</v>
      </c>
      <c r="E217" s="155">
        <f>IF((E212+E213+E214)=0,0,(E214*$B216)/(E212+E213+E214))</f>
        <v>0</v>
      </c>
      <c r="F217" s="155">
        <f>IF((F212+F213+F214)=0,0,(F214*$B216)/(F212+F213+F214))</f>
        <v>0</v>
      </c>
      <c r="G217" s="155">
        <f t="shared" ref="G217" si="1201">IF((G212+G213+G214)=0,0,(G214*$B216)/(G212+G213+G214))</f>
        <v>0</v>
      </c>
      <c r="H217" s="155">
        <f t="shared" ref="H217" si="1202">IF((H212+H213+H214)=0,0,(H214*$B216)/(H212+H213+H214))</f>
        <v>0</v>
      </c>
      <c r="I217" s="155">
        <f t="shared" ref="I217" si="1203">IF((I212+I213+I214)=0,0,(I214*$B216)/(I212+I213+I214))</f>
        <v>0</v>
      </c>
      <c r="J217" s="155">
        <f t="shared" ref="J217" si="1204">IF((J212+J213+J214)=0,0,(J214*$B216)/(J212+J213+J214))</f>
        <v>0</v>
      </c>
      <c r="K217" s="155">
        <f t="shared" ref="K217" si="1205">IF((K212+K213+K214)=0,0,(K214*$B216)/(K212+K213+K214))</f>
        <v>0</v>
      </c>
      <c r="L217" s="155">
        <f t="shared" ref="L217" si="1206">IF((L212+L213+L214)=0,0,(L214*$B216)/(L212+L213+L214))</f>
        <v>0</v>
      </c>
      <c r="M217" s="155">
        <f t="shared" ref="M217" si="1207">IF((M212+M213+M214)=0,0,(M214*$B216)/(M212+M213+M214))</f>
        <v>0</v>
      </c>
      <c r="N217" s="155">
        <f t="shared" ref="N217" si="1208">IF((N212+N213+N214)=0,0,(N214*$B216)/(N212+N213+N214))</f>
        <v>0</v>
      </c>
      <c r="O217" s="155">
        <f t="shared" ref="O217" si="1209">IF((O212+O213+O214)=0,0,(O214*$B216)/(O212+O213+O214))</f>
        <v>0</v>
      </c>
      <c r="P217" s="155">
        <f t="shared" ref="P217" si="1210">IF((P212+P213+P214)=0,0,(P214*$B216)/(P212+P213+P214))</f>
        <v>0</v>
      </c>
      <c r="Q217" s="155">
        <f t="shared" ref="Q217" si="1211">IF((Q212+Q213+Q214)=0,0,(Q214*$B216)/(Q212+Q213+Q214))</f>
        <v>0</v>
      </c>
      <c r="R217" s="155">
        <f t="shared" ref="R217" si="1212">IF((R212+R213+R214)=0,0,(R214*$B216)/(R212+R213+R214))</f>
        <v>0</v>
      </c>
      <c r="S217" s="155">
        <f t="shared" ref="S217" si="1213">IF((S212+S213+S214)=0,0,(S214*$B216)/(S212+S213+S214))</f>
        <v>0</v>
      </c>
      <c r="T217" s="155">
        <f t="shared" ref="T217" si="1214">IF((T212+T213+T214)=0,0,(T214*$B216)/(T212+T213+T214))</f>
        <v>0</v>
      </c>
      <c r="U217" s="155">
        <f t="shared" ref="U217" si="1215">IF((U212+U213+U214)=0,0,(U214*$B216)/(U212+U213+U214))</f>
        <v>0</v>
      </c>
      <c r="V217" s="155">
        <f t="shared" ref="V217" si="1216">IF((V212+V213+V214)=0,0,(V214*$B216)/(V212+V213+V214))</f>
        <v>0</v>
      </c>
      <c r="W217" s="155">
        <f t="shared" ref="W217" si="1217">IF((W212+W213+W214)=0,0,(W214*$B216)/(W212+W213+W214))</f>
        <v>0</v>
      </c>
      <c r="X217" s="155">
        <f t="shared" ref="X217" si="1218">IF((X212+X213+X214)=0,0,(X214*$B216)/(X212+X213+X214))</f>
        <v>0</v>
      </c>
      <c r="Y217" s="160">
        <f t="shared" ref="Y217" si="1219">IF((Y212+Y213+Y214)=0,0,(Y214*$B216)/(Y212+Y213+Y214))</f>
        <v>0</v>
      </c>
    </row>
    <row r="218" spans="2:25" ht="15" customHeight="1" x14ac:dyDescent="0.2">
      <c r="B218" s="249" t="s">
        <v>63</v>
      </c>
      <c r="C218" s="91">
        <f>E218/SUM(E218:E220)</f>
        <v>0.60204081632653061</v>
      </c>
      <c r="D218" s="67" t="s">
        <v>0</v>
      </c>
      <c r="E218" s="68">
        <f t="shared" si="1131"/>
        <v>413</v>
      </c>
      <c r="F218" s="68">
        <f>SUMIFS([0]!Chavez,[0]!Centro,B220,[0]!Turno,F$199)</f>
        <v>90</v>
      </c>
      <c r="G218" s="68">
        <f>SUMIFS([0]!Chavez,[0]!Centro,B220,[0]!Turno,G$199)</f>
        <v>56</v>
      </c>
      <c r="H218" s="68">
        <f>SUMIFS([0]!Chavez,[0]!Centro,B220,[0]!Turno,H$199)</f>
        <v>49</v>
      </c>
      <c r="I218" s="68">
        <f>SUMIFS([0]!Chavez,[0]!Centro,B220,[0]!Turno,I$199)</f>
        <v>62</v>
      </c>
      <c r="J218" s="68">
        <f>SUMIFS([0]!Chavez,[0]!Centro,B220,[0]!Turno,J$199)</f>
        <v>35</v>
      </c>
      <c r="K218" s="68">
        <f>SUMIFS([0]!Chavez,[0]!Centro,B220,[0]!Turno,K$199)</f>
        <v>33</v>
      </c>
      <c r="L218" s="68">
        <f>SUMIFS([0]!Chavez,[0]!Centro,B220,[0]!Turno,L$199)</f>
        <v>12</v>
      </c>
      <c r="M218" s="68">
        <f>SUMIFS([0]!Chavez,[0]!Centro,B220,[0]!Turno,M$199)</f>
        <v>13</v>
      </c>
      <c r="N218" s="68">
        <f>SUMIFS([0]!Chavez,[0]!Centro,B220,[0]!Turno,N$199)</f>
        <v>32</v>
      </c>
      <c r="O218" s="68">
        <f>SUMIFS([0]!Chavez,[0]!Centro,B220,[0]!Turno,O$199)</f>
        <v>17</v>
      </c>
      <c r="P218" s="68">
        <f>SUMIFS([0]!Chavez,[0]!Centro,B220,[0]!Turno,P$199)</f>
        <v>0</v>
      </c>
      <c r="Q218" s="68">
        <f>SUMIFS([0]!Chavez,[0]!Centro,B220,[0]!Turno,Q$199)</f>
        <v>0</v>
      </c>
      <c r="R218" s="68">
        <f>SUMIFS([0]!Chavez,[0]!Centro,B220,[0]!Turno,R$199)</f>
        <v>14</v>
      </c>
      <c r="S218" s="68">
        <f>SUMIFS([0]!Chavez,[0]!Centro,B220,[0]!Turno,S$199)</f>
        <v>0</v>
      </c>
      <c r="T218" s="68">
        <f>SUMIFS([0]!Chavez,[0]!Centro,B220,[0]!Turno,T$199)</f>
        <v>0</v>
      </c>
      <c r="U218" s="68">
        <f>SUMIFS([0]!Chavez,[0]!Centro,B220,[0]!Turno,U$199)</f>
        <v>0</v>
      </c>
      <c r="V218" s="68">
        <f>SUMIFS([0]!Chavez,[0]!Centro,B220,[0]!Turno,V$199)</f>
        <v>0</v>
      </c>
      <c r="W218" s="68">
        <f>SUMIFS([0]!Chavez,[0]!Centro,B220,[0]!Turno,W$199)</f>
        <v>0</v>
      </c>
      <c r="X218" s="68">
        <f>SUMIFS([0]!Chavez,[0]!Centro,B220,[0]!Turno,X$199)</f>
        <v>0</v>
      </c>
      <c r="Y218" s="69">
        <f>SUMIFS([0]!Chavez,[0]!Centro,B220,[0]!Turno,Y$199)</f>
        <v>0</v>
      </c>
    </row>
    <row r="219" spans="2:25" ht="15" customHeight="1" x14ac:dyDescent="0.2">
      <c r="B219" s="250"/>
      <c r="C219" s="92">
        <f>E219/SUM(E218:E220)</f>
        <v>0.39795918367346939</v>
      </c>
      <c r="D219" s="61" t="s">
        <v>1</v>
      </c>
      <c r="E219" s="62">
        <f t="shared" si="1131"/>
        <v>273</v>
      </c>
      <c r="F219" s="62">
        <f>SUMIFS([0]!Capriles,[0]!Centro,B220,[0]!Turno,F$199)</f>
        <v>36</v>
      </c>
      <c r="G219" s="62">
        <f>SUMIFS([0]!Capriles,[0]!Centro,B220,[0]!Turno,G$199)</f>
        <v>57</v>
      </c>
      <c r="H219" s="62">
        <f>SUMIFS([0]!Capriles,[0]!Centro,B220,[0]!Turno,H$199)</f>
        <v>53</v>
      </c>
      <c r="I219" s="62">
        <f>SUMIFS([0]!Capriles,[0]!Centro,B220,[0]!Turno,I$199)</f>
        <v>40</v>
      </c>
      <c r="J219" s="62">
        <f>SUMIFS([0]!Capriles,[0]!Centro,B220,[0]!Turno,J$199)</f>
        <v>34</v>
      </c>
      <c r="K219" s="62">
        <f>SUMIFS([0]!Capriles,[0]!Centro,B220,[0]!Turno,K$199)</f>
        <v>21</v>
      </c>
      <c r="L219" s="62">
        <f>SUMIFS([0]!Capriles,[0]!Centro,B220,[0]!Turno,L$199)</f>
        <v>8</v>
      </c>
      <c r="M219" s="62">
        <f>SUMIFS([0]!Capriles,[0]!Centro,B220,[0]!Turno,M$199)</f>
        <v>7</v>
      </c>
      <c r="N219" s="62">
        <f>SUMIFS([0]!Capriles,[0]!Centro,B220,[0]!Turno,N$199)</f>
        <v>8</v>
      </c>
      <c r="O219" s="62">
        <f>SUMIFS([0]!Capriles,[0]!Centro,B220,[0]!Turno,O$199)</f>
        <v>3</v>
      </c>
      <c r="P219" s="62">
        <f>SUMIFS([0]!Capriles,[0]!Centro,B220,[0]!Turno,P$199)</f>
        <v>0</v>
      </c>
      <c r="Q219" s="62">
        <f>SUMIFS([0]!Capriles,[0]!Centro,B220,[0]!Turno,Q$199)</f>
        <v>0</v>
      </c>
      <c r="R219" s="62">
        <f>SUMIFS([0]!Capriles,[0]!Centro,B220,[0]!Turno,R$199)</f>
        <v>6</v>
      </c>
      <c r="S219" s="62">
        <f>SUMIFS([0]!Capriles,[0]!Centro,B220,[0]!Turno,S$199)</f>
        <v>0</v>
      </c>
      <c r="T219" s="62">
        <f>SUMIFS([0]!Capriles,[0]!Centro,B220,[0]!Turno,T$199)</f>
        <v>0</v>
      </c>
      <c r="U219" s="62">
        <f>SUMIFS([0]!Capriles,[0]!Centro,B220,[0]!Turno,U$199)</f>
        <v>0</v>
      </c>
      <c r="V219" s="62">
        <f>SUMIFS([0]!Capriles,[0]!Centro,B220,[0]!Turno,V$199)</f>
        <v>0</v>
      </c>
      <c r="W219" s="62">
        <f>SUMIFS([0]!Capriles,[0]!Centro,B220,[0]!Turno,W$199)</f>
        <v>0</v>
      </c>
      <c r="X219" s="62">
        <f>SUMIFS([0]!Capriles,[0]!Centro,B220,[0]!Turno,X$199)</f>
        <v>0</v>
      </c>
      <c r="Y219" s="70">
        <f>SUMIFS([0]!Capriles,[0]!Centro,B220,[0]!Turno,Y$199)</f>
        <v>0</v>
      </c>
    </row>
    <row r="220" spans="2:25" ht="15" customHeight="1" thickBot="1" x14ac:dyDescent="0.25">
      <c r="B220" s="261">
        <v>48</v>
      </c>
      <c r="C220" s="100">
        <f>E220/SUM(E218:E220)</f>
        <v>0</v>
      </c>
      <c r="D220" s="71" t="s">
        <v>2</v>
      </c>
      <c r="E220" s="72">
        <f t="shared" si="1131"/>
        <v>0</v>
      </c>
      <c r="F220" s="72">
        <f>SUMIFS([0]!Otro,[0]!Centro,B220,[0]!Turno,F$199)</f>
        <v>0</v>
      </c>
      <c r="G220" s="72">
        <f>SUMIFS([0]!Otro,[0]!Centro,B220,[0]!Turno,G$199)</f>
        <v>0</v>
      </c>
      <c r="H220" s="72">
        <f>SUMIFS([0]!Otro,[0]!Centro,B220,[0]!Turno,H$199)</f>
        <v>0</v>
      </c>
      <c r="I220" s="72">
        <f>SUMIFS([0]!Otro,[0]!Centro,B220,[0]!Turno,I$199)</f>
        <v>0</v>
      </c>
      <c r="J220" s="72">
        <f>SUMIFS([0]!Otro,[0]!Centro,B220,[0]!Turno,J$199)</f>
        <v>0</v>
      </c>
      <c r="K220" s="72">
        <f>SUMIFS([0]!Otro,[0]!Centro,B220,[0]!Turno,K$199)</f>
        <v>0</v>
      </c>
      <c r="L220" s="72">
        <f>SUMIFS([0]!Otro,[0]!Centro,B220,[0]!Turno,L$199)</f>
        <v>0</v>
      </c>
      <c r="M220" s="72">
        <f>SUMIFS([0]!Otro,[0]!Centro,B220,[0]!Turno,M$199)</f>
        <v>0</v>
      </c>
      <c r="N220" s="72">
        <f>SUMIFS([0]!Otro,[0]!Centro,B220,[0]!Turno,N$199)</f>
        <v>0</v>
      </c>
      <c r="O220" s="72">
        <f>SUMIFS([0]!Otro,[0]!Centro,B220,[0]!Turno,O$199)</f>
        <v>0</v>
      </c>
      <c r="P220" s="72">
        <f>SUMIFS([0]!Otro,[0]!Centro,B220,[0]!Turno,P$199)</f>
        <v>0</v>
      </c>
      <c r="Q220" s="72">
        <f>SUMIFS([0]!Otro,[0]!Centro,B220,[0]!Turno,Q$199)</f>
        <v>0</v>
      </c>
      <c r="R220" s="72">
        <f>SUMIFS([0]!Otro,[0]!Centro,B220,[0]!Turno,R$199)</f>
        <v>0</v>
      </c>
      <c r="S220" s="72">
        <f>SUMIFS([0]!Otro,[0]!Centro,B220,[0]!Turno,S$199)</f>
        <v>0</v>
      </c>
      <c r="T220" s="72">
        <f>SUMIFS([0]!Otro,[0]!Centro,B220,[0]!Turno,T$199)</f>
        <v>0</v>
      </c>
      <c r="U220" s="72">
        <f>SUMIFS([0]!Otro,[0]!Centro,B220,[0]!Turno,U$199)</f>
        <v>0</v>
      </c>
      <c r="V220" s="72">
        <f>SUMIFS([0]!Otro,[0]!Centro,B220,[0]!Turno,V$199)</f>
        <v>0</v>
      </c>
      <c r="W220" s="72">
        <f>SUMIFS([0]!Otro,[0]!Centro,B220,[0]!Turno,W$199)</f>
        <v>0</v>
      </c>
      <c r="X220" s="72">
        <f>SUMIFS([0]!Otro,[0]!Centro,B220,[0]!Turno,X$199)</f>
        <v>0</v>
      </c>
      <c r="Y220" s="73">
        <f>SUMIFS([0]!Otro,[0]!Centro,B220,[0]!Turno,Y$199)</f>
        <v>0</v>
      </c>
    </row>
    <row r="221" spans="2:25" ht="15" customHeight="1" x14ac:dyDescent="0.2">
      <c r="B221" s="261"/>
      <c r="C221" s="94">
        <f>E221/SUM(E221:E223)</f>
        <v>0.60204081632653061</v>
      </c>
      <c r="D221" s="63" t="s">
        <v>0</v>
      </c>
      <c r="E221" s="150">
        <f>IF((E218+E219+E220)=0,0,(E218*$B222)/(E218+E219+E220))</f>
        <v>0.16794485818129673</v>
      </c>
      <c r="F221" s="150">
        <f>IF((F218+F219+F220)=0,0,(F218*$B222)/(F218+F219+F220))</f>
        <v>0.1992566114015385</v>
      </c>
      <c r="G221" s="150">
        <f t="shared" ref="G221" si="1220">IF((G218+G219+G220)=0,0,(G218*$B222)/(G218+G219+G220))</f>
        <v>0.13824529499009394</v>
      </c>
      <c r="H221" s="150">
        <f t="shared" ref="H221" si="1221">IF((H218+H219+H220)=0,0,(H218*$B222)/(H218+H219+H220))</f>
        <v>0.13400983864848567</v>
      </c>
      <c r="I221" s="150">
        <f t="shared" ref="I221" si="1222">IF((I218+I219+I220)=0,0,(I218*$B222)/(I218+I219+I220))</f>
        <v>0.16956346931032884</v>
      </c>
      <c r="J221" s="150">
        <f t="shared" ref="J221" si="1223">IF((J218+J219+J220)=0,0,(J218*$B222)/(J218+J219+J220))</f>
        <v>0.14150107186486066</v>
      </c>
      <c r="K221" s="150">
        <f t="shared" ref="K221" si="1224">IF((K218+K219+K220)=0,0,(K218*$B222)/(K218+K219+K220))</f>
        <v>0.17047510086576068</v>
      </c>
      <c r="L221" s="150">
        <f t="shared" ref="L221" si="1225">IF((L218+L219+L220)=0,0,(L218*$B222)/(L218+L219+L220))</f>
        <v>0.16737555357729234</v>
      </c>
      <c r="M221" s="150">
        <f t="shared" ref="M221" si="1226">IF((M218+M219+M220)=0,0,(M218*$B222)/(M218+M219+M220))</f>
        <v>0.18132351637540003</v>
      </c>
      <c r="N221" s="150">
        <f t="shared" ref="N221" si="1227">IF((N218+N219+N220)=0,0,(N218*$B222)/(N218+N219+N220))</f>
        <v>0.2231674047697231</v>
      </c>
      <c r="O221" s="150">
        <f t="shared" ref="O221" si="1228">IF((O218+O219+O220)=0,0,(O218*$B222)/(O218+O219+O220))</f>
        <v>0.2371153675678308</v>
      </c>
      <c r="P221" s="150">
        <f t="shared" ref="P221" si="1229">IF((P218+P219+P220)=0,0,(P218*$B222)/(P218+P219+P220))</f>
        <v>0</v>
      </c>
      <c r="Q221" s="150">
        <f t="shared" ref="Q221" si="1230">IF((Q218+Q219+Q220)=0,0,(Q218*$B222)/(Q218+Q219+Q220))</f>
        <v>0</v>
      </c>
      <c r="R221" s="150">
        <f t="shared" ref="R221" si="1231">IF((R218+R219+R220)=0,0,(R218*$B222)/(R218+R219+R220))</f>
        <v>0.19527147917350771</v>
      </c>
      <c r="S221" s="150">
        <f t="shared" ref="S221" si="1232">IF((S218+S219+S220)=0,0,(S218*$B222)/(S218+S219+S220))</f>
        <v>0</v>
      </c>
      <c r="T221" s="150">
        <f t="shared" ref="T221" si="1233">IF((T218+T219+T220)=0,0,(T218*$B222)/(T218+T219+T220))</f>
        <v>0</v>
      </c>
      <c r="U221" s="150">
        <f t="shared" ref="U221" si="1234">IF((U218+U219+U220)=0,0,(U218*$B222)/(U218+U219+U220))</f>
        <v>0</v>
      </c>
      <c r="V221" s="150">
        <f t="shared" ref="V221" si="1235">IF((V218+V219+V220)=0,0,(V218*$B222)/(V218+V219+V220))</f>
        <v>0</v>
      </c>
      <c r="W221" s="150">
        <f t="shared" ref="W221" si="1236">IF((W218+W219+W220)=0,0,(W218*$B222)/(W218+W219+W220))</f>
        <v>0</v>
      </c>
      <c r="X221" s="150">
        <f t="shared" ref="X221" si="1237">IF((X218+X219+X220)=0,0,(X218*$B222)/(X218+X219+X220))</f>
        <v>0</v>
      </c>
      <c r="Y221" s="163">
        <f t="shared" ref="Y221" si="1238">IF((Y218+Y219+Y220)=0,0,(Y218*$B222)/(Y218+Y219+Y220))</f>
        <v>0</v>
      </c>
    </row>
    <row r="222" spans="2:25" ht="15" customHeight="1" x14ac:dyDescent="0.2">
      <c r="B222" s="254">
        <v>0.27895925596215387</v>
      </c>
      <c r="C222" s="92">
        <f>E222/SUM(E221:E223)</f>
        <v>0.39795918367346939</v>
      </c>
      <c r="D222" s="61" t="s">
        <v>1</v>
      </c>
      <c r="E222" s="154">
        <f>IF((E218+E219+E220)=0,0,(E219*$B222)/(E218+E219+E220))</f>
        <v>0.11101439778085716</v>
      </c>
      <c r="F222" s="154">
        <f>IF((F218+F219+F220)=0,0,(F219*$B222)/(F218+F219+F220))</f>
        <v>7.9702644560615404E-2</v>
      </c>
      <c r="G222" s="154">
        <f t="shared" ref="G222:O222" si="1239">IF((G218+G219+G220)=0,0,(G219*$B222)/(G218+G219+G220))</f>
        <v>0.1407139609720599</v>
      </c>
      <c r="H222" s="154">
        <f t="shared" si="1239"/>
        <v>0.1449494173136682</v>
      </c>
      <c r="I222" s="154">
        <f t="shared" si="1239"/>
        <v>0.10939578665182505</v>
      </c>
      <c r="J222" s="154">
        <f t="shared" si="1239"/>
        <v>0.13745818409729321</v>
      </c>
      <c r="K222" s="154">
        <f t="shared" si="1239"/>
        <v>0.10848415509639318</v>
      </c>
      <c r="L222" s="154">
        <f t="shared" si="1239"/>
        <v>0.11158370238486155</v>
      </c>
      <c r="M222" s="154">
        <f t="shared" si="1239"/>
        <v>9.7635739586753853E-2</v>
      </c>
      <c r="N222" s="154">
        <f t="shared" si="1239"/>
        <v>5.5791851192430776E-2</v>
      </c>
      <c r="O222" s="154">
        <f t="shared" si="1239"/>
        <v>4.1843888394323084E-2</v>
      </c>
      <c r="P222" s="154">
        <f>IF((P218+P219+P220)=0,0,(P219*$B222)/(P218+P219+P220))</f>
        <v>0</v>
      </c>
      <c r="Q222" s="154">
        <f t="shared" ref="Q222:Y222" si="1240">IF((Q218+Q219+Q220)=0,0,(Q219*$B222)/(Q218+Q219+Q220))</f>
        <v>0</v>
      </c>
      <c r="R222" s="154">
        <f t="shared" si="1240"/>
        <v>8.3687776788646168E-2</v>
      </c>
      <c r="S222" s="154">
        <f t="shared" si="1240"/>
        <v>0</v>
      </c>
      <c r="T222" s="154">
        <f t="shared" si="1240"/>
        <v>0</v>
      </c>
      <c r="U222" s="154">
        <f t="shared" si="1240"/>
        <v>0</v>
      </c>
      <c r="V222" s="154">
        <f t="shared" si="1240"/>
        <v>0</v>
      </c>
      <c r="W222" s="154">
        <f t="shared" si="1240"/>
        <v>0</v>
      </c>
      <c r="X222" s="154">
        <f t="shared" si="1240"/>
        <v>0</v>
      </c>
      <c r="Y222" s="159">
        <f t="shared" si="1240"/>
        <v>0</v>
      </c>
    </row>
    <row r="223" spans="2:25" ht="15" customHeight="1" thickBot="1" x14ac:dyDescent="0.25">
      <c r="B223" s="255"/>
      <c r="C223" s="93">
        <f>E223/SUM(E221:E223)</f>
        <v>0</v>
      </c>
      <c r="D223" s="75" t="s">
        <v>2</v>
      </c>
      <c r="E223" s="155">
        <f>IF((E218+E219+E220)=0,0,(E220*$B222)/(E218+E219+E220))</f>
        <v>0</v>
      </c>
      <c r="F223" s="155">
        <f>IF((F218+F219+F220)=0,0,(F220*$B222)/(F218+F219+F220))</f>
        <v>0</v>
      </c>
      <c r="G223" s="155">
        <f t="shared" ref="G223" si="1241">IF((G218+G219+G220)=0,0,(G220*$B222)/(G218+G219+G220))</f>
        <v>0</v>
      </c>
      <c r="H223" s="155">
        <f t="shared" ref="H223" si="1242">IF((H218+H219+H220)=0,0,(H220*$B222)/(H218+H219+H220))</f>
        <v>0</v>
      </c>
      <c r="I223" s="155">
        <f t="shared" ref="I223" si="1243">IF((I218+I219+I220)=0,0,(I220*$B222)/(I218+I219+I220))</f>
        <v>0</v>
      </c>
      <c r="J223" s="155">
        <f t="shared" ref="J223" si="1244">IF((J218+J219+J220)=0,0,(J220*$B222)/(J218+J219+J220))</f>
        <v>0</v>
      </c>
      <c r="K223" s="155">
        <f t="shared" ref="K223" si="1245">IF((K218+K219+K220)=0,0,(K220*$B222)/(K218+K219+K220))</f>
        <v>0</v>
      </c>
      <c r="L223" s="155">
        <f t="shared" ref="L223" si="1246">IF((L218+L219+L220)=0,0,(L220*$B222)/(L218+L219+L220))</f>
        <v>0</v>
      </c>
      <c r="M223" s="155">
        <f t="shared" ref="M223" si="1247">IF((M218+M219+M220)=0,0,(M220*$B222)/(M218+M219+M220))</f>
        <v>0</v>
      </c>
      <c r="N223" s="155">
        <f t="shared" ref="N223" si="1248">IF((N218+N219+N220)=0,0,(N220*$B222)/(N218+N219+N220))</f>
        <v>0</v>
      </c>
      <c r="O223" s="155">
        <f t="shared" ref="O223" si="1249">IF((O218+O219+O220)=0,0,(O220*$B222)/(O218+O219+O220))</f>
        <v>0</v>
      </c>
      <c r="P223" s="155">
        <f t="shared" ref="P223" si="1250">IF((P218+P219+P220)=0,0,(P220*$B222)/(P218+P219+P220))</f>
        <v>0</v>
      </c>
      <c r="Q223" s="155">
        <f t="shared" ref="Q223" si="1251">IF((Q218+Q219+Q220)=0,0,(Q220*$B222)/(Q218+Q219+Q220))</f>
        <v>0</v>
      </c>
      <c r="R223" s="155">
        <f t="shared" ref="R223" si="1252">IF((R218+R219+R220)=0,0,(R220*$B222)/(R218+R219+R220))</f>
        <v>0</v>
      </c>
      <c r="S223" s="155">
        <f t="shared" ref="S223" si="1253">IF((S218+S219+S220)=0,0,(S220*$B222)/(S218+S219+S220))</f>
        <v>0</v>
      </c>
      <c r="T223" s="155">
        <f t="shared" ref="T223" si="1254">IF((T218+T219+T220)=0,0,(T220*$B222)/(T218+T219+T220))</f>
        <v>0</v>
      </c>
      <c r="U223" s="155">
        <f t="shared" ref="U223" si="1255">IF((U218+U219+U220)=0,0,(U220*$B222)/(U218+U219+U220))</f>
        <v>0</v>
      </c>
      <c r="V223" s="155">
        <f t="shared" ref="V223" si="1256">IF((V218+V219+V220)=0,0,(V220*$B222)/(V218+V219+V220))</f>
        <v>0</v>
      </c>
      <c r="W223" s="155">
        <f t="shared" ref="W223" si="1257">IF((W218+W219+W220)=0,0,(W220*$B222)/(W218+W219+W220))</f>
        <v>0</v>
      </c>
      <c r="X223" s="155">
        <f t="shared" ref="X223" si="1258">IF((X218+X219+X220)=0,0,(X220*$B222)/(X218+X219+X220))</f>
        <v>0</v>
      </c>
      <c r="Y223" s="160">
        <f t="shared" ref="Y223" si="1259">IF((Y218+Y219+Y220)=0,0,(Y220*$B222)/(Y218+Y219+Y220))</f>
        <v>0</v>
      </c>
    </row>
    <row r="224" spans="2:25" ht="15" customHeight="1" x14ac:dyDescent="0.2">
      <c r="B224" s="249" t="s">
        <v>64</v>
      </c>
      <c r="C224" s="91">
        <f>E224/SUM(E224:E226)</f>
        <v>0.46153846153846156</v>
      </c>
      <c r="D224" s="67" t="s">
        <v>0</v>
      </c>
      <c r="E224" s="68">
        <f t="shared" si="1131"/>
        <v>144</v>
      </c>
      <c r="F224" s="68">
        <f>SUMIFS([0]!Chavez,[0]!Centro,B226,[0]!Turno,F$199)</f>
        <v>16</v>
      </c>
      <c r="G224" s="68">
        <f>SUMIFS([0]!Chavez,[0]!Centro,B226,[0]!Turno,G$199)</f>
        <v>11</v>
      </c>
      <c r="H224" s="68">
        <f>SUMIFS([0]!Chavez,[0]!Centro,B226,[0]!Turno,H$199)</f>
        <v>0</v>
      </c>
      <c r="I224" s="68">
        <f>SUMIFS([0]!Chavez,[0]!Centro,B226,[0]!Turno,I$199)</f>
        <v>21</v>
      </c>
      <c r="J224" s="68">
        <f>SUMIFS([0]!Chavez,[0]!Centro,B226,[0]!Turno,J$199)</f>
        <v>0</v>
      </c>
      <c r="K224" s="68">
        <f>SUMIFS([0]!Chavez,[0]!Centro,B226,[0]!Turno,K$199)</f>
        <v>27</v>
      </c>
      <c r="L224" s="68">
        <f>SUMIFS([0]!Chavez,[0]!Centro,B226,[0]!Turno,L$199)</f>
        <v>18</v>
      </c>
      <c r="M224" s="68">
        <f>SUMIFS([0]!Chavez,[0]!Centro,B226,[0]!Turno,M$199)</f>
        <v>10</v>
      </c>
      <c r="N224" s="68">
        <f>SUMIFS([0]!Chavez,[0]!Centro,B226,[0]!Turno,N$199)</f>
        <v>9</v>
      </c>
      <c r="O224" s="68">
        <f>SUMIFS([0]!Chavez,[0]!Centro,B226,[0]!Turno,O$199)</f>
        <v>17</v>
      </c>
      <c r="P224" s="68">
        <f>SUMIFS([0]!Chavez,[0]!Centro,B226,[0]!Turno,P$199)</f>
        <v>0</v>
      </c>
      <c r="Q224" s="68">
        <f>SUMIFS([0]!Chavez,[0]!Centro,B226,[0]!Turno,Q$199)</f>
        <v>0</v>
      </c>
      <c r="R224" s="68">
        <f>SUMIFS([0]!Chavez,[0]!Centro,B226,[0]!Turno,R$199)</f>
        <v>15</v>
      </c>
      <c r="S224" s="68">
        <f>SUMIFS([0]!Chavez,[0]!Centro,B226,[0]!Turno,S$199)</f>
        <v>0</v>
      </c>
      <c r="T224" s="68">
        <f>SUMIFS([0]!Chavez,[0]!Centro,B226,[0]!Turno,T$199)</f>
        <v>0</v>
      </c>
      <c r="U224" s="68">
        <f>SUMIFS([0]!Chavez,[0]!Centro,B226,[0]!Turno,U$199)</f>
        <v>0</v>
      </c>
      <c r="V224" s="68">
        <f>SUMIFS([0]!Chavez,[0]!Centro,B226,[0]!Turno,V$199)</f>
        <v>0</v>
      </c>
      <c r="W224" s="68">
        <f>SUMIFS([0]!Chavez,[0]!Centro,B226,[0]!Turno,W$199)</f>
        <v>0</v>
      </c>
      <c r="X224" s="68">
        <f>SUMIFS([0]!Chavez,[0]!Centro,B226,[0]!Turno,X$199)</f>
        <v>0</v>
      </c>
      <c r="Y224" s="69">
        <f>SUMIFS([0]!Chavez,[0]!Centro,B226,[0]!Turno,Y$199)</f>
        <v>0</v>
      </c>
    </row>
    <row r="225" spans="2:25" ht="15" customHeight="1" x14ac:dyDescent="0.2">
      <c r="B225" s="250"/>
      <c r="C225" s="92">
        <f>E225/SUM(E224:E226)</f>
        <v>0.52243589743589747</v>
      </c>
      <c r="D225" s="61" t="s">
        <v>1</v>
      </c>
      <c r="E225" s="62">
        <f t="shared" si="1131"/>
        <v>163</v>
      </c>
      <c r="F225" s="62">
        <f>SUMIFS([0]!Capriles,[0]!Centro,B226,[0]!Turno,F$199)</f>
        <v>15</v>
      </c>
      <c r="G225" s="62">
        <f>SUMIFS([0]!Capriles,[0]!Centro,B226,[0]!Turno,G$199)</f>
        <v>17</v>
      </c>
      <c r="H225" s="62">
        <f>SUMIFS([0]!Capriles,[0]!Centro,B226,[0]!Turno,H$199)</f>
        <v>0</v>
      </c>
      <c r="I225" s="62">
        <f>SUMIFS([0]!Capriles,[0]!Centro,B226,[0]!Turno,I$199)</f>
        <v>19</v>
      </c>
      <c r="J225" s="62">
        <f>SUMIFS([0]!Capriles,[0]!Centro,B226,[0]!Turno,J$199)</f>
        <v>0</v>
      </c>
      <c r="K225" s="62">
        <f>SUMIFS([0]!Capriles,[0]!Centro,B226,[0]!Turno,K$199)</f>
        <v>28</v>
      </c>
      <c r="L225" s="62">
        <f>SUMIFS([0]!Capriles,[0]!Centro,B226,[0]!Turno,L$199)</f>
        <v>16</v>
      </c>
      <c r="M225" s="62">
        <f>SUMIFS([0]!Capriles,[0]!Centro,B226,[0]!Turno,M$199)</f>
        <v>18</v>
      </c>
      <c r="N225" s="62">
        <f>SUMIFS([0]!Capriles,[0]!Centro,B226,[0]!Turno,N$199)</f>
        <v>16</v>
      </c>
      <c r="O225" s="62">
        <f>SUMIFS([0]!Capriles,[0]!Centro,B226,[0]!Turno,O$199)</f>
        <v>14</v>
      </c>
      <c r="P225" s="62">
        <f>SUMIFS([0]!Capriles,[0]!Centro,B226,[0]!Turno,P$199)</f>
        <v>0</v>
      </c>
      <c r="Q225" s="62">
        <f>SUMIFS([0]!Capriles,[0]!Centro,B226,[0]!Turno,Q$199)</f>
        <v>0</v>
      </c>
      <c r="R225" s="62">
        <f>SUMIFS([0]!Capriles,[0]!Centro,B226,[0]!Turno,R$199)</f>
        <v>20</v>
      </c>
      <c r="S225" s="62">
        <f>SUMIFS([0]!Capriles,[0]!Centro,B226,[0]!Turno,S$199)</f>
        <v>0</v>
      </c>
      <c r="T225" s="62">
        <f>SUMIFS([0]!Capriles,[0]!Centro,B226,[0]!Turno,T$199)</f>
        <v>0</v>
      </c>
      <c r="U225" s="62">
        <f>SUMIFS([0]!Capriles,[0]!Centro,B226,[0]!Turno,U$199)</f>
        <v>0</v>
      </c>
      <c r="V225" s="62">
        <f>SUMIFS([0]!Capriles,[0]!Centro,B226,[0]!Turno,V$199)</f>
        <v>0</v>
      </c>
      <c r="W225" s="62">
        <f>SUMIFS([0]!Capriles,[0]!Centro,B226,[0]!Turno,W$199)</f>
        <v>0</v>
      </c>
      <c r="X225" s="62">
        <f>SUMIFS([0]!Capriles,[0]!Centro,B226,[0]!Turno,X$199)</f>
        <v>0</v>
      </c>
      <c r="Y225" s="70">
        <f>SUMIFS([0]!Capriles,[0]!Centro,B226,[0]!Turno,Y$199)</f>
        <v>0</v>
      </c>
    </row>
    <row r="226" spans="2:25" ht="15" customHeight="1" thickBot="1" x14ac:dyDescent="0.25">
      <c r="B226" s="261">
        <v>49</v>
      </c>
      <c r="C226" s="100">
        <f>E226/SUM(E224:E226)</f>
        <v>1.6025641025641024E-2</v>
      </c>
      <c r="D226" s="71" t="s">
        <v>2</v>
      </c>
      <c r="E226" s="72">
        <f t="shared" si="1131"/>
        <v>5</v>
      </c>
      <c r="F226" s="72">
        <f>SUMIFS([0]!Otro,[0]!Centro,B226,[0]!Turno,F$199)</f>
        <v>0</v>
      </c>
      <c r="G226" s="72">
        <f>SUMIFS([0]!Otro,[0]!Centro,B226,[0]!Turno,G$199)</f>
        <v>2</v>
      </c>
      <c r="H226" s="72">
        <f>SUMIFS([0]!Otro,[0]!Centro,B226,[0]!Turno,H$199)</f>
        <v>0</v>
      </c>
      <c r="I226" s="72">
        <f>SUMIFS([0]!Otro,[0]!Centro,B226,[0]!Turno,I$199)</f>
        <v>0</v>
      </c>
      <c r="J226" s="72">
        <f>SUMIFS([0]!Otro,[0]!Centro,B226,[0]!Turno,J$199)</f>
        <v>0</v>
      </c>
      <c r="K226" s="72">
        <f>SUMIFS([0]!Otro,[0]!Centro,B226,[0]!Turno,K$199)</f>
        <v>2</v>
      </c>
      <c r="L226" s="72">
        <f>SUMIFS([0]!Otro,[0]!Centro,B226,[0]!Turno,L$199)</f>
        <v>0</v>
      </c>
      <c r="M226" s="72">
        <f>SUMIFS([0]!Otro,[0]!Centro,B226,[0]!Turno,M$199)</f>
        <v>0</v>
      </c>
      <c r="N226" s="72">
        <f>SUMIFS([0]!Otro,[0]!Centro,B226,[0]!Turno,N$199)</f>
        <v>1</v>
      </c>
      <c r="O226" s="72">
        <f>SUMIFS([0]!Otro,[0]!Centro,B226,[0]!Turno,O$199)</f>
        <v>0</v>
      </c>
      <c r="P226" s="72">
        <f>SUMIFS([0]!Otro,[0]!Centro,B226,[0]!Turno,P$199)</f>
        <v>0</v>
      </c>
      <c r="Q226" s="72">
        <f>SUMIFS([0]!Otro,[0]!Centro,B226,[0]!Turno,Q$199)</f>
        <v>0</v>
      </c>
      <c r="R226" s="72">
        <f>SUMIFS([0]!Otro,[0]!Centro,B226,[0]!Turno,R$199)</f>
        <v>0</v>
      </c>
      <c r="S226" s="72">
        <f>SUMIFS([0]!Otro,[0]!Centro,B226,[0]!Turno,S$199)</f>
        <v>0</v>
      </c>
      <c r="T226" s="72">
        <f>SUMIFS([0]!Otro,[0]!Centro,B226,[0]!Turno,T$199)</f>
        <v>0</v>
      </c>
      <c r="U226" s="72">
        <f>SUMIFS([0]!Otro,[0]!Centro,B226,[0]!Turno,U$199)</f>
        <v>0</v>
      </c>
      <c r="V226" s="72">
        <f>SUMIFS([0]!Otro,[0]!Centro,B226,[0]!Turno,V$199)</f>
        <v>0</v>
      </c>
      <c r="W226" s="72">
        <f>SUMIFS([0]!Otro,[0]!Centro,B226,[0]!Turno,W$199)</f>
        <v>0</v>
      </c>
      <c r="X226" s="72">
        <f>SUMIFS([0]!Otro,[0]!Centro,B226,[0]!Turno,X$199)</f>
        <v>0</v>
      </c>
      <c r="Y226" s="73">
        <f>SUMIFS([0]!Otro,[0]!Centro,B226,[0]!Turno,Y$199)</f>
        <v>0</v>
      </c>
    </row>
    <row r="227" spans="2:25" ht="15" customHeight="1" x14ac:dyDescent="0.2">
      <c r="B227" s="261"/>
      <c r="C227" s="94">
        <f>E227/SUM(E227:E229)</f>
        <v>0.46153846153846156</v>
      </c>
      <c r="D227" s="63" t="s">
        <v>0</v>
      </c>
      <c r="E227" s="150">
        <f>IF((E224+E225+E226)=0,0,(E224*$B228)/(E224+E225+E226))</f>
        <v>4.1313474165656679E-2</v>
      </c>
      <c r="F227" s="150">
        <f>IF((F224+F225+F226)=0,0,(F224*$B228)/(F224+F225+F226))</f>
        <v>4.6200014120734351E-2</v>
      </c>
      <c r="G227" s="150">
        <f t="shared" ref="G227" si="1260">IF((G224+G225+G226)=0,0,(G224*$B228)/(G224+G225+G226))</f>
        <v>3.2821260031605029E-2</v>
      </c>
      <c r="H227" s="150">
        <f t="shared" ref="H227" si="1261">IF((H224+H225+H226)=0,0,(H224*$B228)/(H224+H225+H226))</f>
        <v>0</v>
      </c>
      <c r="I227" s="150">
        <f t="shared" ref="I227" si="1262">IF((I224+I225+I226)=0,0,(I224*$B228)/(I224+I225+I226))</f>
        <v>4.6994076863434472E-2</v>
      </c>
      <c r="J227" s="150">
        <f t="shared" ref="J227" si="1263">IF((J224+J225+J226)=0,0,(J224*$B228)/(J224+J225+J226))</f>
        <v>0</v>
      </c>
      <c r="K227" s="150">
        <f t="shared" ref="K227" si="1264">IF((K224+K225+K226)=0,0,(K224*$B228)/(K224+K225+K226))</f>
        <v>4.2400670854226594E-2</v>
      </c>
      <c r="L227" s="150">
        <f t="shared" ref="L227" si="1265">IF((L224+L225+L226)=0,0,(L224*$B228)/(L224+L225+L226))</f>
        <v>4.7388985072370896E-2</v>
      </c>
      <c r="M227" s="150">
        <f t="shared" ref="M227" si="1266">IF((M224+M225+M226)=0,0,(M224*$B228)/(M224+M225+M226))</f>
        <v>3.196875977104386E-2</v>
      </c>
      <c r="N227" s="150">
        <f t="shared" ref="N227" si="1267">IF((N224+N225+N226)=0,0,(N224*$B228)/(N224+N225+N226))</f>
        <v>3.0985105624242507E-2</v>
      </c>
      <c r="O227" s="150">
        <f t="shared" ref="O227" si="1268">IF((O224+O225+O226)=0,0,(O224*$B228)/(O224+O225+O226))</f>
        <v>4.9087515003280249E-2</v>
      </c>
      <c r="P227" s="150">
        <f t="shared" ref="P227" si="1269">IF((P224+P225+P226)=0,0,(P224*$B228)/(P224+P225+P226))</f>
        <v>0</v>
      </c>
      <c r="Q227" s="150">
        <f t="shared" ref="Q227" si="1270">IF((Q224+Q225+Q226)=0,0,(Q224*$B228)/(Q224+Q225+Q226))</f>
        <v>0</v>
      </c>
      <c r="R227" s="150">
        <f t="shared" ref="R227" si="1271">IF((R224+R225+R226)=0,0,(R224*$B228)/(R224+R225+R226))</f>
        <v>3.8362511725252631E-2</v>
      </c>
      <c r="S227" s="150">
        <f t="shared" ref="S227" si="1272">IF((S224+S225+S226)=0,0,(S224*$B228)/(S224+S225+S226))</f>
        <v>0</v>
      </c>
      <c r="T227" s="150">
        <f t="shared" ref="T227" si="1273">IF((T224+T225+T226)=0,0,(T224*$B228)/(T224+T225+T226))</f>
        <v>0</v>
      </c>
      <c r="U227" s="150">
        <f t="shared" ref="U227" si="1274">IF((U224+U225+U226)=0,0,(U224*$B228)/(U224+U225+U226))</f>
        <v>0</v>
      </c>
      <c r="V227" s="150">
        <f t="shared" ref="V227" si="1275">IF((V224+V225+V226)=0,0,(V224*$B228)/(V224+V225+V226))</f>
        <v>0</v>
      </c>
      <c r="W227" s="150">
        <f t="shared" ref="W227" si="1276">IF((W224+W225+W226)=0,0,(W224*$B228)/(W224+W225+W226))</f>
        <v>0</v>
      </c>
      <c r="X227" s="150">
        <f t="shared" ref="X227" si="1277">IF((X224+X225+X226)=0,0,(X224*$B228)/(X224+X225+X226))</f>
        <v>0</v>
      </c>
      <c r="Y227" s="163">
        <f t="shared" ref="Y227" si="1278">IF((Y224+Y225+Y226)=0,0,(Y224*$B228)/(Y224+Y225+Y226))</f>
        <v>0</v>
      </c>
    </row>
    <row r="228" spans="2:25" ht="15" customHeight="1" x14ac:dyDescent="0.2">
      <c r="B228" s="254">
        <v>8.9512527358922803E-2</v>
      </c>
      <c r="C228" s="92">
        <f>E228/SUM(E227:E229)</f>
        <v>0.52243589743589747</v>
      </c>
      <c r="D228" s="61" t="s">
        <v>1</v>
      </c>
      <c r="E228" s="154">
        <f>IF((E224+E225+E226)=0,0,(E225*$B228)/(E224+E225+E226))</f>
        <v>4.6764557562514159E-2</v>
      </c>
      <c r="F228" s="154">
        <f>IF((F224+F225+F226)=0,0,(F225*$B228)/(F224+F225+F226))</f>
        <v>4.3312513238188452E-2</v>
      </c>
      <c r="G228" s="154">
        <f t="shared" ref="G228:O228" si="1279">IF((G224+G225+G226)=0,0,(G225*$B228)/(G224+G225+G226))</f>
        <v>5.0723765503389591E-2</v>
      </c>
      <c r="H228" s="154">
        <f t="shared" si="1279"/>
        <v>0</v>
      </c>
      <c r="I228" s="154">
        <f t="shared" si="1279"/>
        <v>4.251845049548833E-2</v>
      </c>
      <c r="J228" s="154">
        <f t="shared" si="1279"/>
        <v>0</v>
      </c>
      <c r="K228" s="154">
        <f t="shared" si="1279"/>
        <v>4.3971066071049801E-2</v>
      </c>
      <c r="L228" s="154">
        <f t="shared" si="1279"/>
        <v>4.2123542286551907E-2</v>
      </c>
      <c r="M228" s="154">
        <f t="shared" si="1279"/>
        <v>5.7543767587878943E-2</v>
      </c>
      <c r="N228" s="154">
        <f t="shared" si="1279"/>
        <v>5.5084632220875569E-2</v>
      </c>
      <c r="O228" s="154">
        <f t="shared" si="1279"/>
        <v>4.042501235564256E-2</v>
      </c>
      <c r="P228" s="154">
        <f>IF((P224+P225+P226)=0,0,(P225*$B228)/(P224+P225+P226))</f>
        <v>0</v>
      </c>
      <c r="Q228" s="154">
        <f t="shared" ref="Q228:Y228" si="1280">IF((Q224+Q225+Q226)=0,0,(Q225*$B228)/(Q224+Q225+Q226))</f>
        <v>0</v>
      </c>
      <c r="R228" s="154">
        <f t="shared" si="1280"/>
        <v>5.1150015633670172E-2</v>
      </c>
      <c r="S228" s="154">
        <f t="shared" si="1280"/>
        <v>0</v>
      </c>
      <c r="T228" s="154">
        <f t="shared" si="1280"/>
        <v>0</v>
      </c>
      <c r="U228" s="154">
        <f t="shared" si="1280"/>
        <v>0</v>
      </c>
      <c r="V228" s="154">
        <f t="shared" si="1280"/>
        <v>0</v>
      </c>
      <c r="W228" s="154">
        <f t="shared" si="1280"/>
        <v>0</v>
      </c>
      <c r="X228" s="154">
        <f t="shared" si="1280"/>
        <v>0</v>
      </c>
      <c r="Y228" s="159">
        <f t="shared" si="1280"/>
        <v>0</v>
      </c>
    </row>
    <row r="229" spans="2:25" ht="15" customHeight="1" thickBot="1" x14ac:dyDescent="0.25">
      <c r="B229" s="255"/>
      <c r="C229" s="93">
        <f>E229/SUM(E227:E229)</f>
        <v>1.6025641025641024E-2</v>
      </c>
      <c r="D229" s="75" t="s">
        <v>2</v>
      </c>
      <c r="E229" s="155">
        <f>IF((E224+E225+E226)=0,0,(E226*$B228)/(E224+E225+E226))</f>
        <v>1.4344956307519678E-3</v>
      </c>
      <c r="F229" s="155">
        <f>IF((F224+F225+F226)=0,0,(F226*$B228)/(F224+F225+F226))</f>
        <v>0</v>
      </c>
      <c r="G229" s="155">
        <f t="shared" ref="G229" si="1281">IF((G224+G225+G226)=0,0,(G226*$B228)/(G224+G225+G226))</f>
        <v>5.967501823928187E-3</v>
      </c>
      <c r="H229" s="155">
        <f t="shared" ref="H229" si="1282">IF((H224+H225+H226)=0,0,(H226*$B228)/(H224+H225+H226))</f>
        <v>0</v>
      </c>
      <c r="I229" s="155">
        <f t="shared" ref="I229" si="1283">IF((I224+I225+I226)=0,0,(I226*$B228)/(I224+I225+I226))</f>
        <v>0</v>
      </c>
      <c r="J229" s="155">
        <f t="shared" ref="J229" si="1284">IF((J224+J225+J226)=0,0,(J226*$B228)/(J224+J225+J226))</f>
        <v>0</v>
      </c>
      <c r="K229" s="155">
        <f t="shared" ref="K229" si="1285">IF((K224+K225+K226)=0,0,(K226*$B228)/(K224+K225+K226))</f>
        <v>3.140790433646414E-3</v>
      </c>
      <c r="L229" s="155">
        <f t="shared" ref="L229" si="1286">IF((L224+L225+L226)=0,0,(L226*$B228)/(L224+L225+L226))</f>
        <v>0</v>
      </c>
      <c r="M229" s="155">
        <f t="shared" ref="M229" si="1287">IF((M224+M225+M226)=0,0,(M226*$B228)/(M224+M225+M226))</f>
        <v>0</v>
      </c>
      <c r="N229" s="155">
        <f t="shared" ref="N229" si="1288">IF((N224+N225+N226)=0,0,(N226*$B228)/(N224+N225+N226))</f>
        <v>3.4427895138047231E-3</v>
      </c>
      <c r="O229" s="155">
        <f t="shared" ref="O229" si="1289">IF((O224+O225+O226)=0,0,(O226*$B228)/(O224+O225+O226))</f>
        <v>0</v>
      </c>
      <c r="P229" s="155">
        <f t="shared" ref="P229" si="1290">IF((P224+P225+P226)=0,0,(P226*$B228)/(P224+P225+P226))</f>
        <v>0</v>
      </c>
      <c r="Q229" s="155">
        <f t="shared" ref="Q229" si="1291">IF((Q224+Q225+Q226)=0,0,(Q226*$B228)/(Q224+Q225+Q226))</f>
        <v>0</v>
      </c>
      <c r="R229" s="155">
        <f t="shared" ref="R229" si="1292">IF((R224+R225+R226)=0,0,(R226*$B228)/(R224+R225+R226))</f>
        <v>0</v>
      </c>
      <c r="S229" s="155">
        <f t="shared" ref="S229" si="1293">IF((S224+S225+S226)=0,0,(S226*$B228)/(S224+S225+S226))</f>
        <v>0</v>
      </c>
      <c r="T229" s="155">
        <f t="shared" ref="T229" si="1294">IF((T224+T225+T226)=0,0,(T226*$B228)/(T224+T225+T226))</f>
        <v>0</v>
      </c>
      <c r="U229" s="155">
        <f t="shared" ref="U229" si="1295">IF((U224+U225+U226)=0,0,(U226*$B228)/(U224+U225+U226))</f>
        <v>0</v>
      </c>
      <c r="V229" s="155">
        <f t="shared" ref="V229" si="1296">IF((V224+V225+V226)=0,0,(V226*$B228)/(V224+V225+V226))</f>
        <v>0</v>
      </c>
      <c r="W229" s="155">
        <f t="shared" ref="W229" si="1297">IF((W224+W225+W226)=0,0,(W226*$B228)/(W224+W225+W226))</f>
        <v>0</v>
      </c>
      <c r="X229" s="155">
        <f t="shared" ref="X229" si="1298">IF((X224+X225+X226)=0,0,(X226*$B228)/(X224+X225+X226))</f>
        <v>0</v>
      </c>
      <c r="Y229" s="160">
        <f t="shared" ref="Y229" si="1299">IF((Y224+Y225+Y226)=0,0,(Y226*$B228)/(Y224+Y225+Y226))</f>
        <v>0</v>
      </c>
    </row>
    <row r="230" spans="2:25" ht="15" customHeight="1" thickBot="1" x14ac:dyDescent="0.25">
      <c r="B230" s="13" t="s">
        <v>3</v>
      </c>
      <c r="C230" s="17" t="s">
        <v>226</v>
      </c>
      <c r="D230" s="21" t="s">
        <v>4</v>
      </c>
      <c r="E230" s="13" t="s">
        <v>225</v>
      </c>
      <c r="F230" s="14">
        <v>1</v>
      </c>
      <c r="G230" s="14">
        <v>2</v>
      </c>
      <c r="H230" s="14">
        <v>3</v>
      </c>
      <c r="I230" s="14">
        <v>4</v>
      </c>
      <c r="J230" s="14">
        <v>5</v>
      </c>
      <c r="K230" s="14">
        <v>6</v>
      </c>
      <c r="L230" s="14">
        <v>7</v>
      </c>
      <c r="M230" s="14">
        <v>8</v>
      </c>
      <c r="N230" s="14">
        <v>9</v>
      </c>
      <c r="O230" s="14">
        <v>10</v>
      </c>
      <c r="P230" s="14">
        <v>11</v>
      </c>
      <c r="Q230" s="14">
        <v>12</v>
      </c>
      <c r="R230" s="14">
        <v>13</v>
      </c>
      <c r="S230" s="14">
        <v>14</v>
      </c>
      <c r="T230" s="14">
        <v>15</v>
      </c>
      <c r="U230" s="14">
        <v>16</v>
      </c>
      <c r="V230" s="14">
        <v>17</v>
      </c>
      <c r="W230" s="14">
        <v>18</v>
      </c>
      <c r="X230" s="14">
        <v>19</v>
      </c>
      <c r="Y230" s="14">
        <v>20</v>
      </c>
    </row>
    <row r="231" spans="2:25" ht="15" customHeight="1" x14ac:dyDescent="0.2">
      <c r="B231" s="262" t="s">
        <v>65</v>
      </c>
      <c r="C231" s="95">
        <f>E231/SUM(E231:E233)</f>
        <v>0.53570184604667359</v>
      </c>
      <c r="D231" s="81" t="s">
        <v>0</v>
      </c>
      <c r="E231" s="82">
        <f>SUM(F231:Y231)</f>
        <v>1538</v>
      </c>
      <c r="F231" s="82">
        <f t="shared" ref="F231:Y231" si="1300">SUM(F237,F243,F249,F255,F261,F267,F273,F279,F285,F291,F297,F303)</f>
        <v>61</v>
      </c>
      <c r="G231" s="82">
        <f t="shared" si="1300"/>
        <v>142</v>
      </c>
      <c r="H231" s="82">
        <f t="shared" si="1300"/>
        <v>140</v>
      </c>
      <c r="I231" s="82">
        <f t="shared" si="1300"/>
        <v>120</v>
      </c>
      <c r="J231" s="82">
        <f t="shared" si="1300"/>
        <v>172</v>
      </c>
      <c r="K231" s="82">
        <f t="shared" si="1300"/>
        <v>143</v>
      </c>
      <c r="L231" s="82">
        <f t="shared" si="1300"/>
        <v>219</v>
      </c>
      <c r="M231" s="82">
        <f t="shared" si="1300"/>
        <v>147</v>
      </c>
      <c r="N231" s="82">
        <f t="shared" si="1300"/>
        <v>150</v>
      </c>
      <c r="O231" s="82">
        <f t="shared" si="1300"/>
        <v>104</v>
      </c>
      <c r="P231" s="82">
        <f t="shared" si="1300"/>
        <v>14</v>
      </c>
      <c r="Q231" s="82">
        <f t="shared" si="1300"/>
        <v>44</v>
      </c>
      <c r="R231" s="82">
        <f t="shared" si="1300"/>
        <v>82</v>
      </c>
      <c r="S231" s="82">
        <f t="shared" si="1300"/>
        <v>0</v>
      </c>
      <c r="T231" s="82">
        <f t="shared" si="1300"/>
        <v>0</v>
      </c>
      <c r="U231" s="82">
        <f t="shared" si="1300"/>
        <v>0</v>
      </c>
      <c r="V231" s="82">
        <f t="shared" si="1300"/>
        <v>0</v>
      </c>
      <c r="W231" s="82">
        <f t="shared" si="1300"/>
        <v>0</v>
      </c>
      <c r="X231" s="82">
        <f t="shared" si="1300"/>
        <v>0</v>
      </c>
      <c r="Y231" s="83">
        <f t="shared" si="1300"/>
        <v>0</v>
      </c>
    </row>
    <row r="232" spans="2:25" ht="15" customHeight="1" x14ac:dyDescent="0.2">
      <c r="B232" s="263" t="s">
        <v>65</v>
      </c>
      <c r="C232" s="96">
        <f>E232/SUM(E231:E233)</f>
        <v>0.45001741553465691</v>
      </c>
      <c r="D232" s="79" t="s">
        <v>1</v>
      </c>
      <c r="E232" s="80">
        <f t="shared" ref="E232:E293" si="1301">SUM(F232:Y232)</f>
        <v>1292</v>
      </c>
      <c r="F232" s="80">
        <f t="shared" ref="F232:Y232" si="1302">SUM(F238,F244,F250,F256,F262,F268,F274,F280,F286,F292,F298,F304)</f>
        <v>41</v>
      </c>
      <c r="G232" s="80">
        <f t="shared" si="1302"/>
        <v>106</v>
      </c>
      <c r="H232" s="80">
        <f t="shared" si="1302"/>
        <v>144</v>
      </c>
      <c r="I232" s="80">
        <f t="shared" si="1302"/>
        <v>102</v>
      </c>
      <c r="J232" s="80">
        <f t="shared" si="1302"/>
        <v>129</v>
      </c>
      <c r="K232" s="80">
        <f t="shared" si="1302"/>
        <v>174</v>
      </c>
      <c r="L232" s="80">
        <f t="shared" si="1302"/>
        <v>171</v>
      </c>
      <c r="M232" s="80">
        <f t="shared" si="1302"/>
        <v>139</v>
      </c>
      <c r="N232" s="80">
        <f t="shared" si="1302"/>
        <v>104</v>
      </c>
      <c r="O232" s="80">
        <f t="shared" si="1302"/>
        <v>53</v>
      </c>
      <c r="P232" s="80">
        <f t="shared" si="1302"/>
        <v>5</v>
      </c>
      <c r="Q232" s="80">
        <f t="shared" si="1302"/>
        <v>54</v>
      </c>
      <c r="R232" s="80">
        <f t="shared" si="1302"/>
        <v>70</v>
      </c>
      <c r="S232" s="80">
        <f t="shared" si="1302"/>
        <v>0</v>
      </c>
      <c r="T232" s="80">
        <f t="shared" si="1302"/>
        <v>0</v>
      </c>
      <c r="U232" s="80">
        <f t="shared" si="1302"/>
        <v>0</v>
      </c>
      <c r="V232" s="80">
        <f t="shared" si="1302"/>
        <v>0</v>
      </c>
      <c r="W232" s="80">
        <f t="shared" si="1302"/>
        <v>0</v>
      </c>
      <c r="X232" s="80">
        <f t="shared" si="1302"/>
        <v>0</v>
      </c>
      <c r="Y232" s="84">
        <f t="shared" si="1302"/>
        <v>0</v>
      </c>
    </row>
    <row r="233" spans="2:25" ht="15" customHeight="1" thickBot="1" x14ac:dyDescent="0.25">
      <c r="B233" s="263"/>
      <c r="C233" s="97">
        <f>E233/SUM(E231:E233)</f>
        <v>1.4280738418669453E-2</v>
      </c>
      <c r="D233" s="86" t="s">
        <v>2</v>
      </c>
      <c r="E233" s="87">
        <f t="shared" si="1301"/>
        <v>41</v>
      </c>
      <c r="F233" s="87">
        <f t="shared" ref="F233:Y233" si="1303">SUM(F239,F245,F251,F257,F263,F269,F275,F281,F287,F293,F299,F305)</f>
        <v>1</v>
      </c>
      <c r="G233" s="87">
        <f t="shared" si="1303"/>
        <v>7</v>
      </c>
      <c r="H233" s="87">
        <f t="shared" si="1303"/>
        <v>3</v>
      </c>
      <c r="I233" s="87">
        <f t="shared" si="1303"/>
        <v>1</v>
      </c>
      <c r="J233" s="87">
        <f t="shared" si="1303"/>
        <v>5</v>
      </c>
      <c r="K233" s="87">
        <f t="shared" si="1303"/>
        <v>5</v>
      </c>
      <c r="L233" s="87">
        <f t="shared" si="1303"/>
        <v>6</v>
      </c>
      <c r="M233" s="87">
        <f t="shared" si="1303"/>
        <v>5</v>
      </c>
      <c r="N233" s="87">
        <f t="shared" si="1303"/>
        <v>8</v>
      </c>
      <c r="O233" s="87">
        <f t="shared" si="1303"/>
        <v>0</v>
      </c>
      <c r="P233" s="87">
        <f t="shared" si="1303"/>
        <v>0</v>
      </c>
      <c r="Q233" s="87">
        <f t="shared" si="1303"/>
        <v>0</v>
      </c>
      <c r="R233" s="87">
        <f t="shared" si="1303"/>
        <v>0</v>
      </c>
      <c r="S233" s="87">
        <f t="shared" si="1303"/>
        <v>0</v>
      </c>
      <c r="T233" s="87">
        <f t="shared" si="1303"/>
        <v>0</v>
      </c>
      <c r="U233" s="87">
        <f t="shared" si="1303"/>
        <v>0</v>
      </c>
      <c r="V233" s="87">
        <f t="shared" si="1303"/>
        <v>0</v>
      </c>
      <c r="W233" s="87">
        <f t="shared" si="1303"/>
        <v>0</v>
      </c>
      <c r="X233" s="87">
        <f t="shared" si="1303"/>
        <v>0</v>
      </c>
      <c r="Y233" s="88">
        <f t="shared" si="1303"/>
        <v>0</v>
      </c>
    </row>
    <row r="234" spans="2:25" ht="15" customHeight="1" x14ac:dyDescent="0.2">
      <c r="B234" s="263"/>
      <c r="C234" s="98">
        <f>E234/SUM(E234:E236)</f>
        <v>0.55763915639922768</v>
      </c>
      <c r="D234" s="85" t="s">
        <v>0</v>
      </c>
      <c r="E234" s="151">
        <f t="shared" ref="E234" si="1304">SUM(E240,E246,E252,E258,E264,E270,E276,E282,E288,E294,E300,E306)</f>
        <v>0.55763915639922768</v>
      </c>
      <c r="F234" s="151">
        <f t="shared" ref="F234:Y234" si="1305">SUM(F240,F246,F252,F258,F264,F270,F276,F282,F288,F294,F300,F306)</f>
        <v>0.18344000223268614</v>
      </c>
      <c r="G234" s="151">
        <f t="shared" si="1305"/>
        <v>0.43435945826090649</v>
      </c>
      <c r="H234" s="151">
        <f t="shared" si="1305"/>
        <v>0.50598705664484422</v>
      </c>
      <c r="I234" s="151">
        <f t="shared" si="1305"/>
        <v>0.32235789984380475</v>
      </c>
      <c r="J234" s="151">
        <f t="shared" si="1305"/>
        <v>0.59712725113578291</v>
      </c>
      <c r="K234" s="151">
        <f t="shared" si="1305"/>
        <v>0.44463613132576241</v>
      </c>
      <c r="L234" s="151">
        <f t="shared" si="1305"/>
        <v>0.5504123657549167</v>
      </c>
      <c r="M234" s="151">
        <f t="shared" si="1305"/>
        <v>0.42081704082416022</v>
      </c>
      <c r="N234" s="151">
        <f t="shared" si="1305"/>
        <v>0.57576812740861394</v>
      </c>
      <c r="O234" s="151">
        <f t="shared" si="1305"/>
        <v>0.49834566450060819</v>
      </c>
      <c r="P234" s="151">
        <f t="shared" si="1305"/>
        <v>4.8107637690200274E-2</v>
      </c>
      <c r="Q234" s="151">
        <f t="shared" si="1305"/>
        <v>0.35742122012987659</v>
      </c>
      <c r="R234" s="151">
        <f t="shared" si="1305"/>
        <v>0.19398235940015807</v>
      </c>
      <c r="S234" s="151">
        <f t="shared" si="1305"/>
        <v>0</v>
      </c>
      <c r="T234" s="151">
        <f t="shared" si="1305"/>
        <v>0</v>
      </c>
      <c r="U234" s="151">
        <f t="shared" si="1305"/>
        <v>0</v>
      </c>
      <c r="V234" s="151">
        <f t="shared" si="1305"/>
        <v>0</v>
      </c>
      <c r="W234" s="151">
        <f t="shared" si="1305"/>
        <v>0</v>
      </c>
      <c r="X234" s="151">
        <f t="shared" si="1305"/>
        <v>0</v>
      </c>
      <c r="Y234" s="156">
        <f t="shared" si="1305"/>
        <v>0</v>
      </c>
    </row>
    <row r="235" spans="2:25" ht="15" customHeight="1" x14ac:dyDescent="0.2">
      <c r="B235" s="263" t="s">
        <v>65</v>
      </c>
      <c r="C235" s="96">
        <f>E235/SUM(E234:E236)</f>
        <v>0.42292752974005343</v>
      </c>
      <c r="D235" s="79" t="s">
        <v>1</v>
      </c>
      <c r="E235" s="152">
        <f t="shared" ref="E235" si="1306">SUM(E241,E247,E253,E259,E265,E271,E277,E283,E289,E295,E301,E307)</f>
        <v>0.42292752974005343</v>
      </c>
      <c r="F235" s="152">
        <f t="shared" ref="F235:Y235" si="1307">SUM(F241,F247,F253,F259,F265,F271,F277,F283,F289,F295,F301,F307)</f>
        <v>9.2403543720387352E-2</v>
      </c>
      <c r="G235" s="152">
        <f t="shared" si="1307"/>
        <v>0.30796706005425784</v>
      </c>
      <c r="H235" s="152">
        <f t="shared" si="1307"/>
        <v>0.45331401074818467</v>
      </c>
      <c r="I235" s="152">
        <f t="shared" si="1307"/>
        <v>0.4160798631837872</v>
      </c>
      <c r="J235" s="152">
        <f t="shared" si="1307"/>
        <v>0.32136011665431752</v>
      </c>
      <c r="K235" s="152">
        <f t="shared" si="1307"/>
        <v>0.43973302393760522</v>
      </c>
      <c r="L235" s="152">
        <f t="shared" si="1307"/>
        <v>0.42437894613255706</v>
      </c>
      <c r="M235" s="152">
        <f t="shared" si="1307"/>
        <v>0.43351212768154535</v>
      </c>
      <c r="N235" s="152">
        <f t="shared" si="1307"/>
        <v>0.35395524259474248</v>
      </c>
      <c r="O235" s="152">
        <f t="shared" si="1307"/>
        <v>0.2896279202674007</v>
      </c>
      <c r="P235" s="152">
        <f t="shared" si="1307"/>
        <v>1.7181299175071527E-2</v>
      </c>
      <c r="Q235" s="152">
        <f t="shared" si="1307"/>
        <v>0.20318574115921692</v>
      </c>
      <c r="R235" s="152">
        <f t="shared" si="1307"/>
        <v>0.10227773444200712</v>
      </c>
      <c r="S235" s="152">
        <f t="shared" si="1307"/>
        <v>0</v>
      </c>
      <c r="T235" s="152">
        <f t="shared" si="1307"/>
        <v>0</v>
      </c>
      <c r="U235" s="152">
        <f t="shared" si="1307"/>
        <v>0</v>
      </c>
      <c r="V235" s="152">
        <f t="shared" si="1307"/>
        <v>0</v>
      </c>
      <c r="W235" s="152">
        <f t="shared" si="1307"/>
        <v>0</v>
      </c>
      <c r="X235" s="152">
        <f t="shared" si="1307"/>
        <v>0</v>
      </c>
      <c r="Y235" s="157">
        <f t="shared" si="1307"/>
        <v>0</v>
      </c>
    </row>
    <row r="236" spans="2:25" ht="15" customHeight="1" thickBot="1" x14ac:dyDescent="0.25">
      <c r="B236" s="264"/>
      <c r="C236" s="99">
        <f>E236/SUM(E234:E236)</f>
        <v>1.9433313860718854E-2</v>
      </c>
      <c r="D236" s="89" t="s">
        <v>2</v>
      </c>
      <c r="E236" s="153">
        <f t="shared" ref="E236" si="1308">SUM(E242,E248,E254,E260,E266,E272,E278,E284,E290,E296,E302,E308)</f>
        <v>1.9433313860718854E-2</v>
      </c>
      <c r="F236" s="153">
        <f t="shared" ref="F236:Y236" si="1309">SUM(F242,F248,F254,F260,F266,F272,F278,F284,F290,F296,F302,F308)</f>
        <v>4.50350523319359E-3</v>
      </c>
      <c r="G236" s="153">
        <f t="shared" si="1309"/>
        <v>2.8570116147580517E-2</v>
      </c>
      <c r="H236" s="153">
        <f t="shared" si="1309"/>
        <v>1.4492433908683221E-2</v>
      </c>
      <c r="I236" s="153">
        <f t="shared" si="1309"/>
        <v>9.6934322643576747E-3</v>
      </c>
      <c r="J236" s="153">
        <f t="shared" si="1309"/>
        <v>1.4692984530081554E-2</v>
      </c>
      <c r="K236" s="153">
        <f t="shared" si="1309"/>
        <v>2.2604698358526507E-2</v>
      </c>
      <c r="L236" s="153">
        <f t="shared" si="1309"/>
        <v>2.5208688112526235E-2</v>
      </c>
      <c r="M236" s="153">
        <f t="shared" si="1309"/>
        <v>1.1641090039862498E-2</v>
      </c>
      <c r="N236" s="153">
        <f t="shared" si="1309"/>
        <v>4.4070131298355825E-2</v>
      </c>
      <c r="O236" s="153">
        <f t="shared" si="1309"/>
        <v>0</v>
      </c>
      <c r="P236" s="153">
        <f t="shared" si="1309"/>
        <v>0</v>
      </c>
      <c r="Q236" s="153">
        <f t="shared" si="1309"/>
        <v>0</v>
      </c>
      <c r="R236" s="153">
        <f t="shared" si="1309"/>
        <v>0</v>
      </c>
      <c r="S236" s="153">
        <f t="shared" si="1309"/>
        <v>0</v>
      </c>
      <c r="T236" s="153">
        <f t="shared" si="1309"/>
        <v>0</v>
      </c>
      <c r="U236" s="153">
        <f t="shared" si="1309"/>
        <v>0</v>
      </c>
      <c r="V236" s="153">
        <f t="shared" si="1309"/>
        <v>0</v>
      </c>
      <c r="W236" s="153">
        <f t="shared" si="1309"/>
        <v>0</v>
      </c>
      <c r="X236" s="153">
        <f t="shared" si="1309"/>
        <v>0</v>
      </c>
      <c r="Y236" s="158">
        <f t="shared" si="1309"/>
        <v>0</v>
      </c>
    </row>
    <row r="237" spans="2:25" ht="15" customHeight="1" x14ac:dyDescent="0.2">
      <c r="B237" s="249" t="s">
        <v>66</v>
      </c>
      <c r="C237" s="91">
        <f>E237/SUM(E237:E239)</f>
        <v>0.58415841584158412</v>
      </c>
      <c r="D237" s="67" t="s">
        <v>0</v>
      </c>
      <c r="E237" s="68">
        <f t="shared" si="1301"/>
        <v>59</v>
      </c>
      <c r="F237" s="68">
        <f>SUMIFS([0]!Chavez,[0]!Centro,B239,[0]!Turno,F$230)</f>
        <v>0</v>
      </c>
      <c r="G237" s="68">
        <f>SUMIFS([0]!Chavez,[0]!Centro,B239,[0]!Turno,G$230)</f>
        <v>9</v>
      </c>
      <c r="H237" s="68">
        <f>SUMIFS([0]!Chavez,[0]!Centro,B239,[0]!Turno,H$230)</f>
        <v>3</v>
      </c>
      <c r="I237" s="68">
        <f>SUMIFS([0]!Chavez,[0]!Centro,B239,[0]!Turno,I$230)</f>
        <v>0</v>
      </c>
      <c r="J237" s="68">
        <f>SUMIFS([0]!Chavez,[0]!Centro,B239,[0]!Turno,J$230)</f>
        <v>12</v>
      </c>
      <c r="K237" s="68">
        <f>SUMIFS([0]!Chavez,[0]!Centro,B239,[0]!Turno,K$230)</f>
        <v>13</v>
      </c>
      <c r="L237" s="68">
        <f>SUMIFS([0]!Chavez,[0]!Centro,B239,[0]!Turno,L$230)</f>
        <v>16</v>
      </c>
      <c r="M237" s="68">
        <f>SUMIFS([0]!Chavez,[0]!Centro,B239,[0]!Turno,M$230)</f>
        <v>0</v>
      </c>
      <c r="N237" s="68">
        <f>SUMIFS([0]!Chavez,[0]!Centro,B239,[0]!Turno,N$230)</f>
        <v>0</v>
      </c>
      <c r="O237" s="68">
        <f>SUMIFS([0]!Chavez,[0]!Centro,B239,[0]!Turno,O$230)</f>
        <v>6</v>
      </c>
      <c r="P237" s="68">
        <f>SUMIFS([0]!Chavez,[0]!Centro,B239,[0]!Turno,P$230)</f>
        <v>0</v>
      </c>
      <c r="Q237" s="68">
        <f>SUMIFS([0]!Chavez,[0]!Centro,B239,[0]!Turno,Q$230)</f>
        <v>0</v>
      </c>
      <c r="R237" s="68">
        <f>SUMIFS([0]!Chavez,[0]!Centro,B239,[0]!Turno,R$230)</f>
        <v>0</v>
      </c>
      <c r="S237" s="68">
        <f>SUMIFS([0]!Chavez,[0]!Centro,B239,[0]!Turno,S$230)</f>
        <v>0</v>
      </c>
      <c r="T237" s="68">
        <f>SUMIFS([0]!Chavez,[0]!Centro,B239,[0]!Turno,T$230)</f>
        <v>0</v>
      </c>
      <c r="U237" s="68">
        <f>SUMIFS([0]!Chavez,[0]!Centro,B239,[0]!Turno,U$230)</f>
        <v>0</v>
      </c>
      <c r="V237" s="68">
        <f>SUMIFS([0]!Chavez,[0]!Centro,B239,[0]!Turno,V$230)</f>
        <v>0</v>
      </c>
      <c r="W237" s="68">
        <f>SUMIFS([0]!Chavez,[0]!Centro,B239,[0]!Turno,W$230)</f>
        <v>0</v>
      </c>
      <c r="X237" s="68">
        <f>SUMIFS([0]!Chavez,[0]!Centro,B239,[0]!Turno,X$230)</f>
        <v>0</v>
      </c>
      <c r="Y237" s="69">
        <f>SUMIFS([0]!Chavez,[0]!Centro,B239,[0]!Turno,Y$230)</f>
        <v>0</v>
      </c>
    </row>
    <row r="238" spans="2:25" ht="15" customHeight="1" x14ac:dyDescent="0.2">
      <c r="B238" s="250"/>
      <c r="C238" s="92">
        <f>E238/SUM(E237:E239)</f>
        <v>0.38613861386138615</v>
      </c>
      <c r="D238" s="61" t="s">
        <v>1</v>
      </c>
      <c r="E238" s="62">
        <f t="shared" si="1301"/>
        <v>39</v>
      </c>
      <c r="F238" s="62">
        <f>SUMIFS([0]!Capriles,[0]!Centro,B239,[0]!Turno,F$230)</f>
        <v>0</v>
      </c>
      <c r="G238" s="62">
        <f>SUMIFS([0]!Capriles,[0]!Centro,B239,[0]!Turno,G$230)</f>
        <v>2</v>
      </c>
      <c r="H238" s="62">
        <f>SUMIFS([0]!Capriles,[0]!Centro,B239,[0]!Turno,H$230)</f>
        <v>2</v>
      </c>
      <c r="I238" s="62">
        <f>SUMIFS([0]!Capriles,[0]!Centro,B239,[0]!Turno,I$230)</f>
        <v>0</v>
      </c>
      <c r="J238" s="62">
        <f>SUMIFS([0]!Capriles,[0]!Centro,B239,[0]!Turno,J$230)</f>
        <v>4</v>
      </c>
      <c r="K238" s="62">
        <f>SUMIFS([0]!Capriles,[0]!Centro,B239,[0]!Turno,K$230)</f>
        <v>3</v>
      </c>
      <c r="L238" s="62">
        <f>SUMIFS([0]!Capriles,[0]!Centro,B239,[0]!Turno,L$230)</f>
        <v>10</v>
      </c>
      <c r="M238" s="62">
        <f>SUMIFS([0]!Capriles,[0]!Centro,B239,[0]!Turno,M$230)</f>
        <v>0</v>
      </c>
      <c r="N238" s="62">
        <f>SUMIFS([0]!Capriles,[0]!Centro,B239,[0]!Turno,N$230)</f>
        <v>10</v>
      </c>
      <c r="O238" s="62">
        <f>SUMIFS([0]!Capriles,[0]!Centro,B239,[0]!Turno,O$230)</f>
        <v>8</v>
      </c>
      <c r="P238" s="62">
        <f>SUMIFS([0]!Capriles,[0]!Centro,B239,[0]!Turno,P$230)</f>
        <v>0</v>
      </c>
      <c r="Q238" s="62">
        <f>SUMIFS([0]!Capriles,[0]!Centro,B239,[0]!Turno,Q$230)</f>
        <v>0</v>
      </c>
      <c r="R238" s="62">
        <f>SUMIFS([0]!Capriles,[0]!Centro,B239,[0]!Turno,R$230)</f>
        <v>0</v>
      </c>
      <c r="S238" s="62">
        <f>SUMIFS([0]!Capriles,[0]!Centro,B239,[0]!Turno,S$230)</f>
        <v>0</v>
      </c>
      <c r="T238" s="62">
        <f>SUMIFS([0]!Capriles,[0]!Centro,B239,[0]!Turno,T$230)</f>
        <v>0</v>
      </c>
      <c r="U238" s="62">
        <f>SUMIFS([0]!Capriles,[0]!Centro,B239,[0]!Turno,U$230)</f>
        <v>0</v>
      </c>
      <c r="V238" s="62">
        <f>SUMIFS([0]!Capriles,[0]!Centro,B239,[0]!Turno,V$230)</f>
        <v>0</v>
      </c>
      <c r="W238" s="62">
        <f>SUMIFS([0]!Capriles,[0]!Centro,B239,[0]!Turno,W$230)</f>
        <v>0</v>
      </c>
      <c r="X238" s="62">
        <f>SUMIFS([0]!Capriles,[0]!Centro,B239,[0]!Turno,X$230)</f>
        <v>0</v>
      </c>
      <c r="Y238" s="70">
        <f>SUMIFS([0]!Capriles,[0]!Centro,B239,[0]!Turno,Y$230)</f>
        <v>0</v>
      </c>
    </row>
    <row r="239" spans="2:25" ht="15" customHeight="1" thickBot="1" x14ac:dyDescent="0.25">
      <c r="B239" s="261">
        <v>50</v>
      </c>
      <c r="C239" s="100">
        <f>E239/SUM(E237:E239)</f>
        <v>2.9702970297029702E-2</v>
      </c>
      <c r="D239" s="71" t="s">
        <v>2</v>
      </c>
      <c r="E239" s="72">
        <f t="shared" si="1301"/>
        <v>3</v>
      </c>
      <c r="F239" s="72">
        <f>SUMIFS([0]!Otro,[0]!Centro,B239,[0]!Turno,F$230)</f>
        <v>0</v>
      </c>
      <c r="G239" s="72">
        <f>SUMIFS([0]!Otro,[0]!Centro,B239,[0]!Turno,G$230)</f>
        <v>0</v>
      </c>
      <c r="H239" s="72">
        <f>SUMIFS([0]!Otro,[0]!Centro,B239,[0]!Turno,H$230)</f>
        <v>0</v>
      </c>
      <c r="I239" s="72">
        <f>SUMIFS([0]!Otro,[0]!Centro,B239,[0]!Turno,I$230)</f>
        <v>0</v>
      </c>
      <c r="J239" s="72">
        <f>SUMIFS([0]!Otro,[0]!Centro,B239,[0]!Turno,J$230)</f>
        <v>3</v>
      </c>
      <c r="K239" s="72">
        <f>SUMIFS([0]!Otro,[0]!Centro,B239,[0]!Turno,K$230)</f>
        <v>0</v>
      </c>
      <c r="L239" s="72">
        <f>SUMIFS([0]!Otro,[0]!Centro,B239,[0]!Turno,L$230)</f>
        <v>0</v>
      </c>
      <c r="M239" s="72">
        <f>SUMIFS([0]!Otro,[0]!Centro,B239,[0]!Turno,M$230)</f>
        <v>0</v>
      </c>
      <c r="N239" s="72">
        <f>SUMIFS([0]!Otro,[0]!Centro,B239,[0]!Turno,N$230)</f>
        <v>0</v>
      </c>
      <c r="O239" s="72">
        <f>SUMIFS([0]!Otro,[0]!Centro,B239,[0]!Turno,O$230)</f>
        <v>0</v>
      </c>
      <c r="P239" s="72">
        <f>SUMIFS([0]!Otro,[0]!Centro,B239,[0]!Turno,P$230)</f>
        <v>0</v>
      </c>
      <c r="Q239" s="72">
        <f>SUMIFS([0]!Otro,[0]!Centro,B239,[0]!Turno,Q$230)</f>
        <v>0</v>
      </c>
      <c r="R239" s="72">
        <f>SUMIFS([0]!Otro,[0]!Centro,B239,[0]!Turno,R$230)</f>
        <v>0</v>
      </c>
      <c r="S239" s="72">
        <f>SUMIFS([0]!Otro,[0]!Centro,B239,[0]!Turno,S$230)</f>
        <v>0</v>
      </c>
      <c r="T239" s="72">
        <f>SUMIFS([0]!Otro,[0]!Centro,B239,[0]!Turno,T$230)</f>
        <v>0</v>
      </c>
      <c r="U239" s="72">
        <f>SUMIFS([0]!Otro,[0]!Centro,B239,[0]!Turno,U$230)</f>
        <v>0</v>
      </c>
      <c r="V239" s="72">
        <f>SUMIFS([0]!Otro,[0]!Centro,B239,[0]!Turno,V$230)</f>
        <v>0</v>
      </c>
      <c r="W239" s="72">
        <f>SUMIFS([0]!Otro,[0]!Centro,B239,[0]!Turno,W$230)</f>
        <v>0</v>
      </c>
      <c r="X239" s="72">
        <f>SUMIFS([0]!Otro,[0]!Centro,B239,[0]!Turno,X$230)</f>
        <v>0</v>
      </c>
      <c r="Y239" s="73">
        <f>SUMIFS([0]!Otro,[0]!Centro,B239,[0]!Turno,Y$230)</f>
        <v>0</v>
      </c>
    </row>
    <row r="240" spans="2:25" ht="15" customHeight="1" x14ac:dyDescent="0.2">
      <c r="B240" s="261"/>
      <c r="C240" s="94">
        <f>E240/SUM(E240:E242)</f>
        <v>0.58415841584158423</v>
      </c>
      <c r="D240" s="63" t="s">
        <v>0</v>
      </c>
      <c r="E240" s="150">
        <f>IF((E237+E238+E239)=0,0,(E237*$B241)/(E237+E238+E239))</f>
        <v>1.2953737080376315E-2</v>
      </c>
      <c r="F240" s="150">
        <f>IF((F237+F238+F239)=0,0,(F237*$B241)/(F237+F238+F239))</f>
        <v>0</v>
      </c>
      <c r="G240" s="150">
        <f t="shared" ref="G240" si="1310">IF((G237+G238+G239)=0,0,(G237*$B241)/(G237+G238+G239))</f>
        <v>1.8143215725827534E-2</v>
      </c>
      <c r="H240" s="150">
        <f t="shared" ref="H240" si="1311">IF((H237+H238+H239)=0,0,(H237*$B241)/(H237+H238+H239))</f>
        <v>1.3305024865606859E-2</v>
      </c>
      <c r="I240" s="150">
        <f t="shared" ref="I240" si="1312">IF((I237+I238+I239)=0,0,(I237*$B241)/(I237+I238+I239))</f>
        <v>0</v>
      </c>
      <c r="J240" s="150">
        <f t="shared" ref="J240" si="1313">IF((J237+J238+J239)=0,0,(J237*$B241)/(J237+J238+J239))</f>
        <v>1.4005289332217747E-2</v>
      </c>
      <c r="K240" s="150">
        <f t="shared" ref="K240" si="1314">IF((K237+K238+K239)=0,0,(K237*$B241)/(K237+K238+K239))</f>
        <v>1.8017221172175954E-2</v>
      </c>
      <c r="L240" s="150">
        <f t="shared" ref="L240" si="1315">IF((L237+L238+L239)=0,0,(L237*$B241)/(L237+L238+L239))</f>
        <v>1.3646179349340369E-2</v>
      </c>
      <c r="M240" s="150">
        <f t="shared" ref="M240" si="1316">IF((M237+M238+M239)=0,0,(M237*$B241)/(M237+M238+M239))</f>
        <v>0</v>
      </c>
      <c r="N240" s="150">
        <f t="shared" ref="N240" si="1317">IF((N237+N238+N239)=0,0,(N237*$B241)/(N237+N238+N239))</f>
        <v>0</v>
      </c>
      <c r="O240" s="150">
        <f t="shared" ref="O240" si="1318">IF((O237+O238+O239)=0,0,(O237*$B241)/(O237+O238+O239))</f>
        <v>9.5035891897191863E-3</v>
      </c>
      <c r="P240" s="150">
        <f t="shared" ref="P240" si="1319">IF((P237+P238+P239)=0,0,(P237*$B241)/(P237+P238+P239))</f>
        <v>0</v>
      </c>
      <c r="Q240" s="150">
        <f t="shared" ref="Q240" si="1320">IF((Q237+Q238+Q239)=0,0,(Q237*$B241)/(Q237+Q238+Q239))</f>
        <v>0</v>
      </c>
      <c r="R240" s="150">
        <f t="shared" ref="R240" si="1321">IF((R237+R238+R239)=0,0,(R237*$B241)/(R237+R238+R239))</f>
        <v>0</v>
      </c>
      <c r="S240" s="150">
        <f t="shared" ref="S240" si="1322">IF((S237+S238+S239)=0,0,(S237*$B241)/(S237+S238+S239))</f>
        <v>0</v>
      </c>
      <c r="T240" s="150">
        <f t="shared" ref="T240" si="1323">IF((T237+T238+T239)=0,0,(T237*$B241)/(T237+T238+T239))</f>
        <v>0</v>
      </c>
      <c r="U240" s="150">
        <f t="shared" ref="U240" si="1324">IF((U237+U238+U239)=0,0,(U237*$B241)/(U237+U238+U239))</f>
        <v>0</v>
      </c>
      <c r="V240" s="150">
        <f t="shared" ref="V240" si="1325">IF((V237+V238+V239)=0,0,(V237*$B241)/(V237+V238+V239))</f>
        <v>0</v>
      </c>
      <c r="W240" s="150">
        <f t="shared" ref="W240" si="1326">IF((W237+W238+W239)=0,0,(W237*$B241)/(W237+W238+W239))</f>
        <v>0</v>
      </c>
      <c r="X240" s="150">
        <f t="shared" ref="X240" si="1327">IF((X237+X238+X239)=0,0,(X237*$B241)/(X237+X238+X239))</f>
        <v>0</v>
      </c>
      <c r="Y240" s="163">
        <f t="shared" ref="Y240" si="1328">IF((Y237+Y238+Y239)=0,0,(Y237*$B241)/(Y237+Y238+Y239))</f>
        <v>0</v>
      </c>
    </row>
    <row r="241" spans="2:25" ht="15" customHeight="1" x14ac:dyDescent="0.2">
      <c r="B241" s="254">
        <v>2.2175041442678099E-2</v>
      </c>
      <c r="C241" s="92">
        <f>E241/SUM(E240:E242)</f>
        <v>0.38613861386138615</v>
      </c>
      <c r="D241" s="61" t="s">
        <v>1</v>
      </c>
      <c r="E241" s="154">
        <f>IF((E237+E238+E239)=0,0,(E238*$B241)/(E237+E238+E239))</f>
        <v>8.5626397649945125E-3</v>
      </c>
      <c r="F241" s="154">
        <f>IF((F237+F238+F239)=0,0,(F238*$B241)/(F237+F238+F239))</f>
        <v>0</v>
      </c>
      <c r="G241" s="154">
        <f t="shared" ref="G241:O241" si="1329">IF((G237+G238+G239)=0,0,(G238*$B241)/(G237+G238+G239))</f>
        <v>4.0318257168505634E-3</v>
      </c>
      <c r="H241" s="154">
        <f t="shared" si="1329"/>
        <v>8.8700165770712394E-3</v>
      </c>
      <c r="I241" s="154">
        <f t="shared" si="1329"/>
        <v>0</v>
      </c>
      <c r="J241" s="154">
        <f t="shared" si="1329"/>
        <v>4.6684297774059157E-3</v>
      </c>
      <c r="K241" s="154">
        <f t="shared" si="1329"/>
        <v>4.1578202705021437E-3</v>
      </c>
      <c r="L241" s="154">
        <f t="shared" si="1329"/>
        <v>8.5288620933377298E-3</v>
      </c>
      <c r="M241" s="154">
        <f t="shared" si="1329"/>
        <v>0</v>
      </c>
      <c r="N241" s="154">
        <f t="shared" si="1329"/>
        <v>2.2175041442678099E-2</v>
      </c>
      <c r="O241" s="154">
        <f t="shared" si="1329"/>
        <v>1.2671452252958914E-2</v>
      </c>
      <c r="P241" s="154">
        <f>IF((P237+P238+P239)=0,0,(P238*$B241)/(P237+P238+P239))</f>
        <v>0</v>
      </c>
      <c r="Q241" s="154">
        <f t="shared" ref="Q241:Y241" si="1330">IF((Q237+Q238+Q239)=0,0,(Q238*$B241)/(Q237+Q238+Q239))</f>
        <v>0</v>
      </c>
      <c r="R241" s="154">
        <f t="shared" si="1330"/>
        <v>0</v>
      </c>
      <c r="S241" s="154">
        <f t="shared" si="1330"/>
        <v>0</v>
      </c>
      <c r="T241" s="154">
        <f t="shared" si="1330"/>
        <v>0</v>
      </c>
      <c r="U241" s="154">
        <f t="shared" si="1330"/>
        <v>0</v>
      </c>
      <c r="V241" s="154">
        <f t="shared" si="1330"/>
        <v>0</v>
      </c>
      <c r="W241" s="154">
        <f t="shared" si="1330"/>
        <v>0</v>
      </c>
      <c r="X241" s="154">
        <f t="shared" si="1330"/>
        <v>0</v>
      </c>
      <c r="Y241" s="159">
        <f t="shared" si="1330"/>
        <v>0</v>
      </c>
    </row>
    <row r="242" spans="2:25" ht="15" customHeight="1" thickBot="1" x14ac:dyDescent="0.25">
      <c r="B242" s="255"/>
      <c r="C242" s="93">
        <f>E242/SUM(E240:E242)</f>
        <v>2.9702970297029709E-2</v>
      </c>
      <c r="D242" s="75" t="s">
        <v>2</v>
      </c>
      <c r="E242" s="155">
        <f>IF((E237+E238+E239)=0,0,(E239*$B241)/(E237+E238+E239))</f>
        <v>6.5866459730727026E-4</v>
      </c>
      <c r="F242" s="155">
        <f>IF((F237+F238+F239)=0,0,(F239*$B241)/(F237+F238+F239))</f>
        <v>0</v>
      </c>
      <c r="G242" s="155">
        <f t="shared" ref="G242" si="1331">IF((G237+G238+G239)=0,0,(G239*$B241)/(G237+G238+G239))</f>
        <v>0</v>
      </c>
      <c r="H242" s="155">
        <f t="shared" ref="H242" si="1332">IF((H237+H238+H239)=0,0,(H239*$B241)/(H237+H238+H239))</f>
        <v>0</v>
      </c>
      <c r="I242" s="155">
        <f t="shared" ref="I242" si="1333">IF((I237+I238+I239)=0,0,(I239*$B241)/(I237+I238+I239))</f>
        <v>0</v>
      </c>
      <c r="J242" s="155">
        <f t="shared" ref="J242" si="1334">IF((J237+J238+J239)=0,0,(J239*$B241)/(J237+J238+J239))</f>
        <v>3.5013223330544367E-3</v>
      </c>
      <c r="K242" s="155">
        <f t="shared" ref="K242" si="1335">IF((K237+K238+K239)=0,0,(K239*$B241)/(K237+K238+K239))</f>
        <v>0</v>
      </c>
      <c r="L242" s="155">
        <f t="shared" ref="L242" si="1336">IF((L237+L238+L239)=0,0,(L239*$B241)/(L237+L238+L239))</f>
        <v>0</v>
      </c>
      <c r="M242" s="155">
        <f t="shared" ref="M242" si="1337">IF((M237+M238+M239)=0,0,(M239*$B241)/(M237+M238+M239))</f>
        <v>0</v>
      </c>
      <c r="N242" s="155">
        <f t="shared" ref="N242" si="1338">IF((N237+N238+N239)=0,0,(N239*$B241)/(N237+N238+N239))</f>
        <v>0</v>
      </c>
      <c r="O242" s="155">
        <f t="shared" ref="O242" si="1339">IF((O237+O238+O239)=0,0,(O239*$B241)/(O237+O238+O239))</f>
        <v>0</v>
      </c>
      <c r="P242" s="155">
        <f t="shared" ref="P242" si="1340">IF((P237+P238+P239)=0,0,(P239*$B241)/(P237+P238+P239))</f>
        <v>0</v>
      </c>
      <c r="Q242" s="155">
        <f t="shared" ref="Q242" si="1341">IF((Q237+Q238+Q239)=0,0,(Q239*$B241)/(Q237+Q238+Q239))</f>
        <v>0</v>
      </c>
      <c r="R242" s="155">
        <f t="shared" ref="R242" si="1342">IF((R237+R238+R239)=0,0,(R239*$B241)/(R237+R238+R239))</f>
        <v>0</v>
      </c>
      <c r="S242" s="155">
        <f t="shared" ref="S242" si="1343">IF((S237+S238+S239)=0,0,(S239*$B241)/(S237+S238+S239))</f>
        <v>0</v>
      </c>
      <c r="T242" s="155">
        <f t="shared" ref="T242" si="1344">IF((T237+T238+T239)=0,0,(T239*$B241)/(T237+T238+T239))</f>
        <v>0</v>
      </c>
      <c r="U242" s="155">
        <f t="shared" ref="U242" si="1345">IF((U237+U238+U239)=0,0,(U239*$B241)/(U237+U238+U239))</f>
        <v>0</v>
      </c>
      <c r="V242" s="155">
        <f t="shared" ref="V242" si="1346">IF((V237+V238+V239)=0,0,(V239*$B241)/(V237+V238+V239))</f>
        <v>0</v>
      </c>
      <c r="W242" s="155">
        <f t="shared" ref="W242" si="1347">IF((W237+W238+W239)=0,0,(W239*$B241)/(W237+W238+W239))</f>
        <v>0</v>
      </c>
      <c r="X242" s="155">
        <f t="shared" ref="X242" si="1348">IF((X237+X238+X239)=0,0,(X239*$B241)/(X237+X238+X239))</f>
        <v>0</v>
      </c>
      <c r="Y242" s="160">
        <f t="shared" ref="Y242" si="1349">IF((Y237+Y238+Y239)=0,0,(Y239*$B241)/(Y237+Y238+Y239))</f>
        <v>0</v>
      </c>
    </row>
    <row r="243" spans="2:25" ht="15" customHeight="1" x14ac:dyDescent="0.2">
      <c r="B243" s="249" t="s">
        <v>67</v>
      </c>
      <c r="C243" s="91">
        <f>E243/SUM(E243:E245)</f>
        <v>0.8651685393258427</v>
      </c>
      <c r="D243" s="67" t="s">
        <v>0</v>
      </c>
      <c r="E243" s="68">
        <f t="shared" si="1301"/>
        <v>77</v>
      </c>
      <c r="F243" s="68">
        <f>SUMIFS([0]!Chavez,[0]!Centro,B245,[0]!Turno,F$230)</f>
        <v>0</v>
      </c>
      <c r="G243" s="68">
        <f>SUMIFS([0]!Chavez,[0]!Centro,B245,[0]!Turno,G$230)</f>
        <v>0</v>
      </c>
      <c r="H243" s="68">
        <f>SUMIFS([0]!Chavez,[0]!Centro,B245,[0]!Turno,H$230)</f>
        <v>21</v>
      </c>
      <c r="I243" s="68">
        <f>SUMIFS([0]!Chavez,[0]!Centro,B245,[0]!Turno,I$230)</f>
        <v>0</v>
      </c>
      <c r="J243" s="68">
        <f>SUMIFS([0]!Chavez,[0]!Centro,B245,[0]!Turno,J$230)</f>
        <v>0</v>
      </c>
      <c r="K243" s="68">
        <f>SUMIFS([0]!Chavez,[0]!Centro,B245,[0]!Turno,K$230)</f>
        <v>0</v>
      </c>
      <c r="L243" s="68">
        <f>SUMIFS([0]!Chavez,[0]!Centro,B245,[0]!Turno,L$230)</f>
        <v>14</v>
      </c>
      <c r="M243" s="68">
        <f>SUMIFS([0]!Chavez,[0]!Centro,B245,[0]!Turno,M$230)</f>
        <v>0</v>
      </c>
      <c r="N243" s="68">
        <f>SUMIFS([0]!Chavez,[0]!Centro,B245,[0]!Turno,N$230)</f>
        <v>15</v>
      </c>
      <c r="O243" s="68">
        <f>SUMIFS([0]!Chavez,[0]!Centro,B245,[0]!Turno,O$230)</f>
        <v>20</v>
      </c>
      <c r="P243" s="68">
        <f>SUMIFS([0]!Chavez,[0]!Centro,B245,[0]!Turno,P$230)</f>
        <v>0</v>
      </c>
      <c r="Q243" s="68">
        <f>SUMIFS([0]!Chavez,[0]!Centro,B245,[0]!Turno,Q$230)</f>
        <v>0</v>
      </c>
      <c r="R243" s="68">
        <f>SUMIFS([0]!Chavez,[0]!Centro,B245,[0]!Turno,R$230)</f>
        <v>7</v>
      </c>
      <c r="S243" s="68">
        <f>SUMIFS([0]!Chavez,[0]!Centro,B245,[0]!Turno,S$230)</f>
        <v>0</v>
      </c>
      <c r="T243" s="68">
        <f>SUMIFS([0]!Chavez,[0]!Centro,B245,[0]!Turno,T$230)</f>
        <v>0</v>
      </c>
      <c r="U243" s="68">
        <f>SUMIFS([0]!Chavez,[0]!Centro,B245,[0]!Turno,U$230)</f>
        <v>0</v>
      </c>
      <c r="V243" s="68">
        <f>SUMIFS([0]!Chavez,[0]!Centro,B245,[0]!Turno,V$230)</f>
        <v>0</v>
      </c>
      <c r="W243" s="68">
        <f>SUMIFS([0]!Chavez,[0]!Centro,B245,[0]!Turno,W$230)</f>
        <v>0</v>
      </c>
      <c r="X243" s="68">
        <f>SUMIFS([0]!Chavez,[0]!Centro,B245,[0]!Turno,X$230)</f>
        <v>0</v>
      </c>
      <c r="Y243" s="69">
        <f>SUMIFS([0]!Chavez,[0]!Centro,B245,[0]!Turno,Y$230)</f>
        <v>0</v>
      </c>
    </row>
    <row r="244" spans="2:25" ht="15" customHeight="1" x14ac:dyDescent="0.2">
      <c r="B244" s="250"/>
      <c r="C244" s="92">
        <f>E244/SUM(E243:E245)</f>
        <v>0.1348314606741573</v>
      </c>
      <c r="D244" s="61" t="s">
        <v>1</v>
      </c>
      <c r="E244" s="62">
        <f t="shared" si="1301"/>
        <v>12</v>
      </c>
      <c r="F244" s="62">
        <f>SUMIFS([0]!Capriles,[0]!Centro,B245,[0]!Turno,F$230)</f>
        <v>0</v>
      </c>
      <c r="G244" s="62">
        <f>SUMIFS([0]!Capriles,[0]!Centro,B245,[0]!Turno,G$230)</f>
        <v>0</v>
      </c>
      <c r="H244" s="62">
        <f>SUMIFS([0]!Capriles,[0]!Centro,B245,[0]!Turno,H$230)</f>
        <v>1</v>
      </c>
      <c r="I244" s="62">
        <f>SUMIFS([0]!Capriles,[0]!Centro,B245,[0]!Turno,I$230)</f>
        <v>0</v>
      </c>
      <c r="J244" s="62">
        <f>SUMIFS([0]!Capriles,[0]!Centro,B245,[0]!Turno,J$230)</f>
        <v>0</v>
      </c>
      <c r="K244" s="62">
        <f>SUMIFS([0]!Capriles,[0]!Centro,B245,[0]!Turno,K$230)</f>
        <v>0</v>
      </c>
      <c r="L244" s="62">
        <f>SUMIFS([0]!Capriles,[0]!Centro,B245,[0]!Turno,L$230)</f>
        <v>3</v>
      </c>
      <c r="M244" s="62">
        <f>SUMIFS([0]!Capriles,[0]!Centro,B245,[0]!Turno,M$230)</f>
        <v>0</v>
      </c>
      <c r="N244" s="62">
        <f>SUMIFS([0]!Capriles,[0]!Centro,B245,[0]!Turno,N$230)</f>
        <v>0</v>
      </c>
      <c r="O244" s="62">
        <f>SUMIFS([0]!Capriles,[0]!Centro,B245,[0]!Turno,O$230)</f>
        <v>0</v>
      </c>
      <c r="P244" s="62">
        <f>SUMIFS([0]!Capriles,[0]!Centro,B245,[0]!Turno,P$230)</f>
        <v>0</v>
      </c>
      <c r="Q244" s="62">
        <f>SUMIFS([0]!Capriles,[0]!Centro,B245,[0]!Turno,Q$230)</f>
        <v>0</v>
      </c>
      <c r="R244" s="62">
        <f>SUMIFS([0]!Capriles,[0]!Centro,B245,[0]!Turno,R$230)</f>
        <v>8</v>
      </c>
      <c r="S244" s="62">
        <f>SUMIFS([0]!Capriles,[0]!Centro,B245,[0]!Turno,S$230)</f>
        <v>0</v>
      </c>
      <c r="T244" s="62">
        <f>SUMIFS([0]!Capriles,[0]!Centro,B245,[0]!Turno,T$230)</f>
        <v>0</v>
      </c>
      <c r="U244" s="62">
        <f>SUMIFS([0]!Capriles,[0]!Centro,B245,[0]!Turno,U$230)</f>
        <v>0</v>
      </c>
      <c r="V244" s="62">
        <f>SUMIFS([0]!Capriles,[0]!Centro,B245,[0]!Turno,V$230)</f>
        <v>0</v>
      </c>
      <c r="W244" s="62">
        <f>SUMIFS([0]!Capriles,[0]!Centro,B245,[0]!Turno,W$230)</f>
        <v>0</v>
      </c>
      <c r="X244" s="62">
        <f>SUMIFS([0]!Capriles,[0]!Centro,B245,[0]!Turno,X$230)</f>
        <v>0</v>
      </c>
      <c r="Y244" s="70">
        <f>SUMIFS([0]!Capriles,[0]!Centro,B245,[0]!Turno,Y$230)</f>
        <v>0</v>
      </c>
    </row>
    <row r="245" spans="2:25" ht="15" customHeight="1" thickBot="1" x14ac:dyDescent="0.25">
      <c r="B245" s="261">
        <v>51</v>
      </c>
      <c r="C245" s="100">
        <f>E245/SUM(E243:E245)</f>
        <v>0</v>
      </c>
      <c r="D245" s="71" t="s">
        <v>2</v>
      </c>
      <c r="E245" s="72">
        <f t="shared" si="1301"/>
        <v>0</v>
      </c>
      <c r="F245" s="72">
        <f>SUMIFS([0]!Otro,[0]!Centro,B245,[0]!Turno,F$230)</f>
        <v>0</v>
      </c>
      <c r="G245" s="72">
        <f>SUMIFS([0]!Otro,[0]!Centro,B245,[0]!Turno,G$230)</f>
        <v>0</v>
      </c>
      <c r="H245" s="72">
        <f>SUMIFS([0]!Otro,[0]!Centro,B245,[0]!Turno,H$230)</f>
        <v>0</v>
      </c>
      <c r="I245" s="72">
        <f>SUMIFS([0]!Otro,[0]!Centro,B245,[0]!Turno,I$230)</f>
        <v>0</v>
      </c>
      <c r="J245" s="72">
        <f>SUMIFS([0]!Otro,[0]!Centro,B245,[0]!Turno,J$230)</f>
        <v>0</v>
      </c>
      <c r="K245" s="72">
        <f>SUMIFS([0]!Otro,[0]!Centro,B245,[0]!Turno,K$230)</f>
        <v>0</v>
      </c>
      <c r="L245" s="72">
        <f>SUMIFS([0]!Otro,[0]!Centro,B245,[0]!Turno,L$230)</f>
        <v>0</v>
      </c>
      <c r="M245" s="72">
        <f>SUMIFS([0]!Otro,[0]!Centro,B245,[0]!Turno,M$230)</f>
        <v>0</v>
      </c>
      <c r="N245" s="72">
        <f>SUMIFS([0]!Otro,[0]!Centro,B245,[0]!Turno,N$230)</f>
        <v>0</v>
      </c>
      <c r="O245" s="72">
        <f>SUMIFS([0]!Otro,[0]!Centro,B245,[0]!Turno,O$230)</f>
        <v>0</v>
      </c>
      <c r="P245" s="72">
        <f>SUMIFS([0]!Otro,[0]!Centro,B245,[0]!Turno,P$230)</f>
        <v>0</v>
      </c>
      <c r="Q245" s="72">
        <f>SUMIFS([0]!Otro,[0]!Centro,B245,[0]!Turno,Q$230)</f>
        <v>0</v>
      </c>
      <c r="R245" s="72">
        <f>SUMIFS([0]!Otro,[0]!Centro,B245,[0]!Turno,R$230)</f>
        <v>0</v>
      </c>
      <c r="S245" s="72">
        <f>SUMIFS([0]!Otro,[0]!Centro,B245,[0]!Turno,S$230)</f>
        <v>0</v>
      </c>
      <c r="T245" s="72">
        <f>SUMIFS([0]!Otro,[0]!Centro,B245,[0]!Turno,T$230)</f>
        <v>0</v>
      </c>
      <c r="U245" s="72">
        <f>SUMIFS([0]!Otro,[0]!Centro,B245,[0]!Turno,U$230)</f>
        <v>0</v>
      </c>
      <c r="V245" s="72">
        <f>SUMIFS([0]!Otro,[0]!Centro,B245,[0]!Turno,V$230)</f>
        <v>0</v>
      </c>
      <c r="W245" s="72">
        <f>SUMIFS([0]!Otro,[0]!Centro,B245,[0]!Turno,W$230)</f>
        <v>0</v>
      </c>
      <c r="X245" s="72">
        <f>SUMIFS([0]!Otro,[0]!Centro,B245,[0]!Turno,X$230)</f>
        <v>0</v>
      </c>
      <c r="Y245" s="73">
        <f>SUMIFS([0]!Otro,[0]!Centro,B245,[0]!Turno,Y$230)</f>
        <v>0</v>
      </c>
    </row>
    <row r="246" spans="2:25" ht="15" customHeight="1" x14ac:dyDescent="0.2">
      <c r="B246" s="261"/>
      <c r="C246" s="94">
        <f>E246/SUM(E246:E248)</f>
        <v>0.8651685393258427</v>
      </c>
      <c r="D246" s="63" t="s">
        <v>0</v>
      </c>
      <c r="E246" s="150">
        <f>IF((E243+E244+E245)=0,0,(E243*$B247)/(E243+E244+E245))</f>
        <v>5.7810256981415578E-2</v>
      </c>
      <c r="F246" s="150">
        <f>IF((F243+F244+F245)=0,0,(F243*$B247)/(F243+F244+F245))</f>
        <v>0</v>
      </c>
      <c r="G246" s="150">
        <f t="shared" ref="G246" si="1350">IF((G243+G244+G245)=0,0,(G243*$B247)/(G243+G244+G245))</f>
        <v>0</v>
      </c>
      <c r="H246" s="150">
        <f t="shared" ref="H246" si="1351">IF((H243+H244+H245)=0,0,(H243*$B247)/(H243+H244+H245))</f>
        <v>6.3782390967099006E-2</v>
      </c>
      <c r="I246" s="150">
        <f t="shared" ref="I246" si="1352">IF((I243+I244+I245)=0,0,(I243*$B247)/(I243+I244+I245))</f>
        <v>0</v>
      </c>
      <c r="J246" s="150">
        <f t="shared" ref="J246" si="1353">IF((J243+J244+J245)=0,0,(J243*$B247)/(J243+J244+J245))</f>
        <v>0</v>
      </c>
      <c r="K246" s="150">
        <f t="shared" ref="K246" si="1354">IF((K243+K244+K245)=0,0,(K243*$B247)/(K243+K244+K245))</f>
        <v>0</v>
      </c>
      <c r="L246" s="150">
        <f t="shared" ref="L246" si="1355">IF((L243+L244+L245)=0,0,(L243*$B247)/(L243+L244+L245))</f>
        <v>5.5027945148085414E-2</v>
      </c>
      <c r="M246" s="150">
        <f t="shared" ref="M246" si="1356">IF((M243+M244+M245)=0,0,(M243*$B247)/(M243+M244+M245))</f>
        <v>0</v>
      </c>
      <c r="N246" s="150">
        <f t="shared" ref="N246" si="1357">IF((N243+N244+N245)=0,0,(N243*$B247)/(N243+N244+N245))</f>
        <v>6.6819647679818003E-2</v>
      </c>
      <c r="O246" s="150">
        <f t="shared" ref="O246" si="1358">IF((O243+O244+O245)=0,0,(O243*$B247)/(O243+O244+O245))</f>
        <v>6.6819647679818003E-2</v>
      </c>
      <c r="P246" s="150">
        <f t="shared" ref="P246" si="1359">IF((P243+P244+P245)=0,0,(P243*$B247)/(P243+P244+P245))</f>
        <v>0</v>
      </c>
      <c r="Q246" s="150">
        <f t="shared" ref="Q246" si="1360">IF((Q243+Q244+Q245)=0,0,(Q243*$B247)/(Q243+Q244+Q245))</f>
        <v>0</v>
      </c>
      <c r="R246" s="150">
        <f t="shared" ref="R246" si="1361">IF((R243+R244+R245)=0,0,(R243*$B247)/(R243+R244+R245))</f>
        <v>3.1182502250581733E-2</v>
      </c>
      <c r="S246" s="150">
        <f t="shared" ref="S246" si="1362">IF((S243+S244+S245)=0,0,(S243*$B247)/(S243+S244+S245))</f>
        <v>0</v>
      </c>
      <c r="T246" s="150">
        <f t="shared" ref="T246" si="1363">IF((T243+T244+T245)=0,0,(T243*$B247)/(T243+T244+T245))</f>
        <v>0</v>
      </c>
      <c r="U246" s="150">
        <f t="shared" ref="U246" si="1364">IF((U243+U244+U245)=0,0,(U243*$B247)/(U243+U244+U245))</f>
        <v>0</v>
      </c>
      <c r="V246" s="150">
        <f t="shared" ref="V246" si="1365">IF((V243+V244+V245)=0,0,(V243*$B247)/(V243+V244+V245))</f>
        <v>0</v>
      </c>
      <c r="W246" s="150">
        <f t="shared" ref="W246" si="1366">IF((W243+W244+W245)=0,0,(W243*$B247)/(W243+W244+W245))</f>
        <v>0</v>
      </c>
      <c r="X246" s="150">
        <f t="shared" ref="X246" si="1367">IF((X243+X244+X245)=0,0,(X243*$B247)/(X243+X244+X245))</f>
        <v>0</v>
      </c>
      <c r="Y246" s="163">
        <f t="shared" ref="Y246" si="1368">IF((Y243+Y244+Y245)=0,0,(Y243*$B247)/(Y243+Y244+Y245))</f>
        <v>0</v>
      </c>
    </row>
    <row r="247" spans="2:25" ht="15" customHeight="1" x14ac:dyDescent="0.2">
      <c r="B247" s="254">
        <v>6.6819647679818003E-2</v>
      </c>
      <c r="C247" s="92">
        <f>E247/SUM(E246:E248)</f>
        <v>0.1348314606741573</v>
      </c>
      <c r="D247" s="61" t="s">
        <v>1</v>
      </c>
      <c r="E247" s="154">
        <f>IF((E243+E244+E245)=0,0,(E244*$B247)/(E243+E244+E245))</f>
        <v>9.009390698402427E-3</v>
      </c>
      <c r="F247" s="154">
        <f>IF((F243+F244+F245)=0,0,(F244*$B247)/(F243+F244+F245))</f>
        <v>0</v>
      </c>
      <c r="G247" s="154">
        <f t="shared" ref="G247:O247" si="1369">IF((G243+G244+G245)=0,0,(G244*$B247)/(G243+G244+G245))</f>
        <v>0</v>
      </c>
      <c r="H247" s="154">
        <f t="shared" si="1369"/>
        <v>3.037256712719E-3</v>
      </c>
      <c r="I247" s="154">
        <f t="shared" si="1369"/>
        <v>0</v>
      </c>
      <c r="J247" s="154">
        <f t="shared" si="1369"/>
        <v>0</v>
      </c>
      <c r="K247" s="154">
        <f t="shared" si="1369"/>
        <v>0</v>
      </c>
      <c r="L247" s="154">
        <f t="shared" si="1369"/>
        <v>1.1791702531732588E-2</v>
      </c>
      <c r="M247" s="154">
        <f t="shared" si="1369"/>
        <v>0</v>
      </c>
      <c r="N247" s="154">
        <f t="shared" si="1369"/>
        <v>0</v>
      </c>
      <c r="O247" s="154">
        <f t="shared" si="1369"/>
        <v>0</v>
      </c>
      <c r="P247" s="154">
        <f>IF((P243+P244+P245)=0,0,(P244*$B247)/(P243+P244+P245))</f>
        <v>0</v>
      </c>
      <c r="Q247" s="154">
        <f t="shared" ref="Q247:Y247" si="1370">IF((Q243+Q244+Q245)=0,0,(Q244*$B247)/(Q243+Q244+Q245))</f>
        <v>0</v>
      </c>
      <c r="R247" s="154">
        <f t="shared" si="1370"/>
        <v>3.5637145429236267E-2</v>
      </c>
      <c r="S247" s="154">
        <f t="shared" si="1370"/>
        <v>0</v>
      </c>
      <c r="T247" s="154">
        <f t="shared" si="1370"/>
        <v>0</v>
      </c>
      <c r="U247" s="154">
        <f t="shared" si="1370"/>
        <v>0</v>
      </c>
      <c r="V247" s="154">
        <f t="shared" si="1370"/>
        <v>0</v>
      </c>
      <c r="W247" s="154">
        <f t="shared" si="1370"/>
        <v>0</v>
      </c>
      <c r="X247" s="154">
        <f t="shared" si="1370"/>
        <v>0</v>
      </c>
      <c r="Y247" s="159">
        <f t="shared" si="1370"/>
        <v>0</v>
      </c>
    </row>
    <row r="248" spans="2:25" ht="15" customHeight="1" thickBot="1" x14ac:dyDescent="0.25">
      <c r="B248" s="255"/>
      <c r="C248" s="93">
        <f>E248/SUM(E246:E248)</f>
        <v>0</v>
      </c>
      <c r="D248" s="75" t="s">
        <v>2</v>
      </c>
      <c r="E248" s="155">
        <f>IF((E243+E244+E245)=0,0,(E245*$B247)/(E243+E244+E245))</f>
        <v>0</v>
      </c>
      <c r="F248" s="155">
        <f>IF((F243+F244+F245)=0,0,(F245*$B247)/(F243+F244+F245))</f>
        <v>0</v>
      </c>
      <c r="G248" s="155">
        <f t="shared" ref="G248" si="1371">IF((G243+G244+G245)=0,0,(G245*$B247)/(G243+G244+G245))</f>
        <v>0</v>
      </c>
      <c r="H248" s="155">
        <f t="shared" ref="H248" si="1372">IF((H243+H244+H245)=0,0,(H245*$B247)/(H243+H244+H245))</f>
        <v>0</v>
      </c>
      <c r="I248" s="155">
        <f t="shared" ref="I248" si="1373">IF((I243+I244+I245)=0,0,(I245*$B247)/(I243+I244+I245))</f>
        <v>0</v>
      </c>
      <c r="J248" s="155">
        <f t="shared" ref="J248" si="1374">IF((J243+J244+J245)=0,0,(J245*$B247)/(J243+J244+J245))</f>
        <v>0</v>
      </c>
      <c r="K248" s="155">
        <f t="shared" ref="K248" si="1375">IF((K243+K244+K245)=0,0,(K245*$B247)/(K243+K244+K245))</f>
        <v>0</v>
      </c>
      <c r="L248" s="155">
        <f t="shared" ref="L248" si="1376">IF((L243+L244+L245)=0,0,(L245*$B247)/(L243+L244+L245))</f>
        <v>0</v>
      </c>
      <c r="M248" s="155">
        <f t="shared" ref="M248" si="1377">IF((M243+M244+M245)=0,0,(M245*$B247)/(M243+M244+M245))</f>
        <v>0</v>
      </c>
      <c r="N248" s="155">
        <f t="shared" ref="N248" si="1378">IF((N243+N244+N245)=0,0,(N245*$B247)/(N243+N244+N245))</f>
        <v>0</v>
      </c>
      <c r="O248" s="155">
        <f t="shared" ref="O248" si="1379">IF((O243+O244+O245)=0,0,(O245*$B247)/(O243+O244+O245))</f>
        <v>0</v>
      </c>
      <c r="P248" s="155">
        <f t="shared" ref="P248" si="1380">IF((P243+P244+P245)=0,0,(P245*$B247)/(P243+P244+P245))</f>
        <v>0</v>
      </c>
      <c r="Q248" s="155">
        <f t="shared" ref="Q248" si="1381">IF((Q243+Q244+Q245)=0,0,(Q245*$B247)/(Q243+Q244+Q245))</f>
        <v>0</v>
      </c>
      <c r="R248" s="155">
        <f t="shared" ref="R248" si="1382">IF((R243+R244+R245)=0,0,(R245*$B247)/(R243+R244+R245))</f>
        <v>0</v>
      </c>
      <c r="S248" s="155">
        <f t="shared" ref="S248" si="1383">IF((S243+S244+S245)=0,0,(S245*$B247)/(S243+S244+S245))</f>
        <v>0</v>
      </c>
      <c r="T248" s="155">
        <f t="shared" ref="T248" si="1384">IF((T243+T244+T245)=0,0,(T245*$B247)/(T243+T244+T245))</f>
        <v>0</v>
      </c>
      <c r="U248" s="155">
        <f t="shared" ref="U248" si="1385">IF((U243+U244+U245)=0,0,(U245*$B247)/(U243+U244+U245))</f>
        <v>0</v>
      </c>
      <c r="V248" s="155">
        <f t="shared" ref="V248" si="1386">IF((V243+V244+V245)=0,0,(V245*$B247)/(V243+V244+V245))</f>
        <v>0</v>
      </c>
      <c r="W248" s="155">
        <f t="shared" ref="W248" si="1387">IF((W243+W244+W245)=0,0,(W245*$B247)/(W243+W244+W245))</f>
        <v>0</v>
      </c>
      <c r="X248" s="155">
        <f t="shared" ref="X248" si="1388">IF((X243+X244+X245)=0,0,(X245*$B247)/(X243+X244+X245))</f>
        <v>0</v>
      </c>
      <c r="Y248" s="160">
        <f t="shared" ref="Y248" si="1389">IF((Y243+Y244+Y245)=0,0,(Y245*$B247)/(Y243+Y244+Y245))</f>
        <v>0</v>
      </c>
    </row>
    <row r="249" spans="2:25" ht="15" customHeight="1" x14ac:dyDescent="0.2">
      <c r="B249" s="249" t="s">
        <v>68</v>
      </c>
      <c r="C249" s="91">
        <f>E249/SUM(E249:E251)</f>
        <v>0.70270270270270274</v>
      </c>
      <c r="D249" s="67" t="s">
        <v>0</v>
      </c>
      <c r="E249" s="68">
        <f t="shared" si="1301"/>
        <v>26</v>
      </c>
      <c r="F249" s="68">
        <f>SUMIFS([0]!Chavez,[0]!Centro,B251,[0]!Turno,F$230)</f>
        <v>8</v>
      </c>
      <c r="G249" s="68">
        <f>SUMIFS([0]!Chavez,[0]!Centro,B251,[0]!Turno,G$230)</f>
        <v>6</v>
      </c>
      <c r="H249" s="68">
        <f>SUMIFS([0]!Chavez,[0]!Centro,B251,[0]!Turno,H$230)</f>
        <v>1</v>
      </c>
      <c r="I249" s="68">
        <f>SUMIFS([0]!Chavez,[0]!Centro,B251,[0]!Turno,I$230)</f>
        <v>0</v>
      </c>
      <c r="J249" s="68">
        <f>SUMIFS([0]!Chavez,[0]!Centro,B251,[0]!Turno,J$230)</f>
        <v>7</v>
      </c>
      <c r="K249" s="68">
        <f>SUMIFS([0]!Chavez,[0]!Centro,B251,[0]!Turno,K$230)</f>
        <v>1</v>
      </c>
      <c r="L249" s="68">
        <f>SUMIFS([0]!Chavez,[0]!Centro,B251,[0]!Turno,L$230)</f>
        <v>0</v>
      </c>
      <c r="M249" s="68">
        <f>SUMIFS([0]!Chavez,[0]!Centro,B251,[0]!Turno,M$230)</f>
        <v>0</v>
      </c>
      <c r="N249" s="68">
        <f>SUMIFS([0]!Chavez,[0]!Centro,B251,[0]!Turno,N$230)</f>
        <v>1</v>
      </c>
      <c r="O249" s="68">
        <f>SUMIFS([0]!Chavez,[0]!Centro,B251,[0]!Turno,O$230)</f>
        <v>0</v>
      </c>
      <c r="P249" s="68">
        <f>SUMIFS([0]!Chavez,[0]!Centro,B251,[0]!Turno,P$230)</f>
        <v>0</v>
      </c>
      <c r="Q249" s="68">
        <f>SUMIFS([0]!Chavez,[0]!Centro,B251,[0]!Turno,Q$230)</f>
        <v>0</v>
      </c>
      <c r="R249" s="68">
        <f>SUMIFS([0]!Chavez,[0]!Centro,B251,[0]!Turno,R$230)</f>
        <v>2</v>
      </c>
      <c r="S249" s="68">
        <f>SUMIFS([0]!Chavez,[0]!Centro,B251,[0]!Turno,S$230)</f>
        <v>0</v>
      </c>
      <c r="T249" s="68">
        <f>SUMIFS([0]!Chavez,[0]!Centro,B251,[0]!Turno,T$230)</f>
        <v>0</v>
      </c>
      <c r="U249" s="68">
        <f>SUMIFS([0]!Chavez,[0]!Centro,B251,[0]!Turno,U$230)</f>
        <v>0</v>
      </c>
      <c r="V249" s="68">
        <f>SUMIFS([0]!Chavez,[0]!Centro,B251,[0]!Turno,V$230)</f>
        <v>0</v>
      </c>
      <c r="W249" s="68">
        <f>SUMIFS([0]!Chavez,[0]!Centro,B251,[0]!Turno,W$230)</f>
        <v>0</v>
      </c>
      <c r="X249" s="68">
        <f>SUMIFS([0]!Chavez,[0]!Centro,B251,[0]!Turno,X$230)</f>
        <v>0</v>
      </c>
      <c r="Y249" s="69">
        <f>SUMIFS([0]!Chavez,[0]!Centro,B251,[0]!Turno,Y$230)</f>
        <v>0</v>
      </c>
    </row>
    <row r="250" spans="2:25" ht="15" customHeight="1" x14ac:dyDescent="0.2">
      <c r="B250" s="250"/>
      <c r="C250" s="92">
        <f>E250/SUM(E249:E251)</f>
        <v>0.27027027027027029</v>
      </c>
      <c r="D250" s="61" t="s">
        <v>1</v>
      </c>
      <c r="E250" s="62">
        <f t="shared" si="1301"/>
        <v>10</v>
      </c>
      <c r="F250" s="62">
        <f>SUMIFS([0]!Capriles,[0]!Centro,B251,[0]!Turno,F$230)</f>
        <v>1</v>
      </c>
      <c r="G250" s="62">
        <f>SUMIFS([0]!Capriles,[0]!Centro,B251,[0]!Turno,G$230)</f>
        <v>2</v>
      </c>
      <c r="H250" s="62">
        <f>SUMIFS([0]!Capriles,[0]!Centro,B251,[0]!Turno,H$230)</f>
        <v>2</v>
      </c>
      <c r="I250" s="62">
        <f>SUMIFS([0]!Capriles,[0]!Centro,B251,[0]!Turno,I$230)</f>
        <v>0</v>
      </c>
      <c r="J250" s="62">
        <f>SUMIFS([0]!Capriles,[0]!Centro,B251,[0]!Turno,J$230)</f>
        <v>1</v>
      </c>
      <c r="K250" s="62">
        <f>SUMIFS([0]!Capriles,[0]!Centro,B251,[0]!Turno,K$230)</f>
        <v>1</v>
      </c>
      <c r="L250" s="62">
        <f>SUMIFS([0]!Capriles,[0]!Centro,B251,[0]!Turno,L$230)</f>
        <v>2</v>
      </c>
      <c r="M250" s="62">
        <f>SUMIFS([0]!Capriles,[0]!Centro,B251,[0]!Turno,M$230)</f>
        <v>0</v>
      </c>
      <c r="N250" s="62">
        <f>SUMIFS([0]!Capriles,[0]!Centro,B251,[0]!Turno,N$230)</f>
        <v>1</v>
      </c>
      <c r="O250" s="62">
        <f>SUMIFS([0]!Capriles,[0]!Centro,B251,[0]!Turno,O$230)</f>
        <v>0</v>
      </c>
      <c r="P250" s="62">
        <f>SUMIFS([0]!Capriles,[0]!Centro,B251,[0]!Turno,P$230)</f>
        <v>0</v>
      </c>
      <c r="Q250" s="62">
        <f>SUMIFS([0]!Capriles,[0]!Centro,B251,[0]!Turno,Q$230)</f>
        <v>0</v>
      </c>
      <c r="R250" s="62">
        <f>SUMIFS([0]!Capriles,[0]!Centro,B251,[0]!Turno,R$230)</f>
        <v>0</v>
      </c>
      <c r="S250" s="62">
        <f>SUMIFS([0]!Capriles,[0]!Centro,B251,[0]!Turno,S$230)</f>
        <v>0</v>
      </c>
      <c r="T250" s="62">
        <f>SUMIFS([0]!Capriles,[0]!Centro,B251,[0]!Turno,T$230)</f>
        <v>0</v>
      </c>
      <c r="U250" s="62">
        <f>SUMIFS([0]!Capriles,[0]!Centro,B251,[0]!Turno,U$230)</f>
        <v>0</v>
      </c>
      <c r="V250" s="62">
        <f>SUMIFS([0]!Capriles,[0]!Centro,B251,[0]!Turno,V$230)</f>
        <v>0</v>
      </c>
      <c r="W250" s="62">
        <f>SUMIFS([0]!Capriles,[0]!Centro,B251,[0]!Turno,W$230)</f>
        <v>0</v>
      </c>
      <c r="X250" s="62">
        <f>SUMIFS([0]!Capriles,[0]!Centro,B251,[0]!Turno,X$230)</f>
        <v>0</v>
      </c>
      <c r="Y250" s="70">
        <f>SUMIFS([0]!Capriles,[0]!Centro,B251,[0]!Turno,Y$230)</f>
        <v>0</v>
      </c>
    </row>
    <row r="251" spans="2:25" ht="15" customHeight="1" thickBot="1" x14ac:dyDescent="0.25">
      <c r="B251" s="261">
        <v>52</v>
      </c>
      <c r="C251" s="100">
        <f>E251/SUM(E249:E251)</f>
        <v>2.7027027027027029E-2</v>
      </c>
      <c r="D251" s="71" t="s">
        <v>2</v>
      </c>
      <c r="E251" s="72">
        <f t="shared" si="1301"/>
        <v>1</v>
      </c>
      <c r="F251" s="72">
        <f>SUMIFS([0]!Otro,[0]!Centro,B251,[0]!Turno,F$230)</f>
        <v>1</v>
      </c>
      <c r="G251" s="72">
        <f>SUMIFS([0]!Otro,[0]!Centro,B251,[0]!Turno,G$230)</f>
        <v>0</v>
      </c>
      <c r="H251" s="72">
        <f>SUMIFS([0]!Otro,[0]!Centro,B251,[0]!Turno,H$230)</f>
        <v>0</v>
      </c>
      <c r="I251" s="72">
        <f>SUMIFS([0]!Otro,[0]!Centro,B251,[0]!Turno,I$230)</f>
        <v>0</v>
      </c>
      <c r="J251" s="72">
        <f>SUMIFS([0]!Otro,[0]!Centro,B251,[0]!Turno,J$230)</f>
        <v>0</v>
      </c>
      <c r="K251" s="72">
        <f>SUMIFS([0]!Otro,[0]!Centro,B251,[0]!Turno,K$230)</f>
        <v>0</v>
      </c>
      <c r="L251" s="72">
        <f>SUMIFS([0]!Otro,[0]!Centro,B251,[0]!Turno,L$230)</f>
        <v>0</v>
      </c>
      <c r="M251" s="72">
        <f>SUMIFS([0]!Otro,[0]!Centro,B251,[0]!Turno,M$230)</f>
        <v>0</v>
      </c>
      <c r="N251" s="72">
        <f>SUMIFS([0]!Otro,[0]!Centro,B251,[0]!Turno,N$230)</f>
        <v>0</v>
      </c>
      <c r="O251" s="72">
        <f>SUMIFS([0]!Otro,[0]!Centro,B251,[0]!Turno,O$230)</f>
        <v>0</v>
      </c>
      <c r="P251" s="72">
        <f>SUMIFS([0]!Otro,[0]!Centro,B251,[0]!Turno,P$230)</f>
        <v>0</v>
      </c>
      <c r="Q251" s="72">
        <f>SUMIFS([0]!Otro,[0]!Centro,B251,[0]!Turno,Q$230)</f>
        <v>0</v>
      </c>
      <c r="R251" s="72">
        <f>SUMIFS([0]!Otro,[0]!Centro,B251,[0]!Turno,R$230)</f>
        <v>0</v>
      </c>
      <c r="S251" s="72">
        <f>SUMIFS([0]!Otro,[0]!Centro,B251,[0]!Turno,S$230)</f>
        <v>0</v>
      </c>
      <c r="T251" s="72">
        <f>SUMIFS([0]!Otro,[0]!Centro,B251,[0]!Turno,T$230)</f>
        <v>0</v>
      </c>
      <c r="U251" s="72">
        <f>SUMIFS([0]!Otro,[0]!Centro,B251,[0]!Turno,U$230)</f>
        <v>0</v>
      </c>
      <c r="V251" s="72">
        <f>SUMIFS([0]!Otro,[0]!Centro,B251,[0]!Turno,V$230)</f>
        <v>0</v>
      </c>
      <c r="W251" s="72">
        <f>SUMIFS([0]!Otro,[0]!Centro,B251,[0]!Turno,W$230)</f>
        <v>0</v>
      </c>
      <c r="X251" s="72">
        <f>SUMIFS([0]!Otro,[0]!Centro,B251,[0]!Turno,X$230)</f>
        <v>0</v>
      </c>
      <c r="Y251" s="73">
        <f>SUMIFS([0]!Otro,[0]!Centro,B251,[0]!Turno,Y$230)</f>
        <v>0</v>
      </c>
    </row>
    <row r="252" spans="2:25" ht="15" customHeight="1" x14ac:dyDescent="0.2">
      <c r="B252" s="261"/>
      <c r="C252" s="94">
        <f>E252/SUM(E252:E254)</f>
        <v>0.70270270270270274</v>
      </c>
      <c r="D252" s="63" t="s">
        <v>0</v>
      </c>
      <c r="E252" s="150">
        <f>IF((E249+E250+E251)=0,0,(E249*$B253)/(E249+E250+E251))</f>
        <v>3.1646252990009012E-2</v>
      </c>
      <c r="F252" s="150">
        <f>IF((F249+F250+F251)=0,0,(F249*$B253)/(F249+F250+F251))</f>
        <v>3.602804186554872E-2</v>
      </c>
      <c r="G252" s="150">
        <f t="shared" ref="G252" si="1390">IF((G249+G250+G251)=0,0,(G249*$B253)/(G249+G250+G251))</f>
        <v>3.377628924895193E-2</v>
      </c>
      <c r="H252" s="150">
        <f t="shared" ref="H252" si="1391">IF((H249+H250+H251)=0,0,(H249*$B253)/(H249+H250+H251))</f>
        <v>1.5011684110645301E-2</v>
      </c>
      <c r="I252" s="150">
        <f t="shared" ref="I252" si="1392">IF((I249+I250+I251)=0,0,(I249*$B253)/(I249+I250+I251))</f>
        <v>0</v>
      </c>
      <c r="J252" s="150">
        <f t="shared" ref="J252" si="1393">IF((J249+J250+J251)=0,0,(J249*$B253)/(J249+J250+J251))</f>
        <v>3.9405670790443915E-2</v>
      </c>
      <c r="K252" s="150">
        <f t="shared" ref="K252" si="1394">IF((K249+K250+K251)=0,0,(K249*$B253)/(K249+K250+K251))</f>
        <v>2.2517526165967951E-2</v>
      </c>
      <c r="L252" s="150">
        <f t="shared" ref="L252" si="1395">IF((L249+L250+L251)=0,0,(L249*$B253)/(L249+L250+L251))</f>
        <v>0</v>
      </c>
      <c r="M252" s="150">
        <f t="shared" ref="M252" si="1396">IF((M249+M250+M251)=0,0,(M249*$B253)/(M249+M250+M251))</f>
        <v>0</v>
      </c>
      <c r="N252" s="150">
        <f t="shared" ref="N252" si="1397">IF((N249+N250+N251)=0,0,(N249*$B253)/(N249+N250+N251))</f>
        <v>2.2517526165967951E-2</v>
      </c>
      <c r="O252" s="150">
        <f t="shared" ref="O252" si="1398">IF((O249+O250+O251)=0,0,(O249*$B253)/(O249+O250+O251))</f>
        <v>0</v>
      </c>
      <c r="P252" s="150">
        <f t="shared" ref="P252" si="1399">IF((P249+P250+P251)=0,0,(P249*$B253)/(P249+P250+P251))</f>
        <v>0</v>
      </c>
      <c r="Q252" s="150">
        <f t="shared" ref="Q252" si="1400">IF((Q249+Q250+Q251)=0,0,(Q249*$B253)/(Q249+Q250+Q251))</f>
        <v>0</v>
      </c>
      <c r="R252" s="150">
        <f t="shared" ref="R252" si="1401">IF((R249+R250+R251)=0,0,(R249*$B253)/(R249+R250+R251))</f>
        <v>4.5035052331935901E-2</v>
      </c>
      <c r="S252" s="150">
        <f t="shared" ref="S252" si="1402">IF((S249+S250+S251)=0,0,(S249*$B253)/(S249+S250+S251))</f>
        <v>0</v>
      </c>
      <c r="T252" s="150">
        <f t="shared" ref="T252" si="1403">IF((T249+T250+T251)=0,0,(T249*$B253)/(T249+T250+T251))</f>
        <v>0</v>
      </c>
      <c r="U252" s="150">
        <f t="shared" ref="U252" si="1404">IF((U249+U250+U251)=0,0,(U249*$B253)/(U249+U250+U251))</f>
        <v>0</v>
      </c>
      <c r="V252" s="150">
        <f t="shared" ref="V252" si="1405">IF((V249+V250+V251)=0,0,(V249*$B253)/(V249+V250+V251))</f>
        <v>0</v>
      </c>
      <c r="W252" s="150">
        <f t="shared" ref="W252" si="1406">IF((W249+W250+W251)=0,0,(W249*$B253)/(W249+W250+W251))</f>
        <v>0</v>
      </c>
      <c r="X252" s="150">
        <f t="shared" ref="X252" si="1407">IF((X249+X250+X251)=0,0,(X249*$B253)/(X249+X250+X251))</f>
        <v>0</v>
      </c>
      <c r="Y252" s="163">
        <f t="shared" ref="Y252" si="1408">IF((Y249+Y250+Y251)=0,0,(Y249*$B253)/(Y249+Y250+Y251))</f>
        <v>0</v>
      </c>
    </row>
    <row r="253" spans="2:25" ht="15" customHeight="1" x14ac:dyDescent="0.2">
      <c r="B253" s="254">
        <v>4.5035052331935901E-2</v>
      </c>
      <c r="C253" s="92">
        <f>E253/SUM(E252:E254)</f>
        <v>0.27027027027027029</v>
      </c>
      <c r="D253" s="61" t="s">
        <v>1</v>
      </c>
      <c r="E253" s="154">
        <f>IF((E249+E250+E251)=0,0,(E250*$B253)/(E249+E250+E251))</f>
        <v>1.2171635765388081E-2</v>
      </c>
      <c r="F253" s="154">
        <f>IF((F249+F250+F251)=0,0,(F250*$B253)/(F249+F250+F251))</f>
        <v>4.50350523319359E-3</v>
      </c>
      <c r="G253" s="154">
        <f t="shared" ref="G253:O253" si="1409">IF((G249+G250+G251)=0,0,(G250*$B253)/(G249+G250+G251))</f>
        <v>1.1258763082983975E-2</v>
      </c>
      <c r="H253" s="154">
        <f t="shared" si="1409"/>
        <v>3.0023368221290602E-2</v>
      </c>
      <c r="I253" s="154">
        <f t="shared" si="1409"/>
        <v>0</v>
      </c>
      <c r="J253" s="154">
        <f t="shared" si="1409"/>
        <v>5.6293815414919877E-3</v>
      </c>
      <c r="K253" s="154">
        <f t="shared" si="1409"/>
        <v>2.2517526165967951E-2</v>
      </c>
      <c r="L253" s="154">
        <f t="shared" si="1409"/>
        <v>4.5035052331935901E-2</v>
      </c>
      <c r="M253" s="154">
        <f t="shared" si="1409"/>
        <v>0</v>
      </c>
      <c r="N253" s="154">
        <f t="shared" si="1409"/>
        <v>2.2517526165967951E-2</v>
      </c>
      <c r="O253" s="154">
        <f t="shared" si="1409"/>
        <v>0</v>
      </c>
      <c r="P253" s="154">
        <f>IF((P249+P250+P251)=0,0,(P250*$B253)/(P249+P250+P251))</f>
        <v>0</v>
      </c>
      <c r="Q253" s="154">
        <f t="shared" ref="Q253:Y253" si="1410">IF((Q249+Q250+Q251)=0,0,(Q250*$B253)/(Q249+Q250+Q251))</f>
        <v>0</v>
      </c>
      <c r="R253" s="154">
        <f t="shared" si="1410"/>
        <v>0</v>
      </c>
      <c r="S253" s="154">
        <f t="shared" si="1410"/>
        <v>0</v>
      </c>
      <c r="T253" s="154">
        <f t="shared" si="1410"/>
        <v>0</v>
      </c>
      <c r="U253" s="154">
        <f t="shared" si="1410"/>
        <v>0</v>
      </c>
      <c r="V253" s="154">
        <f t="shared" si="1410"/>
        <v>0</v>
      </c>
      <c r="W253" s="154">
        <f t="shared" si="1410"/>
        <v>0</v>
      </c>
      <c r="X253" s="154">
        <f t="shared" si="1410"/>
        <v>0</v>
      </c>
      <c r="Y253" s="159">
        <f t="shared" si="1410"/>
        <v>0</v>
      </c>
    </row>
    <row r="254" spans="2:25" ht="15" customHeight="1" thickBot="1" x14ac:dyDescent="0.25">
      <c r="B254" s="255"/>
      <c r="C254" s="93">
        <f>E254/SUM(E252:E254)</f>
        <v>2.7027027027027025E-2</v>
      </c>
      <c r="D254" s="75" t="s">
        <v>2</v>
      </c>
      <c r="E254" s="155">
        <f>IF((E249+E250+E251)=0,0,(E251*$B253)/(E249+E250+E251))</f>
        <v>1.2171635765388081E-3</v>
      </c>
      <c r="F254" s="155">
        <f>IF((F249+F250+F251)=0,0,(F251*$B253)/(F249+F250+F251))</f>
        <v>4.50350523319359E-3</v>
      </c>
      <c r="G254" s="155">
        <f t="shared" ref="G254" si="1411">IF((G249+G250+G251)=0,0,(G251*$B253)/(G249+G250+G251))</f>
        <v>0</v>
      </c>
      <c r="H254" s="155">
        <f t="shared" ref="H254" si="1412">IF((H249+H250+H251)=0,0,(H251*$B253)/(H249+H250+H251))</f>
        <v>0</v>
      </c>
      <c r="I254" s="155">
        <f t="shared" ref="I254" si="1413">IF((I249+I250+I251)=0,0,(I251*$B253)/(I249+I250+I251))</f>
        <v>0</v>
      </c>
      <c r="J254" s="155">
        <f t="shared" ref="J254" si="1414">IF((J249+J250+J251)=0,0,(J251*$B253)/(J249+J250+J251))</f>
        <v>0</v>
      </c>
      <c r="K254" s="155">
        <f t="shared" ref="K254" si="1415">IF((K249+K250+K251)=0,0,(K251*$B253)/(K249+K250+K251))</f>
        <v>0</v>
      </c>
      <c r="L254" s="155">
        <f t="shared" ref="L254" si="1416">IF((L249+L250+L251)=0,0,(L251*$B253)/(L249+L250+L251))</f>
        <v>0</v>
      </c>
      <c r="M254" s="155">
        <f t="shared" ref="M254" si="1417">IF((M249+M250+M251)=0,0,(M251*$B253)/(M249+M250+M251))</f>
        <v>0</v>
      </c>
      <c r="N254" s="155">
        <f t="shared" ref="N254" si="1418">IF((N249+N250+N251)=0,0,(N251*$B253)/(N249+N250+N251))</f>
        <v>0</v>
      </c>
      <c r="O254" s="155">
        <f t="shared" ref="O254" si="1419">IF((O249+O250+O251)=0,0,(O251*$B253)/(O249+O250+O251))</f>
        <v>0</v>
      </c>
      <c r="P254" s="155">
        <f t="shared" ref="P254" si="1420">IF((P249+P250+P251)=0,0,(P251*$B253)/(P249+P250+P251))</f>
        <v>0</v>
      </c>
      <c r="Q254" s="155">
        <f t="shared" ref="Q254" si="1421">IF((Q249+Q250+Q251)=0,0,(Q251*$B253)/(Q249+Q250+Q251))</f>
        <v>0</v>
      </c>
      <c r="R254" s="155">
        <f t="shared" ref="R254" si="1422">IF((R249+R250+R251)=0,0,(R251*$B253)/(R249+R250+R251))</f>
        <v>0</v>
      </c>
      <c r="S254" s="155">
        <f t="shared" ref="S254" si="1423">IF((S249+S250+S251)=0,0,(S251*$B253)/(S249+S250+S251))</f>
        <v>0</v>
      </c>
      <c r="T254" s="155">
        <f t="shared" ref="T254" si="1424">IF((T249+T250+T251)=0,0,(T251*$B253)/(T249+T250+T251))</f>
        <v>0</v>
      </c>
      <c r="U254" s="155">
        <f t="shared" ref="U254" si="1425">IF((U249+U250+U251)=0,0,(U251*$B253)/(U249+U250+U251))</f>
        <v>0</v>
      </c>
      <c r="V254" s="155">
        <f t="shared" ref="V254" si="1426">IF((V249+V250+V251)=0,0,(V251*$B253)/(V249+V250+V251))</f>
        <v>0</v>
      </c>
      <c r="W254" s="155">
        <f t="shared" ref="W254" si="1427">IF((W249+W250+W251)=0,0,(W251*$B253)/(W249+W250+W251))</f>
        <v>0</v>
      </c>
      <c r="X254" s="155">
        <f t="shared" ref="X254" si="1428">IF((X249+X250+X251)=0,0,(X251*$B253)/(X249+X250+X251))</f>
        <v>0</v>
      </c>
      <c r="Y254" s="160">
        <f t="shared" ref="Y254" si="1429">IF((Y249+Y250+Y251)=0,0,(Y251*$B253)/(Y249+Y250+Y251))</f>
        <v>0</v>
      </c>
    </row>
    <row r="255" spans="2:25" ht="15" customHeight="1" x14ac:dyDescent="0.2">
      <c r="B255" s="249" t="s">
        <v>69</v>
      </c>
      <c r="C255" s="91">
        <f>E255/SUM(E255:E257)</f>
        <v>0.53992395437262353</v>
      </c>
      <c r="D255" s="67" t="s">
        <v>0</v>
      </c>
      <c r="E255" s="68">
        <f t="shared" si="1301"/>
        <v>142</v>
      </c>
      <c r="F255" s="68">
        <f>SUMIFS([0]!Chavez,[0]!Centro,B257,[0]!Turno,F$230)</f>
        <v>0</v>
      </c>
      <c r="G255" s="68">
        <f>SUMIFS([0]!Chavez,[0]!Centro,B257,[0]!Turno,G$230)</f>
        <v>8</v>
      </c>
      <c r="H255" s="68">
        <f>SUMIFS([0]!Chavez,[0]!Centro,B257,[0]!Turno,H$230)</f>
        <v>6</v>
      </c>
      <c r="I255" s="68">
        <f>SUMIFS([0]!Chavez,[0]!Centro,B257,[0]!Turno,I$230)</f>
        <v>0</v>
      </c>
      <c r="J255" s="68">
        <f>SUMIFS([0]!Chavez,[0]!Centro,B257,[0]!Turno,J$230)</f>
        <v>10</v>
      </c>
      <c r="K255" s="68">
        <f>SUMIFS([0]!Chavez,[0]!Centro,B257,[0]!Turno,K$230)</f>
        <v>27</v>
      </c>
      <c r="L255" s="68">
        <f>SUMIFS([0]!Chavez,[0]!Centro,B257,[0]!Turno,L$230)</f>
        <v>8</v>
      </c>
      <c r="M255" s="68">
        <f>SUMIFS([0]!Chavez,[0]!Centro,B257,[0]!Turno,M$230)</f>
        <v>10</v>
      </c>
      <c r="N255" s="68">
        <f>SUMIFS([0]!Chavez,[0]!Centro,B257,[0]!Turno,N$230)</f>
        <v>21</v>
      </c>
      <c r="O255" s="68">
        <f>SUMIFS([0]!Chavez,[0]!Centro,B257,[0]!Turno,O$230)</f>
        <v>13</v>
      </c>
      <c r="P255" s="68">
        <f>SUMIFS([0]!Chavez,[0]!Centro,B257,[0]!Turno,P$230)</f>
        <v>0</v>
      </c>
      <c r="Q255" s="68">
        <f>SUMIFS([0]!Chavez,[0]!Centro,B257,[0]!Turno,Q$230)</f>
        <v>0</v>
      </c>
      <c r="R255" s="68">
        <f>SUMIFS([0]!Chavez,[0]!Centro,B257,[0]!Turno,R$230)</f>
        <v>39</v>
      </c>
      <c r="S255" s="68">
        <f>SUMIFS([0]!Chavez,[0]!Centro,B257,[0]!Turno,S$230)</f>
        <v>0</v>
      </c>
      <c r="T255" s="68">
        <f>SUMIFS([0]!Chavez,[0]!Centro,B257,[0]!Turno,T$230)</f>
        <v>0</v>
      </c>
      <c r="U255" s="68">
        <f>SUMIFS([0]!Chavez,[0]!Centro,B257,[0]!Turno,U$230)</f>
        <v>0</v>
      </c>
      <c r="V255" s="68">
        <f>SUMIFS([0]!Chavez,[0]!Centro,B257,[0]!Turno,V$230)</f>
        <v>0</v>
      </c>
      <c r="W255" s="68">
        <f>SUMIFS([0]!Chavez,[0]!Centro,B257,[0]!Turno,W$230)</f>
        <v>0</v>
      </c>
      <c r="X255" s="68">
        <f>SUMIFS([0]!Chavez,[0]!Centro,B257,[0]!Turno,X$230)</f>
        <v>0</v>
      </c>
      <c r="Y255" s="69">
        <f>SUMIFS([0]!Chavez,[0]!Centro,B257,[0]!Turno,Y$230)</f>
        <v>0</v>
      </c>
    </row>
    <row r="256" spans="2:25" ht="15" customHeight="1" x14ac:dyDescent="0.2">
      <c r="B256" s="250"/>
      <c r="C256" s="92">
        <f>E256/SUM(E255:E257)</f>
        <v>0.45247148288973382</v>
      </c>
      <c r="D256" s="61" t="s">
        <v>1</v>
      </c>
      <c r="E256" s="62">
        <f t="shared" si="1301"/>
        <v>119</v>
      </c>
      <c r="F256" s="62">
        <f>SUMIFS([0]!Capriles,[0]!Centro,B257,[0]!Turno,F$230)</f>
        <v>0</v>
      </c>
      <c r="G256" s="62">
        <f>SUMIFS([0]!Capriles,[0]!Centro,B257,[0]!Turno,G$230)</f>
        <v>5</v>
      </c>
      <c r="H256" s="62">
        <f>SUMIFS([0]!Capriles,[0]!Centro,B257,[0]!Turno,H$230)</f>
        <v>0</v>
      </c>
      <c r="I256" s="62">
        <f>SUMIFS([0]!Capriles,[0]!Centro,B257,[0]!Turno,I$230)</f>
        <v>0</v>
      </c>
      <c r="J256" s="62">
        <f>SUMIFS([0]!Capriles,[0]!Centro,B257,[0]!Turno,J$230)</f>
        <v>12</v>
      </c>
      <c r="K256" s="62">
        <f>SUMIFS([0]!Capriles,[0]!Centro,B257,[0]!Turno,K$230)</f>
        <v>41</v>
      </c>
      <c r="L256" s="62">
        <f>SUMIFS([0]!Capriles,[0]!Centro,B257,[0]!Turno,L$230)</f>
        <v>8</v>
      </c>
      <c r="M256" s="62">
        <f>SUMIFS([0]!Capriles,[0]!Centro,B257,[0]!Turno,M$230)</f>
        <v>8</v>
      </c>
      <c r="N256" s="62">
        <f>SUMIFS([0]!Capriles,[0]!Centro,B257,[0]!Turno,N$230)</f>
        <v>5</v>
      </c>
      <c r="O256" s="62">
        <f>SUMIFS([0]!Capriles,[0]!Centro,B257,[0]!Turno,O$230)</f>
        <v>7</v>
      </c>
      <c r="P256" s="62">
        <f>SUMIFS([0]!Capriles,[0]!Centro,B257,[0]!Turno,P$230)</f>
        <v>0</v>
      </c>
      <c r="Q256" s="62">
        <f>SUMIFS([0]!Capriles,[0]!Centro,B257,[0]!Turno,Q$230)</f>
        <v>0</v>
      </c>
      <c r="R256" s="62">
        <f>SUMIFS([0]!Capriles,[0]!Centro,B257,[0]!Turno,R$230)</f>
        <v>33</v>
      </c>
      <c r="S256" s="62">
        <f>SUMIFS([0]!Capriles,[0]!Centro,B257,[0]!Turno,S$230)</f>
        <v>0</v>
      </c>
      <c r="T256" s="62">
        <f>SUMIFS([0]!Capriles,[0]!Centro,B257,[0]!Turno,T$230)</f>
        <v>0</v>
      </c>
      <c r="U256" s="62">
        <f>SUMIFS([0]!Capriles,[0]!Centro,B257,[0]!Turno,U$230)</f>
        <v>0</v>
      </c>
      <c r="V256" s="62">
        <f>SUMIFS([0]!Capriles,[0]!Centro,B257,[0]!Turno,V$230)</f>
        <v>0</v>
      </c>
      <c r="W256" s="62">
        <f>SUMIFS([0]!Capriles,[0]!Centro,B257,[0]!Turno,W$230)</f>
        <v>0</v>
      </c>
      <c r="X256" s="62">
        <f>SUMIFS([0]!Capriles,[0]!Centro,B257,[0]!Turno,X$230)</f>
        <v>0</v>
      </c>
      <c r="Y256" s="70">
        <f>SUMIFS([0]!Capriles,[0]!Centro,B257,[0]!Turno,Y$230)</f>
        <v>0</v>
      </c>
    </row>
    <row r="257" spans="2:25" ht="15" customHeight="1" thickBot="1" x14ac:dyDescent="0.25">
      <c r="B257" s="261">
        <v>53</v>
      </c>
      <c r="C257" s="100">
        <f>E257/SUM(E255:E257)</f>
        <v>7.6045627376425855E-3</v>
      </c>
      <c r="D257" s="71" t="s">
        <v>2</v>
      </c>
      <c r="E257" s="72">
        <f t="shared" si="1301"/>
        <v>2</v>
      </c>
      <c r="F257" s="72">
        <f>SUMIFS([0]!Otro,[0]!Centro,B257,[0]!Turno,F$230)</f>
        <v>0</v>
      </c>
      <c r="G257" s="72">
        <f>SUMIFS([0]!Otro,[0]!Centro,B257,[0]!Turno,G$230)</f>
        <v>0</v>
      </c>
      <c r="H257" s="72">
        <f>SUMIFS([0]!Otro,[0]!Centro,B257,[0]!Turno,H$230)</f>
        <v>0</v>
      </c>
      <c r="I257" s="72">
        <f>SUMIFS([0]!Otro,[0]!Centro,B257,[0]!Turno,I$230)</f>
        <v>0</v>
      </c>
      <c r="J257" s="72">
        <f>SUMIFS([0]!Otro,[0]!Centro,B257,[0]!Turno,J$230)</f>
        <v>0</v>
      </c>
      <c r="K257" s="72">
        <f>SUMIFS([0]!Otro,[0]!Centro,B257,[0]!Turno,K$230)</f>
        <v>0</v>
      </c>
      <c r="L257" s="72">
        <f>SUMIFS([0]!Otro,[0]!Centro,B257,[0]!Turno,L$230)</f>
        <v>0</v>
      </c>
      <c r="M257" s="72">
        <f>SUMIFS([0]!Otro,[0]!Centro,B257,[0]!Turno,M$230)</f>
        <v>0</v>
      </c>
      <c r="N257" s="72">
        <f>SUMIFS([0]!Otro,[0]!Centro,B257,[0]!Turno,N$230)</f>
        <v>2</v>
      </c>
      <c r="O257" s="72">
        <f>SUMIFS([0]!Otro,[0]!Centro,B257,[0]!Turno,O$230)</f>
        <v>0</v>
      </c>
      <c r="P257" s="72">
        <f>SUMIFS([0]!Otro,[0]!Centro,B257,[0]!Turno,P$230)</f>
        <v>0</v>
      </c>
      <c r="Q257" s="72">
        <f>SUMIFS([0]!Otro,[0]!Centro,B257,[0]!Turno,Q$230)</f>
        <v>0</v>
      </c>
      <c r="R257" s="72">
        <f>SUMIFS([0]!Otro,[0]!Centro,B257,[0]!Turno,R$230)</f>
        <v>0</v>
      </c>
      <c r="S257" s="72">
        <f>SUMIFS([0]!Otro,[0]!Centro,B257,[0]!Turno,S$230)</f>
        <v>0</v>
      </c>
      <c r="T257" s="72">
        <f>SUMIFS([0]!Otro,[0]!Centro,B257,[0]!Turno,T$230)</f>
        <v>0</v>
      </c>
      <c r="U257" s="72">
        <f>SUMIFS([0]!Otro,[0]!Centro,B257,[0]!Turno,U$230)</f>
        <v>0</v>
      </c>
      <c r="V257" s="72">
        <f>SUMIFS([0]!Otro,[0]!Centro,B257,[0]!Turno,V$230)</f>
        <v>0</v>
      </c>
      <c r="W257" s="72">
        <f>SUMIFS([0]!Otro,[0]!Centro,B257,[0]!Turno,W$230)</f>
        <v>0</v>
      </c>
      <c r="X257" s="72">
        <f>SUMIFS([0]!Otro,[0]!Centro,B257,[0]!Turno,X$230)</f>
        <v>0</v>
      </c>
      <c r="Y257" s="73">
        <f>SUMIFS([0]!Otro,[0]!Centro,B257,[0]!Turno,Y$230)</f>
        <v>0</v>
      </c>
    </row>
    <row r="258" spans="2:25" ht="15" customHeight="1" x14ac:dyDescent="0.2">
      <c r="B258" s="261"/>
      <c r="C258" s="94">
        <f>E258/SUM(E258:E260)</f>
        <v>0.53992395437262353</v>
      </c>
      <c r="D258" s="63" t="s">
        <v>0</v>
      </c>
      <c r="E258" s="150">
        <f>IF((E255+E256+E257)=0,0,(E255*$B259)/(E255+E256+E257))</f>
        <v>4.2001031330017875E-2</v>
      </c>
      <c r="F258" s="150">
        <f>IF((F255+F256+F257)=0,0,(F255*$B259)/(F255+F256+F257))</f>
        <v>0</v>
      </c>
      <c r="G258" s="150">
        <f t="shared" ref="G258" si="1430">IF((G255+G256+G257)=0,0,(G255*$B259)/(G255+G256+G257))</f>
        <v>4.787116463616338E-2</v>
      </c>
      <c r="H258" s="150">
        <f t="shared" ref="H258" si="1431">IF((H255+H256+H257)=0,0,(H255*$B259)/(H255+H256+H257))</f>
        <v>7.7790642533765497E-2</v>
      </c>
      <c r="I258" s="150">
        <f t="shared" ref="I258" si="1432">IF((I255+I256+I257)=0,0,(I255*$B259)/(I255+I256+I257))</f>
        <v>0</v>
      </c>
      <c r="J258" s="150">
        <f t="shared" ref="J258" si="1433">IF((J255+J256+J257)=0,0,(J255*$B259)/(J255+J256+J257))</f>
        <v>3.535938296989341E-2</v>
      </c>
      <c r="K258" s="150">
        <f t="shared" ref="K258" si="1434">IF((K255+K256+K257)=0,0,(K255*$B259)/(K255+K256+K257))</f>
        <v>3.088746100605395E-2</v>
      </c>
      <c r="L258" s="150">
        <f t="shared" ref="L258" si="1435">IF((L255+L256+L257)=0,0,(L255*$B259)/(L255+L256+L257))</f>
        <v>3.8895321266882749E-2</v>
      </c>
      <c r="M258" s="150">
        <f t="shared" ref="M258" si="1436">IF((M255+M256+M257)=0,0,(M255*$B259)/(M255+M256+M257))</f>
        <v>4.3217023629869719E-2</v>
      </c>
      <c r="N258" s="150">
        <f t="shared" ref="N258" si="1437">IF((N255+N256+N257)=0,0,(N255*$B259)/(N255+N256+N257))</f>
        <v>5.8342981900324123E-2</v>
      </c>
      <c r="O258" s="150">
        <f t="shared" ref="O258" si="1438">IF((O255+O256+O257)=0,0,(O255*$B259)/(O255+O256+O257))</f>
        <v>5.0563917646947579E-2</v>
      </c>
      <c r="P258" s="150">
        <f t="shared" ref="P258" si="1439">IF((P255+P256+P257)=0,0,(P255*$B259)/(P255+P256+P257))</f>
        <v>0</v>
      </c>
      <c r="Q258" s="150">
        <f t="shared" ref="Q258" si="1440">IF((Q255+Q256+Q257)=0,0,(Q255*$B259)/(Q255+Q256+Q257))</f>
        <v>0</v>
      </c>
      <c r="R258" s="150">
        <f t="shared" ref="R258" si="1441">IF((R255+R256+R257)=0,0,(R255*$B259)/(R255+R256+R257))</f>
        <v>4.213659803912298E-2</v>
      </c>
      <c r="S258" s="150">
        <f t="shared" ref="S258" si="1442">IF((S255+S256+S257)=0,0,(S255*$B259)/(S255+S256+S257))</f>
        <v>0</v>
      </c>
      <c r="T258" s="150">
        <f t="shared" ref="T258" si="1443">IF((T255+T256+T257)=0,0,(T255*$B259)/(T255+T256+T257))</f>
        <v>0</v>
      </c>
      <c r="U258" s="150">
        <f t="shared" ref="U258" si="1444">IF((U255+U256+U257)=0,0,(U255*$B259)/(U255+U256+U257))</f>
        <v>0</v>
      </c>
      <c r="V258" s="150">
        <f t="shared" ref="V258" si="1445">IF((V255+V256+V257)=0,0,(V255*$B259)/(V255+V256+V257))</f>
        <v>0</v>
      </c>
      <c r="W258" s="150">
        <f t="shared" ref="W258" si="1446">IF((W255+W256+W257)=0,0,(W255*$B259)/(W255+W256+W257))</f>
        <v>0</v>
      </c>
      <c r="X258" s="150">
        <f t="shared" ref="X258" si="1447">IF((X255+X256+X257)=0,0,(X255*$B259)/(X255+X256+X257))</f>
        <v>0</v>
      </c>
      <c r="Y258" s="163">
        <f t="shared" ref="Y258" si="1448">IF((Y255+Y256+Y257)=0,0,(Y255*$B259)/(Y255+Y256+Y257))</f>
        <v>0</v>
      </c>
    </row>
    <row r="259" spans="2:25" ht="15" customHeight="1" x14ac:dyDescent="0.2">
      <c r="B259" s="254">
        <v>7.7790642533765497E-2</v>
      </c>
      <c r="C259" s="92">
        <f>E259/SUM(E258:E260)</f>
        <v>0.45247148288973371</v>
      </c>
      <c r="D259" s="61" t="s">
        <v>1</v>
      </c>
      <c r="E259" s="154">
        <f>IF((E255+E256+E257)=0,0,(E256*$B259)/(E255+E256+E257))</f>
        <v>3.5198047382198075E-2</v>
      </c>
      <c r="F259" s="154">
        <f>IF((F255+F256+F257)=0,0,(F256*$B259)/(F255+F256+F257))</f>
        <v>0</v>
      </c>
      <c r="G259" s="154">
        <f t="shared" ref="G259:O259" si="1449">IF((G255+G256+G257)=0,0,(G256*$B259)/(G255+G256+G257))</f>
        <v>2.9919477897602114E-2</v>
      </c>
      <c r="H259" s="154">
        <f t="shared" si="1449"/>
        <v>0</v>
      </c>
      <c r="I259" s="154">
        <f t="shared" si="1449"/>
        <v>0</v>
      </c>
      <c r="J259" s="154">
        <f t="shared" si="1449"/>
        <v>4.2431259563872087E-2</v>
      </c>
      <c r="K259" s="154">
        <f t="shared" si="1449"/>
        <v>4.690318152771155E-2</v>
      </c>
      <c r="L259" s="154">
        <f t="shared" si="1449"/>
        <v>3.8895321266882749E-2</v>
      </c>
      <c r="M259" s="154">
        <f t="shared" si="1449"/>
        <v>3.4573618903895778E-2</v>
      </c>
      <c r="N259" s="154">
        <f t="shared" si="1449"/>
        <v>1.3891186166743839E-2</v>
      </c>
      <c r="O259" s="154">
        <f t="shared" si="1449"/>
        <v>2.7226724886817922E-2</v>
      </c>
      <c r="P259" s="154">
        <f>IF((P255+P256+P257)=0,0,(P256*$B259)/(P255+P256+P257))</f>
        <v>0</v>
      </c>
      <c r="Q259" s="154">
        <f t="shared" ref="Q259:Y259" si="1450">IF((Q255+Q256+Q257)=0,0,(Q256*$B259)/(Q255+Q256+Q257))</f>
        <v>0</v>
      </c>
      <c r="R259" s="154">
        <f t="shared" si="1450"/>
        <v>3.5654044494642517E-2</v>
      </c>
      <c r="S259" s="154">
        <f t="shared" si="1450"/>
        <v>0</v>
      </c>
      <c r="T259" s="154">
        <f t="shared" si="1450"/>
        <v>0</v>
      </c>
      <c r="U259" s="154">
        <f t="shared" si="1450"/>
        <v>0</v>
      </c>
      <c r="V259" s="154">
        <f t="shared" si="1450"/>
        <v>0</v>
      </c>
      <c r="W259" s="154">
        <f t="shared" si="1450"/>
        <v>0</v>
      </c>
      <c r="X259" s="154">
        <f t="shared" si="1450"/>
        <v>0</v>
      </c>
      <c r="Y259" s="159">
        <f t="shared" si="1450"/>
        <v>0</v>
      </c>
    </row>
    <row r="260" spans="2:25" ht="15" customHeight="1" thickBot="1" x14ac:dyDescent="0.25">
      <c r="B260" s="255"/>
      <c r="C260" s="93">
        <f>E260/SUM(E258:E260)</f>
        <v>7.6045627376425838E-3</v>
      </c>
      <c r="D260" s="75" t="s">
        <v>2</v>
      </c>
      <c r="E260" s="155">
        <f>IF((E255+E256+E257)=0,0,(E257*$B259)/(E255+E256+E257))</f>
        <v>5.915638215495475E-4</v>
      </c>
      <c r="F260" s="155">
        <f>IF((F255+F256+F257)=0,0,(F257*$B259)/(F255+F256+F257))</f>
        <v>0</v>
      </c>
      <c r="G260" s="155">
        <f t="shared" ref="G260" si="1451">IF((G255+G256+G257)=0,0,(G257*$B259)/(G255+G256+G257))</f>
        <v>0</v>
      </c>
      <c r="H260" s="155">
        <f t="shared" ref="H260" si="1452">IF((H255+H256+H257)=0,0,(H257*$B259)/(H255+H256+H257))</f>
        <v>0</v>
      </c>
      <c r="I260" s="155">
        <f t="shared" ref="I260" si="1453">IF((I255+I256+I257)=0,0,(I257*$B259)/(I255+I256+I257))</f>
        <v>0</v>
      </c>
      <c r="J260" s="155">
        <f t="shared" ref="J260" si="1454">IF((J255+J256+J257)=0,0,(J257*$B259)/(J255+J256+J257))</f>
        <v>0</v>
      </c>
      <c r="K260" s="155">
        <f t="shared" ref="K260" si="1455">IF((K255+K256+K257)=0,0,(K257*$B259)/(K255+K256+K257))</f>
        <v>0</v>
      </c>
      <c r="L260" s="155">
        <f t="shared" ref="L260" si="1456">IF((L255+L256+L257)=0,0,(L257*$B259)/(L255+L256+L257))</f>
        <v>0</v>
      </c>
      <c r="M260" s="155">
        <f t="shared" ref="M260" si="1457">IF((M255+M256+M257)=0,0,(M257*$B259)/(M255+M256+M257))</f>
        <v>0</v>
      </c>
      <c r="N260" s="155">
        <f t="shared" ref="N260" si="1458">IF((N255+N256+N257)=0,0,(N257*$B259)/(N255+N256+N257))</f>
        <v>5.5564744666975353E-3</v>
      </c>
      <c r="O260" s="155">
        <f t="shared" ref="O260" si="1459">IF((O255+O256+O257)=0,0,(O257*$B259)/(O255+O256+O257))</f>
        <v>0</v>
      </c>
      <c r="P260" s="155">
        <f t="shared" ref="P260" si="1460">IF((P255+P256+P257)=0,0,(P257*$B259)/(P255+P256+P257))</f>
        <v>0</v>
      </c>
      <c r="Q260" s="155">
        <f t="shared" ref="Q260" si="1461">IF((Q255+Q256+Q257)=0,0,(Q257*$B259)/(Q255+Q256+Q257))</f>
        <v>0</v>
      </c>
      <c r="R260" s="155">
        <f t="shared" ref="R260" si="1462">IF((R255+R256+R257)=0,0,(R257*$B259)/(R255+R256+R257))</f>
        <v>0</v>
      </c>
      <c r="S260" s="155">
        <f t="shared" ref="S260" si="1463">IF((S255+S256+S257)=0,0,(S257*$B259)/(S255+S256+S257))</f>
        <v>0</v>
      </c>
      <c r="T260" s="155">
        <f t="shared" ref="T260" si="1464">IF((T255+T256+T257)=0,0,(T257*$B259)/(T255+T256+T257))</f>
        <v>0</v>
      </c>
      <c r="U260" s="155">
        <f t="shared" ref="U260" si="1465">IF((U255+U256+U257)=0,0,(U257*$B259)/(U255+U256+U257))</f>
        <v>0</v>
      </c>
      <c r="V260" s="155">
        <f t="shared" ref="V260" si="1466">IF((V255+V256+V257)=0,0,(V257*$B259)/(V255+V256+V257))</f>
        <v>0</v>
      </c>
      <c r="W260" s="155">
        <f t="shared" ref="W260" si="1467">IF((W255+W256+W257)=0,0,(W257*$B259)/(W255+W256+W257))</f>
        <v>0</v>
      </c>
      <c r="X260" s="155">
        <f t="shared" ref="X260" si="1468">IF((X255+X256+X257)=0,0,(X257*$B259)/(X255+X256+X257))</f>
        <v>0</v>
      </c>
      <c r="Y260" s="160">
        <f t="shared" ref="Y260" si="1469">IF((Y255+Y256+Y257)=0,0,(Y257*$B259)/(Y255+Y256+Y257))</f>
        <v>0</v>
      </c>
    </row>
    <row r="261" spans="2:25" ht="15" customHeight="1" x14ac:dyDescent="0.2">
      <c r="B261" s="249" t="s">
        <v>70</v>
      </c>
      <c r="C261" s="91">
        <f>E261/SUM(E261:E263)</f>
        <v>0.61881188118811881</v>
      </c>
      <c r="D261" s="67" t="s">
        <v>0</v>
      </c>
      <c r="E261" s="68">
        <f t="shared" si="1301"/>
        <v>250</v>
      </c>
      <c r="F261" s="68">
        <f>SUMIFS([0]!Chavez,[0]!Centro,B263,[0]!Turno,F$230)</f>
        <v>20</v>
      </c>
      <c r="G261" s="68">
        <f>SUMIFS([0]!Chavez,[0]!Centro,B263,[0]!Turno,G$230)</f>
        <v>37</v>
      </c>
      <c r="H261" s="68">
        <f>SUMIFS([0]!Chavez,[0]!Centro,B263,[0]!Turno,H$230)</f>
        <v>29</v>
      </c>
      <c r="I261" s="68">
        <f>SUMIFS([0]!Chavez,[0]!Centro,B263,[0]!Turno,I$230)</f>
        <v>31</v>
      </c>
      <c r="J261" s="68">
        <f>SUMIFS([0]!Chavez,[0]!Centro,B263,[0]!Turno,J$230)</f>
        <v>29</v>
      </c>
      <c r="K261" s="68">
        <f>SUMIFS([0]!Chavez,[0]!Centro,B263,[0]!Turno,K$230)</f>
        <v>7</v>
      </c>
      <c r="L261" s="68">
        <f>SUMIFS([0]!Chavez,[0]!Centro,B263,[0]!Turno,L$230)</f>
        <v>22</v>
      </c>
      <c r="M261" s="68">
        <f>SUMIFS([0]!Chavez,[0]!Centro,B263,[0]!Turno,M$230)</f>
        <v>0</v>
      </c>
      <c r="N261" s="68">
        <f>SUMIFS([0]!Chavez,[0]!Centro,B263,[0]!Turno,N$230)</f>
        <v>22</v>
      </c>
      <c r="O261" s="68">
        <f>SUMIFS([0]!Chavez,[0]!Centro,B263,[0]!Turno,O$230)</f>
        <v>17</v>
      </c>
      <c r="P261" s="68">
        <f>SUMIFS([0]!Chavez,[0]!Centro,B263,[0]!Turno,P$230)</f>
        <v>0</v>
      </c>
      <c r="Q261" s="68">
        <f>SUMIFS([0]!Chavez,[0]!Centro,B263,[0]!Turno,Q$230)</f>
        <v>19</v>
      </c>
      <c r="R261" s="68">
        <f>SUMIFS([0]!Chavez,[0]!Centro,B263,[0]!Turno,R$230)</f>
        <v>17</v>
      </c>
      <c r="S261" s="68">
        <f>SUMIFS([0]!Chavez,[0]!Centro,B263,[0]!Turno,S$230)</f>
        <v>0</v>
      </c>
      <c r="T261" s="68">
        <f>SUMIFS([0]!Chavez,[0]!Centro,B263,[0]!Turno,T$230)</f>
        <v>0</v>
      </c>
      <c r="U261" s="68">
        <f>SUMIFS([0]!Chavez,[0]!Centro,B263,[0]!Turno,U$230)</f>
        <v>0</v>
      </c>
      <c r="V261" s="68">
        <f>SUMIFS([0]!Chavez,[0]!Centro,B263,[0]!Turno,V$230)</f>
        <v>0</v>
      </c>
      <c r="W261" s="68">
        <f>SUMIFS([0]!Chavez,[0]!Centro,B263,[0]!Turno,W$230)</f>
        <v>0</v>
      </c>
      <c r="X261" s="68">
        <f>SUMIFS([0]!Chavez,[0]!Centro,B263,[0]!Turno,X$230)</f>
        <v>0</v>
      </c>
      <c r="Y261" s="69">
        <f>SUMIFS([0]!Chavez,[0]!Centro,B263,[0]!Turno,Y$230)</f>
        <v>0</v>
      </c>
    </row>
    <row r="262" spans="2:25" ht="15" customHeight="1" x14ac:dyDescent="0.2">
      <c r="B262" s="250"/>
      <c r="C262" s="92">
        <f>E262/SUM(E261:E263)</f>
        <v>0.38118811881188119</v>
      </c>
      <c r="D262" s="61" t="s">
        <v>1</v>
      </c>
      <c r="E262" s="62">
        <f t="shared" si="1301"/>
        <v>154</v>
      </c>
      <c r="F262" s="62">
        <f>SUMIFS([0]!Capriles,[0]!Centro,B263,[0]!Turno,F$230)</f>
        <v>2</v>
      </c>
      <c r="G262" s="62">
        <f>SUMIFS([0]!Capriles,[0]!Centro,B263,[0]!Turno,G$230)</f>
        <v>18</v>
      </c>
      <c r="H262" s="62">
        <f>SUMIFS([0]!Capriles,[0]!Centro,B263,[0]!Turno,H$230)</f>
        <v>20</v>
      </c>
      <c r="I262" s="62">
        <f>SUMIFS([0]!Capriles,[0]!Centro,B263,[0]!Turno,I$230)</f>
        <v>22</v>
      </c>
      <c r="J262" s="62">
        <f>SUMIFS([0]!Capriles,[0]!Centro,B263,[0]!Turno,J$230)</f>
        <v>14</v>
      </c>
      <c r="K262" s="62">
        <f>SUMIFS([0]!Capriles,[0]!Centro,B263,[0]!Turno,K$230)</f>
        <v>5</v>
      </c>
      <c r="L262" s="62">
        <f>SUMIFS([0]!Capriles,[0]!Centro,B263,[0]!Turno,L$230)</f>
        <v>12</v>
      </c>
      <c r="M262" s="62">
        <f>SUMIFS([0]!Capriles,[0]!Centro,B263,[0]!Turno,M$230)</f>
        <v>4</v>
      </c>
      <c r="N262" s="62">
        <f>SUMIFS([0]!Capriles,[0]!Centro,B263,[0]!Turno,N$230)</f>
        <v>10</v>
      </c>
      <c r="O262" s="62">
        <f>SUMIFS([0]!Capriles,[0]!Centro,B263,[0]!Turno,O$230)</f>
        <v>9</v>
      </c>
      <c r="P262" s="62">
        <f>SUMIFS([0]!Capriles,[0]!Centro,B263,[0]!Turno,P$230)</f>
        <v>0</v>
      </c>
      <c r="Q262" s="62">
        <f>SUMIFS([0]!Capriles,[0]!Centro,B263,[0]!Turno,Q$230)</f>
        <v>12</v>
      </c>
      <c r="R262" s="62">
        <f>SUMIFS([0]!Capriles,[0]!Centro,B263,[0]!Turno,R$230)</f>
        <v>26</v>
      </c>
      <c r="S262" s="62">
        <f>SUMIFS([0]!Capriles,[0]!Centro,B263,[0]!Turno,S$230)</f>
        <v>0</v>
      </c>
      <c r="T262" s="62">
        <f>SUMIFS([0]!Capriles,[0]!Centro,B263,[0]!Turno,T$230)</f>
        <v>0</v>
      </c>
      <c r="U262" s="62">
        <f>SUMIFS([0]!Capriles,[0]!Centro,B263,[0]!Turno,U$230)</f>
        <v>0</v>
      </c>
      <c r="V262" s="62">
        <f>SUMIFS([0]!Capriles,[0]!Centro,B263,[0]!Turno,V$230)</f>
        <v>0</v>
      </c>
      <c r="W262" s="62">
        <f>SUMIFS([0]!Capriles,[0]!Centro,B263,[0]!Turno,W$230)</f>
        <v>0</v>
      </c>
      <c r="X262" s="62">
        <f>SUMIFS([0]!Capriles,[0]!Centro,B263,[0]!Turno,X$230)</f>
        <v>0</v>
      </c>
      <c r="Y262" s="70">
        <f>SUMIFS([0]!Capriles,[0]!Centro,B263,[0]!Turno,Y$230)</f>
        <v>0</v>
      </c>
    </row>
    <row r="263" spans="2:25" ht="15" customHeight="1" thickBot="1" x14ac:dyDescent="0.25">
      <c r="B263" s="261">
        <v>54</v>
      </c>
      <c r="C263" s="100">
        <f>E263/SUM(E261:E263)</f>
        <v>0</v>
      </c>
      <c r="D263" s="71" t="s">
        <v>2</v>
      </c>
      <c r="E263" s="72">
        <f t="shared" si="1301"/>
        <v>0</v>
      </c>
      <c r="F263" s="72">
        <f>SUMIFS([0]!Otro,[0]!Centro,B263,[0]!Turno,F$230)</f>
        <v>0</v>
      </c>
      <c r="G263" s="72">
        <f>SUMIFS([0]!Otro,[0]!Centro,B263,[0]!Turno,G$230)</f>
        <v>0</v>
      </c>
      <c r="H263" s="72">
        <f>SUMIFS([0]!Otro,[0]!Centro,B263,[0]!Turno,H$230)</f>
        <v>0</v>
      </c>
      <c r="I263" s="72">
        <f>SUMIFS([0]!Otro,[0]!Centro,B263,[0]!Turno,I$230)</f>
        <v>0</v>
      </c>
      <c r="J263" s="72">
        <f>SUMIFS([0]!Otro,[0]!Centro,B263,[0]!Turno,J$230)</f>
        <v>0</v>
      </c>
      <c r="K263" s="72">
        <f>SUMIFS([0]!Otro,[0]!Centro,B263,[0]!Turno,K$230)</f>
        <v>0</v>
      </c>
      <c r="L263" s="72">
        <f>SUMIFS([0]!Otro,[0]!Centro,B263,[0]!Turno,L$230)</f>
        <v>0</v>
      </c>
      <c r="M263" s="72">
        <f>SUMIFS([0]!Otro,[0]!Centro,B263,[0]!Turno,M$230)</f>
        <v>0</v>
      </c>
      <c r="N263" s="72">
        <f>SUMIFS([0]!Otro,[0]!Centro,B263,[0]!Turno,N$230)</f>
        <v>0</v>
      </c>
      <c r="O263" s="72">
        <f>SUMIFS([0]!Otro,[0]!Centro,B263,[0]!Turno,O$230)</f>
        <v>0</v>
      </c>
      <c r="P263" s="72">
        <f>SUMIFS([0]!Otro,[0]!Centro,B263,[0]!Turno,P$230)</f>
        <v>0</v>
      </c>
      <c r="Q263" s="72">
        <f>SUMIFS([0]!Otro,[0]!Centro,B263,[0]!Turno,Q$230)</f>
        <v>0</v>
      </c>
      <c r="R263" s="72">
        <f>SUMIFS([0]!Otro,[0]!Centro,B263,[0]!Turno,R$230)</f>
        <v>0</v>
      </c>
      <c r="S263" s="72">
        <f>SUMIFS([0]!Otro,[0]!Centro,B263,[0]!Turno,S$230)</f>
        <v>0</v>
      </c>
      <c r="T263" s="72">
        <f>SUMIFS([0]!Otro,[0]!Centro,B263,[0]!Turno,T$230)</f>
        <v>0</v>
      </c>
      <c r="U263" s="72">
        <f>SUMIFS([0]!Otro,[0]!Centro,B263,[0]!Turno,U$230)</f>
        <v>0</v>
      </c>
      <c r="V263" s="72">
        <f>SUMIFS([0]!Otro,[0]!Centro,B263,[0]!Turno,V$230)</f>
        <v>0</v>
      </c>
      <c r="W263" s="72">
        <f>SUMIFS([0]!Otro,[0]!Centro,B263,[0]!Turno,W$230)</f>
        <v>0</v>
      </c>
      <c r="X263" s="72">
        <f>SUMIFS([0]!Otro,[0]!Centro,B263,[0]!Turno,X$230)</f>
        <v>0</v>
      </c>
      <c r="Y263" s="73">
        <f>SUMIFS([0]!Otro,[0]!Centro,B263,[0]!Turno,Y$230)</f>
        <v>0</v>
      </c>
    </row>
    <row r="264" spans="2:25" ht="15" customHeight="1" x14ac:dyDescent="0.2">
      <c r="B264" s="261"/>
      <c r="C264" s="94">
        <f>E264/SUM(E264:E266)</f>
        <v>0.61881188118811881</v>
      </c>
      <c r="D264" s="63" t="s">
        <v>0</v>
      </c>
      <c r="E264" s="150">
        <f>IF((E261+E262+E263)=0,0,(E261*$B265)/(E261+E262+E263))</f>
        <v>2.0408329379357115E-2</v>
      </c>
      <c r="F264" s="150">
        <f>IF((F261+F262+F263)=0,0,(F261*$B265)/(F261+F262+F263))</f>
        <v>2.9981691160946452E-2</v>
      </c>
      <c r="G264" s="150">
        <f t="shared" ref="G264" si="1470">IF((G261+G262+G263)=0,0,(G261*$B265)/(G261+G262+G263))</f>
        <v>2.2186451459100375E-2</v>
      </c>
      <c r="H264" s="150">
        <f t="shared" ref="H264" si="1471">IF((H261+H262+H263)=0,0,(H261*$B265)/(H261+H262+H263))</f>
        <v>1.9518692817024324E-2</v>
      </c>
      <c r="I264" s="150">
        <f t="shared" ref="I264" si="1472">IF((I261+I262+I263)=0,0,(I261*$B265)/(I261+I262+I263))</f>
        <v>1.9290106954495737E-2</v>
      </c>
      <c r="J264" s="150">
        <f t="shared" ref="J264" si="1473">IF((J261+J262+J263)=0,0,(J261*$B265)/(J261+J262+J263))</f>
        <v>2.2242231349632369E-2</v>
      </c>
      <c r="K264" s="150">
        <f t="shared" ref="K264" si="1474">IF((K261+K262+K263)=0,0,(K261*$B265)/(K261+K262+K263))</f>
        <v>1.9238251828273975E-2</v>
      </c>
      <c r="L264" s="150">
        <f t="shared" ref="L264" si="1475">IF((L261+L262+L263)=0,0,(L261*$B265)/(L261+L262+L263))</f>
        <v>2.1339909591026593E-2</v>
      </c>
      <c r="M264" s="150">
        <f t="shared" ref="M264" si="1476">IF((M261+M262+M263)=0,0,(M261*$B265)/(M261+M262+M263))</f>
        <v>0</v>
      </c>
      <c r="N264" s="150">
        <f t="shared" ref="N264" si="1477">IF((N261+N262+N263)=0,0,(N261*$B265)/(N261+N262+N263))</f>
        <v>2.2673653940465756E-2</v>
      </c>
      <c r="O264" s="150">
        <f t="shared" ref="O264" si="1478">IF((O261+O262+O263)=0,0,(O261*$B265)/(O261+O262+O263))</f>
        <v>2.1563754796526873E-2</v>
      </c>
      <c r="P264" s="150">
        <f t="shared" ref="P264" si="1479">IF((P261+P262+P263)=0,0,(P261*$B265)/(P261+P262+P263))</f>
        <v>0</v>
      </c>
      <c r="Q264" s="150">
        <f t="shared" ref="Q264" si="1480">IF((Q261+Q262+Q263)=0,0,(Q261*$B265)/(Q261+Q262+Q263))</f>
        <v>2.0213462750444545E-2</v>
      </c>
      <c r="R264" s="150">
        <f t="shared" ref="R264" si="1481">IF((R261+R262+R263)=0,0,(R261*$B265)/(R261+R262+R263))</f>
        <v>1.3038549411853458E-2</v>
      </c>
      <c r="S264" s="150">
        <f t="shared" ref="S264" si="1482">IF((S261+S262+S263)=0,0,(S261*$B265)/(S261+S262+S263))</f>
        <v>0</v>
      </c>
      <c r="T264" s="150">
        <f t="shared" ref="T264" si="1483">IF((T261+T262+T263)=0,0,(T261*$B265)/(T261+T262+T263))</f>
        <v>0</v>
      </c>
      <c r="U264" s="150">
        <f t="shared" ref="U264" si="1484">IF((U261+U262+U263)=0,0,(U261*$B265)/(U261+U262+U263))</f>
        <v>0</v>
      </c>
      <c r="V264" s="150">
        <f t="shared" ref="V264" si="1485">IF((V261+V262+V263)=0,0,(V261*$B265)/(V261+V262+V263))</f>
        <v>0</v>
      </c>
      <c r="W264" s="150">
        <f t="shared" ref="W264" si="1486">IF((W261+W262+W263)=0,0,(W261*$B265)/(W261+W262+W263))</f>
        <v>0</v>
      </c>
      <c r="X264" s="150">
        <f t="shared" ref="X264" si="1487">IF((X261+X262+X263)=0,0,(X261*$B265)/(X261+X262+X263))</f>
        <v>0</v>
      </c>
      <c r="Y264" s="163">
        <f t="shared" ref="Y264" si="1488">IF((Y261+Y262+Y263)=0,0,(Y261*$B265)/(Y261+Y262+Y263))</f>
        <v>0</v>
      </c>
    </row>
    <row r="265" spans="2:25" ht="15" customHeight="1" x14ac:dyDescent="0.2">
      <c r="B265" s="254">
        <v>3.2979860277041098E-2</v>
      </c>
      <c r="C265" s="92">
        <f>E265/SUM(E264:E266)</f>
        <v>0.38118811881188119</v>
      </c>
      <c r="D265" s="61" t="s">
        <v>1</v>
      </c>
      <c r="E265" s="154">
        <f>IF((E261+E262+E263)=0,0,(E262*$B265)/(E261+E262+E263))</f>
        <v>1.2571530897683984E-2</v>
      </c>
      <c r="F265" s="154">
        <f>IF((F261+F262+F263)=0,0,(F262*$B265)/(F261+F262+F263))</f>
        <v>2.9981691160946454E-3</v>
      </c>
      <c r="G265" s="154">
        <f t="shared" ref="G265:O265" si="1489">IF((G261+G262+G263)=0,0,(G262*$B265)/(G261+G262+G263))</f>
        <v>1.0793408817940723E-2</v>
      </c>
      <c r="H265" s="154">
        <f t="shared" si="1489"/>
        <v>1.3461167460016774E-2</v>
      </c>
      <c r="I265" s="154">
        <f t="shared" si="1489"/>
        <v>1.3689753322545363E-2</v>
      </c>
      <c r="J265" s="154">
        <f t="shared" si="1489"/>
        <v>1.073762892740873E-2</v>
      </c>
      <c r="K265" s="154">
        <f t="shared" si="1489"/>
        <v>1.3741608448767123E-2</v>
      </c>
      <c r="L265" s="154">
        <f t="shared" si="1489"/>
        <v>1.1639950686014505E-2</v>
      </c>
      <c r="M265" s="154">
        <f t="shared" si="1489"/>
        <v>3.2979860277041098E-2</v>
      </c>
      <c r="N265" s="154">
        <f t="shared" si="1489"/>
        <v>1.0306206336575342E-2</v>
      </c>
      <c r="O265" s="154">
        <f t="shared" si="1489"/>
        <v>1.1416105480514225E-2</v>
      </c>
      <c r="P265" s="154">
        <f>IF((P261+P262+P263)=0,0,(P262*$B265)/(P261+P262+P263))</f>
        <v>0</v>
      </c>
      <c r="Q265" s="154">
        <f t="shared" ref="Q265:Y265" si="1490">IF((Q261+Q262+Q263)=0,0,(Q262*$B265)/(Q261+Q262+Q263))</f>
        <v>1.2766397526596553E-2</v>
      </c>
      <c r="R265" s="154">
        <f t="shared" si="1490"/>
        <v>1.9941310865187641E-2</v>
      </c>
      <c r="S265" s="154">
        <f t="shared" si="1490"/>
        <v>0</v>
      </c>
      <c r="T265" s="154">
        <f t="shared" si="1490"/>
        <v>0</v>
      </c>
      <c r="U265" s="154">
        <f t="shared" si="1490"/>
        <v>0</v>
      </c>
      <c r="V265" s="154">
        <f t="shared" si="1490"/>
        <v>0</v>
      </c>
      <c r="W265" s="154">
        <f t="shared" si="1490"/>
        <v>0</v>
      </c>
      <c r="X265" s="154">
        <f t="shared" si="1490"/>
        <v>0</v>
      </c>
      <c r="Y265" s="159">
        <f t="shared" si="1490"/>
        <v>0</v>
      </c>
    </row>
    <row r="266" spans="2:25" ht="15" customHeight="1" thickBot="1" x14ac:dyDescent="0.25">
      <c r="B266" s="255"/>
      <c r="C266" s="93">
        <f>E266/SUM(E264:E266)</f>
        <v>0</v>
      </c>
      <c r="D266" s="75" t="s">
        <v>2</v>
      </c>
      <c r="E266" s="155">
        <f>IF((E261+E262+E263)=0,0,(E263*$B265)/(E261+E262+E263))</f>
        <v>0</v>
      </c>
      <c r="F266" s="155">
        <f>IF((F261+F262+F263)=0,0,(F263*$B265)/(F261+F262+F263))</f>
        <v>0</v>
      </c>
      <c r="G266" s="155">
        <f t="shared" ref="G266" si="1491">IF((G261+G262+G263)=0,0,(G263*$B265)/(G261+G262+G263))</f>
        <v>0</v>
      </c>
      <c r="H266" s="155">
        <f t="shared" ref="H266" si="1492">IF((H261+H262+H263)=0,0,(H263*$B265)/(H261+H262+H263))</f>
        <v>0</v>
      </c>
      <c r="I266" s="155">
        <f t="shared" ref="I266" si="1493">IF((I261+I262+I263)=0,0,(I263*$B265)/(I261+I262+I263))</f>
        <v>0</v>
      </c>
      <c r="J266" s="155">
        <f t="shared" ref="J266" si="1494">IF((J261+J262+J263)=0,0,(J263*$B265)/(J261+J262+J263))</f>
        <v>0</v>
      </c>
      <c r="K266" s="155">
        <f t="shared" ref="K266" si="1495">IF((K261+K262+K263)=0,0,(K263*$B265)/(K261+K262+K263))</f>
        <v>0</v>
      </c>
      <c r="L266" s="155">
        <f t="shared" ref="L266" si="1496">IF((L261+L262+L263)=0,0,(L263*$B265)/(L261+L262+L263))</f>
        <v>0</v>
      </c>
      <c r="M266" s="155">
        <f t="shared" ref="M266" si="1497">IF((M261+M262+M263)=0,0,(M263*$B265)/(M261+M262+M263))</f>
        <v>0</v>
      </c>
      <c r="N266" s="155">
        <f t="shared" ref="N266" si="1498">IF((N261+N262+N263)=0,0,(N263*$B265)/(N261+N262+N263))</f>
        <v>0</v>
      </c>
      <c r="O266" s="155">
        <f t="shared" ref="O266" si="1499">IF((O261+O262+O263)=0,0,(O263*$B265)/(O261+O262+O263))</f>
        <v>0</v>
      </c>
      <c r="P266" s="155">
        <f t="shared" ref="P266" si="1500">IF((P261+P262+P263)=0,0,(P263*$B265)/(P261+P262+P263))</f>
        <v>0</v>
      </c>
      <c r="Q266" s="155">
        <f t="shared" ref="Q266" si="1501">IF((Q261+Q262+Q263)=0,0,(Q263*$B265)/(Q261+Q262+Q263))</f>
        <v>0</v>
      </c>
      <c r="R266" s="155">
        <f t="shared" ref="R266" si="1502">IF((R261+R262+R263)=0,0,(R263*$B265)/(R261+R262+R263))</f>
        <v>0</v>
      </c>
      <c r="S266" s="155">
        <f t="shared" ref="S266" si="1503">IF((S261+S262+S263)=0,0,(S263*$B265)/(S261+S262+S263))</f>
        <v>0</v>
      </c>
      <c r="T266" s="155">
        <f t="shared" ref="T266" si="1504">IF((T261+T262+T263)=0,0,(T263*$B265)/(T261+T262+T263))</f>
        <v>0</v>
      </c>
      <c r="U266" s="155">
        <f t="shared" ref="U266" si="1505">IF((U261+U262+U263)=0,0,(U263*$B265)/(U261+U262+U263))</f>
        <v>0</v>
      </c>
      <c r="V266" s="155">
        <f t="shared" ref="V266" si="1506">IF((V261+V262+V263)=0,0,(V263*$B265)/(V261+V262+V263))</f>
        <v>0</v>
      </c>
      <c r="W266" s="155">
        <f t="shared" ref="W266" si="1507">IF((W261+W262+W263)=0,0,(W263*$B265)/(W261+W262+W263))</f>
        <v>0</v>
      </c>
      <c r="X266" s="155">
        <f t="shared" ref="X266" si="1508">IF((X261+X262+X263)=0,0,(X263*$B265)/(X261+X262+X263))</f>
        <v>0</v>
      </c>
      <c r="Y266" s="160">
        <f t="shared" ref="Y266" si="1509">IF((Y261+Y262+Y263)=0,0,(Y263*$B265)/(Y261+Y262+Y263))</f>
        <v>0</v>
      </c>
    </row>
    <row r="267" spans="2:25" ht="15" customHeight="1" x14ac:dyDescent="0.2">
      <c r="B267" s="249" t="s">
        <v>52</v>
      </c>
      <c r="C267" s="91">
        <f>E267/SUM(E267:E269)</f>
        <v>0.55830388692579502</v>
      </c>
      <c r="D267" s="67" t="s">
        <v>0</v>
      </c>
      <c r="E267" s="68">
        <f t="shared" si="1301"/>
        <v>158</v>
      </c>
      <c r="F267" s="68">
        <f>SUMIFS([0]!Chavez,[0]!Centro,B269,[0]!Turno,F$230)</f>
        <v>0</v>
      </c>
      <c r="G267" s="68">
        <f>SUMIFS([0]!Chavez,[0]!Centro,B269,[0]!Turno,G$230)</f>
        <v>7</v>
      </c>
      <c r="H267" s="68">
        <f>SUMIFS([0]!Chavez,[0]!Centro,B269,[0]!Turno,H$230)</f>
        <v>21</v>
      </c>
      <c r="I267" s="68">
        <f>SUMIFS([0]!Chavez,[0]!Centro,B269,[0]!Turno,I$230)</f>
        <v>19</v>
      </c>
      <c r="J267" s="68">
        <f>SUMIFS([0]!Chavez,[0]!Centro,B269,[0]!Turno,J$230)</f>
        <v>18</v>
      </c>
      <c r="K267" s="68">
        <f>SUMIFS([0]!Chavez,[0]!Centro,B269,[0]!Turno,K$230)</f>
        <v>7</v>
      </c>
      <c r="L267" s="68">
        <f>SUMIFS([0]!Chavez,[0]!Centro,B269,[0]!Turno,L$230)</f>
        <v>24</v>
      </c>
      <c r="M267" s="68">
        <f>SUMIFS([0]!Chavez,[0]!Centro,B269,[0]!Turno,M$230)</f>
        <v>20</v>
      </c>
      <c r="N267" s="68">
        <f>SUMIFS([0]!Chavez,[0]!Centro,B269,[0]!Turno,N$230)</f>
        <v>10</v>
      </c>
      <c r="O267" s="68">
        <f>SUMIFS([0]!Chavez,[0]!Centro,B269,[0]!Turno,O$230)</f>
        <v>0</v>
      </c>
      <c r="P267" s="68">
        <f>SUMIFS([0]!Chavez,[0]!Centro,B269,[0]!Turno,P$230)</f>
        <v>0</v>
      </c>
      <c r="Q267" s="68">
        <f>SUMIFS([0]!Chavez,[0]!Centro,B269,[0]!Turno,Q$230)</f>
        <v>15</v>
      </c>
      <c r="R267" s="68">
        <f>SUMIFS([0]!Chavez,[0]!Centro,B269,[0]!Turno,R$230)</f>
        <v>17</v>
      </c>
      <c r="S267" s="68">
        <f>SUMIFS([0]!Chavez,[0]!Centro,B269,[0]!Turno,S$230)</f>
        <v>0</v>
      </c>
      <c r="T267" s="68">
        <f>SUMIFS([0]!Chavez,[0]!Centro,B269,[0]!Turno,T$230)</f>
        <v>0</v>
      </c>
      <c r="U267" s="68">
        <f>SUMIFS([0]!Chavez,[0]!Centro,B269,[0]!Turno,U$230)</f>
        <v>0</v>
      </c>
      <c r="V267" s="68">
        <f>SUMIFS([0]!Chavez,[0]!Centro,B269,[0]!Turno,V$230)</f>
        <v>0</v>
      </c>
      <c r="W267" s="68">
        <f>SUMIFS([0]!Chavez,[0]!Centro,B269,[0]!Turno,W$230)</f>
        <v>0</v>
      </c>
      <c r="X267" s="68">
        <f>SUMIFS([0]!Chavez,[0]!Centro,B269,[0]!Turno,X$230)</f>
        <v>0</v>
      </c>
      <c r="Y267" s="69">
        <f>SUMIFS([0]!Chavez,[0]!Centro,B269,[0]!Turno,Y$230)</f>
        <v>0</v>
      </c>
    </row>
    <row r="268" spans="2:25" ht="15" customHeight="1" x14ac:dyDescent="0.2">
      <c r="B268" s="250"/>
      <c r="C268" s="92">
        <f>E268/SUM(E267:E269)</f>
        <v>0.44169611307420492</v>
      </c>
      <c r="D268" s="61" t="s">
        <v>1</v>
      </c>
      <c r="E268" s="62">
        <f t="shared" si="1301"/>
        <v>125</v>
      </c>
      <c r="F268" s="62">
        <f>SUMIFS([0]!Capriles,[0]!Centro,B269,[0]!Turno,F$230)</f>
        <v>0</v>
      </c>
      <c r="G268" s="62">
        <f>SUMIFS([0]!Capriles,[0]!Centro,B269,[0]!Turno,G$230)</f>
        <v>5</v>
      </c>
      <c r="H268" s="62">
        <f>SUMIFS([0]!Capriles,[0]!Centro,B269,[0]!Turno,H$230)</f>
        <v>14</v>
      </c>
      <c r="I268" s="62">
        <f>SUMIFS([0]!Capriles,[0]!Centro,B269,[0]!Turno,I$230)</f>
        <v>16</v>
      </c>
      <c r="J268" s="62">
        <f>SUMIFS([0]!Capriles,[0]!Centro,B269,[0]!Turno,J$230)</f>
        <v>16</v>
      </c>
      <c r="K268" s="62">
        <f>SUMIFS([0]!Capriles,[0]!Centro,B269,[0]!Turno,K$230)</f>
        <v>13</v>
      </c>
      <c r="L268" s="62">
        <f>SUMIFS([0]!Capriles,[0]!Centro,B269,[0]!Turno,L$230)</f>
        <v>10</v>
      </c>
      <c r="M268" s="62">
        <f>SUMIFS([0]!Capriles,[0]!Centro,B269,[0]!Turno,M$230)</f>
        <v>16</v>
      </c>
      <c r="N268" s="62">
        <f>SUMIFS([0]!Capriles,[0]!Centro,B269,[0]!Turno,N$230)</f>
        <v>26</v>
      </c>
      <c r="O268" s="62">
        <f>SUMIFS([0]!Capriles,[0]!Centro,B269,[0]!Turno,O$230)</f>
        <v>0</v>
      </c>
      <c r="P268" s="62">
        <f>SUMIFS([0]!Capriles,[0]!Centro,B269,[0]!Turno,P$230)</f>
        <v>0</v>
      </c>
      <c r="Q268" s="62">
        <f>SUMIFS([0]!Capriles,[0]!Centro,B269,[0]!Turno,Q$230)</f>
        <v>6</v>
      </c>
      <c r="R268" s="62">
        <f>SUMIFS([0]!Capriles,[0]!Centro,B269,[0]!Turno,R$230)</f>
        <v>3</v>
      </c>
      <c r="S268" s="62">
        <f>SUMIFS([0]!Capriles,[0]!Centro,B269,[0]!Turno,S$230)</f>
        <v>0</v>
      </c>
      <c r="T268" s="62">
        <f>SUMIFS([0]!Capriles,[0]!Centro,B269,[0]!Turno,T$230)</f>
        <v>0</v>
      </c>
      <c r="U268" s="62">
        <f>SUMIFS([0]!Capriles,[0]!Centro,B269,[0]!Turno,U$230)</f>
        <v>0</v>
      </c>
      <c r="V268" s="62">
        <f>SUMIFS([0]!Capriles,[0]!Centro,B269,[0]!Turno,V$230)</f>
        <v>0</v>
      </c>
      <c r="W268" s="62">
        <f>SUMIFS([0]!Capriles,[0]!Centro,B269,[0]!Turno,W$230)</f>
        <v>0</v>
      </c>
      <c r="X268" s="62">
        <f>SUMIFS([0]!Capriles,[0]!Centro,B269,[0]!Turno,X$230)</f>
        <v>0</v>
      </c>
      <c r="Y268" s="70">
        <f>SUMIFS([0]!Capriles,[0]!Centro,B269,[0]!Turno,Y$230)</f>
        <v>0</v>
      </c>
    </row>
    <row r="269" spans="2:25" ht="15" customHeight="1" thickBot="1" x14ac:dyDescent="0.25">
      <c r="B269" s="261">
        <v>55</v>
      </c>
      <c r="C269" s="100">
        <f>E269/SUM(E267:E269)</f>
        <v>0</v>
      </c>
      <c r="D269" s="71" t="s">
        <v>2</v>
      </c>
      <c r="E269" s="72">
        <f t="shared" si="1301"/>
        <v>0</v>
      </c>
      <c r="F269" s="72">
        <f>SUMIFS([0]!Otro,[0]!Centro,B269,[0]!Turno,F$230)</f>
        <v>0</v>
      </c>
      <c r="G269" s="72">
        <f>SUMIFS([0]!Otro,[0]!Centro,B269,[0]!Turno,G$230)</f>
        <v>0</v>
      </c>
      <c r="H269" s="72">
        <f>SUMIFS([0]!Otro,[0]!Centro,B269,[0]!Turno,H$230)</f>
        <v>0</v>
      </c>
      <c r="I269" s="72">
        <f>SUMIFS([0]!Otro,[0]!Centro,B269,[0]!Turno,I$230)</f>
        <v>0</v>
      </c>
      <c r="J269" s="72">
        <f>SUMIFS([0]!Otro,[0]!Centro,B269,[0]!Turno,J$230)</f>
        <v>0</v>
      </c>
      <c r="K269" s="72">
        <f>SUMIFS([0]!Otro,[0]!Centro,B269,[0]!Turno,K$230)</f>
        <v>0</v>
      </c>
      <c r="L269" s="72">
        <f>SUMIFS([0]!Otro,[0]!Centro,B269,[0]!Turno,L$230)</f>
        <v>0</v>
      </c>
      <c r="M269" s="72">
        <f>SUMIFS([0]!Otro,[0]!Centro,B269,[0]!Turno,M$230)</f>
        <v>0</v>
      </c>
      <c r="N269" s="72">
        <f>SUMIFS([0]!Otro,[0]!Centro,B269,[0]!Turno,N$230)</f>
        <v>0</v>
      </c>
      <c r="O269" s="72">
        <f>SUMIFS([0]!Otro,[0]!Centro,B269,[0]!Turno,O$230)</f>
        <v>0</v>
      </c>
      <c r="P269" s="72">
        <f>SUMIFS([0]!Otro,[0]!Centro,B269,[0]!Turno,P$230)</f>
        <v>0</v>
      </c>
      <c r="Q269" s="72">
        <f>SUMIFS([0]!Otro,[0]!Centro,B269,[0]!Turno,Q$230)</f>
        <v>0</v>
      </c>
      <c r="R269" s="72">
        <f>SUMIFS([0]!Otro,[0]!Centro,B269,[0]!Turno,R$230)</f>
        <v>0</v>
      </c>
      <c r="S269" s="72">
        <f>SUMIFS([0]!Otro,[0]!Centro,B269,[0]!Turno,S$230)</f>
        <v>0</v>
      </c>
      <c r="T269" s="72">
        <f>SUMIFS([0]!Otro,[0]!Centro,B269,[0]!Turno,T$230)</f>
        <v>0</v>
      </c>
      <c r="U269" s="72">
        <f>SUMIFS([0]!Otro,[0]!Centro,B269,[0]!Turno,U$230)</f>
        <v>0</v>
      </c>
      <c r="V269" s="72">
        <f>SUMIFS([0]!Otro,[0]!Centro,B269,[0]!Turno,V$230)</f>
        <v>0</v>
      </c>
      <c r="W269" s="72">
        <f>SUMIFS([0]!Otro,[0]!Centro,B269,[0]!Turno,W$230)</f>
        <v>0</v>
      </c>
      <c r="X269" s="72">
        <f>SUMIFS([0]!Otro,[0]!Centro,B269,[0]!Turno,X$230)</f>
        <v>0</v>
      </c>
      <c r="Y269" s="73">
        <f>SUMIFS([0]!Otro,[0]!Centro,B269,[0]!Turno,Y$230)</f>
        <v>0</v>
      </c>
    </row>
    <row r="270" spans="2:25" ht="15" customHeight="1" x14ac:dyDescent="0.2">
      <c r="B270" s="261"/>
      <c r="C270" s="94">
        <f>E270/SUM(E270:E272)</f>
        <v>0.55830388692579513</v>
      </c>
      <c r="D270" s="63" t="s">
        <v>0</v>
      </c>
      <c r="E270" s="150">
        <f>IF((E267+E268+E269)=0,0,(E267*$B271)/(E267+E268+E269))</f>
        <v>4.1110645869602627E-2</v>
      </c>
      <c r="F270" s="150">
        <f>IF((F267+F268+F269)=0,0,(F267*$B271)/(F267+F268+F269))</f>
        <v>0</v>
      </c>
      <c r="G270" s="150">
        <f t="shared" ref="G270" si="1510">IF((G267+G268+G269)=0,0,(G267*$B271)/(G267+G268+G269))</f>
        <v>4.2953686428102739E-2</v>
      </c>
      <c r="H270" s="150">
        <f t="shared" ref="H270" si="1511">IF((H267+H268+H269)=0,0,(H267*$B271)/(H267+H268+H269))</f>
        <v>4.4180934611762819E-2</v>
      </c>
      <c r="I270" s="150">
        <f t="shared" ref="I270" si="1512">IF((I267+I268+I269)=0,0,(I267*$B271)/(I267+I268+I269))</f>
        <v>3.9973226553499691E-2</v>
      </c>
      <c r="J270" s="150">
        <f t="shared" ref="J270" si="1513">IF((J267+J268+J269)=0,0,(J267*$B271)/(J267+J268+J269))</f>
        <v>3.8983177598614256E-2</v>
      </c>
      <c r="K270" s="150">
        <f t="shared" ref="K270" si="1514">IF((K267+K268+K269)=0,0,(K267*$B271)/(K267+K268+K269))</f>
        <v>2.5772211856861644E-2</v>
      </c>
      <c r="L270" s="150">
        <f t="shared" ref="L270" si="1515">IF((L267+L268+L269)=0,0,(L267*$B271)/(L267+L268+L269))</f>
        <v>5.1977570131485677E-2</v>
      </c>
      <c r="M270" s="150">
        <f t="shared" ref="M270" si="1516">IF((M267+M268+M269)=0,0,(M267*$B271)/(M267+M268+M269))</f>
        <v>4.0908272788669278E-2</v>
      </c>
      <c r="N270" s="150">
        <f t="shared" ref="N270" si="1517">IF((N267+N268+N269)=0,0,(N267*$B271)/(N267+N268+N269))</f>
        <v>2.0454136394334639E-2</v>
      </c>
      <c r="O270" s="150">
        <f t="shared" ref="O270" si="1518">IF((O267+O268+O269)=0,0,(O267*$B271)/(O267+O268+O269))</f>
        <v>0</v>
      </c>
      <c r="P270" s="150">
        <f t="shared" ref="P270" si="1519">IF((P267+P268+P269)=0,0,(P267*$B271)/(P267+P268+P269))</f>
        <v>0</v>
      </c>
      <c r="Q270" s="150">
        <f t="shared" ref="Q270" si="1520">IF((Q267+Q268+Q269)=0,0,(Q267*$B271)/(Q267+Q268+Q269))</f>
        <v>5.2596350728289068E-2</v>
      </c>
      <c r="R270" s="150">
        <f t="shared" ref="R270" si="1521">IF((R267+R268+R269)=0,0,(R267*$B271)/(R267+R268+R269))</f>
        <v>6.2589657366663998E-2</v>
      </c>
      <c r="S270" s="150">
        <f t="shared" ref="S270" si="1522">IF((S267+S268+S269)=0,0,(S267*$B271)/(S267+S268+S269))</f>
        <v>0</v>
      </c>
      <c r="T270" s="150">
        <f t="shared" ref="T270" si="1523">IF((T267+T268+T269)=0,0,(T267*$B271)/(T267+T268+T269))</f>
        <v>0</v>
      </c>
      <c r="U270" s="150">
        <f t="shared" ref="U270" si="1524">IF((U267+U268+U269)=0,0,(U267*$B271)/(U267+U268+U269))</f>
        <v>0</v>
      </c>
      <c r="V270" s="150">
        <f t="shared" ref="V270" si="1525">IF((V267+V268+V269)=0,0,(V267*$B271)/(V267+V268+V269))</f>
        <v>0</v>
      </c>
      <c r="W270" s="150">
        <f t="shared" ref="W270" si="1526">IF((W267+W268+W269)=0,0,(W267*$B271)/(W267+W268+W269))</f>
        <v>0</v>
      </c>
      <c r="X270" s="150">
        <f t="shared" ref="X270" si="1527">IF((X267+X268+X269)=0,0,(X267*$B271)/(X267+X268+X269))</f>
        <v>0</v>
      </c>
      <c r="Y270" s="163">
        <f t="shared" ref="Y270" si="1528">IF((Y267+Y268+Y269)=0,0,(Y267*$B271)/(Y267+Y268+Y269))</f>
        <v>0</v>
      </c>
    </row>
    <row r="271" spans="2:25" ht="15" customHeight="1" x14ac:dyDescent="0.2">
      <c r="B271" s="254">
        <v>7.3634891019604701E-2</v>
      </c>
      <c r="C271" s="92">
        <f>E271/SUM(E270:E272)</f>
        <v>0.44169611307420492</v>
      </c>
      <c r="D271" s="61" t="s">
        <v>1</v>
      </c>
      <c r="E271" s="154">
        <f>IF((E267+E268+E269)=0,0,(E268*$B271)/(E267+E268+E269))</f>
        <v>3.2524245150002074E-2</v>
      </c>
      <c r="F271" s="154">
        <f>IF((F267+F268+F269)=0,0,(F268*$B271)/(F267+F268+F269))</f>
        <v>0</v>
      </c>
      <c r="G271" s="154">
        <f t="shared" ref="G271:O271" si="1529">IF((G267+G268+G269)=0,0,(G268*$B271)/(G267+G268+G269))</f>
        <v>3.0681204591501959E-2</v>
      </c>
      <c r="H271" s="154">
        <f t="shared" si="1529"/>
        <v>2.9453956407841878E-2</v>
      </c>
      <c r="I271" s="154">
        <f t="shared" si="1529"/>
        <v>3.3661664466105003E-2</v>
      </c>
      <c r="J271" s="154">
        <f t="shared" si="1529"/>
        <v>3.4651713420990445E-2</v>
      </c>
      <c r="K271" s="154">
        <f t="shared" si="1529"/>
        <v>4.7862679162743053E-2</v>
      </c>
      <c r="L271" s="154">
        <f t="shared" si="1529"/>
        <v>2.165732088811903E-2</v>
      </c>
      <c r="M271" s="154">
        <f t="shared" si="1529"/>
        <v>3.2726618230935423E-2</v>
      </c>
      <c r="N271" s="154">
        <f t="shared" si="1529"/>
        <v>5.3180754625270062E-2</v>
      </c>
      <c r="O271" s="154">
        <f t="shared" si="1529"/>
        <v>0</v>
      </c>
      <c r="P271" s="154">
        <f>IF((P267+P268+P269)=0,0,(P268*$B271)/(P267+P268+P269))</f>
        <v>0</v>
      </c>
      <c r="Q271" s="154">
        <f t="shared" ref="Q271:Y271" si="1530">IF((Q267+Q268+Q269)=0,0,(Q268*$B271)/(Q267+Q268+Q269))</f>
        <v>2.1038540291315629E-2</v>
      </c>
      <c r="R271" s="154">
        <f t="shared" si="1530"/>
        <v>1.1045233652940706E-2</v>
      </c>
      <c r="S271" s="154">
        <f t="shared" si="1530"/>
        <v>0</v>
      </c>
      <c r="T271" s="154">
        <f t="shared" si="1530"/>
        <v>0</v>
      </c>
      <c r="U271" s="154">
        <f t="shared" si="1530"/>
        <v>0</v>
      </c>
      <c r="V271" s="154">
        <f t="shared" si="1530"/>
        <v>0</v>
      </c>
      <c r="W271" s="154">
        <f t="shared" si="1530"/>
        <v>0</v>
      </c>
      <c r="X271" s="154">
        <f t="shared" si="1530"/>
        <v>0</v>
      </c>
      <c r="Y271" s="159">
        <f t="shared" si="1530"/>
        <v>0</v>
      </c>
    </row>
    <row r="272" spans="2:25" ht="15" customHeight="1" thickBot="1" x14ac:dyDescent="0.25">
      <c r="B272" s="255"/>
      <c r="C272" s="93">
        <f>E272/SUM(E270:E272)</f>
        <v>0</v>
      </c>
      <c r="D272" s="75" t="s">
        <v>2</v>
      </c>
      <c r="E272" s="155">
        <f>IF((E267+E268+E269)=0,0,(E269*$B271)/(E267+E268+E269))</f>
        <v>0</v>
      </c>
      <c r="F272" s="155">
        <f>IF((F267+F268+F269)=0,0,(F269*$B271)/(F267+F268+F269))</f>
        <v>0</v>
      </c>
      <c r="G272" s="155">
        <f t="shared" ref="G272" si="1531">IF((G267+G268+G269)=0,0,(G269*$B271)/(G267+G268+G269))</f>
        <v>0</v>
      </c>
      <c r="H272" s="155">
        <f t="shared" ref="H272" si="1532">IF((H267+H268+H269)=0,0,(H269*$B271)/(H267+H268+H269))</f>
        <v>0</v>
      </c>
      <c r="I272" s="155">
        <f t="shared" ref="I272" si="1533">IF((I267+I268+I269)=0,0,(I269*$B271)/(I267+I268+I269))</f>
        <v>0</v>
      </c>
      <c r="J272" s="155">
        <f t="shared" ref="J272" si="1534">IF((J267+J268+J269)=0,0,(J269*$B271)/(J267+J268+J269))</f>
        <v>0</v>
      </c>
      <c r="K272" s="155">
        <f t="shared" ref="K272" si="1535">IF((K267+K268+K269)=0,0,(K269*$B271)/(K267+K268+K269))</f>
        <v>0</v>
      </c>
      <c r="L272" s="155">
        <f t="shared" ref="L272" si="1536">IF((L267+L268+L269)=0,0,(L269*$B271)/(L267+L268+L269))</f>
        <v>0</v>
      </c>
      <c r="M272" s="155">
        <f t="shared" ref="M272" si="1537">IF((M267+M268+M269)=0,0,(M269*$B271)/(M267+M268+M269))</f>
        <v>0</v>
      </c>
      <c r="N272" s="155">
        <f t="shared" ref="N272" si="1538">IF((N267+N268+N269)=0,0,(N269*$B271)/(N267+N268+N269))</f>
        <v>0</v>
      </c>
      <c r="O272" s="155">
        <f t="shared" ref="O272" si="1539">IF((O267+O268+O269)=0,0,(O269*$B271)/(O267+O268+O269))</f>
        <v>0</v>
      </c>
      <c r="P272" s="155">
        <f t="shared" ref="P272" si="1540">IF((P267+P268+P269)=0,0,(P269*$B271)/(P267+P268+P269))</f>
        <v>0</v>
      </c>
      <c r="Q272" s="155">
        <f t="shared" ref="Q272" si="1541">IF((Q267+Q268+Q269)=0,0,(Q269*$B271)/(Q267+Q268+Q269))</f>
        <v>0</v>
      </c>
      <c r="R272" s="155">
        <f t="shared" ref="R272" si="1542">IF((R267+R268+R269)=0,0,(R269*$B271)/(R267+R268+R269))</f>
        <v>0</v>
      </c>
      <c r="S272" s="155">
        <f t="shared" ref="S272" si="1543">IF((S267+S268+S269)=0,0,(S269*$B271)/(S267+S268+S269))</f>
        <v>0</v>
      </c>
      <c r="T272" s="155">
        <f t="shared" ref="T272" si="1544">IF((T267+T268+T269)=0,0,(T269*$B271)/(T267+T268+T269))</f>
        <v>0</v>
      </c>
      <c r="U272" s="155">
        <f t="shared" ref="U272" si="1545">IF((U267+U268+U269)=0,0,(U269*$B271)/(U267+U268+U269))</f>
        <v>0</v>
      </c>
      <c r="V272" s="155">
        <f t="shared" ref="V272" si="1546">IF((V267+V268+V269)=0,0,(V269*$B271)/(V267+V268+V269))</f>
        <v>0</v>
      </c>
      <c r="W272" s="155">
        <f t="shared" ref="W272" si="1547">IF((W267+W268+W269)=0,0,(W269*$B271)/(W267+W268+W269))</f>
        <v>0</v>
      </c>
      <c r="X272" s="155">
        <f t="shared" ref="X272" si="1548">IF((X267+X268+X269)=0,0,(X269*$B271)/(X267+X268+X269))</f>
        <v>0</v>
      </c>
      <c r="Y272" s="160">
        <f t="shared" ref="Y272" si="1549">IF((Y267+Y268+Y269)=0,0,(Y269*$B271)/(Y267+Y268+Y269))</f>
        <v>0</v>
      </c>
    </row>
    <row r="273" spans="2:25" ht="15" customHeight="1" x14ac:dyDescent="0.2">
      <c r="B273" s="249" t="s">
        <v>71</v>
      </c>
      <c r="C273" s="91">
        <f>E273/SUM(E273:E275)</f>
        <v>0.76344086021505375</v>
      </c>
      <c r="D273" s="67" t="s">
        <v>0</v>
      </c>
      <c r="E273" s="68">
        <f t="shared" si="1301"/>
        <v>142</v>
      </c>
      <c r="F273" s="68">
        <f>SUMIFS([0]!Chavez,[0]!Centro,B275,[0]!Turno,F$230)</f>
        <v>0</v>
      </c>
      <c r="G273" s="68">
        <f>SUMIFS([0]!Chavez,[0]!Centro,B275,[0]!Turno,G$230)</f>
        <v>10</v>
      </c>
      <c r="H273" s="68">
        <f>SUMIFS([0]!Chavez,[0]!Centro,B275,[0]!Turno,H$230)</f>
        <v>6</v>
      </c>
      <c r="I273" s="68">
        <f>SUMIFS([0]!Chavez,[0]!Centro,B275,[0]!Turno,I$230)</f>
        <v>6</v>
      </c>
      <c r="J273" s="68">
        <f>SUMIFS([0]!Chavez,[0]!Centro,B275,[0]!Turno,J$230)</f>
        <v>8</v>
      </c>
      <c r="K273" s="68">
        <f>SUMIFS([0]!Chavez,[0]!Centro,B275,[0]!Turno,K$230)</f>
        <v>17</v>
      </c>
      <c r="L273" s="68">
        <f>SUMIFS([0]!Chavez,[0]!Centro,B275,[0]!Turno,L$230)</f>
        <v>25</v>
      </c>
      <c r="M273" s="68">
        <f>SUMIFS([0]!Chavez,[0]!Centro,B275,[0]!Turno,M$230)</f>
        <v>27</v>
      </c>
      <c r="N273" s="68">
        <f>SUMIFS([0]!Chavez,[0]!Centro,B275,[0]!Turno,N$230)</f>
        <v>22</v>
      </c>
      <c r="O273" s="68">
        <f>SUMIFS([0]!Chavez,[0]!Centro,B275,[0]!Turno,O$230)</f>
        <v>7</v>
      </c>
      <c r="P273" s="68">
        <f>SUMIFS([0]!Chavez,[0]!Centro,B275,[0]!Turno,P$230)</f>
        <v>14</v>
      </c>
      <c r="Q273" s="68">
        <f>SUMIFS([0]!Chavez,[0]!Centro,B275,[0]!Turno,Q$230)</f>
        <v>0</v>
      </c>
      <c r="R273" s="68">
        <f>SUMIFS([0]!Chavez,[0]!Centro,B275,[0]!Turno,R$230)</f>
        <v>0</v>
      </c>
      <c r="S273" s="68">
        <f>SUMIFS([0]!Chavez,[0]!Centro,B275,[0]!Turno,S$230)</f>
        <v>0</v>
      </c>
      <c r="T273" s="68">
        <f>SUMIFS([0]!Chavez,[0]!Centro,B275,[0]!Turno,T$230)</f>
        <v>0</v>
      </c>
      <c r="U273" s="68">
        <f>SUMIFS([0]!Chavez,[0]!Centro,B275,[0]!Turno,U$230)</f>
        <v>0</v>
      </c>
      <c r="V273" s="68">
        <f>SUMIFS([0]!Chavez,[0]!Centro,B275,[0]!Turno,V$230)</f>
        <v>0</v>
      </c>
      <c r="W273" s="68">
        <f>SUMIFS([0]!Chavez,[0]!Centro,B275,[0]!Turno,W$230)</f>
        <v>0</v>
      </c>
      <c r="X273" s="68">
        <f>SUMIFS([0]!Chavez,[0]!Centro,B275,[0]!Turno,X$230)</f>
        <v>0</v>
      </c>
      <c r="Y273" s="69">
        <f>SUMIFS([0]!Chavez,[0]!Centro,B275,[0]!Turno,Y$230)</f>
        <v>0</v>
      </c>
    </row>
    <row r="274" spans="2:25" ht="15" customHeight="1" x14ac:dyDescent="0.2">
      <c r="B274" s="250"/>
      <c r="C274" s="92">
        <f>E274/SUM(E273:E275)</f>
        <v>0.23655913978494625</v>
      </c>
      <c r="D274" s="61" t="s">
        <v>1</v>
      </c>
      <c r="E274" s="62">
        <f t="shared" si="1301"/>
        <v>44</v>
      </c>
      <c r="F274" s="62">
        <f>SUMIFS([0]!Capriles,[0]!Centro,B275,[0]!Turno,F$230)</f>
        <v>0</v>
      </c>
      <c r="G274" s="62">
        <f>SUMIFS([0]!Capriles,[0]!Centro,B275,[0]!Turno,G$230)</f>
        <v>0</v>
      </c>
      <c r="H274" s="62">
        <f>SUMIFS([0]!Capriles,[0]!Centro,B275,[0]!Turno,H$230)</f>
        <v>6</v>
      </c>
      <c r="I274" s="62">
        <f>SUMIFS([0]!Capriles,[0]!Centro,B275,[0]!Turno,I$230)</f>
        <v>0</v>
      </c>
      <c r="J274" s="62">
        <f>SUMIFS([0]!Capriles,[0]!Centro,B275,[0]!Turno,J$230)</f>
        <v>3</v>
      </c>
      <c r="K274" s="62">
        <f>SUMIFS([0]!Capriles,[0]!Centro,B275,[0]!Turno,K$230)</f>
        <v>6</v>
      </c>
      <c r="L274" s="62">
        <f>SUMIFS([0]!Capriles,[0]!Centro,B275,[0]!Turno,L$230)</f>
        <v>8</v>
      </c>
      <c r="M274" s="62">
        <f>SUMIFS([0]!Capriles,[0]!Centro,B275,[0]!Turno,M$230)</f>
        <v>7</v>
      </c>
      <c r="N274" s="62">
        <f>SUMIFS([0]!Capriles,[0]!Centro,B275,[0]!Turno,N$230)</f>
        <v>9</v>
      </c>
      <c r="O274" s="62">
        <f>SUMIFS([0]!Capriles,[0]!Centro,B275,[0]!Turno,O$230)</f>
        <v>0</v>
      </c>
      <c r="P274" s="62">
        <f>SUMIFS([0]!Capriles,[0]!Centro,B275,[0]!Turno,P$230)</f>
        <v>5</v>
      </c>
      <c r="Q274" s="62">
        <f>SUMIFS([0]!Capriles,[0]!Centro,B275,[0]!Turno,Q$230)</f>
        <v>0</v>
      </c>
      <c r="R274" s="62">
        <f>SUMIFS([0]!Capriles,[0]!Centro,B275,[0]!Turno,R$230)</f>
        <v>0</v>
      </c>
      <c r="S274" s="62">
        <f>SUMIFS([0]!Capriles,[0]!Centro,B275,[0]!Turno,S$230)</f>
        <v>0</v>
      </c>
      <c r="T274" s="62">
        <f>SUMIFS([0]!Capriles,[0]!Centro,B275,[0]!Turno,T$230)</f>
        <v>0</v>
      </c>
      <c r="U274" s="62">
        <f>SUMIFS([0]!Capriles,[0]!Centro,B275,[0]!Turno,U$230)</f>
        <v>0</v>
      </c>
      <c r="V274" s="62">
        <f>SUMIFS([0]!Capriles,[0]!Centro,B275,[0]!Turno,V$230)</f>
        <v>0</v>
      </c>
      <c r="W274" s="62">
        <f>SUMIFS([0]!Capriles,[0]!Centro,B275,[0]!Turno,W$230)</f>
        <v>0</v>
      </c>
      <c r="X274" s="62">
        <f>SUMIFS([0]!Capriles,[0]!Centro,B275,[0]!Turno,X$230)</f>
        <v>0</v>
      </c>
      <c r="Y274" s="70">
        <f>SUMIFS([0]!Capriles,[0]!Centro,B275,[0]!Turno,Y$230)</f>
        <v>0</v>
      </c>
    </row>
    <row r="275" spans="2:25" ht="15" customHeight="1" thickBot="1" x14ac:dyDescent="0.25">
      <c r="B275" s="261">
        <v>56</v>
      </c>
      <c r="C275" s="100">
        <f>E275/SUM(E273:E275)</f>
        <v>0</v>
      </c>
      <c r="D275" s="71" t="s">
        <v>2</v>
      </c>
      <c r="E275" s="72">
        <f t="shared" si="1301"/>
        <v>0</v>
      </c>
      <c r="F275" s="72">
        <f>SUMIFS([0]!Otro,[0]!Centro,B275,[0]!Turno,F$230)</f>
        <v>0</v>
      </c>
      <c r="G275" s="72">
        <f>SUMIFS([0]!Otro,[0]!Centro,B275,[0]!Turno,G$230)</f>
        <v>0</v>
      </c>
      <c r="H275" s="72">
        <f>SUMIFS([0]!Otro,[0]!Centro,B275,[0]!Turno,H$230)</f>
        <v>0</v>
      </c>
      <c r="I275" s="72">
        <f>SUMIFS([0]!Otro,[0]!Centro,B275,[0]!Turno,I$230)</f>
        <v>0</v>
      </c>
      <c r="J275" s="72">
        <f>SUMIFS([0]!Otro,[0]!Centro,B275,[0]!Turno,J$230)</f>
        <v>0</v>
      </c>
      <c r="K275" s="72">
        <f>SUMIFS([0]!Otro,[0]!Centro,B275,[0]!Turno,K$230)</f>
        <v>0</v>
      </c>
      <c r="L275" s="72">
        <f>SUMIFS([0]!Otro,[0]!Centro,B275,[0]!Turno,L$230)</f>
        <v>0</v>
      </c>
      <c r="M275" s="72">
        <f>SUMIFS([0]!Otro,[0]!Centro,B275,[0]!Turno,M$230)</f>
        <v>0</v>
      </c>
      <c r="N275" s="72">
        <f>SUMIFS([0]!Otro,[0]!Centro,B275,[0]!Turno,N$230)</f>
        <v>0</v>
      </c>
      <c r="O275" s="72">
        <f>SUMIFS([0]!Otro,[0]!Centro,B275,[0]!Turno,O$230)</f>
        <v>0</v>
      </c>
      <c r="P275" s="72">
        <f>SUMIFS([0]!Otro,[0]!Centro,B275,[0]!Turno,P$230)</f>
        <v>0</v>
      </c>
      <c r="Q275" s="72">
        <f>SUMIFS([0]!Otro,[0]!Centro,B275,[0]!Turno,Q$230)</f>
        <v>0</v>
      </c>
      <c r="R275" s="72">
        <f>SUMIFS([0]!Otro,[0]!Centro,B275,[0]!Turno,R$230)</f>
        <v>0</v>
      </c>
      <c r="S275" s="72">
        <f>SUMIFS([0]!Otro,[0]!Centro,B275,[0]!Turno,S$230)</f>
        <v>0</v>
      </c>
      <c r="T275" s="72">
        <f>SUMIFS([0]!Otro,[0]!Centro,B275,[0]!Turno,T$230)</f>
        <v>0</v>
      </c>
      <c r="U275" s="72">
        <f>SUMIFS([0]!Otro,[0]!Centro,B275,[0]!Turno,U$230)</f>
        <v>0</v>
      </c>
      <c r="V275" s="72">
        <f>SUMIFS([0]!Otro,[0]!Centro,B275,[0]!Turno,V$230)</f>
        <v>0</v>
      </c>
      <c r="W275" s="72">
        <f>SUMIFS([0]!Otro,[0]!Centro,B275,[0]!Turno,W$230)</f>
        <v>0</v>
      </c>
      <c r="X275" s="72">
        <f>SUMIFS([0]!Otro,[0]!Centro,B275,[0]!Turno,X$230)</f>
        <v>0</v>
      </c>
      <c r="Y275" s="73">
        <f>SUMIFS([0]!Otro,[0]!Centro,B275,[0]!Turno,Y$230)</f>
        <v>0</v>
      </c>
    </row>
    <row r="276" spans="2:25" ht="15" customHeight="1" x14ac:dyDescent="0.2">
      <c r="B276" s="261"/>
      <c r="C276" s="94">
        <f>E276/SUM(E276:E278)</f>
        <v>0.76344086021505375</v>
      </c>
      <c r="D276" s="63" t="s">
        <v>0</v>
      </c>
      <c r="E276" s="150">
        <f>IF((E273+E274+E275)=0,0,(E273*$B277)/(E273+E274+E275))</f>
        <v>4.9844242122949439E-2</v>
      </c>
      <c r="F276" s="150">
        <f>IF((F273+F274+F275)=0,0,(F273*$B277)/(F273+F274+F275))</f>
        <v>0</v>
      </c>
      <c r="G276" s="150">
        <f t="shared" ref="G276" si="1550">IF((G273+G274+G275)=0,0,(G273*$B277)/(G273+G274+G275))</f>
        <v>6.5288936865271804E-2</v>
      </c>
      <c r="H276" s="150">
        <f t="shared" ref="H276" si="1551">IF((H273+H274+H275)=0,0,(H273*$B277)/(H273+H274+H275))</f>
        <v>3.2644468432635902E-2</v>
      </c>
      <c r="I276" s="150">
        <f t="shared" ref="I276" si="1552">IF((I273+I274+I275)=0,0,(I273*$B277)/(I273+I274+I275))</f>
        <v>6.5288936865271804E-2</v>
      </c>
      <c r="J276" s="150">
        <f t="shared" ref="J276" si="1553">IF((J273+J274+J275)=0,0,(J273*$B277)/(J273+J274+J275))</f>
        <v>4.748286317474313E-2</v>
      </c>
      <c r="K276" s="150">
        <f t="shared" ref="K276" si="1554">IF((K273+K274+K275)=0,0,(K273*$B277)/(K273+K274+K275))</f>
        <v>4.825704029172264E-2</v>
      </c>
      <c r="L276" s="150">
        <f t="shared" ref="L276" si="1555">IF((L273+L274+L275)=0,0,(L273*$B277)/(L273+L274+L275))</f>
        <v>4.9461315807024092E-2</v>
      </c>
      <c r="M276" s="150">
        <f t="shared" ref="M276" si="1556">IF((M273+M274+M275)=0,0,(M273*$B277)/(M273+M274+M275))</f>
        <v>5.1847096922421725E-2</v>
      </c>
      <c r="N276" s="150">
        <f t="shared" ref="N276" si="1557">IF((N273+N274+N275)=0,0,(N273*$B277)/(N273+N274+N275))</f>
        <v>4.6334084226967089E-2</v>
      </c>
      <c r="O276" s="150">
        <f t="shared" ref="O276" si="1558">IF((O273+O274+O275)=0,0,(O273*$B277)/(O273+O274+O275))</f>
        <v>6.5288936865271804E-2</v>
      </c>
      <c r="P276" s="150">
        <f t="shared" ref="P276" si="1559">IF((P273+P274+P275)=0,0,(P273*$B277)/(P273+P274+P275))</f>
        <v>4.8107637690200274E-2</v>
      </c>
      <c r="Q276" s="150">
        <f t="shared" ref="Q276" si="1560">IF((Q273+Q274+Q275)=0,0,(Q273*$B277)/(Q273+Q274+Q275))</f>
        <v>0</v>
      </c>
      <c r="R276" s="150">
        <f t="shared" ref="R276" si="1561">IF((R273+R274+R275)=0,0,(R273*$B277)/(R273+R274+R275))</f>
        <v>0</v>
      </c>
      <c r="S276" s="150">
        <f t="shared" ref="S276" si="1562">IF((S273+S274+S275)=0,0,(S273*$B277)/(S273+S274+S275))</f>
        <v>0</v>
      </c>
      <c r="T276" s="150">
        <f t="shared" ref="T276" si="1563">IF((T273+T274+T275)=0,0,(T273*$B277)/(T273+T274+T275))</f>
        <v>0</v>
      </c>
      <c r="U276" s="150">
        <f t="shared" ref="U276" si="1564">IF((U273+U274+U275)=0,0,(U273*$B277)/(U273+U274+U275))</f>
        <v>0</v>
      </c>
      <c r="V276" s="150">
        <f t="shared" ref="V276" si="1565">IF((V273+V274+V275)=0,0,(V273*$B277)/(V273+V274+V275))</f>
        <v>0</v>
      </c>
      <c r="W276" s="150">
        <f t="shared" ref="W276" si="1566">IF((W273+W274+W275)=0,0,(W273*$B277)/(W273+W274+W275))</f>
        <v>0</v>
      </c>
      <c r="X276" s="150">
        <f t="shared" ref="X276" si="1567">IF((X273+X274+X275)=0,0,(X273*$B277)/(X273+X274+X275))</f>
        <v>0</v>
      </c>
      <c r="Y276" s="163">
        <f t="shared" ref="Y276" si="1568">IF((Y273+Y274+Y275)=0,0,(Y273*$B277)/(Y273+Y274+Y275))</f>
        <v>0</v>
      </c>
    </row>
    <row r="277" spans="2:25" ht="15" customHeight="1" x14ac:dyDescent="0.2">
      <c r="B277" s="254">
        <v>6.5288936865271804E-2</v>
      </c>
      <c r="C277" s="92">
        <f>E277/SUM(E276:E278)</f>
        <v>0.23655913978494625</v>
      </c>
      <c r="D277" s="61" t="s">
        <v>1</v>
      </c>
      <c r="E277" s="154">
        <f>IF((E273+E274+E275)=0,0,(E274*$B277)/(E273+E274+E275))</f>
        <v>1.5444694742322363E-2</v>
      </c>
      <c r="F277" s="154">
        <f>IF((F273+F274+F275)=0,0,(F274*$B277)/(F273+F274+F275))</f>
        <v>0</v>
      </c>
      <c r="G277" s="154">
        <f t="shared" ref="G277:O277" si="1569">IF((G273+G274+G275)=0,0,(G274*$B277)/(G273+G274+G275))</f>
        <v>0</v>
      </c>
      <c r="H277" s="154">
        <f t="shared" si="1569"/>
        <v>3.2644468432635902E-2</v>
      </c>
      <c r="I277" s="154">
        <f t="shared" si="1569"/>
        <v>0</v>
      </c>
      <c r="J277" s="154">
        <f t="shared" si="1569"/>
        <v>1.7806073690528671E-2</v>
      </c>
      <c r="K277" s="154">
        <f t="shared" si="1569"/>
        <v>1.7031896573549164E-2</v>
      </c>
      <c r="L277" s="154">
        <f t="shared" si="1569"/>
        <v>1.5827621058247709E-2</v>
      </c>
      <c r="M277" s="154">
        <f t="shared" si="1569"/>
        <v>1.3441839942850076E-2</v>
      </c>
      <c r="N277" s="154">
        <f t="shared" si="1569"/>
        <v>1.8954852638304719E-2</v>
      </c>
      <c r="O277" s="154">
        <f t="shared" si="1569"/>
        <v>0</v>
      </c>
      <c r="P277" s="154">
        <f>IF((P273+P274+P275)=0,0,(P274*$B277)/(P273+P274+P275))</f>
        <v>1.7181299175071527E-2</v>
      </c>
      <c r="Q277" s="154">
        <f t="shared" ref="Q277:Y277" si="1570">IF((Q273+Q274+Q275)=0,0,(Q274*$B277)/(Q273+Q274+Q275))</f>
        <v>0</v>
      </c>
      <c r="R277" s="154">
        <f t="shared" si="1570"/>
        <v>0</v>
      </c>
      <c r="S277" s="154">
        <f t="shared" si="1570"/>
        <v>0</v>
      </c>
      <c r="T277" s="154">
        <f t="shared" si="1570"/>
        <v>0</v>
      </c>
      <c r="U277" s="154">
        <f t="shared" si="1570"/>
        <v>0</v>
      </c>
      <c r="V277" s="154">
        <f t="shared" si="1570"/>
        <v>0</v>
      </c>
      <c r="W277" s="154">
        <f t="shared" si="1570"/>
        <v>0</v>
      </c>
      <c r="X277" s="154">
        <f t="shared" si="1570"/>
        <v>0</v>
      </c>
      <c r="Y277" s="159">
        <f t="shared" si="1570"/>
        <v>0</v>
      </c>
    </row>
    <row r="278" spans="2:25" ht="15" customHeight="1" thickBot="1" x14ac:dyDescent="0.25">
      <c r="B278" s="255"/>
      <c r="C278" s="93">
        <f>E278/SUM(E276:E278)</f>
        <v>0</v>
      </c>
      <c r="D278" s="75" t="s">
        <v>2</v>
      </c>
      <c r="E278" s="155">
        <f>IF((E273+E274+E275)=0,0,(E275*$B277)/(E273+E274+E275))</f>
        <v>0</v>
      </c>
      <c r="F278" s="155">
        <f>IF((F273+F274+F275)=0,0,(F275*$B277)/(F273+F274+F275))</f>
        <v>0</v>
      </c>
      <c r="G278" s="155">
        <f t="shared" ref="G278" si="1571">IF((G273+G274+G275)=0,0,(G275*$B277)/(G273+G274+G275))</f>
        <v>0</v>
      </c>
      <c r="H278" s="155">
        <f t="shared" ref="H278" si="1572">IF((H273+H274+H275)=0,0,(H275*$B277)/(H273+H274+H275))</f>
        <v>0</v>
      </c>
      <c r="I278" s="155">
        <f t="shared" ref="I278" si="1573">IF((I273+I274+I275)=0,0,(I275*$B277)/(I273+I274+I275))</f>
        <v>0</v>
      </c>
      <c r="J278" s="155">
        <f t="shared" ref="J278" si="1574">IF((J273+J274+J275)=0,0,(J275*$B277)/(J273+J274+J275))</f>
        <v>0</v>
      </c>
      <c r="K278" s="155">
        <f t="shared" ref="K278" si="1575">IF((K273+K274+K275)=0,0,(K275*$B277)/(K273+K274+K275))</f>
        <v>0</v>
      </c>
      <c r="L278" s="155">
        <f t="shared" ref="L278" si="1576">IF((L273+L274+L275)=0,0,(L275*$B277)/(L273+L274+L275))</f>
        <v>0</v>
      </c>
      <c r="M278" s="155">
        <f t="shared" ref="M278" si="1577">IF((M273+M274+M275)=0,0,(M275*$B277)/(M273+M274+M275))</f>
        <v>0</v>
      </c>
      <c r="N278" s="155">
        <f t="shared" ref="N278" si="1578">IF((N273+N274+N275)=0,0,(N275*$B277)/(N273+N274+N275))</f>
        <v>0</v>
      </c>
      <c r="O278" s="155">
        <f t="shared" ref="O278" si="1579">IF((O273+O274+O275)=0,0,(O275*$B277)/(O273+O274+O275))</f>
        <v>0</v>
      </c>
      <c r="P278" s="155">
        <f t="shared" ref="P278" si="1580">IF((P273+P274+P275)=0,0,(P275*$B277)/(P273+P274+P275))</f>
        <v>0</v>
      </c>
      <c r="Q278" s="155">
        <f t="shared" ref="Q278" si="1581">IF((Q273+Q274+Q275)=0,0,(Q275*$B277)/(Q273+Q274+Q275))</f>
        <v>0</v>
      </c>
      <c r="R278" s="155">
        <f t="shared" ref="R278" si="1582">IF((R273+R274+R275)=0,0,(R275*$B277)/(R273+R274+R275))</f>
        <v>0</v>
      </c>
      <c r="S278" s="155">
        <f t="shared" ref="S278" si="1583">IF((S273+S274+S275)=0,0,(S275*$B277)/(S273+S274+S275))</f>
        <v>0</v>
      </c>
      <c r="T278" s="155">
        <f t="shared" ref="T278" si="1584">IF((T273+T274+T275)=0,0,(T275*$B277)/(T273+T274+T275))</f>
        <v>0</v>
      </c>
      <c r="U278" s="155">
        <f t="shared" ref="U278" si="1585">IF((U273+U274+U275)=0,0,(U275*$B277)/(U273+U274+U275))</f>
        <v>0</v>
      </c>
      <c r="V278" s="155">
        <f t="shared" ref="V278" si="1586">IF((V273+V274+V275)=0,0,(V275*$B277)/(V273+V274+V275))</f>
        <v>0</v>
      </c>
      <c r="W278" s="155">
        <f t="shared" ref="W278" si="1587">IF((W273+W274+W275)=0,0,(W275*$B277)/(W273+W274+W275))</f>
        <v>0</v>
      </c>
      <c r="X278" s="155">
        <f t="shared" ref="X278" si="1588">IF((X273+X274+X275)=0,0,(X275*$B277)/(X273+X274+X275))</f>
        <v>0</v>
      </c>
      <c r="Y278" s="160">
        <f t="shared" ref="Y278" si="1589">IF((Y273+Y274+Y275)=0,0,(Y275*$B277)/(Y273+Y274+Y275))</f>
        <v>0</v>
      </c>
    </row>
    <row r="279" spans="2:25" ht="15" customHeight="1" x14ac:dyDescent="0.2">
      <c r="B279" s="249" t="s">
        <v>72</v>
      </c>
      <c r="C279" s="91">
        <f>E279/SUM(E279:E281)</f>
        <v>0.46666666666666667</v>
      </c>
      <c r="D279" s="67" t="s">
        <v>0</v>
      </c>
      <c r="E279" s="68">
        <f t="shared" si="1301"/>
        <v>91</v>
      </c>
      <c r="F279" s="68">
        <f>SUMIFS([0]!Chavez,[0]!Centro,B281,[0]!Turno,F$230)</f>
        <v>11</v>
      </c>
      <c r="G279" s="68">
        <f>SUMIFS([0]!Chavez,[0]!Centro,B281,[0]!Turno,G$230)</f>
        <v>0</v>
      </c>
      <c r="H279" s="68">
        <f>SUMIFS([0]!Chavez,[0]!Centro,B281,[0]!Turno,H$230)</f>
        <v>7</v>
      </c>
      <c r="I279" s="68">
        <f>SUMIFS([0]!Chavez,[0]!Centro,B281,[0]!Turno,I$230)</f>
        <v>19</v>
      </c>
      <c r="J279" s="68">
        <f>SUMIFS([0]!Chavez,[0]!Centro,B281,[0]!Turno,J$230)</f>
        <v>6</v>
      </c>
      <c r="K279" s="68">
        <f>SUMIFS([0]!Chavez,[0]!Centro,B281,[0]!Turno,K$230)</f>
        <v>8</v>
      </c>
      <c r="L279" s="68">
        <f>SUMIFS([0]!Chavez,[0]!Centro,B281,[0]!Turno,L$230)</f>
        <v>17</v>
      </c>
      <c r="M279" s="68">
        <f>SUMIFS([0]!Chavez,[0]!Centro,B281,[0]!Turno,M$230)</f>
        <v>9</v>
      </c>
      <c r="N279" s="68">
        <f>SUMIFS([0]!Chavez,[0]!Centro,B281,[0]!Turno,N$230)</f>
        <v>14</v>
      </c>
      <c r="O279" s="68">
        <f>SUMIFS([0]!Chavez,[0]!Centro,B281,[0]!Turno,O$230)</f>
        <v>0</v>
      </c>
      <c r="P279" s="68">
        <f>SUMIFS([0]!Chavez,[0]!Centro,B281,[0]!Turno,P$230)</f>
        <v>0</v>
      </c>
      <c r="Q279" s="68">
        <f>SUMIFS([0]!Chavez,[0]!Centro,B281,[0]!Turno,Q$230)</f>
        <v>0</v>
      </c>
      <c r="R279" s="68">
        <f>SUMIFS([0]!Chavez,[0]!Centro,B281,[0]!Turno,R$230)</f>
        <v>0</v>
      </c>
      <c r="S279" s="68">
        <f>SUMIFS([0]!Chavez,[0]!Centro,B281,[0]!Turno,S$230)</f>
        <v>0</v>
      </c>
      <c r="T279" s="68">
        <f>SUMIFS([0]!Chavez,[0]!Centro,B281,[0]!Turno,T$230)</f>
        <v>0</v>
      </c>
      <c r="U279" s="68">
        <f>SUMIFS([0]!Chavez,[0]!Centro,B281,[0]!Turno,U$230)</f>
        <v>0</v>
      </c>
      <c r="V279" s="68">
        <f>SUMIFS([0]!Chavez,[0]!Centro,B281,[0]!Turno,V$230)</f>
        <v>0</v>
      </c>
      <c r="W279" s="68">
        <f>SUMIFS([0]!Chavez,[0]!Centro,B281,[0]!Turno,W$230)</f>
        <v>0</v>
      </c>
      <c r="X279" s="68">
        <f>SUMIFS([0]!Chavez,[0]!Centro,B281,[0]!Turno,X$230)</f>
        <v>0</v>
      </c>
      <c r="Y279" s="69">
        <f>SUMIFS([0]!Chavez,[0]!Centro,B281,[0]!Turno,Y$230)</f>
        <v>0</v>
      </c>
    </row>
    <row r="280" spans="2:25" ht="15" customHeight="1" x14ac:dyDescent="0.2">
      <c r="B280" s="250"/>
      <c r="C280" s="92">
        <f>E280/SUM(E279:E281)</f>
        <v>0.46666666666666667</v>
      </c>
      <c r="D280" s="61" t="s">
        <v>1</v>
      </c>
      <c r="E280" s="62">
        <f t="shared" si="1301"/>
        <v>91</v>
      </c>
      <c r="F280" s="62">
        <f>SUMIFS([0]!Capriles,[0]!Centro,B281,[0]!Turno,F$230)</f>
        <v>9</v>
      </c>
      <c r="G280" s="62">
        <f>SUMIFS([0]!Capriles,[0]!Centro,B281,[0]!Turno,G$230)</f>
        <v>0</v>
      </c>
      <c r="H280" s="62">
        <f>SUMIFS([0]!Capriles,[0]!Centro,B281,[0]!Turno,H$230)</f>
        <v>6</v>
      </c>
      <c r="I280" s="62">
        <f>SUMIFS([0]!Capriles,[0]!Centro,B281,[0]!Turno,I$230)</f>
        <v>16</v>
      </c>
      <c r="J280" s="62">
        <f>SUMIFS([0]!Capriles,[0]!Centro,B281,[0]!Turno,J$230)</f>
        <v>4</v>
      </c>
      <c r="K280" s="62">
        <f>SUMIFS([0]!Capriles,[0]!Centro,B281,[0]!Turno,K$230)</f>
        <v>5</v>
      </c>
      <c r="L280" s="62">
        <f>SUMIFS([0]!Capriles,[0]!Centro,B281,[0]!Turno,L$230)</f>
        <v>25</v>
      </c>
      <c r="M280" s="62">
        <f>SUMIFS([0]!Capriles,[0]!Centro,B281,[0]!Turno,M$230)</f>
        <v>13</v>
      </c>
      <c r="N280" s="62">
        <f>SUMIFS([0]!Capriles,[0]!Centro,B281,[0]!Turno,N$230)</f>
        <v>13</v>
      </c>
      <c r="O280" s="62">
        <f>SUMIFS([0]!Capriles,[0]!Centro,B281,[0]!Turno,O$230)</f>
        <v>0</v>
      </c>
      <c r="P280" s="62">
        <f>SUMIFS([0]!Capriles,[0]!Centro,B281,[0]!Turno,P$230)</f>
        <v>0</v>
      </c>
      <c r="Q280" s="62">
        <f>SUMIFS([0]!Capriles,[0]!Centro,B281,[0]!Turno,Q$230)</f>
        <v>0</v>
      </c>
      <c r="R280" s="62">
        <f>SUMIFS([0]!Capriles,[0]!Centro,B281,[0]!Turno,R$230)</f>
        <v>0</v>
      </c>
      <c r="S280" s="62">
        <f>SUMIFS([0]!Capriles,[0]!Centro,B281,[0]!Turno,S$230)</f>
        <v>0</v>
      </c>
      <c r="T280" s="62">
        <f>SUMIFS([0]!Capriles,[0]!Centro,B281,[0]!Turno,T$230)</f>
        <v>0</v>
      </c>
      <c r="U280" s="62">
        <f>SUMIFS([0]!Capriles,[0]!Centro,B281,[0]!Turno,U$230)</f>
        <v>0</v>
      </c>
      <c r="V280" s="62">
        <f>SUMIFS([0]!Capriles,[0]!Centro,B281,[0]!Turno,V$230)</f>
        <v>0</v>
      </c>
      <c r="W280" s="62">
        <f>SUMIFS([0]!Capriles,[0]!Centro,B281,[0]!Turno,W$230)</f>
        <v>0</v>
      </c>
      <c r="X280" s="62">
        <f>SUMIFS([0]!Capriles,[0]!Centro,B281,[0]!Turno,X$230)</f>
        <v>0</v>
      </c>
      <c r="Y280" s="70">
        <f>SUMIFS([0]!Capriles,[0]!Centro,B281,[0]!Turno,Y$230)</f>
        <v>0</v>
      </c>
    </row>
    <row r="281" spans="2:25" ht="15" customHeight="1" thickBot="1" x14ac:dyDescent="0.25">
      <c r="B281" s="261">
        <v>57</v>
      </c>
      <c r="C281" s="100">
        <f>E281/SUM(E279:E281)</f>
        <v>6.6666666666666666E-2</v>
      </c>
      <c r="D281" s="71" t="s">
        <v>2</v>
      </c>
      <c r="E281" s="72">
        <f t="shared" si="1301"/>
        <v>13</v>
      </c>
      <c r="F281" s="72">
        <f>SUMIFS([0]!Otro,[0]!Centro,B281,[0]!Turno,F$230)</f>
        <v>0</v>
      </c>
      <c r="G281" s="72">
        <f>SUMIFS([0]!Otro,[0]!Centro,B281,[0]!Turno,G$230)</f>
        <v>0</v>
      </c>
      <c r="H281" s="72">
        <f>SUMIFS([0]!Otro,[0]!Centro,B281,[0]!Turno,H$230)</f>
        <v>2</v>
      </c>
      <c r="I281" s="72">
        <f>SUMIFS([0]!Otro,[0]!Centro,B281,[0]!Turno,I$230)</f>
        <v>0</v>
      </c>
      <c r="J281" s="72">
        <f>SUMIFS([0]!Otro,[0]!Centro,B281,[0]!Turno,J$230)</f>
        <v>2</v>
      </c>
      <c r="K281" s="72">
        <f>SUMIFS([0]!Otro,[0]!Centro,B281,[0]!Turno,K$230)</f>
        <v>3</v>
      </c>
      <c r="L281" s="72">
        <f>SUMIFS([0]!Otro,[0]!Centro,B281,[0]!Turno,L$230)</f>
        <v>2</v>
      </c>
      <c r="M281" s="72">
        <f>SUMIFS([0]!Otro,[0]!Centro,B281,[0]!Turno,M$230)</f>
        <v>4</v>
      </c>
      <c r="N281" s="72">
        <f>SUMIFS([0]!Otro,[0]!Centro,B281,[0]!Turno,N$230)</f>
        <v>0</v>
      </c>
      <c r="O281" s="72">
        <f>SUMIFS([0]!Otro,[0]!Centro,B281,[0]!Turno,O$230)</f>
        <v>0</v>
      </c>
      <c r="P281" s="72">
        <f>SUMIFS([0]!Otro,[0]!Centro,B281,[0]!Turno,P$230)</f>
        <v>0</v>
      </c>
      <c r="Q281" s="72">
        <f>SUMIFS([0]!Otro,[0]!Centro,B281,[0]!Turno,Q$230)</f>
        <v>0</v>
      </c>
      <c r="R281" s="72">
        <f>SUMIFS([0]!Otro,[0]!Centro,B281,[0]!Turno,R$230)</f>
        <v>0</v>
      </c>
      <c r="S281" s="72">
        <f>SUMIFS([0]!Otro,[0]!Centro,B281,[0]!Turno,S$230)</f>
        <v>0</v>
      </c>
      <c r="T281" s="72">
        <f>SUMIFS([0]!Otro,[0]!Centro,B281,[0]!Turno,T$230)</f>
        <v>0</v>
      </c>
      <c r="U281" s="72">
        <f>SUMIFS([0]!Otro,[0]!Centro,B281,[0]!Turno,U$230)</f>
        <v>0</v>
      </c>
      <c r="V281" s="72">
        <f>SUMIFS([0]!Otro,[0]!Centro,B281,[0]!Turno,V$230)</f>
        <v>0</v>
      </c>
      <c r="W281" s="72">
        <f>SUMIFS([0]!Otro,[0]!Centro,B281,[0]!Turno,W$230)</f>
        <v>0</v>
      </c>
      <c r="X281" s="72">
        <f>SUMIFS([0]!Otro,[0]!Centro,B281,[0]!Turno,X$230)</f>
        <v>0</v>
      </c>
      <c r="Y281" s="73">
        <f>SUMIFS([0]!Otro,[0]!Centro,B281,[0]!Turno,Y$230)</f>
        <v>0</v>
      </c>
    </row>
    <row r="282" spans="2:25" ht="15" customHeight="1" x14ac:dyDescent="0.2">
      <c r="B282" s="261"/>
      <c r="C282" s="94">
        <f>E282/SUM(E282:E284)</f>
        <v>0.46666666666666667</v>
      </c>
      <c r="D282" s="63" t="s">
        <v>0</v>
      </c>
      <c r="E282" s="150">
        <f>IF((E279+E280+E281)=0,0,(E279*$B283)/(E279+E280+E281))</f>
        <v>3.1336654151675927E-2</v>
      </c>
      <c r="F282" s="150">
        <f>IF((F279+F280+F281)=0,0,(F279*$B283)/(F279+F280+F281))</f>
        <v>3.6932485250189481E-2</v>
      </c>
      <c r="G282" s="150">
        <f t="shared" ref="G282" si="1590">IF((G279+G280+G281)=0,0,(G279*$B283)/(G279+G280+G281))</f>
        <v>0</v>
      </c>
      <c r="H282" s="150">
        <f t="shared" ref="H282" si="1591">IF((H279+H280+H281)=0,0,(H279*$B283)/(H279+H280+H281))</f>
        <v>3.1336654151675927E-2</v>
      </c>
      <c r="I282" s="150">
        <f t="shared" ref="I282" si="1592">IF((I279+I280+I281)=0,0,(I279*$B283)/(I279+I280+I281))</f>
        <v>3.6452842584602609E-2</v>
      </c>
      <c r="J282" s="150">
        <f t="shared" ref="J282" si="1593">IF((J279+J280+J281)=0,0,(J279*$B283)/(J279+J280+J281))</f>
        <v>3.3574986591081352E-2</v>
      </c>
      <c r="K282" s="150">
        <f t="shared" ref="K282" si="1594">IF((K279+K280+K281)=0,0,(K279*$B283)/(K279+K280+K281))</f>
        <v>3.3574986591081352E-2</v>
      </c>
      <c r="L282" s="150">
        <f t="shared" ref="L282" si="1595">IF((L279+L280+L281)=0,0,(L279*$B283)/(L279+L280+L281))</f>
        <v>2.5944307820381044E-2</v>
      </c>
      <c r="M282" s="150">
        <f t="shared" ref="M282" si="1596">IF((M279+M280+M281)=0,0,(M279*$B283)/(M279+M280+M281))</f>
        <v>2.3244221486133247E-2</v>
      </c>
      <c r="N282" s="150">
        <f t="shared" ref="N282" si="1597">IF((N279+N280+N281)=0,0,(N279*$B283)/(N279+N280+N281))</f>
        <v>3.4818504612973256E-2</v>
      </c>
      <c r="O282" s="150">
        <f t="shared" ref="O282" si="1598">IF((O279+O280+O281)=0,0,(O279*$B283)/(O279+O280+O281))</f>
        <v>0</v>
      </c>
      <c r="P282" s="150">
        <f t="shared" ref="P282" si="1599">IF((P279+P280+P281)=0,0,(P279*$B283)/(P279+P280+P281))</f>
        <v>0</v>
      </c>
      <c r="Q282" s="150">
        <f t="shared" ref="Q282" si="1600">IF((Q279+Q280+Q281)=0,0,(Q279*$B283)/(Q279+Q280+Q281))</f>
        <v>0</v>
      </c>
      <c r="R282" s="150">
        <f t="shared" ref="R282" si="1601">IF((R279+R280+R281)=0,0,(R279*$B283)/(R279+R280+R281))</f>
        <v>0</v>
      </c>
      <c r="S282" s="150">
        <f t="shared" ref="S282" si="1602">IF((S279+S280+S281)=0,0,(S279*$B283)/(S279+S280+S281))</f>
        <v>0</v>
      </c>
      <c r="T282" s="150">
        <f t="shared" ref="T282" si="1603">IF((T279+T280+T281)=0,0,(T279*$B283)/(T279+T280+T281))</f>
        <v>0</v>
      </c>
      <c r="U282" s="150">
        <f t="shared" ref="U282" si="1604">IF((U279+U280+U281)=0,0,(U279*$B283)/(U279+U280+U281))</f>
        <v>0</v>
      </c>
      <c r="V282" s="150">
        <f t="shared" ref="V282" si="1605">IF((V279+V280+V281)=0,0,(V279*$B283)/(V279+V280+V281))</f>
        <v>0</v>
      </c>
      <c r="W282" s="150">
        <f t="shared" ref="W282" si="1606">IF((W279+W280+W281)=0,0,(W279*$B283)/(W279+W280+W281))</f>
        <v>0</v>
      </c>
      <c r="X282" s="150">
        <f t="shared" ref="X282" si="1607">IF((X279+X280+X281)=0,0,(X279*$B283)/(X279+X280+X281))</f>
        <v>0</v>
      </c>
      <c r="Y282" s="163">
        <f t="shared" ref="Y282" si="1608">IF((Y279+Y280+Y281)=0,0,(Y279*$B283)/(Y279+Y280+Y281))</f>
        <v>0</v>
      </c>
    </row>
    <row r="283" spans="2:25" ht="15" customHeight="1" x14ac:dyDescent="0.2">
      <c r="B283" s="254">
        <v>6.7149973182162703E-2</v>
      </c>
      <c r="C283" s="92">
        <f>E283/SUM(E282:E284)</f>
        <v>0.46666666666666667</v>
      </c>
      <c r="D283" s="61" t="s">
        <v>1</v>
      </c>
      <c r="E283" s="154">
        <f>IF((E279+E280+E281)=0,0,(E280*$B283)/(E279+E280+E281))</f>
        <v>3.1336654151675927E-2</v>
      </c>
      <c r="F283" s="154">
        <f>IF((F279+F280+F281)=0,0,(F280*$B283)/(F279+F280+F281))</f>
        <v>3.0217487931973219E-2</v>
      </c>
      <c r="G283" s="154">
        <f t="shared" ref="G283:O283" si="1609">IF((G279+G280+G281)=0,0,(G280*$B283)/(G279+G280+G281))</f>
        <v>0</v>
      </c>
      <c r="H283" s="154">
        <f t="shared" si="1609"/>
        <v>2.6859989272865082E-2</v>
      </c>
      <c r="I283" s="154">
        <f t="shared" si="1609"/>
        <v>3.0697130597560091E-2</v>
      </c>
      <c r="J283" s="154">
        <f t="shared" si="1609"/>
        <v>2.2383324394054233E-2</v>
      </c>
      <c r="K283" s="154">
        <f t="shared" si="1609"/>
        <v>2.0984366619425845E-2</v>
      </c>
      <c r="L283" s="154">
        <f t="shared" si="1609"/>
        <v>3.8153393853501534E-2</v>
      </c>
      <c r="M283" s="154">
        <f t="shared" si="1609"/>
        <v>3.3574986591081352E-2</v>
      </c>
      <c r="N283" s="154">
        <f t="shared" si="1609"/>
        <v>3.2331468569189455E-2</v>
      </c>
      <c r="O283" s="154">
        <f t="shared" si="1609"/>
        <v>0</v>
      </c>
      <c r="P283" s="154">
        <f>IF((P279+P280+P281)=0,0,(P280*$B283)/(P279+P280+P281))</f>
        <v>0</v>
      </c>
      <c r="Q283" s="154">
        <f t="shared" ref="Q283:Y283" si="1610">IF((Q279+Q280+Q281)=0,0,(Q280*$B283)/(Q279+Q280+Q281))</f>
        <v>0</v>
      </c>
      <c r="R283" s="154">
        <f t="shared" si="1610"/>
        <v>0</v>
      </c>
      <c r="S283" s="154">
        <f t="shared" si="1610"/>
        <v>0</v>
      </c>
      <c r="T283" s="154">
        <f t="shared" si="1610"/>
        <v>0</v>
      </c>
      <c r="U283" s="154">
        <f t="shared" si="1610"/>
        <v>0</v>
      </c>
      <c r="V283" s="154">
        <f t="shared" si="1610"/>
        <v>0</v>
      </c>
      <c r="W283" s="154">
        <f t="shared" si="1610"/>
        <v>0</v>
      </c>
      <c r="X283" s="154">
        <f t="shared" si="1610"/>
        <v>0</v>
      </c>
      <c r="Y283" s="159">
        <f t="shared" si="1610"/>
        <v>0</v>
      </c>
    </row>
    <row r="284" spans="2:25" ht="15" customHeight="1" thickBot="1" x14ac:dyDescent="0.25">
      <c r="B284" s="255"/>
      <c r="C284" s="93">
        <f>E284/SUM(E282:E284)</f>
        <v>6.6666666666666666E-2</v>
      </c>
      <c r="D284" s="75" t="s">
        <v>2</v>
      </c>
      <c r="E284" s="155">
        <f>IF((E279+E280+E281)=0,0,(E281*$B283)/(E279+E280+E281))</f>
        <v>4.476664878810847E-3</v>
      </c>
      <c r="F284" s="155">
        <f>IF((F279+F280+F281)=0,0,(F281*$B283)/(F279+F280+F281))</f>
        <v>0</v>
      </c>
      <c r="G284" s="155">
        <f t="shared" ref="G284" si="1611">IF((G279+G280+G281)=0,0,(G281*$B283)/(G279+G280+G281))</f>
        <v>0</v>
      </c>
      <c r="H284" s="155">
        <f t="shared" ref="H284" si="1612">IF((H279+H280+H281)=0,0,(H281*$B283)/(H279+H280+H281))</f>
        <v>8.953329757621694E-3</v>
      </c>
      <c r="I284" s="155">
        <f t="shared" ref="I284" si="1613">IF((I279+I280+I281)=0,0,(I281*$B283)/(I279+I280+I281))</f>
        <v>0</v>
      </c>
      <c r="J284" s="155">
        <f t="shared" ref="J284" si="1614">IF((J279+J280+J281)=0,0,(J281*$B283)/(J279+J280+J281))</f>
        <v>1.1191662197027117E-2</v>
      </c>
      <c r="K284" s="155">
        <f t="shared" ref="K284" si="1615">IF((K279+K280+K281)=0,0,(K281*$B283)/(K279+K280+K281))</f>
        <v>1.2590619971655507E-2</v>
      </c>
      <c r="L284" s="155">
        <f t="shared" ref="L284" si="1616">IF((L279+L280+L281)=0,0,(L281*$B283)/(L279+L280+L281))</f>
        <v>3.0522715082801229E-3</v>
      </c>
      <c r="M284" s="155">
        <f t="shared" ref="M284" si="1617">IF((M279+M280+M281)=0,0,(M281*$B283)/(M279+M280+M281))</f>
        <v>1.0330765104948108E-2</v>
      </c>
      <c r="N284" s="155">
        <f t="shared" ref="N284" si="1618">IF((N279+N280+N281)=0,0,(N281*$B283)/(N279+N280+N281))</f>
        <v>0</v>
      </c>
      <c r="O284" s="155">
        <f t="shared" ref="O284" si="1619">IF((O279+O280+O281)=0,0,(O281*$B283)/(O279+O280+O281))</f>
        <v>0</v>
      </c>
      <c r="P284" s="155">
        <f t="shared" ref="P284" si="1620">IF((P279+P280+P281)=0,0,(P281*$B283)/(P279+P280+P281))</f>
        <v>0</v>
      </c>
      <c r="Q284" s="155">
        <f t="shared" ref="Q284" si="1621">IF((Q279+Q280+Q281)=0,0,(Q281*$B283)/(Q279+Q280+Q281))</f>
        <v>0</v>
      </c>
      <c r="R284" s="155">
        <f t="shared" ref="R284" si="1622">IF((R279+R280+R281)=0,0,(R281*$B283)/(R279+R280+R281))</f>
        <v>0</v>
      </c>
      <c r="S284" s="155">
        <f t="shared" ref="S284" si="1623">IF((S279+S280+S281)=0,0,(S281*$B283)/(S279+S280+S281))</f>
        <v>0</v>
      </c>
      <c r="T284" s="155">
        <f t="shared" ref="T284" si="1624">IF((T279+T280+T281)=0,0,(T281*$B283)/(T279+T280+T281))</f>
        <v>0</v>
      </c>
      <c r="U284" s="155">
        <f t="shared" ref="U284" si="1625">IF((U279+U280+U281)=0,0,(U281*$B283)/(U279+U280+U281))</f>
        <v>0</v>
      </c>
      <c r="V284" s="155">
        <f t="shared" ref="V284" si="1626">IF((V279+V280+V281)=0,0,(V281*$B283)/(V279+V280+V281))</f>
        <v>0</v>
      </c>
      <c r="W284" s="155">
        <f t="shared" ref="W284" si="1627">IF((W279+W280+W281)=0,0,(W281*$B283)/(W279+W280+W281))</f>
        <v>0</v>
      </c>
      <c r="X284" s="155">
        <f t="shared" ref="X284" si="1628">IF((X279+X280+X281)=0,0,(X281*$B283)/(X279+X280+X281))</f>
        <v>0</v>
      </c>
      <c r="Y284" s="160">
        <f t="shared" ref="Y284" si="1629">IF((Y279+Y280+Y281)=0,0,(Y281*$B283)/(Y279+Y280+Y281))</f>
        <v>0</v>
      </c>
    </row>
    <row r="285" spans="2:25" ht="15" customHeight="1" x14ac:dyDescent="0.2">
      <c r="B285" s="249" t="s">
        <v>73</v>
      </c>
      <c r="C285" s="91">
        <f>E285/SUM(E285:E287)</f>
        <v>0.73309608540925264</v>
      </c>
      <c r="D285" s="67" t="s">
        <v>0</v>
      </c>
      <c r="E285" s="68">
        <f t="shared" si="1301"/>
        <v>206</v>
      </c>
      <c r="F285" s="68">
        <f>SUMIFS([0]!Chavez,[0]!Centro,B287,[0]!Turno,F$230)</f>
        <v>22</v>
      </c>
      <c r="G285" s="68">
        <f>SUMIFS([0]!Chavez,[0]!Centro,B287,[0]!Turno,G$230)</f>
        <v>0</v>
      </c>
      <c r="H285" s="68">
        <f>SUMIFS([0]!Chavez,[0]!Centro,B287,[0]!Turno,H$230)</f>
        <v>9</v>
      </c>
      <c r="I285" s="68">
        <f>SUMIFS([0]!Chavez,[0]!Centro,B287,[0]!Turno,I$230)</f>
        <v>30</v>
      </c>
      <c r="J285" s="68">
        <f>SUMIFS([0]!Chavez,[0]!Centro,B287,[0]!Turno,J$230)</f>
        <v>34</v>
      </c>
      <c r="K285" s="68">
        <f>SUMIFS([0]!Chavez,[0]!Centro,B287,[0]!Turno,K$230)</f>
        <v>13</v>
      </c>
      <c r="L285" s="68">
        <f>SUMIFS([0]!Chavez,[0]!Centro,B287,[0]!Turno,L$230)</f>
        <v>32</v>
      </c>
      <c r="M285" s="68">
        <f>SUMIFS([0]!Chavez,[0]!Centro,B287,[0]!Turno,M$230)</f>
        <v>31</v>
      </c>
      <c r="N285" s="68">
        <f>SUMIFS([0]!Chavez,[0]!Centro,B287,[0]!Turno,N$230)</f>
        <v>5</v>
      </c>
      <c r="O285" s="68">
        <f>SUMIFS([0]!Chavez,[0]!Centro,B287,[0]!Turno,O$230)</f>
        <v>30</v>
      </c>
      <c r="P285" s="68">
        <f>SUMIFS([0]!Chavez,[0]!Centro,B287,[0]!Turno,P$230)</f>
        <v>0</v>
      </c>
      <c r="Q285" s="68">
        <f>SUMIFS([0]!Chavez,[0]!Centro,B287,[0]!Turno,Q$230)</f>
        <v>0</v>
      </c>
      <c r="R285" s="68">
        <f>SUMIFS([0]!Chavez,[0]!Centro,B287,[0]!Turno,R$230)</f>
        <v>0</v>
      </c>
      <c r="S285" s="68">
        <f>SUMIFS([0]!Chavez,[0]!Centro,B287,[0]!Turno,S$230)</f>
        <v>0</v>
      </c>
      <c r="T285" s="68">
        <f>SUMIFS([0]!Chavez,[0]!Centro,B287,[0]!Turno,T$230)</f>
        <v>0</v>
      </c>
      <c r="U285" s="68">
        <f>SUMIFS([0]!Chavez,[0]!Centro,B287,[0]!Turno,U$230)</f>
        <v>0</v>
      </c>
      <c r="V285" s="68">
        <f>SUMIFS([0]!Chavez,[0]!Centro,B287,[0]!Turno,V$230)</f>
        <v>0</v>
      </c>
      <c r="W285" s="68">
        <f>SUMIFS([0]!Chavez,[0]!Centro,B287,[0]!Turno,W$230)</f>
        <v>0</v>
      </c>
      <c r="X285" s="68">
        <f>SUMIFS([0]!Chavez,[0]!Centro,B287,[0]!Turno,X$230)</f>
        <v>0</v>
      </c>
      <c r="Y285" s="69">
        <f>SUMIFS([0]!Chavez,[0]!Centro,B287,[0]!Turno,Y$230)</f>
        <v>0</v>
      </c>
    </row>
    <row r="286" spans="2:25" ht="15" customHeight="1" x14ac:dyDescent="0.2">
      <c r="B286" s="250"/>
      <c r="C286" s="92">
        <f>E286/SUM(E285:E287)</f>
        <v>0.24199288256227758</v>
      </c>
      <c r="D286" s="61" t="s">
        <v>1</v>
      </c>
      <c r="E286" s="62">
        <f t="shared" si="1301"/>
        <v>68</v>
      </c>
      <c r="F286" s="62">
        <f>SUMIFS([0]!Capriles,[0]!Centro,B287,[0]!Turno,F$230)</f>
        <v>4</v>
      </c>
      <c r="G286" s="62">
        <f>SUMIFS([0]!Capriles,[0]!Centro,B287,[0]!Turno,G$230)</f>
        <v>0</v>
      </c>
      <c r="H286" s="62">
        <f>SUMIFS([0]!Capriles,[0]!Centro,B287,[0]!Turno,H$230)</f>
        <v>3</v>
      </c>
      <c r="I286" s="62">
        <f>SUMIFS([0]!Capriles,[0]!Centro,B287,[0]!Turno,I$230)</f>
        <v>15</v>
      </c>
      <c r="J286" s="62">
        <f>SUMIFS([0]!Capriles,[0]!Centro,B287,[0]!Turno,J$230)</f>
        <v>11</v>
      </c>
      <c r="K286" s="62">
        <f>SUMIFS([0]!Capriles,[0]!Centro,B287,[0]!Turno,K$230)</f>
        <v>4</v>
      </c>
      <c r="L286" s="62">
        <f>SUMIFS([0]!Capriles,[0]!Centro,B287,[0]!Turno,L$230)</f>
        <v>9</v>
      </c>
      <c r="M286" s="62">
        <f>SUMIFS([0]!Capriles,[0]!Centro,B287,[0]!Turno,M$230)</f>
        <v>7</v>
      </c>
      <c r="N286" s="62">
        <f>SUMIFS([0]!Capriles,[0]!Centro,B287,[0]!Turno,N$230)</f>
        <v>5</v>
      </c>
      <c r="O286" s="62">
        <f>SUMIFS([0]!Capriles,[0]!Centro,B287,[0]!Turno,O$230)</f>
        <v>10</v>
      </c>
      <c r="P286" s="62">
        <f>SUMIFS([0]!Capriles,[0]!Centro,B287,[0]!Turno,P$230)</f>
        <v>0</v>
      </c>
      <c r="Q286" s="62">
        <f>SUMIFS([0]!Capriles,[0]!Centro,B287,[0]!Turno,Q$230)</f>
        <v>0</v>
      </c>
      <c r="R286" s="62">
        <f>SUMIFS([0]!Capriles,[0]!Centro,B287,[0]!Turno,R$230)</f>
        <v>0</v>
      </c>
      <c r="S286" s="62">
        <f>SUMIFS([0]!Capriles,[0]!Centro,B287,[0]!Turno,S$230)</f>
        <v>0</v>
      </c>
      <c r="T286" s="62">
        <f>SUMIFS([0]!Capriles,[0]!Centro,B287,[0]!Turno,T$230)</f>
        <v>0</v>
      </c>
      <c r="U286" s="62">
        <f>SUMIFS([0]!Capriles,[0]!Centro,B287,[0]!Turno,U$230)</f>
        <v>0</v>
      </c>
      <c r="V286" s="62">
        <f>SUMIFS([0]!Capriles,[0]!Centro,B287,[0]!Turno,V$230)</f>
        <v>0</v>
      </c>
      <c r="W286" s="62">
        <f>SUMIFS([0]!Capriles,[0]!Centro,B287,[0]!Turno,W$230)</f>
        <v>0</v>
      </c>
      <c r="X286" s="62">
        <f>SUMIFS([0]!Capriles,[0]!Centro,B287,[0]!Turno,X$230)</f>
        <v>0</v>
      </c>
      <c r="Y286" s="70">
        <f>SUMIFS([0]!Capriles,[0]!Centro,B287,[0]!Turno,Y$230)</f>
        <v>0</v>
      </c>
    </row>
    <row r="287" spans="2:25" ht="15" customHeight="1" thickBot="1" x14ac:dyDescent="0.25">
      <c r="B287" s="261">
        <v>58</v>
      </c>
      <c r="C287" s="100">
        <f>E287/SUM(E285:E287)</f>
        <v>2.491103202846975E-2</v>
      </c>
      <c r="D287" s="71" t="s">
        <v>2</v>
      </c>
      <c r="E287" s="72">
        <f t="shared" si="1301"/>
        <v>7</v>
      </c>
      <c r="F287" s="72">
        <f>SUMIFS([0]!Otro,[0]!Centro,B287,[0]!Turno,F$230)</f>
        <v>0</v>
      </c>
      <c r="G287" s="72">
        <f>SUMIFS([0]!Otro,[0]!Centro,B287,[0]!Turno,G$230)</f>
        <v>0</v>
      </c>
      <c r="H287" s="72">
        <f>SUMIFS([0]!Otro,[0]!Centro,B287,[0]!Turno,H$230)</f>
        <v>0</v>
      </c>
      <c r="I287" s="72">
        <f>SUMIFS([0]!Otro,[0]!Centro,B287,[0]!Turno,I$230)</f>
        <v>0</v>
      </c>
      <c r="J287" s="72">
        <f>SUMIFS([0]!Otro,[0]!Centro,B287,[0]!Turno,J$230)</f>
        <v>0</v>
      </c>
      <c r="K287" s="72">
        <f>SUMIFS([0]!Otro,[0]!Centro,B287,[0]!Turno,K$230)</f>
        <v>2</v>
      </c>
      <c r="L287" s="72">
        <f>SUMIFS([0]!Otro,[0]!Centro,B287,[0]!Turno,L$230)</f>
        <v>0</v>
      </c>
      <c r="M287" s="72">
        <f>SUMIFS([0]!Otro,[0]!Centro,B287,[0]!Turno,M$230)</f>
        <v>0</v>
      </c>
      <c r="N287" s="72">
        <f>SUMIFS([0]!Otro,[0]!Centro,B287,[0]!Turno,N$230)</f>
        <v>5</v>
      </c>
      <c r="O287" s="72">
        <f>SUMIFS([0]!Otro,[0]!Centro,B287,[0]!Turno,O$230)</f>
        <v>0</v>
      </c>
      <c r="P287" s="72">
        <f>SUMIFS([0]!Otro,[0]!Centro,B287,[0]!Turno,P$230)</f>
        <v>0</v>
      </c>
      <c r="Q287" s="72">
        <f>SUMIFS([0]!Otro,[0]!Centro,B287,[0]!Turno,Q$230)</f>
        <v>0</v>
      </c>
      <c r="R287" s="72">
        <f>SUMIFS([0]!Otro,[0]!Centro,B287,[0]!Turno,R$230)</f>
        <v>0</v>
      </c>
      <c r="S287" s="72">
        <f>SUMIFS([0]!Otro,[0]!Centro,B287,[0]!Turno,S$230)</f>
        <v>0</v>
      </c>
      <c r="T287" s="72">
        <f>SUMIFS([0]!Otro,[0]!Centro,B287,[0]!Turno,T$230)</f>
        <v>0</v>
      </c>
      <c r="U287" s="72">
        <f>SUMIFS([0]!Otro,[0]!Centro,B287,[0]!Turno,U$230)</f>
        <v>0</v>
      </c>
      <c r="V287" s="72">
        <f>SUMIFS([0]!Otro,[0]!Centro,B287,[0]!Turno,V$230)</f>
        <v>0</v>
      </c>
      <c r="W287" s="72">
        <f>SUMIFS([0]!Otro,[0]!Centro,B287,[0]!Turno,W$230)</f>
        <v>0</v>
      </c>
      <c r="X287" s="72">
        <f>SUMIFS([0]!Otro,[0]!Centro,B287,[0]!Turno,X$230)</f>
        <v>0</v>
      </c>
      <c r="Y287" s="73">
        <f>SUMIFS([0]!Otro,[0]!Centro,B287,[0]!Turno,Y$230)</f>
        <v>0</v>
      </c>
    </row>
    <row r="288" spans="2:25" ht="15" customHeight="1" x14ac:dyDescent="0.2">
      <c r="B288" s="261"/>
      <c r="C288" s="94">
        <f>E288/SUM(E288:E290)</f>
        <v>0.73309608540925275</v>
      </c>
      <c r="D288" s="63" t="s">
        <v>0</v>
      </c>
      <c r="E288" s="150">
        <f>IF((E285+E286+E287)=0,0,(E285*$B289)/(E285+E286+E287))</f>
        <v>6.9742175811767074E-2</v>
      </c>
      <c r="F288" s="150">
        <f>IF((F285+F286+F287)=0,0,(F285*$B289)/(F285+F286+F287))</f>
        <v>8.049778395600149E-2</v>
      </c>
      <c r="G288" s="150">
        <f t="shared" ref="G288" si="1630">IF((G285+G286+G287)=0,0,(G285*$B289)/(G285+G286+G287))</f>
        <v>0</v>
      </c>
      <c r="H288" s="150">
        <f t="shared" ref="H288" si="1631">IF((H285+H286+H287)=0,0,(H285*$B289)/(H285+H286+H287))</f>
        <v>7.1350308506455865E-2</v>
      </c>
      <c r="I288" s="150">
        <f t="shared" ref="I288" si="1632">IF((I285+I286+I287)=0,0,(I285*$B289)/(I285+I286+I287))</f>
        <v>6.3422496450182997E-2</v>
      </c>
      <c r="J288" s="150">
        <f t="shared" ref="J288" si="1633">IF((J285+J286+J287)=0,0,(J285*$B289)/(J285+J286+J287))</f>
        <v>7.1878829310207393E-2</v>
      </c>
      <c r="K288" s="150">
        <f t="shared" ref="K288" si="1634">IF((K285+K286+K287)=0,0,(K285*$B289)/(K285+K286+K287))</f>
        <v>6.50915095146615E-2</v>
      </c>
      <c r="L288" s="150">
        <f t="shared" ref="L288" si="1635">IF((L285+L286+L287)=0,0,(L285*$B289)/(L285+L286+L287))</f>
        <v>7.4250727551433748E-2</v>
      </c>
      <c r="M288" s="150">
        <f t="shared" ref="M288" si="1636">IF((M285+M286+M287)=0,0,(M285*$B289)/(M285+M286+M287))</f>
        <v>7.7609107498250243E-2</v>
      </c>
      <c r="N288" s="150">
        <f t="shared" ref="N288" si="1637">IF((N285+N286+N287)=0,0,(N285*$B289)/(N285+N286+N287))</f>
        <v>3.1711248225091498E-2</v>
      </c>
      <c r="O288" s="150">
        <f t="shared" ref="O288" si="1638">IF((O285+O286+O287)=0,0,(O285*$B289)/(O285+O286+O287))</f>
        <v>7.1350308506455878E-2</v>
      </c>
      <c r="P288" s="150">
        <f t="shared" ref="P288" si="1639">IF((P285+P286+P287)=0,0,(P285*$B289)/(P285+P286+P287))</f>
        <v>0</v>
      </c>
      <c r="Q288" s="150">
        <f t="shared" ref="Q288" si="1640">IF((Q285+Q286+Q287)=0,0,(Q285*$B289)/(Q285+Q286+Q287))</f>
        <v>0</v>
      </c>
      <c r="R288" s="150">
        <f t="shared" ref="R288" si="1641">IF((R285+R286+R287)=0,0,(R285*$B289)/(R285+R286+R287))</f>
        <v>0</v>
      </c>
      <c r="S288" s="150">
        <f t="shared" ref="S288" si="1642">IF((S285+S286+S287)=0,0,(S285*$B289)/(S285+S286+S287))</f>
        <v>0</v>
      </c>
      <c r="T288" s="150">
        <f t="shared" ref="T288" si="1643">IF((T285+T286+T287)=0,0,(T285*$B289)/(T285+T286+T287))</f>
        <v>0</v>
      </c>
      <c r="U288" s="150">
        <f t="shared" ref="U288" si="1644">IF((U285+U286+U287)=0,0,(U285*$B289)/(U285+U286+U287))</f>
        <v>0</v>
      </c>
      <c r="V288" s="150">
        <f t="shared" ref="V288" si="1645">IF((V285+V286+V287)=0,0,(V285*$B289)/(V285+V286+V287))</f>
        <v>0</v>
      </c>
      <c r="W288" s="150">
        <f t="shared" ref="W288" si="1646">IF((W285+W286+W287)=0,0,(W285*$B289)/(W285+W286+W287))</f>
        <v>0</v>
      </c>
      <c r="X288" s="150">
        <f t="shared" ref="X288" si="1647">IF((X285+X286+X287)=0,0,(X285*$B289)/(X285+X286+X287))</f>
        <v>0</v>
      </c>
      <c r="Y288" s="163">
        <f t="shared" ref="Y288" si="1648">IF((Y285+Y286+Y287)=0,0,(Y285*$B289)/(Y285+Y286+Y287))</f>
        <v>0</v>
      </c>
    </row>
    <row r="289" spans="2:25" ht="15" customHeight="1" x14ac:dyDescent="0.2">
      <c r="B289" s="254">
        <v>9.5133744675274495E-2</v>
      </c>
      <c r="C289" s="92">
        <f>E289/SUM(E288:E290)</f>
        <v>0.24199288256227758</v>
      </c>
      <c r="D289" s="61" t="s">
        <v>1</v>
      </c>
      <c r="E289" s="154">
        <f>IF((E285+E286+E287)=0,0,(E286*$B289)/(E285+E286+E287))</f>
        <v>2.3021689102913401E-2</v>
      </c>
      <c r="F289" s="154">
        <f>IF((F285+F286+F287)=0,0,(F286*$B289)/(F285+F286+F287))</f>
        <v>1.4635960719272999E-2</v>
      </c>
      <c r="G289" s="154">
        <f t="shared" ref="G289:O289" si="1649">IF((G285+G286+G287)=0,0,(G286*$B289)/(G285+G286+G287))</f>
        <v>0</v>
      </c>
      <c r="H289" s="154">
        <f t="shared" si="1649"/>
        <v>2.3783436168818627E-2</v>
      </c>
      <c r="I289" s="154">
        <f t="shared" si="1649"/>
        <v>3.1711248225091498E-2</v>
      </c>
      <c r="J289" s="154">
        <f t="shared" si="1649"/>
        <v>2.3254915365067096E-2</v>
      </c>
      <c r="K289" s="154">
        <f t="shared" si="1649"/>
        <v>2.0028156773741999E-2</v>
      </c>
      <c r="L289" s="154">
        <f t="shared" si="1649"/>
        <v>2.0883017123840743E-2</v>
      </c>
      <c r="M289" s="154">
        <f t="shared" si="1649"/>
        <v>1.7524637177024249E-2</v>
      </c>
      <c r="N289" s="154">
        <f t="shared" si="1649"/>
        <v>3.1711248225091498E-2</v>
      </c>
      <c r="O289" s="154">
        <f t="shared" si="1649"/>
        <v>2.3783436168818624E-2</v>
      </c>
      <c r="P289" s="154">
        <f>IF((P285+P286+P287)=0,0,(P286*$B289)/(P285+P286+P287))</f>
        <v>0</v>
      </c>
      <c r="Q289" s="154">
        <f t="shared" ref="Q289:Y289" si="1650">IF((Q285+Q286+Q287)=0,0,(Q286*$B289)/(Q285+Q286+Q287))</f>
        <v>0</v>
      </c>
      <c r="R289" s="154">
        <f t="shared" si="1650"/>
        <v>0</v>
      </c>
      <c r="S289" s="154">
        <f t="shared" si="1650"/>
        <v>0</v>
      </c>
      <c r="T289" s="154">
        <f t="shared" si="1650"/>
        <v>0</v>
      </c>
      <c r="U289" s="154">
        <f t="shared" si="1650"/>
        <v>0</v>
      </c>
      <c r="V289" s="154">
        <f t="shared" si="1650"/>
        <v>0</v>
      </c>
      <c r="W289" s="154">
        <f t="shared" si="1650"/>
        <v>0</v>
      </c>
      <c r="X289" s="154">
        <f t="shared" si="1650"/>
        <v>0</v>
      </c>
      <c r="Y289" s="159">
        <f t="shared" si="1650"/>
        <v>0</v>
      </c>
    </row>
    <row r="290" spans="2:25" ht="15" customHeight="1" thickBot="1" x14ac:dyDescent="0.25">
      <c r="B290" s="255"/>
      <c r="C290" s="93">
        <f>E290/SUM(E288:E290)</f>
        <v>2.491103202846975E-2</v>
      </c>
      <c r="D290" s="75" t="s">
        <v>2</v>
      </c>
      <c r="E290" s="155">
        <f>IF((E285+E286+E287)=0,0,(E287*$B289)/(E285+E286+E287))</f>
        <v>2.3698797605940266E-3</v>
      </c>
      <c r="F290" s="155">
        <f>IF((F285+F286+F287)=0,0,(F287*$B289)/(F285+F286+F287))</f>
        <v>0</v>
      </c>
      <c r="G290" s="155">
        <f t="shared" ref="G290" si="1651">IF((G285+G286+G287)=0,0,(G287*$B289)/(G285+G286+G287))</f>
        <v>0</v>
      </c>
      <c r="H290" s="155">
        <f t="shared" ref="H290" si="1652">IF((H285+H286+H287)=0,0,(H287*$B289)/(H285+H286+H287))</f>
        <v>0</v>
      </c>
      <c r="I290" s="155">
        <f t="shared" ref="I290" si="1653">IF((I285+I286+I287)=0,0,(I287*$B289)/(I285+I286+I287))</f>
        <v>0</v>
      </c>
      <c r="J290" s="155">
        <f t="shared" ref="J290" si="1654">IF((J285+J286+J287)=0,0,(J287*$B289)/(J285+J286+J287))</f>
        <v>0</v>
      </c>
      <c r="K290" s="155">
        <f t="shared" ref="K290" si="1655">IF((K285+K286+K287)=0,0,(K287*$B289)/(K285+K286+K287))</f>
        <v>1.0014078386871E-2</v>
      </c>
      <c r="L290" s="155">
        <f t="shared" ref="L290" si="1656">IF((L285+L286+L287)=0,0,(L287*$B289)/(L285+L286+L287))</f>
        <v>0</v>
      </c>
      <c r="M290" s="155">
        <f t="shared" ref="M290" si="1657">IF((M285+M286+M287)=0,0,(M287*$B289)/(M285+M286+M287))</f>
        <v>0</v>
      </c>
      <c r="N290" s="155">
        <f t="shared" ref="N290" si="1658">IF((N285+N286+N287)=0,0,(N287*$B289)/(N285+N286+N287))</f>
        <v>3.1711248225091498E-2</v>
      </c>
      <c r="O290" s="155">
        <f t="shared" ref="O290" si="1659">IF((O285+O286+O287)=0,0,(O287*$B289)/(O285+O286+O287))</f>
        <v>0</v>
      </c>
      <c r="P290" s="155">
        <f t="shared" ref="P290" si="1660">IF((P285+P286+P287)=0,0,(P287*$B289)/(P285+P286+P287))</f>
        <v>0</v>
      </c>
      <c r="Q290" s="155">
        <f t="shared" ref="Q290" si="1661">IF((Q285+Q286+Q287)=0,0,(Q287*$B289)/(Q285+Q286+Q287))</f>
        <v>0</v>
      </c>
      <c r="R290" s="155">
        <f t="shared" ref="R290" si="1662">IF((R285+R286+R287)=0,0,(R287*$B289)/(R285+R286+R287))</f>
        <v>0</v>
      </c>
      <c r="S290" s="155">
        <f t="shared" ref="S290" si="1663">IF((S285+S286+S287)=0,0,(S287*$B289)/(S285+S286+S287))</f>
        <v>0</v>
      </c>
      <c r="T290" s="155">
        <f t="shared" ref="T290" si="1664">IF((T285+T286+T287)=0,0,(T287*$B289)/(T285+T286+T287))</f>
        <v>0</v>
      </c>
      <c r="U290" s="155">
        <f t="shared" ref="U290" si="1665">IF((U285+U286+U287)=0,0,(U287*$B289)/(U285+U286+U287))</f>
        <v>0</v>
      </c>
      <c r="V290" s="155">
        <f t="shared" ref="V290" si="1666">IF((V285+V286+V287)=0,0,(V287*$B289)/(V285+V286+V287))</f>
        <v>0</v>
      </c>
      <c r="W290" s="155">
        <f t="shared" ref="W290" si="1667">IF((W285+W286+W287)=0,0,(W287*$B289)/(W285+W286+W287))</f>
        <v>0</v>
      </c>
      <c r="X290" s="155">
        <f t="shared" ref="X290" si="1668">IF((X285+X286+X287)=0,0,(X287*$B289)/(X285+X286+X287))</f>
        <v>0</v>
      </c>
      <c r="Y290" s="160">
        <f t="shared" ref="Y290" si="1669">IF((Y285+Y286+Y287)=0,0,(Y287*$B289)/(Y285+Y286+Y287))</f>
        <v>0</v>
      </c>
    </row>
    <row r="291" spans="2:25" ht="15" customHeight="1" x14ac:dyDescent="0.2">
      <c r="B291" s="249" t="s">
        <v>74</v>
      </c>
      <c r="C291" s="91">
        <f>E291/SUM(E291:E293)</f>
        <v>0.20227920227920229</v>
      </c>
      <c r="D291" s="67" t="s">
        <v>0</v>
      </c>
      <c r="E291" s="68">
        <f t="shared" si="1301"/>
        <v>71</v>
      </c>
      <c r="F291" s="68">
        <f>SUMIFS([0]!Chavez,[0]!Centro,B293,[0]!Turno,F$230)</f>
        <v>0</v>
      </c>
      <c r="G291" s="68">
        <f>SUMIFS([0]!Chavez,[0]!Centro,B293,[0]!Turno,G$230)</f>
        <v>14</v>
      </c>
      <c r="H291" s="68">
        <f>SUMIFS([0]!Chavez,[0]!Centro,B293,[0]!Turno,H$230)</f>
        <v>14</v>
      </c>
      <c r="I291" s="68">
        <f>SUMIFS([0]!Chavez,[0]!Centro,B293,[0]!Turno,I$230)</f>
        <v>0</v>
      </c>
      <c r="J291" s="68">
        <f>SUMIFS([0]!Chavez,[0]!Centro,B293,[0]!Turno,J$230)</f>
        <v>12</v>
      </c>
      <c r="K291" s="68">
        <f>SUMIFS([0]!Chavez,[0]!Centro,B293,[0]!Turno,K$230)</f>
        <v>11</v>
      </c>
      <c r="L291" s="68">
        <f>SUMIFS([0]!Chavez,[0]!Centro,B293,[0]!Turno,L$230)</f>
        <v>10</v>
      </c>
      <c r="M291" s="68">
        <f>SUMIFS([0]!Chavez,[0]!Centro,B293,[0]!Turno,M$230)</f>
        <v>10</v>
      </c>
      <c r="N291" s="68">
        <f>SUMIFS([0]!Chavez,[0]!Centro,B293,[0]!Turno,N$230)</f>
        <v>0</v>
      </c>
      <c r="O291" s="68">
        <f>SUMIFS([0]!Chavez,[0]!Centro,B293,[0]!Turno,O$230)</f>
        <v>0</v>
      </c>
      <c r="P291" s="68">
        <f>SUMIFS([0]!Chavez,[0]!Centro,B293,[0]!Turno,P$230)</f>
        <v>0</v>
      </c>
      <c r="Q291" s="68">
        <f>SUMIFS([0]!Chavez,[0]!Centro,B293,[0]!Turno,Q$230)</f>
        <v>0</v>
      </c>
      <c r="R291" s="68">
        <f>SUMIFS([0]!Chavez,[0]!Centro,B293,[0]!Turno,R$230)</f>
        <v>0</v>
      </c>
      <c r="S291" s="68">
        <f>SUMIFS([0]!Chavez,[0]!Centro,B293,[0]!Turno,S$230)</f>
        <v>0</v>
      </c>
      <c r="T291" s="68">
        <f>SUMIFS([0]!Chavez,[0]!Centro,B293,[0]!Turno,T$230)</f>
        <v>0</v>
      </c>
      <c r="U291" s="68">
        <f>SUMIFS([0]!Chavez,[0]!Centro,B293,[0]!Turno,U$230)</f>
        <v>0</v>
      </c>
      <c r="V291" s="68">
        <f>SUMIFS([0]!Chavez,[0]!Centro,B293,[0]!Turno,V$230)</f>
        <v>0</v>
      </c>
      <c r="W291" s="68">
        <f>SUMIFS([0]!Chavez,[0]!Centro,B293,[0]!Turno,W$230)</f>
        <v>0</v>
      </c>
      <c r="X291" s="68">
        <f>SUMIFS([0]!Chavez,[0]!Centro,B293,[0]!Turno,X$230)</f>
        <v>0</v>
      </c>
      <c r="Y291" s="69">
        <f>SUMIFS([0]!Chavez,[0]!Centro,B293,[0]!Turno,Y$230)</f>
        <v>0</v>
      </c>
    </row>
    <row r="292" spans="2:25" ht="15" customHeight="1" x14ac:dyDescent="0.2">
      <c r="B292" s="250"/>
      <c r="C292" s="92">
        <f>E292/SUM(E291:E293)</f>
        <v>0.79772079772079774</v>
      </c>
      <c r="D292" s="61" t="s">
        <v>1</v>
      </c>
      <c r="E292" s="62">
        <f t="shared" si="1301"/>
        <v>280</v>
      </c>
      <c r="F292" s="62">
        <f>SUMIFS([0]!Capriles,[0]!Centro,B293,[0]!Turno,F$230)</f>
        <v>25</v>
      </c>
      <c r="G292" s="62">
        <f>SUMIFS([0]!Capriles,[0]!Centro,B293,[0]!Turno,G$230)</f>
        <v>19</v>
      </c>
      <c r="H292" s="62">
        <f>SUMIFS([0]!Capriles,[0]!Centro,B293,[0]!Turno,H$230)</f>
        <v>44</v>
      </c>
      <c r="I292" s="62">
        <f>SUMIFS([0]!Capriles,[0]!Centro,B293,[0]!Turno,I$230)</f>
        <v>0</v>
      </c>
      <c r="J292" s="62">
        <f>SUMIFS([0]!Capriles,[0]!Centro,B293,[0]!Turno,J$230)</f>
        <v>44</v>
      </c>
      <c r="K292" s="62">
        <f>SUMIFS([0]!Capriles,[0]!Centro,B293,[0]!Turno,K$230)</f>
        <v>48</v>
      </c>
      <c r="L292" s="62">
        <f>SUMIFS([0]!Capriles,[0]!Centro,B293,[0]!Turno,L$230)</f>
        <v>35</v>
      </c>
      <c r="M292" s="62">
        <f>SUMIFS([0]!Capriles,[0]!Centro,B293,[0]!Turno,M$230)</f>
        <v>31</v>
      </c>
      <c r="N292" s="62">
        <f>SUMIFS([0]!Capriles,[0]!Centro,B293,[0]!Turno,N$230)</f>
        <v>9</v>
      </c>
      <c r="O292" s="62">
        <f>SUMIFS([0]!Capriles,[0]!Centro,B293,[0]!Turno,O$230)</f>
        <v>10</v>
      </c>
      <c r="P292" s="62">
        <f>SUMIFS([0]!Capriles,[0]!Centro,B293,[0]!Turno,P$230)</f>
        <v>0</v>
      </c>
      <c r="Q292" s="62">
        <f>SUMIFS([0]!Capriles,[0]!Centro,B293,[0]!Turno,Q$230)</f>
        <v>15</v>
      </c>
      <c r="R292" s="62">
        <f>SUMIFS([0]!Capriles,[0]!Centro,B293,[0]!Turno,R$230)</f>
        <v>0</v>
      </c>
      <c r="S292" s="62">
        <f>SUMIFS([0]!Capriles,[0]!Centro,B293,[0]!Turno,S$230)</f>
        <v>0</v>
      </c>
      <c r="T292" s="62">
        <f>SUMIFS([0]!Capriles,[0]!Centro,B293,[0]!Turno,T$230)</f>
        <v>0</v>
      </c>
      <c r="U292" s="62">
        <f>SUMIFS([0]!Capriles,[0]!Centro,B293,[0]!Turno,U$230)</f>
        <v>0</v>
      </c>
      <c r="V292" s="62">
        <f>SUMIFS([0]!Capriles,[0]!Centro,B293,[0]!Turno,V$230)</f>
        <v>0</v>
      </c>
      <c r="W292" s="62">
        <f>SUMIFS([0]!Capriles,[0]!Centro,B293,[0]!Turno,W$230)</f>
        <v>0</v>
      </c>
      <c r="X292" s="62">
        <f>SUMIFS([0]!Capriles,[0]!Centro,B293,[0]!Turno,X$230)</f>
        <v>0</v>
      </c>
      <c r="Y292" s="70">
        <f>SUMIFS([0]!Capriles,[0]!Centro,B293,[0]!Turno,Y$230)</f>
        <v>0</v>
      </c>
    </row>
    <row r="293" spans="2:25" ht="15" customHeight="1" thickBot="1" x14ac:dyDescent="0.25">
      <c r="B293" s="261">
        <v>59</v>
      </c>
      <c r="C293" s="100">
        <f>E293/SUM(E291:E293)</f>
        <v>0</v>
      </c>
      <c r="D293" s="71" t="s">
        <v>2</v>
      </c>
      <c r="E293" s="72">
        <f t="shared" si="1301"/>
        <v>0</v>
      </c>
      <c r="F293" s="72">
        <f>SUMIFS([0]!Otro,[0]!Centro,B293,[0]!Turno,F$230)</f>
        <v>0</v>
      </c>
      <c r="G293" s="72">
        <f>SUMIFS([0]!Otro,[0]!Centro,B293,[0]!Turno,G$230)</f>
        <v>0</v>
      </c>
      <c r="H293" s="72">
        <f>SUMIFS([0]!Otro,[0]!Centro,B293,[0]!Turno,H$230)</f>
        <v>0</v>
      </c>
      <c r="I293" s="72">
        <f>SUMIFS([0]!Otro,[0]!Centro,B293,[0]!Turno,I$230)</f>
        <v>0</v>
      </c>
      <c r="J293" s="72">
        <f>SUMIFS([0]!Otro,[0]!Centro,B293,[0]!Turno,J$230)</f>
        <v>0</v>
      </c>
      <c r="K293" s="72">
        <f>SUMIFS([0]!Otro,[0]!Centro,B293,[0]!Turno,K$230)</f>
        <v>0</v>
      </c>
      <c r="L293" s="72">
        <f>SUMIFS([0]!Otro,[0]!Centro,B293,[0]!Turno,L$230)</f>
        <v>0</v>
      </c>
      <c r="M293" s="72">
        <f>SUMIFS([0]!Otro,[0]!Centro,B293,[0]!Turno,M$230)</f>
        <v>0</v>
      </c>
      <c r="N293" s="72">
        <f>SUMIFS([0]!Otro,[0]!Centro,B293,[0]!Turno,N$230)</f>
        <v>0</v>
      </c>
      <c r="O293" s="72">
        <f>SUMIFS([0]!Otro,[0]!Centro,B293,[0]!Turno,O$230)</f>
        <v>0</v>
      </c>
      <c r="P293" s="72">
        <f>SUMIFS([0]!Otro,[0]!Centro,B293,[0]!Turno,P$230)</f>
        <v>0</v>
      </c>
      <c r="Q293" s="72">
        <f>SUMIFS([0]!Otro,[0]!Centro,B293,[0]!Turno,Q$230)</f>
        <v>0</v>
      </c>
      <c r="R293" s="72">
        <f>SUMIFS([0]!Otro,[0]!Centro,B293,[0]!Turno,R$230)</f>
        <v>0</v>
      </c>
      <c r="S293" s="72">
        <f>SUMIFS([0]!Otro,[0]!Centro,B293,[0]!Turno,S$230)</f>
        <v>0</v>
      </c>
      <c r="T293" s="72">
        <f>SUMIFS([0]!Otro,[0]!Centro,B293,[0]!Turno,T$230)</f>
        <v>0</v>
      </c>
      <c r="U293" s="72">
        <f>SUMIFS([0]!Otro,[0]!Centro,B293,[0]!Turno,U$230)</f>
        <v>0</v>
      </c>
      <c r="V293" s="72">
        <f>SUMIFS([0]!Otro,[0]!Centro,B293,[0]!Turno,V$230)</f>
        <v>0</v>
      </c>
      <c r="W293" s="72">
        <f>SUMIFS([0]!Otro,[0]!Centro,B293,[0]!Turno,W$230)</f>
        <v>0</v>
      </c>
      <c r="X293" s="72">
        <f>SUMIFS([0]!Otro,[0]!Centro,B293,[0]!Turno,X$230)</f>
        <v>0</v>
      </c>
      <c r="Y293" s="73">
        <f>SUMIFS([0]!Otro,[0]!Centro,B293,[0]!Turno,Y$230)</f>
        <v>0</v>
      </c>
    </row>
    <row r="294" spans="2:25" ht="15" customHeight="1" x14ac:dyDescent="0.2">
      <c r="B294" s="261"/>
      <c r="C294" s="94">
        <f>E294/SUM(E294:E296)</f>
        <v>0.20227920227920226</v>
      </c>
      <c r="D294" s="63" t="s">
        <v>0</v>
      </c>
      <c r="E294" s="150">
        <f>IF((E291+E292+E293)=0,0,(E291*$B295)/(E291+E292+E293))</f>
        <v>8.1009625957537204E-3</v>
      </c>
      <c r="F294" s="150">
        <f>IF((F291+F292+F293)=0,0,(F291*$B295)/(F291+F292+F293))</f>
        <v>0</v>
      </c>
      <c r="G294" s="150">
        <f t="shared" ref="G294" si="1670">IF((G291+G292+G293)=0,0,(G291*$B295)/(G291+G292+G293))</f>
        <v>1.6990239093270926E-2</v>
      </c>
      <c r="H294" s="150">
        <f t="shared" ref="H294" si="1671">IF((H291+H292+H293)=0,0,(H291*$B295)/(H291+H292+H293))</f>
        <v>9.6668601737575962E-3</v>
      </c>
      <c r="I294" s="150">
        <f t="shared" ref="I294" si="1672">IF((I291+I292+I293)=0,0,(I291*$B295)/(I291+I292+I293))</f>
        <v>0</v>
      </c>
      <c r="J294" s="150">
        <f t="shared" ref="J294" si="1673">IF((J291+J292+J293)=0,0,(J291*$B295)/(J291+J292+J293))</f>
        <v>8.5818044399684785E-3</v>
      </c>
      <c r="K294" s="150">
        <f t="shared" ref="K294" si="1674">IF((K291+K292+K293)=0,0,(K291*$B295)/(K291+K292+K293))</f>
        <v>7.4666547104810486E-3</v>
      </c>
      <c r="L294" s="150">
        <f t="shared" ref="L294" si="1675">IF((L291+L292+L293)=0,0,(L291*$B295)/(L291+L292+L293))</f>
        <v>8.8996490488561994E-3</v>
      </c>
      <c r="M294" s="150">
        <f t="shared" ref="M294" si="1676">IF((M291+M292+M293)=0,0,(M291*$B295)/(M291+M292+M293))</f>
        <v>9.7679074926470492E-3</v>
      </c>
      <c r="N294" s="150">
        <f t="shared" ref="N294" si="1677">IF((N291+N292+N293)=0,0,(N291*$B295)/(N291+N292+N293))</f>
        <v>0</v>
      </c>
      <c r="O294" s="150">
        <f t="shared" ref="O294" si="1678">IF((O291+O292+O293)=0,0,(O291*$B295)/(O291+O292+O293))</f>
        <v>0</v>
      </c>
      <c r="P294" s="150">
        <f t="shared" ref="P294" si="1679">IF((P291+P292+P293)=0,0,(P291*$B295)/(P291+P292+P293))</f>
        <v>0</v>
      </c>
      <c r="Q294" s="150">
        <f t="shared" ref="Q294" si="1680">IF((Q291+Q292+Q293)=0,0,(Q291*$B295)/(Q291+Q292+Q293))</f>
        <v>0</v>
      </c>
      <c r="R294" s="150">
        <f t="shared" ref="R294" si="1681">IF((R291+R292+R293)=0,0,(R291*$B295)/(R291+R292+R293))</f>
        <v>0</v>
      </c>
      <c r="S294" s="150">
        <f t="shared" ref="S294" si="1682">IF((S291+S292+S293)=0,0,(S291*$B295)/(S291+S292+S293))</f>
        <v>0</v>
      </c>
      <c r="T294" s="150">
        <f t="shared" ref="T294" si="1683">IF((T291+T292+T293)=0,0,(T291*$B295)/(T291+T292+T293))</f>
        <v>0</v>
      </c>
      <c r="U294" s="150">
        <f t="shared" ref="U294" si="1684">IF((U291+U292+U293)=0,0,(U291*$B295)/(U291+U292+U293))</f>
        <v>0</v>
      </c>
      <c r="V294" s="150">
        <f t="shared" ref="V294" si="1685">IF((V291+V292+V293)=0,0,(V291*$B295)/(V291+V292+V293))</f>
        <v>0</v>
      </c>
      <c r="W294" s="150">
        <f t="shared" ref="W294" si="1686">IF((W291+W292+W293)=0,0,(W291*$B295)/(W291+W292+W293))</f>
        <v>0</v>
      </c>
      <c r="X294" s="150">
        <f t="shared" ref="X294" si="1687">IF((X291+X292+X293)=0,0,(X291*$B295)/(X291+X292+X293))</f>
        <v>0</v>
      </c>
      <c r="Y294" s="163">
        <f t="shared" ref="Y294" si="1688">IF((Y291+Y292+Y293)=0,0,(Y291*$B295)/(Y291+Y292+Y293))</f>
        <v>0</v>
      </c>
    </row>
    <row r="295" spans="2:25" ht="15" customHeight="1" x14ac:dyDescent="0.2">
      <c r="B295" s="254">
        <v>4.0048420719852901E-2</v>
      </c>
      <c r="C295" s="92">
        <f>E295/SUM(E294:E296)</f>
        <v>0.79772079772079774</v>
      </c>
      <c r="D295" s="61" t="s">
        <v>1</v>
      </c>
      <c r="E295" s="154">
        <f>IF((E291+E292+E293)=0,0,(E292*$B295)/(E291+E292+E293))</f>
        <v>3.194745812409918E-2</v>
      </c>
      <c r="F295" s="154">
        <f>IF((F291+F292+F293)=0,0,(F292*$B295)/(F291+F292+F293))</f>
        <v>4.0048420719852901E-2</v>
      </c>
      <c r="G295" s="154">
        <f t="shared" ref="G295:O295" si="1689">IF((G291+G292+G293)=0,0,(G292*$B295)/(G291+G292+G293))</f>
        <v>2.3058181626581971E-2</v>
      </c>
      <c r="H295" s="154">
        <f t="shared" si="1689"/>
        <v>3.0381560546095303E-2</v>
      </c>
      <c r="I295" s="154">
        <f t="shared" si="1689"/>
        <v>0</v>
      </c>
      <c r="J295" s="154">
        <f t="shared" si="1689"/>
        <v>3.1466616279884417E-2</v>
      </c>
      <c r="K295" s="154">
        <f t="shared" si="1689"/>
        <v>3.2581766009371849E-2</v>
      </c>
      <c r="L295" s="154">
        <f t="shared" si="1689"/>
        <v>3.1148771670996701E-2</v>
      </c>
      <c r="M295" s="154">
        <f t="shared" si="1689"/>
        <v>3.0280513227205853E-2</v>
      </c>
      <c r="N295" s="154">
        <f t="shared" si="1689"/>
        <v>4.0048420719852901E-2</v>
      </c>
      <c r="O295" s="154">
        <f t="shared" si="1689"/>
        <v>4.0048420719852901E-2</v>
      </c>
      <c r="P295" s="154">
        <f>IF((P291+P292+P293)=0,0,(P292*$B295)/(P291+P292+P293))</f>
        <v>0</v>
      </c>
      <c r="Q295" s="154">
        <f t="shared" ref="Q295:Y295" si="1690">IF((Q291+Q292+Q293)=0,0,(Q292*$B295)/(Q291+Q292+Q293))</f>
        <v>4.0048420719852901E-2</v>
      </c>
      <c r="R295" s="154">
        <f t="shared" si="1690"/>
        <v>0</v>
      </c>
      <c r="S295" s="154">
        <f t="shared" si="1690"/>
        <v>0</v>
      </c>
      <c r="T295" s="154">
        <f t="shared" si="1690"/>
        <v>0</v>
      </c>
      <c r="U295" s="154">
        <f t="shared" si="1690"/>
        <v>0</v>
      </c>
      <c r="V295" s="154">
        <f t="shared" si="1690"/>
        <v>0</v>
      </c>
      <c r="W295" s="154">
        <f t="shared" si="1690"/>
        <v>0</v>
      </c>
      <c r="X295" s="154">
        <f t="shared" si="1690"/>
        <v>0</v>
      </c>
      <c r="Y295" s="159">
        <f t="shared" si="1690"/>
        <v>0</v>
      </c>
    </row>
    <row r="296" spans="2:25" ht="15" customHeight="1" thickBot="1" x14ac:dyDescent="0.25">
      <c r="B296" s="255"/>
      <c r="C296" s="93">
        <f>E296/SUM(E294:E296)</f>
        <v>0</v>
      </c>
      <c r="D296" s="75" t="s">
        <v>2</v>
      </c>
      <c r="E296" s="155">
        <f>IF((E291+E292+E293)=0,0,(E293*$B295)/(E291+E292+E293))</f>
        <v>0</v>
      </c>
      <c r="F296" s="155">
        <f>IF((F291+F292+F293)=0,0,(F293*$B295)/(F291+F292+F293))</f>
        <v>0</v>
      </c>
      <c r="G296" s="155">
        <f t="shared" ref="G296" si="1691">IF((G291+G292+G293)=0,0,(G293*$B295)/(G291+G292+G293))</f>
        <v>0</v>
      </c>
      <c r="H296" s="155">
        <f t="shared" ref="H296" si="1692">IF((H291+H292+H293)=0,0,(H293*$B295)/(H291+H292+H293))</f>
        <v>0</v>
      </c>
      <c r="I296" s="155">
        <f t="shared" ref="I296" si="1693">IF((I291+I292+I293)=0,0,(I293*$B295)/(I291+I292+I293))</f>
        <v>0</v>
      </c>
      <c r="J296" s="155">
        <f t="shared" ref="J296" si="1694">IF((J291+J292+J293)=0,0,(J293*$B295)/(J291+J292+J293))</f>
        <v>0</v>
      </c>
      <c r="K296" s="155">
        <f t="shared" ref="K296" si="1695">IF((K291+K292+K293)=0,0,(K293*$B295)/(K291+K292+K293))</f>
        <v>0</v>
      </c>
      <c r="L296" s="155">
        <f t="shared" ref="L296" si="1696">IF((L291+L292+L293)=0,0,(L293*$B295)/(L291+L292+L293))</f>
        <v>0</v>
      </c>
      <c r="M296" s="155">
        <f t="shared" ref="M296" si="1697">IF((M291+M292+M293)=0,0,(M293*$B295)/(M291+M292+M293))</f>
        <v>0</v>
      </c>
      <c r="N296" s="155">
        <f t="shared" ref="N296" si="1698">IF((N291+N292+N293)=0,0,(N293*$B295)/(N291+N292+N293))</f>
        <v>0</v>
      </c>
      <c r="O296" s="155">
        <f t="shared" ref="O296" si="1699">IF((O291+O292+O293)=0,0,(O293*$B295)/(O291+O292+O293))</f>
        <v>0</v>
      </c>
      <c r="P296" s="155">
        <f t="shared" ref="P296" si="1700">IF((P291+P292+P293)=0,0,(P293*$B295)/(P291+P292+P293))</f>
        <v>0</v>
      </c>
      <c r="Q296" s="155">
        <f t="shared" ref="Q296" si="1701">IF((Q291+Q292+Q293)=0,0,(Q293*$B295)/(Q291+Q292+Q293))</f>
        <v>0</v>
      </c>
      <c r="R296" s="155">
        <f t="shared" ref="R296" si="1702">IF((R291+R292+R293)=0,0,(R293*$B295)/(R291+R292+R293))</f>
        <v>0</v>
      </c>
      <c r="S296" s="155">
        <f t="shared" ref="S296" si="1703">IF((S291+S292+S293)=0,0,(S293*$B295)/(S291+S292+S293))</f>
        <v>0</v>
      </c>
      <c r="T296" s="155">
        <f t="shared" ref="T296" si="1704">IF((T291+T292+T293)=0,0,(T293*$B295)/(T291+T292+T293))</f>
        <v>0</v>
      </c>
      <c r="U296" s="155">
        <f t="shared" ref="U296" si="1705">IF((U291+U292+U293)=0,0,(U293*$B295)/(U291+U292+U293))</f>
        <v>0</v>
      </c>
      <c r="V296" s="155">
        <f t="shared" ref="V296" si="1706">IF((V291+V292+V293)=0,0,(V293*$B295)/(V291+V292+V293))</f>
        <v>0</v>
      </c>
      <c r="W296" s="155">
        <f t="shared" ref="W296" si="1707">IF((W291+W292+W293)=0,0,(W293*$B295)/(W291+W292+W293))</f>
        <v>0</v>
      </c>
      <c r="X296" s="155">
        <f t="shared" ref="X296" si="1708">IF((X291+X292+X293)=0,0,(X293*$B295)/(X291+X292+X293))</f>
        <v>0</v>
      </c>
      <c r="Y296" s="160">
        <f t="shared" ref="Y296" si="1709">IF((Y291+Y292+Y293)=0,0,(Y293*$B295)/(Y291+Y292+Y293))</f>
        <v>0</v>
      </c>
    </row>
    <row r="297" spans="2:25" ht="15" customHeight="1" x14ac:dyDescent="0.2">
      <c r="B297" s="249" t="s">
        <v>75</v>
      </c>
      <c r="C297" s="91">
        <f>E297/SUM(E297:E299)</f>
        <v>0.45522388059701491</v>
      </c>
      <c r="D297" s="67" t="s">
        <v>0</v>
      </c>
      <c r="E297" s="68">
        <f t="shared" ref="E297:E305" si="1710">SUM(F297:Y297)</f>
        <v>61</v>
      </c>
      <c r="F297" s="68">
        <f>SUMIFS([0]!Chavez,[0]!Centro,B299,[0]!Turno,F$230)</f>
        <v>0</v>
      </c>
      <c r="G297" s="68">
        <f>SUMIFS([0]!Chavez,[0]!Centro,B299,[0]!Turno,G$230)</f>
        <v>8</v>
      </c>
      <c r="H297" s="68">
        <f>SUMIFS([0]!Chavez,[0]!Centro,B299,[0]!Turno,H$230)</f>
        <v>0</v>
      </c>
      <c r="I297" s="68">
        <f>SUMIFS([0]!Chavez,[0]!Centro,B299,[0]!Turno,I$230)</f>
        <v>7</v>
      </c>
      <c r="J297" s="68">
        <f>SUMIFS([0]!Chavez,[0]!Centro,B299,[0]!Turno,J$230)</f>
        <v>20</v>
      </c>
      <c r="K297" s="68">
        <f>SUMIFS([0]!Chavez,[0]!Centro,B299,[0]!Turno,K$230)</f>
        <v>0</v>
      </c>
      <c r="L297" s="68">
        <f>SUMIFS([0]!Chavez,[0]!Centro,B299,[0]!Turno,L$230)</f>
        <v>15</v>
      </c>
      <c r="M297" s="68">
        <f>SUMIFS([0]!Chavez,[0]!Centro,B299,[0]!Turno,M$230)</f>
        <v>9</v>
      </c>
      <c r="N297" s="68">
        <f>SUMIFS([0]!Chavez,[0]!Centro,B299,[0]!Turno,N$230)</f>
        <v>0</v>
      </c>
      <c r="O297" s="68">
        <f>SUMIFS([0]!Chavez,[0]!Centro,B299,[0]!Turno,O$230)</f>
        <v>0</v>
      </c>
      <c r="P297" s="68">
        <f>SUMIFS([0]!Chavez,[0]!Centro,B299,[0]!Turno,P$230)</f>
        <v>0</v>
      </c>
      <c r="Q297" s="68">
        <f>SUMIFS([0]!Chavez,[0]!Centro,B299,[0]!Turno,Q$230)</f>
        <v>2</v>
      </c>
      <c r="R297" s="68">
        <f>SUMIFS([0]!Chavez,[0]!Centro,B299,[0]!Turno,R$230)</f>
        <v>0</v>
      </c>
      <c r="S297" s="68">
        <f>SUMIFS([0]!Chavez,[0]!Centro,B299,[0]!Turno,S$230)</f>
        <v>0</v>
      </c>
      <c r="T297" s="68">
        <f>SUMIFS([0]!Chavez,[0]!Centro,B299,[0]!Turno,T$230)</f>
        <v>0</v>
      </c>
      <c r="U297" s="68">
        <f>SUMIFS([0]!Chavez,[0]!Centro,B299,[0]!Turno,U$230)</f>
        <v>0</v>
      </c>
      <c r="V297" s="68">
        <f>SUMIFS([0]!Chavez,[0]!Centro,B299,[0]!Turno,V$230)</f>
        <v>0</v>
      </c>
      <c r="W297" s="68">
        <f>SUMIFS([0]!Chavez,[0]!Centro,B299,[0]!Turno,W$230)</f>
        <v>0</v>
      </c>
      <c r="X297" s="68">
        <f>SUMIFS([0]!Chavez,[0]!Centro,B299,[0]!Turno,X$230)</f>
        <v>0</v>
      </c>
      <c r="Y297" s="69">
        <f>SUMIFS([0]!Chavez,[0]!Centro,B299,[0]!Turno,Y$230)</f>
        <v>0</v>
      </c>
    </row>
    <row r="298" spans="2:25" ht="15" customHeight="1" x14ac:dyDescent="0.2">
      <c r="B298" s="250"/>
      <c r="C298" s="92">
        <f>E298/SUM(E297:E299)</f>
        <v>0.53731343283582089</v>
      </c>
      <c r="D298" s="61" t="s">
        <v>1</v>
      </c>
      <c r="E298" s="62">
        <f t="shared" si="1710"/>
        <v>72</v>
      </c>
      <c r="F298" s="62">
        <f>SUMIFS([0]!Capriles,[0]!Centro,B299,[0]!Turno,F$230)</f>
        <v>0</v>
      </c>
      <c r="G298" s="62">
        <f>SUMIFS([0]!Capriles,[0]!Centro,B299,[0]!Turno,G$230)</f>
        <v>10</v>
      </c>
      <c r="H298" s="62">
        <f>SUMIFS([0]!Capriles,[0]!Centro,B299,[0]!Turno,H$230)</f>
        <v>0</v>
      </c>
      <c r="I298" s="62">
        <f>SUMIFS([0]!Capriles,[0]!Centro,B299,[0]!Turno,I$230)</f>
        <v>2</v>
      </c>
      <c r="J298" s="62">
        <f>SUMIFS([0]!Capriles,[0]!Centro,B299,[0]!Turno,J$230)</f>
        <v>13</v>
      </c>
      <c r="K298" s="62">
        <f>SUMIFS([0]!Capriles,[0]!Centro,B299,[0]!Turno,K$230)</f>
        <v>0</v>
      </c>
      <c r="L298" s="62">
        <f>SUMIFS([0]!Capriles,[0]!Centro,B299,[0]!Turno,L$230)</f>
        <v>19</v>
      </c>
      <c r="M298" s="62">
        <f>SUMIFS([0]!Capriles,[0]!Centro,B299,[0]!Turno,M$230)</f>
        <v>10</v>
      </c>
      <c r="N298" s="62">
        <f>SUMIFS([0]!Capriles,[0]!Centro,B299,[0]!Turno,N$230)</f>
        <v>0</v>
      </c>
      <c r="O298" s="62">
        <f>SUMIFS([0]!Capriles,[0]!Centro,B299,[0]!Turno,O$230)</f>
        <v>0</v>
      </c>
      <c r="P298" s="62">
        <f>SUMIFS([0]!Capriles,[0]!Centro,B299,[0]!Turno,P$230)</f>
        <v>0</v>
      </c>
      <c r="Q298" s="62">
        <f>SUMIFS([0]!Capriles,[0]!Centro,B299,[0]!Turno,Q$230)</f>
        <v>18</v>
      </c>
      <c r="R298" s="62">
        <f>SUMIFS([0]!Capriles,[0]!Centro,B299,[0]!Turno,R$230)</f>
        <v>0</v>
      </c>
      <c r="S298" s="62">
        <f>SUMIFS([0]!Capriles,[0]!Centro,B299,[0]!Turno,S$230)</f>
        <v>0</v>
      </c>
      <c r="T298" s="62">
        <f>SUMIFS([0]!Capriles,[0]!Centro,B299,[0]!Turno,T$230)</f>
        <v>0</v>
      </c>
      <c r="U298" s="62">
        <f>SUMIFS([0]!Capriles,[0]!Centro,B299,[0]!Turno,U$230)</f>
        <v>0</v>
      </c>
      <c r="V298" s="62">
        <f>SUMIFS([0]!Capriles,[0]!Centro,B299,[0]!Turno,V$230)</f>
        <v>0</v>
      </c>
      <c r="W298" s="62">
        <f>SUMIFS([0]!Capriles,[0]!Centro,B299,[0]!Turno,W$230)</f>
        <v>0</v>
      </c>
      <c r="X298" s="62">
        <f>SUMIFS([0]!Capriles,[0]!Centro,B299,[0]!Turno,X$230)</f>
        <v>0</v>
      </c>
      <c r="Y298" s="70">
        <f>SUMIFS([0]!Capriles,[0]!Centro,B299,[0]!Turno,Y$230)</f>
        <v>0</v>
      </c>
    </row>
    <row r="299" spans="2:25" ht="15" customHeight="1" thickBot="1" x14ac:dyDescent="0.25">
      <c r="B299" s="261">
        <v>60</v>
      </c>
      <c r="C299" s="100">
        <f>E299/SUM(E297:E299)</f>
        <v>7.462686567164179E-3</v>
      </c>
      <c r="D299" s="71" t="s">
        <v>2</v>
      </c>
      <c r="E299" s="72">
        <f t="shared" si="1710"/>
        <v>1</v>
      </c>
      <c r="F299" s="72">
        <f>SUMIFS([0]!Otro,[0]!Centro,B299,[0]!Turno,F$230)</f>
        <v>0</v>
      </c>
      <c r="G299" s="72">
        <f>SUMIFS([0]!Otro,[0]!Centro,B299,[0]!Turno,G$230)</f>
        <v>0</v>
      </c>
      <c r="H299" s="72">
        <f>SUMIFS([0]!Otro,[0]!Centro,B299,[0]!Turno,H$230)</f>
        <v>0</v>
      </c>
      <c r="I299" s="72">
        <f>SUMIFS([0]!Otro,[0]!Centro,B299,[0]!Turno,I$230)</f>
        <v>0</v>
      </c>
      <c r="J299" s="72">
        <f>SUMIFS([0]!Otro,[0]!Centro,B299,[0]!Turno,J$230)</f>
        <v>0</v>
      </c>
      <c r="K299" s="72">
        <f>SUMIFS([0]!Otro,[0]!Centro,B299,[0]!Turno,K$230)</f>
        <v>0</v>
      </c>
      <c r="L299" s="72">
        <f>SUMIFS([0]!Otro,[0]!Centro,B299,[0]!Turno,L$230)</f>
        <v>0</v>
      </c>
      <c r="M299" s="72">
        <f>SUMIFS([0]!Otro,[0]!Centro,B299,[0]!Turno,M$230)</f>
        <v>1</v>
      </c>
      <c r="N299" s="72">
        <f>SUMIFS([0]!Otro,[0]!Centro,B299,[0]!Turno,N$230)</f>
        <v>0</v>
      </c>
      <c r="O299" s="72">
        <f>SUMIFS([0]!Otro,[0]!Centro,B299,[0]!Turno,O$230)</f>
        <v>0</v>
      </c>
      <c r="P299" s="72">
        <f>SUMIFS([0]!Otro,[0]!Centro,B299,[0]!Turno,P$230)</f>
        <v>0</v>
      </c>
      <c r="Q299" s="72">
        <f>SUMIFS([0]!Otro,[0]!Centro,B299,[0]!Turno,Q$230)</f>
        <v>0</v>
      </c>
      <c r="R299" s="72">
        <f>SUMIFS([0]!Otro,[0]!Centro,B299,[0]!Turno,R$230)</f>
        <v>0</v>
      </c>
      <c r="S299" s="72">
        <f>SUMIFS([0]!Otro,[0]!Centro,B299,[0]!Turno,S$230)</f>
        <v>0</v>
      </c>
      <c r="T299" s="72">
        <f>SUMIFS([0]!Otro,[0]!Centro,B299,[0]!Turno,T$230)</f>
        <v>0</v>
      </c>
      <c r="U299" s="72">
        <f>SUMIFS([0]!Otro,[0]!Centro,B299,[0]!Turno,U$230)</f>
        <v>0</v>
      </c>
      <c r="V299" s="72">
        <f>SUMIFS([0]!Otro,[0]!Centro,B299,[0]!Turno,V$230)</f>
        <v>0</v>
      </c>
      <c r="W299" s="72">
        <f>SUMIFS([0]!Otro,[0]!Centro,B299,[0]!Turno,W$230)</f>
        <v>0</v>
      </c>
      <c r="X299" s="72">
        <f>SUMIFS([0]!Otro,[0]!Centro,B299,[0]!Turno,X$230)</f>
        <v>0</v>
      </c>
      <c r="Y299" s="73">
        <f>SUMIFS([0]!Otro,[0]!Centro,B299,[0]!Turno,Y$230)</f>
        <v>0</v>
      </c>
    </row>
    <row r="300" spans="2:25" ht="15" customHeight="1" x14ac:dyDescent="0.2">
      <c r="B300" s="261"/>
      <c r="C300" s="94">
        <f>E300/SUM(E300:E302)</f>
        <v>0.45522388059701491</v>
      </c>
      <c r="D300" s="63" t="s">
        <v>0</v>
      </c>
      <c r="E300" s="150">
        <f>IF((E297+E298+E299)=0,0,(E297*$B301)/(E297+E298+E299))</f>
        <v>1.1929824034295192E-2</v>
      </c>
      <c r="F300" s="150">
        <f>IF((F297+F298+F299)=0,0,(F297*$B301)/(F297+F298+F299))</f>
        <v>0</v>
      </c>
      <c r="G300" s="150">
        <f t="shared" ref="G300" si="1711">IF((G297+G298+G299)=0,0,(G297*$B301)/(G297+G298+G299))</f>
        <v>1.1647332754794577E-2</v>
      </c>
      <c r="H300" s="150">
        <f t="shared" ref="H300" si="1712">IF((H297+H298+H299)=0,0,(H297*$B301)/(H297+H298+H299))</f>
        <v>0</v>
      </c>
      <c r="I300" s="150">
        <f t="shared" ref="I300" si="1713">IF((I297+I298+I299)=0,0,(I297*$B301)/(I297+I298+I299))</f>
        <v>2.0382832320890512E-2</v>
      </c>
      <c r="J300" s="150">
        <f t="shared" ref="J300" si="1714">IF((J297+J298+J299)=0,0,(J297*$B301)/(J297+J298+J299))</f>
        <v>1.5882726483810786E-2</v>
      </c>
      <c r="K300" s="150">
        <f t="shared" ref="K300" si="1715">IF((K297+K298+K299)=0,0,(K297*$B301)/(K297+K298+K299))</f>
        <v>0</v>
      </c>
      <c r="L300" s="150">
        <f t="shared" ref="L300" si="1716">IF((L297+L298+L299)=0,0,(L297*$B301)/(L297+L298+L299))</f>
        <v>1.1561690602185795E-2</v>
      </c>
      <c r="M300" s="150">
        <f t="shared" ref="M300" si="1717">IF((M297+M298+M299)=0,0,(M297*$B301)/(M297+M298+M299))</f>
        <v>1.1792924414229512E-2</v>
      </c>
      <c r="N300" s="150">
        <f t="shared" ref="N300" si="1718">IF((N297+N298+N299)=0,0,(N297*$B301)/(N297+N298+N299))</f>
        <v>0</v>
      </c>
      <c r="O300" s="150">
        <f t="shared" ref="O300" si="1719">IF((O297+O298+O299)=0,0,(O297*$B301)/(O297+O298+O299))</f>
        <v>0</v>
      </c>
      <c r="P300" s="150">
        <f t="shared" ref="P300" si="1720">IF((P297+P298+P299)=0,0,(P297*$B301)/(P297+P298+P299))</f>
        <v>0</v>
      </c>
      <c r="Q300" s="150">
        <f t="shared" ref="Q300" si="1721">IF((Q297+Q298+Q299)=0,0,(Q297*$B301)/(Q297+Q298+Q299))</f>
        <v>2.6206498698287803E-3</v>
      </c>
      <c r="R300" s="150">
        <f t="shared" ref="R300" si="1722">IF((R297+R298+R299)=0,0,(R297*$B301)/(R297+R298+R299))</f>
        <v>0</v>
      </c>
      <c r="S300" s="150">
        <f t="shared" ref="S300" si="1723">IF((S297+S298+S299)=0,0,(S297*$B301)/(S297+S298+S299))</f>
        <v>0</v>
      </c>
      <c r="T300" s="150">
        <f t="shared" ref="T300" si="1724">IF((T297+T298+T299)=0,0,(T297*$B301)/(T297+T298+T299))</f>
        <v>0</v>
      </c>
      <c r="U300" s="150">
        <f t="shared" ref="U300" si="1725">IF((U297+U298+U299)=0,0,(U297*$B301)/(U297+U298+U299))</f>
        <v>0</v>
      </c>
      <c r="V300" s="150">
        <f t="shared" ref="V300" si="1726">IF((V297+V298+V299)=0,0,(V297*$B301)/(V297+V298+V299))</f>
        <v>0</v>
      </c>
      <c r="W300" s="150">
        <f t="shared" ref="W300" si="1727">IF((W297+W298+W299)=0,0,(W297*$B301)/(W297+W298+W299))</f>
        <v>0</v>
      </c>
      <c r="X300" s="150">
        <f t="shared" ref="X300" si="1728">IF((X297+X298+X299)=0,0,(X297*$B301)/(X297+X298+X299))</f>
        <v>0</v>
      </c>
      <c r="Y300" s="163">
        <f t="shared" ref="Y300" si="1729">IF((Y297+Y298+Y299)=0,0,(Y297*$B301)/(Y297+Y298+Y299))</f>
        <v>0</v>
      </c>
    </row>
    <row r="301" spans="2:25" ht="15" customHeight="1" x14ac:dyDescent="0.2">
      <c r="B301" s="254">
        <v>2.6206498698287801E-2</v>
      </c>
      <c r="C301" s="92">
        <f>E301/SUM(E300:E302)</f>
        <v>0.53731343283582089</v>
      </c>
      <c r="D301" s="61" t="s">
        <v>1</v>
      </c>
      <c r="E301" s="154">
        <f>IF((E297+E298+E299)=0,0,(E298*$B301)/(E297+E298+E299))</f>
        <v>1.408110377818449E-2</v>
      </c>
      <c r="F301" s="154">
        <f>IF((F297+F298+F299)=0,0,(F298*$B301)/(F297+F298+F299))</f>
        <v>0</v>
      </c>
      <c r="G301" s="154">
        <f t="shared" ref="G301:O301" si="1730">IF((G297+G298+G299)=0,0,(G298*$B301)/(G297+G298+G299))</f>
        <v>1.4559165943493222E-2</v>
      </c>
      <c r="H301" s="154">
        <f t="shared" si="1730"/>
        <v>0</v>
      </c>
      <c r="I301" s="154">
        <f t="shared" si="1730"/>
        <v>5.8236663773972887E-3</v>
      </c>
      <c r="J301" s="154">
        <f t="shared" si="1730"/>
        <v>1.0323772214477013E-2</v>
      </c>
      <c r="K301" s="154">
        <f t="shared" si="1730"/>
        <v>0</v>
      </c>
      <c r="L301" s="154">
        <f t="shared" si="1730"/>
        <v>1.4644808096102007E-2</v>
      </c>
      <c r="M301" s="154">
        <f t="shared" si="1730"/>
        <v>1.31032493491439E-2</v>
      </c>
      <c r="N301" s="154">
        <f t="shared" si="1730"/>
        <v>0</v>
      </c>
      <c r="O301" s="154">
        <f t="shared" si="1730"/>
        <v>0</v>
      </c>
      <c r="P301" s="154">
        <f>IF((P297+P298+P299)=0,0,(P298*$B301)/(P297+P298+P299))</f>
        <v>0</v>
      </c>
      <c r="Q301" s="154">
        <f t="shared" ref="Q301:Y301" si="1731">IF((Q297+Q298+Q299)=0,0,(Q298*$B301)/(Q297+Q298+Q299))</f>
        <v>2.3585848828459023E-2</v>
      </c>
      <c r="R301" s="154">
        <f t="shared" si="1731"/>
        <v>0</v>
      </c>
      <c r="S301" s="154">
        <f t="shared" si="1731"/>
        <v>0</v>
      </c>
      <c r="T301" s="154">
        <f t="shared" si="1731"/>
        <v>0</v>
      </c>
      <c r="U301" s="154">
        <f t="shared" si="1731"/>
        <v>0</v>
      </c>
      <c r="V301" s="154">
        <f t="shared" si="1731"/>
        <v>0</v>
      </c>
      <c r="W301" s="154">
        <f t="shared" si="1731"/>
        <v>0</v>
      </c>
      <c r="X301" s="154">
        <f t="shared" si="1731"/>
        <v>0</v>
      </c>
      <c r="Y301" s="159">
        <f t="shared" si="1731"/>
        <v>0</v>
      </c>
    </row>
    <row r="302" spans="2:25" ht="15" customHeight="1" thickBot="1" x14ac:dyDescent="0.25">
      <c r="B302" s="255"/>
      <c r="C302" s="93">
        <f>E302/SUM(E300:E302)</f>
        <v>7.462686567164179E-3</v>
      </c>
      <c r="D302" s="75" t="s">
        <v>2</v>
      </c>
      <c r="E302" s="155">
        <f>IF((E297+E298+E299)=0,0,(E299*$B301)/(E297+E298+E299))</f>
        <v>1.9557088580811791E-4</v>
      </c>
      <c r="F302" s="155">
        <f>IF((F297+F298+F299)=0,0,(F299*$B301)/(F297+F298+F299))</f>
        <v>0</v>
      </c>
      <c r="G302" s="155">
        <f t="shared" ref="G302" si="1732">IF((G297+G298+G299)=0,0,(G299*$B301)/(G297+G298+G299))</f>
        <v>0</v>
      </c>
      <c r="H302" s="155">
        <f t="shared" ref="H302" si="1733">IF((H297+H298+H299)=0,0,(H299*$B301)/(H297+H298+H299))</f>
        <v>0</v>
      </c>
      <c r="I302" s="155">
        <f t="shared" ref="I302" si="1734">IF((I297+I298+I299)=0,0,(I299*$B301)/(I297+I298+I299))</f>
        <v>0</v>
      </c>
      <c r="J302" s="155">
        <f t="shared" ref="J302" si="1735">IF((J297+J298+J299)=0,0,(J299*$B301)/(J297+J298+J299))</f>
        <v>0</v>
      </c>
      <c r="K302" s="155">
        <f t="shared" ref="K302" si="1736">IF((K297+K298+K299)=0,0,(K299*$B301)/(K297+K298+K299))</f>
        <v>0</v>
      </c>
      <c r="L302" s="155">
        <f t="shared" ref="L302" si="1737">IF((L297+L298+L299)=0,0,(L299*$B301)/(L297+L298+L299))</f>
        <v>0</v>
      </c>
      <c r="M302" s="155">
        <f t="shared" ref="M302" si="1738">IF((M297+M298+M299)=0,0,(M299*$B301)/(M297+M298+M299))</f>
        <v>1.3103249349143901E-3</v>
      </c>
      <c r="N302" s="155">
        <f t="shared" ref="N302" si="1739">IF((N297+N298+N299)=0,0,(N299*$B301)/(N297+N298+N299))</f>
        <v>0</v>
      </c>
      <c r="O302" s="155">
        <f t="shared" ref="O302" si="1740">IF((O297+O298+O299)=0,0,(O299*$B301)/(O297+O298+O299))</f>
        <v>0</v>
      </c>
      <c r="P302" s="155">
        <f t="shared" ref="P302" si="1741">IF((P297+P298+P299)=0,0,(P299*$B301)/(P297+P298+P299))</f>
        <v>0</v>
      </c>
      <c r="Q302" s="155">
        <f t="shared" ref="Q302" si="1742">IF((Q297+Q298+Q299)=0,0,(Q299*$B301)/(Q297+Q298+Q299))</f>
        <v>0</v>
      </c>
      <c r="R302" s="155">
        <f t="shared" ref="R302" si="1743">IF((R297+R298+R299)=0,0,(R299*$B301)/(R297+R298+R299))</f>
        <v>0</v>
      </c>
      <c r="S302" s="155">
        <f t="shared" ref="S302" si="1744">IF((S297+S298+S299)=0,0,(S299*$B301)/(S297+S298+S299))</f>
        <v>0</v>
      </c>
      <c r="T302" s="155">
        <f t="shared" ref="T302" si="1745">IF((T297+T298+T299)=0,0,(T299*$B301)/(T297+T298+T299))</f>
        <v>0</v>
      </c>
      <c r="U302" s="155">
        <f t="shared" ref="U302" si="1746">IF((U297+U298+U299)=0,0,(U299*$B301)/(U297+U298+U299))</f>
        <v>0</v>
      </c>
      <c r="V302" s="155">
        <f t="shared" ref="V302" si="1747">IF((V297+V298+V299)=0,0,(V299*$B301)/(V297+V298+V299))</f>
        <v>0</v>
      </c>
      <c r="W302" s="155">
        <f t="shared" ref="W302" si="1748">IF((W297+W298+W299)=0,0,(W299*$B301)/(W297+W298+W299))</f>
        <v>0</v>
      </c>
      <c r="X302" s="155">
        <f t="shared" ref="X302" si="1749">IF((X297+X298+X299)=0,0,(X299*$B301)/(X297+X298+X299))</f>
        <v>0</v>
      </c>
      <c r="Y302" s="160">
        <f t="shared" ref="Y302" si="1750">IF((Y297+Y298+Y299)=0,0,(Y299*$B301)/(Y297+Y298+Y299))</f>
        <v>0</v>
      </c>
    </row>
    <row r="303" spans="2:25" ht="15" customHeight="1" x14ac:dyDescent="0.2">
      <c r="B303" s="249" t="s">
        <v>76</v>
      </c>
      <c r="C303" s="91">
        <f>E303/SUM(E303:E305)</f>
        <v>0.46617915904936014</v>
      </c>
      <c r="D303" s="67" t="s">
        <v>0</v>
      </c>
      <c r="E303" s="68">
        <f t="shared" si="1710"/>
        <v>255</v>
      </c>
      <c r="F303" s="68">
        <f>SUMIFS([0]!Chavez,[0]!Centro,B305,[0]!Turno,F$230)</f>
        <v>0</v>
      </c>
      <c r="G303" s="68">
        <f>SUMIFS([0]!Chavez,[0]!Centro,B305,[0]!Turno,G$230)</f>
        <v>43</v>
      </c>
      <c r="H303" s="68">
        <f>SUMIFS([0]!Chavez,[0]!Centro,B305,[0]!Turno,H$230)</f>
        <v>23</v>
      </c>
      <c r="I303" s="68">
        <f>SUMIFS([0]!Chavez,[0]!Centro,B305,[0]!Turno,I$230)</f>
        <v>8</v>
      </c>
      <c r="J303" s="68">
        <f>SUMIFS([0]!Chavez,[0]!Centro,B305,[0]!Turno,J$230)</f>
        <v>16</v>
      </c>
      <c r="K303" s="68">
        <f>SUMIFS([0]!Chavez,[0]!Centro,B305,[0]!Turno,K$230)</f>
        <v>39</v>
      </c>
      <c r="L303" s="68">
        <f>SUMIFS([0]!Chavez,[0]!Centro,B305,[0]!Turno,L$230)</f>
        <v>36</v>
      </c>
      <c r="M303" s="68">
        <f>SUMIFS([0]!Chavez,[0]!Centro,B305,[0]!Turno,M$230)</f>
        <v>31</v>
      </c>
      <c r="N303" s="68">
        <f>SUMIFS([0]!Chavez,[0]!Centro,B305,[0]!Turno,N$230)</f>
        <v>40</v>
      </c>
      <c r="O303" s="68">
        <f>SUMIFS([0]!Chavez,[0]!Centro,B305,[0]!Turno,O$230)</f>
        <v>11</v>
      </c>
      <c r="P303" s="68">
        <f>SUMIFS([0]!Chavez,[0]!Centro,B305,[0]!Turno,P$230)</f>
        <v>0</v>
      </c>
      <c r="Q303" s="68">
        <f>SUMIFS([0]!Chavez,[0]!Centro,B305,[0]!Turno,Q$230)</f>
        <v>8</v>
      </c>
      <c r="R303" s="68">
        <f>SUMIFS([0]!Chavez,[0]!Centro,B305,[0]!Turno,R$230)</f>
        <v>0</v>
      </c>
      <c r="S303" s="68">
        <f>SUMIFS([0]!Chavez,[0]!Centro,B305,[0]!Turno,S$230)</f>
        <v>0</v>
      </c>
      <c r="T303" s="68">
        <f>SUMIFS([0]!Chavez,[0]!Centro,B305,[0]!Turno,T$230)</f>
        <v>0</v>
      </c>
      <c r="U303" s="68">
        <f>SUMIFS([0]!Chavez,[0]!Centro,B305,[0]!Turno,U$230)</f>
        <v>0</v>
      </c>
      <c r="V303" s="68">
        <f>SUMIFS([0]!Chavez,[0]!Centro,B305,[0]!Turno,V$230)</f>
        <v>0</v>
      </c>
      <c r="W303" s="68">
        <f>SUMIFS([0]!Chavez,[0]!Centro,B305,[0]!Turno,W$230)</f>
        <v>0</v>
      </c>
      <c r="X303" s="68">
        <f>SUMIFS([0]!Chavez,[0]!Centro,B305,[0]!Turno,X$230)</f>
        <v>0</v>
      </c>
      <c r="Y303" s="69">
        <f>SUMIFS([0]!Chavez,[0]!Centro,B305,[0]!Turno,Y$230)</f>
        <v>0</v>
      </c>
    </row>
    <row r="304" spans="2:25" ht="15" customHeight="1" x14ac:dyDescent="0.2">
      <c r="B304" s="250"/>
      <c r="C304" s="92">
        <f>E304/SUM(E303:E305)</f>
        <v>0.50822669104204754</v>
      </c>
      <c r="D304" s="61" t="s">
        <v>1</v>
      </c>
      <c r="E304" s="62">
        <f t="shared" si="1710"/>
        <v>278</v>
      </c>
      <c r="F304" s="62">
        <f>SUMIFS([0]!Capriles,[0]!Centro,B305,[0]!Turno,F$230)</f>
        <v>0</v>
      </c>
      <c r="G304" s="62">
        <f>SUMIFS([0]!Capriles,[0]!Centro,B305,[0]!Turno,G$230)</f>
        <v>45</v>
      </c>
      <c r="H304" s="62">
        <f>SUMIFS([0]!Capriles,[0]!Centro,B305,[0]!Turno,H$230)</f>
        <v>46</v>
      </c>
      <c r="I304" s="62">
        <f>SUMIFS([0]!Capriles,[0]!Centro,B305,[0]!Turno,I$230)</f>
        <v>31</v>
      </c>
      <c r="J304" s="62">
        <f>SUMIFS([0]!Capriles,[0]!Centro,B305,[0]!Turno,J$230)</f>
        <v>7</v>
      </c>
      <c r="K304" s="62">
        <f>SUMIFS([0]!Capriles,[0]!Centro,B305,[0]!Turno,K$230)</f>
        <v>48</v>
      </c>
      <c r="L304" s="62">
        <f>SUMIFS([0]!Capriles,[0]!Centro,B305,[0]!Turno,L$230)</f>
        <v>30</v>
      </c>
      <c r="M304" s="62">
        <f>SUMIFS([0]!Capriles,[0]!Centro,B305,[0]!Turno,M$230)</f>
        <v>43</v>
      </c>
      <c r="N304" s="62">
        <f>SUMIFS([0]!Capriles,[0]!Centro,B305,[0]!Turno,N$230)</f>
        <v>16</v>
      </c>
      <c r="O304" s="62">
        <f>SUMIFS([0]!Capriles,[0]!Centro,B305,[0]!Turno,O$230)</f>
        <v>9</v>
      </c>
      <c r="P304" s="62">
        <f>SUMIFS([0]!Capriles,[0]!Centro,B305,[0]!Turno,P$230)</f>
        <v>0</v>
      </c>
      <c r="Q304" s="62">
        <f>SUMIFS([0]!Capriles,[0]!Centro,B305,[0]!Turno,Q$230)</f>
        <v>3</v>
      </c>
      <c r="R304" s="62">
        <f>SUMIFS([0]!Capriles,[0]!Centro,B305,[0]!Turno,R$230)</f>
        <v>0</v>
      </c>
      <c r="S304" s="62">
        <f>SUMIFS([0]!Capriles,[0]!Centro,B305,[0]!Turno,S$230)</f>
        <v>0</v>
      </c>
      <c r="T304" s="62">
        <f>SUMIFS([0]!Capriles,[0]!Centro,B305,[0]!Turno,T$230)</f>
        <v>0</v>
      </c>
      <c r="U304" s="62">
        <f>SUMIFS([0]!Capriles,[0]!Centro,B305,[0]!Turno,U$230)</f>
        <v>0</v>
      </c>
      <c r="V304" s="62">
        <f>SUMIFS([0]!Capriles,[0]!Centro,B305,[0]!Turno,V$230)</f>
        <v>0</v>
      </c>
      <c r="W304" s="62">
        <f>SUMIFS([0]!Capriles,[0]!Centro,B305,[0]!Turno,W$230)</f>
        <v>0</v>
      </c>
      <c r="X304" s="62">
        <f>SUMIFS([0]!Capriles,[0]!Centro,B305,[0]!Turno,X$230)</f>
        <v>0</v>
      </c>
      <c r="Y304" s="70">
        <f>SUMIFS([0]!Capriles,[0]!Centro,B305,[0]!Turno,Y$230)</f>
        <v>0</v>
      </c>
    </row>
    <row r="305" spans="2:25" ht="15" customHeight="1" thickBot="1" x14ac:dyDescent="0.25">
      <c r="B305" s="261">
        <v>61</v>
      </c>
      <c r="C305" s="100">
        <f>E305/SUM(E303:E305)</f>
        <v>2.5594149908592323E-2</v>
      </c>
      <c r="D305" s="71" t="s">
        <v>2</v>
      </c>
      <c r="E305" s="72">
        <f t="shared" si="1710"/>
        <v>14</v>
      </c>
      <c r="F305" s="72">
        <f>SUMIFS([0]!Otro,[0]!Centro,B305,[0]!Turno,F$230)</f>
        <v>0</v>
      </c>
      <c r="G305" s="72">
        <f>SUMIFS([0]!Otro,[0]!Centro,B305,[0]!Turno,G$230)</f>
        <v>7</v>
      </c>
      <c r="H305" s="72">
        <f>SUMIFS([0]!Otro,[0]!Centro,B305,[0]!Turno,H$230)</f>
        <v>1</v>
      </c>
      <c r="I305" s="72">
        <f>SUMIFS([0]!Otro,[0]!Centro,B305,[0]!Turno,I$230)</f>
        <v>1</v>
      </c>
      <c r="J305" s="72">
        <f>SUMIFS([0]!Otro,[0]!Centro,B305,[0]!Turno,J$230)</f>
        <v>0</v>
      </c>
      <c r="K305" s="72">
        <f>SUMIFS([0]!Otro,[0]!Centro,B305,[0]!Turno,K$230)</f>
        <v>0</v>
      </c>
      <c r="L305" s="72">
        <f>SUMIFS([0]!Otro,[0]!Centro,B305,[0]!Turno,L$230)</f>
        <v>4</v>
      </c>
      <c r="M305" s="72">
        <f>SUMIFS([0]!Otro,[0]!Centro,B305,[0]!Turno,M$230)</f>
        <v>0</v>
      </c>
      <c r="N305" s="72">
        <f>SUMIFS([0]!Otro,[0]!Centro,B305,[0]!Turno,N$230)</f>
        <v>1</v>
      </c>
      <c r="O305" s="72">
        <f>SUMIFS([0]!Otro,[0]!Centro,B305,[0]!Turno,O$230)</f>
        <v>0</v>
      </c>
      <c r="P305" s="72">
        <f>SUMIFS([0]!Otro,[0]!Centro,B305,[0]!Turno,P$230)</f>
        <v>0</v>
      </c>
      <c r="Q305" s="72">
        <f>SUMIFS([0]!Otro,[0]!Centro,B305,[0]!Turno,Q$230)</f>
        <v>0</v>
      </c>
      <c r="R305" s="72">
        <f>SUMIFS([0]!Otro,[0]!Centro,B305,[0]!Turno,R$230)</f>
        <v>0</v>
      </c>
      <c r="S305" s="72">
        <f>SUMIFS([0]!Otro,[0]!Centro,B305,[0]!Turno,S$230)</f>
        <v>0</v>
      </c>
      <c r="T305" s="72">
        <f>SUMIFS([0]!Otro,[0]!Centro,B305,[0]!Turno,T$230)</f>
        <v>0</v>
      </c>
      <c r="U305" s="72">
        <f>SUMIFS([0]!Otro,[0]!Centro,B305,[0]!Turno,U$230)</f>
        <v>0</v>
      </c>
      <c r="V305" s="72">
        <f>SUMIFS([0]!Otro,[0]!Centro,B305,[0]!Turno,V$230)</f>
        <v>0</v>
      </c>
      <c r="W305" s="72">
        <f>SUMIFS([0]!Otro,[0]!Centro,B305,[0]!Turno,W$230)</f>
        <v>0</v>
      </c>
      <c r="X305" s="72">
        <f>SUMIFS([0]!Otro,[0]!Centro,B305,[0]!Turno,X$230)</f>
        <v>0</v>
      </c>
      <c r="Y305" s="73">
        <f>SUMIFS([0]!Otro,[0]!Centro,B305,[0]!Turno,Y$230)</f>
        <v>0</v>
      </c>
    </row>
    <row r="306" spans="2:25" ht="15" customHeight="1" x14ac:dyDescent="0.2">
      <c r="B306" s="261"/>
      <c r="C306" s="94">
        <f>E306/SUM(E306:E308)</f>
        <v>0.46617915904936008</v>
      </c>
      <c r="D306" s="63" t="s">
        <v>0</v>
      </c>
      <c r="E306" s="150">
        <f>IF((E303+E304+E305)=0,0,(E303*$B307)/(E303+E304+E305))</f>
        <v>0.18075504405200785</v>
      </c>
      <c r="F306" s="150">
        <f>IF((F303+F304+F305)=0,0,(F303*$B307)/(F303+F304+F305))</f>
        <v>0</v>
      </c>
      <c r="G306" s="150">
        <f t="shared" ref="G306" si="1751">IF((G303+G304+G305)=0,0,(G303*$B307)/(G303+G304+G305))</f>
        <v>0.17550214204942319</v>
      </c>
      <c r="H306" s="150">
        <f t="shared" ref="H306" si="1752">IF((H303+H304+H305)=0,0,(H303*$B307)/(H303+H304+H305))</f>
        <v>0.12739939547441514</v>
      </c>
      <c r="I306" s="150">
        <f t="shared" ref="I306" si="1753">IF((I303+I304+I305)=0,0,(I303*$B307)/(I303+I304+I305))</f>
        <v>7.7547458114861398E-2</v>
      </c>
      <c r="J306" s="150">
        <f t="shared" ref="J306" si="1754">IF((J303+J304+J305)=0,0,(J303*$B307)/(J303+J304+J305))</f>
        <v>0.26973028909517011</v>
      </c>
      <c r="K306" s="150">
        <f t="shared" ref="K306" si="1755">IF((K303+K304+K305)=0,0,(K303*$B307)/(K303+K304+K305))</f>
        <v>0.17381326818848244</v>
      </c>
      <c r="L306" s="150">
        <f t="shared" ref="L306" si="1756">IF((L303+L304+L305)=0,0,(L303*$B307)/(L303+L304+L305))</f>
        <v>0.19940774943821502</v>
      </c>
      <c r="M306" s="150">
        <f t="shared" ref="M306" si="1757">IF((M303+M304+M305)=0,0,(M303*$B307)/(M303+M304+M305))</f>
        <v>0.16243048659193943</v>
      </c>
      <c r="N306" s="150">
        <f t="shared" ref="N306" si="1758">IF((N303+N304+N305)=0,0,(N303*$B307)/(N303+N304+N305))</f>
        <v>0.2720963442626716</v>
      </c>
      <c r="O306" s="150">
        <f t="shared" ref="O306" si="1759">IF((O303+O304+O305)=0,0,(O303*$B307)/(O303+O304+O305))</f>
        <v>0.21325550981586888</v>
      </c>
      <c r="P306" s="150">
        <f t="shared" ref="P306" si="1760">IF((P303+P304+P305)=0,0,(P303*$B307)/(P303+P304+P305))</f>
        <v>0</v>
      </c>
      <c r="Q306" s="150">
        <f t="shared" ref="Q306" si="1761">IF((Q303+Q304+Q305)=0,0,(Q303*$B307)/(Q303+Q304+Q305))</f>
        <v>0.28199075678131419</v>
      </c>
      <c r="R306" s="150">
        <f t="shared" ref="R306" si="1762">IF((R303+R304+R305)=0,0,(R303*$B307)/(R303+R304+R305))</f>
        <v>0</v>
      </c>
      <c r="S306" s="150">
        <f t="shared" ref="S306" si="1763">IF((S303+S304+S305)=0,0,(S303*$B307)/(S303+S304+S305))</f>
        <v>0</v>
      </c>
      <c r="T306" s="150">
        <f t="shared" ref="T306" si="1764">IF((T303+T304+T305)=0,0,(T303*$B307)/(T303+T304+T305))</f>
        <v>0</v>
      </c>
      <c r="U306" s="150">
        <f t="shared" ref="U306" si="1765">IF((U303+U304+U305)=0,0,(U303*$B307)/(U303+U304+U305))</f>
        <v>0</v>
      </c>
      <c r="V306" s="150">
        <f t="shared" ref="V306" si="1766">IF((V303+V304+V305)=0,0,(V303*$B307)/(V303+V304+V305))</f>
        <v>0</v>
      </c>
      <c r="W306" s="150">
        <f t="shared" ref="W306" si="1767">IF((W303+W304+W305)=0,0,(W303*$B307)/(W303+W304+W305))</f>
        <v>0</v>
      </c>
      <c r="X306" s="150">
        <f t="shared" ref="X306" si="1768">IF((X303+X304+X305)=0,0,(X303*$B307)/(X303+X304+X305))</f>
        <v>0</v>
      </c>
      <c r="Y306" s="163">
        <f t="shared" ref="Y306" si="1769">IF((Y303+Y304+Y305)=0,0,(Y303*$B307)/(Y303+Y304+Y305))</f>
        <v>0</v>
      </c>
    </row>
    <row r="307" spans="2:25" ht="15" customHeight="1" x14ac:dyDescent="0.2">
      <c r="B307" s="254">
        <v>0.387737290574307</v>
      </c>
      <c r="C307" s="92">
        <f>E307/SUM(E306:E308)</f>
        <v>0.50822669104204743</v>
      </c>
      <c r="D307" s="61" t="s">
        <v>1</v>
      </c>
      <c r="E307" s="154">
        <f>IF((E303+E304+E305)=0,0,(E304*$B307)/(E303+E304+E305))</f>
        <v>0.19705844018218893</v>
      </c>
      <c r="F307" s="154">
        <f>IF((F303+F304+F305)=0,0,(F304*$B307)/(F303+F304+F305))</f>
        <v>0</v>
      </c>
      <c r="G307" s="154">
        <f t="shared" ref="G307:O307" si="1770">IF((G303+G304+G305)=0,0,(G304*$B307)/(G303+G304+G305))</f>
        <v>0.18366503237730331</v>
      </c>
      <c r="H307" s="154">
        <f t="shared" si="1770"/>
        <v>0.25479879094883029</v>
      </c>
      <c r="I307" s="154">
        <f t="shared" si="1770"/>
        <v>0.30049640019508794</v>
      </c>
      <c r="J307" s="154">
        <f t="shared" si="1770"/>
        <v>0.11800700147913692</v>
      </c>
      <c r="K307" s="154">
        <f t="shared" si="1770"/>
        <v>0.21392402238582453</v>
      </c>
      <c r="L307" s="154">
        <f t="shared" si="1770"/>
        <v>0.16617312453184585</v>
      </c>
      <c r="M307" s="154">
        <f t="shared" si="1770"/>
        <v>0.2253068039823676</v>
      </c>
      <c r="N307" s="154">
        <f t="shared" si="1770"/>
        <v>0.10883853770506863</v>
      </c>
      <c r="O307" s="154">
        <f t="shared" si="1770"/>
        <v>0.17448178075843815</v>
      </c>
      <c r="P307" s="154">
        <f>IF((P303+P304+P305)=0,0,(P304*$B307)/(P303+P304+P305))</f>
        <v>0</v>
      </c>
      <c r="Q307" s="154">
        <f t="shared" ref="Q307:Y307" si="1771">IF((Q303+Q304+Q305)=0,0,(Q304*$B307)/(Q303+Q304+Q305))</f>
        <v>0.10574653379299281</v>
      </c>
      <c r="R307" s="154">
        <f t="shared" si="1771"/>
        <v>0</v>
      </c>
      <c r="S307" s="154">
        <f t="shared" si="1771"/>
        <v>0</v>
      </c>
      <c r="T307" s="154">
        <f t="shared" si="1771"/>
        <v>0</v>
      </c>
      <c r="U307" s="154">
        <f t="shared" si="1771"/>
        <v>0</v>
      </c>
      <c r="V307" s="154">
        <f t="shared" si="1771"/>
        <v>0</v>
      </c>
      <c r="W307" s="154">
        <f t="shared" si="1771"/>
        <v>0</v>
      </c>
      <c r="X307" s="154">
        <f t="shared" si="1771"/>
        <v>0</v>
      </c>
      <c r="Y307" s="159">
        <f t="shared" si="1771"/>
        <v>0</v>
      </c>
    </row>
    <row r="308" spans="2:25" ht="15" customHeight="1" thickBot="1" x14ac:dyDescent="0.25">
      <c r="B308" s="255"/>
      <c r="C308" s="93">
        <f>E308/SUM(E306:E308)</f>
        <v>2.5594149908592323E-2</v>
      </c>
      <c r="D308" s="75" t="s">
        <v>2</v>
      </c>
      <c r="E308" s="155">
        <f>IF((E303+E304+E305)=0,0,(E305*$B307)/(E303+E304+E305))</f>
        <v>9.9238063401102354E-3</v>
      </c>
      <c r="F308" s="155">
        <f>IF((F303+F304+F305)=0,0,(F305*$B307)/(F303+F304+F305))</f>
        <v>0</v>
      </c>
      <c r="G308" s="155">
        <f t="shared" ref="G308" si="1772">IF((G303+G304+G305)=0,0,(G305*$B307)/(G303+G304+G305))</f>
        <v>2.8570116147580517E-2</v>
      </c>
      <c r="H308" s="155">
        <f t="shared" ref="H308" si="1773">IF((H303+H304+H305)=0,0,(H305*$B307)/(H303+H304+H305))</f>
        <v>5.5391041510615283E-3</v>
      </c>
      <c r="I308" s="155">
        <f t="shared" ref="I308" si="1774">IF((I303+I304+I305)=0,0,(I305*$B307)/(I303+I304+I305))</f>
        <v>9.6934322643576747E-3</v>
      </c>
      <c r="J308" s="155">
        <f t="shared" ref="J308" si="1775">IF((J303+J304+J305)=0,0,(J305*$B307)/(J303+J304+J305))</f>
        <v>0</v>
      </c>
      <c r="K308" s="155">
        <f t="shared" ref="K308" si="1776">IF((K303+K304+K305)=0,0,(K305*$B307)/(K303+K304+K305))</f>
        <v>0</v>
      </c>
      <c r="L308" s="155">
        <f t="shared" ref="L308" si="1777">IF((L303+L304+L305)=0,0,(L305*$B307)/(L303+L304+L305))</f>
        <v>2.2156416604246113E-2</v>
      </c>
      <c r="M308" s="155">
        <f t="shared" ref="M308" si="1778">IF((M303+M304+M305)=0,0,(M305*$B307)/(M303+M304+M305))</f>
        <v>0</v>
      </c>
      <c r="N308" s="155">
        <f t="shared" ref="N308" si="1779">IF((N303+N304+N305)=0,0,(N305*$B307)/(N303+N304+N305))</f>
        <v>6.8024086065667892E-3</v>
      </c>
      <c r="O308" s="155">
        <f t="shared" ref="O308" si="1780">IF((O303+O304+O305)=0,0,(O305*$B307)/(O303+O304+O305))</f>
        <v>0</v>
      </c>
      <c r="P308" s="155">
        <f t="shared" ref="P308" si="1781">IF((P303+P304+P305)=0,0,(P305*$B307)/(P303+P304+P305))</f>
        <v>0</v>
      </c>
      <c r="Q308" s="155">
        <f t="shared" ref="Q308" si="1782">IF((Q303+Q304+Q305)=0,0,(Q305*$B307)/(Q303+Q304+Q305))</f>
        <v>0</v>
      </c>
      <c r="R308" s="155">
        <f t="shared" ref="R308" si="1783">IF((R303+R304+R305)=0,0,(R305*$B307)/(R303+R304+R305))</f>
        <v>0</v>
      </c>
      <c r="S308" s="155">
        <f t="shared" ref="S308" si="1784">IF((S303+S304+S305)=0,0,(S305*$B307)/(S303+S304+S305))</f>
        <v>0</v>
      </c>
      <c r="T308" s="155">
        <f t="shared" ref="T308" si="1785">IF((T303+T304+T305)=0,0,(T305*$B307)/(T303+T304+T305))</f>
        <v>0</v>
      </c>
      <c r="U308" s="155">
        <f t="shared" ref="U308" si="1786">IF((U303+U304+U305)=0,0,(U305*$B307)/(U303+U304+U305))</f>
        <v>0</v>
      </c>
      <c r="V308" s="155">
        <f t="shared" ref="V308" si="1787">IF((V303+V304+V305)=0,0,(V305*$B307)/(V303+V304+V305))</f>
        <v>0</v>
      </c>
      <c r="W308" s="155">
        <f t="shared" ref="W308" si="1788">IF((W303+W304+W305)=0,0,(W305*$B307)/(W303+W304+W305))</f>
        <v>0</v>
      </c>
      <c r="X308" s="155">
        <f t="shared" ref="X308" si="1789">IF((X303+X304+X305)=0,0,(X305*$B307)/(X303+X304+X305))</f>
        <v>0</v>
      </c>
      <c r="Y308" s="160">
        <f t="shared" ref="Y308" si="1790">IF((Y303+Y304+Y305)=0,0,(Y305*$B307)/(Y303+Y304+Y305))</f>
        <v>0</v>
      </c>
    </row>
    <row r="309" spans="2:25" ht="15" customHeight="1" thickBot="1" x14ac:dyDescent="0.25">
      <c r="B309" s="13" t="s">
        <v>3</v>
      </c>
      <c r="C309" s="12" t="s">
        <v>226</v>
      </c>
      <c r="D309" s="21" t="s">
        <v>4</v>
      </c>
      <c r="E309" s="13" t="s">
        <v>225</v>
      </c>
      <c r="F309" s="14">
        <v>1</v>
      </c>
      <c r="G309" s="14">
        <v>2</v>
      </c>
      <c r="H309" s="14">
        <v>3</v>
      </c>
      <c r="I309" s="14">
        <v>4</v>
      </c>
      <c r="J309" s="14">
        <v>5</v>
      </c>
      <c r="K309" s="14">
        <v>6</v>
      </c>
      <c r="L309" s="14">
        <v>7</v>
      </c>
      <c r="M309" s="14">
        <v>8</v>
      </c>
      <c r="N309" s="14">
        <v>9</v>
      </c>
      <c r="O309" s="14">
        <v>10</v>
      </c>
      <c r="P309" s="14">
        <v>11</v>
      </c>
      <c r="Q309" s="14">
        <v>12</v>
      </c>
      <c r="R309" s="14">
        <v>13</v>
      </c>
      <c r="S309" s="14">
        <v>14</v>
      </c>
      <c r="T309" s="14">
        <v>15</v>
      </c>
      <c r="U309" s="14">
        <v>16</v>
      </c>
      <c r="V309" s="14">
        <v>17</v>
      </c>
      <c r="W309" s="14">
        <v>18</v>
      </c>
      <c r="X309" s="14">
        <v>19</v>
      </c>
      <c r="Y309" s="14">
        <v>20</v>
      </c>
    </row>
    <row r="310" spans="2:25" ht="15" customHeight="1" x14ac:dyDescent="0.2">
      <c r="B310" s="262" t="s">
        <v>77</v>
      </c>
      <c r="C310" s="95">
        <f>E310/SUM(E310:E312)</f>
        <v>0.48337028824833705</v>
      </c>
      <c r="D310" s="81" t="s">
        <v>0</v>
      </c>
      <c r="E310" s="82">
        <f>SUM(F310:Y310)</f>
        <v>218</v>
      </c>
      <c r="F310" s="82">
        <f t="shared" ref="F310:Y310" si="1791">SUM(F316,F322)</f>
        <v>4</v>
      </c>
      <c r="G310" s="82">
        <f t="shared" si="1791"/>
        <v>21</v>
      </c>
      <c r="H310" s="82">
        <f t="shared" si="1791"/>
        <v>23</v>
      </c>
      <c r="I310" s="82">
        <f t="shared" si="1791"/>
        <v>12</v>
      </c>
      <c r="J310" s="82">
        <f t="shared" si="1791"/>
        <v>9</v>
      </c>
      <c r="K310" s="82">
        <f t="shared" si="1791"/>
        <v>35</v>
      </c>
      <c r="L310" s="82">
        <f t="shared" si="1791"/>
        <v>27</v>
      </c>
      <c r="M310" s="82">
        <f t="shared" si="1791"/>
        <v>46</v>
      </c>
      <c r="N310" s="82">
        <f t="shared" si="1791"/>
        <v>41</v>
      </c>
      <c r="O310" s="82">
        <f t="shared" si="1791"/>
        <v>0</v>
      </c>
      <c r="P310" s="82">
        <f t="shared" si="1791"/>
        <v>0</v>
      </c>
      <c r="Q310" s="82">
        <f t="shared" si="1791"/>
        <v>0</v>
      </c>
      <c r="R310" s="82">
        <f t="shared" si="1791"/>
        <v>0</v>
      </c>
      <c r="S310" s="82">
        <f t="shared" si="1791"/>
        <v>0</v>
      </c>
      <c r="T310" s="82">
        <f t="shared" si="1791"/>
        <v>0</v>
      </c>
      <c r="U310" s="82">
        <f t="shared" si="1791"/>
        <v>0</v>
      </c>
      <c r="V310" s="82">
        <f t="shared" si="1791"/>
        <v>0</v>
      </c>
      <c r="W310" s="82">
        <f t="shared" si="1791"/>
        <v>0</v>
      </c>
      <c r="X310" s="82">
        <f t="shared" si="1791"/>
        <v>0</v>
      </c>
      <c r="Y310" s="83">
        <f t="shared" si="1791"/>
        <v>0</v>
      </c>
    </row>
    <row r="311" spans="2:25" ht="15" customHeight="1" x14ac:dyDescent="0.2">
      <c r="B311" s="263" t="s">
        <v>65</v>
      </c>
      <c r="C311" s="96">
        <f>E311/SUM(E310:E312)</f>
        <v>0.50997782705099781</v>
      </c>
      <c r="D311" s="79" t="s">
        <v>1</v>
      </c>
      <c r="E311" s="80">
        <f t="shared" ref="E311:E324" si="1792">SUM(F311:Y311)</f>
        <v>230</v>
      </c>
      <c r="F311" s="80">
        <f t="shared" ref="F311:Y311" si="1793">SUM(F317,F323)</f>
        <v>15</v>
      </c>
      <c r="G311" s="80">
        <f t="shared" si="1793"/>
        <v>19</v>
      </c>
      <c r="H311" s="80">
        <f t="shared" si="1793"/>
        <v>25</v>
      </c>
      <c r="I311" s="80">
        <f t="shared" si="1793"/>
        <v>23</v>
      </c>
      <c r="J311" s="80">
        <f t="shared" si="1793"/>
        <v>14</v>
      </c>
      <c r="K311" s="80">
        <f t="shared" si="1793"/>
        <v>21</v>
      </c>
      <c r="L311" s="80">
        <f t="shared" si="1793"/>
        <v>41</v>
      </c>
      <c r="M311" s="80">
        <f t="shared" si="1793"/>
        <v>36</v>
      </c>
      <c r="N311" s="80">
        <f t="shared" si="1793"/>
        <v>36</v>
      </c>
      <c r="O311" s="80">
        <f t="shared" si="1793"/>
        <v>0</v>
      </c>
      <c r="P311" s="80">
        <f t="shared" si="1793"/>
        <v>0</v>
      </c>
      <c r="Q311" s="80">
        <f t="shared" si="1793"/>
        <v>0</v>
      </c>
      <c r="R311" s="80">
        <f t="shared" si="1793"/>
        <v>0</v>
      </c>
      <c r="S311" s="80">
        <f t="shared" si="1793"/>
        <v>0</v>
      </c>
      <c r="T311" s="80">
        <f t="shared" si="1793"/>
        <v>0</v>
      </c>
      <c r="U311" s="80">
        <f t="shared" si="1793"/>
        <v>0</v>
      </c>
      <c r="V311" s="80">
        <f t="shared" si="1793"/>
        <v>0</v>
      </c>
      <c r="W311" s="80">
        <f t="shared" si="1793"/>
        <v>0</v>
      </c>
      <c r="X311" s="80">
        <f t="shared" si="1793"/>
        <v>0</v>
      </c>
      <c r="Y311" s="84">
        <f t="shared" si="1793"/>
        <v>0</v>
      </c>
    </row>
    <row r="312" spans="2:25" ht="15" customHeight="1" thickBot="1" x14ac:dyDescent="0.25">
      <c r="B312" s="263"/>
      <c r="C312" s="97">
        <f>E312/SUM(E310:E312)</f>
        <v>6.6518847006651885E-3</v>
      </c>
      <c r="D312" s="86" t="s">
        <v>2</v>
      </c>
      <c r="E312" s="87">
        <f t="shared" si="1792"/>
        <v>3</v>
      </c>
      <c r="F312" s="87">
        <f t="shared" ref="F312:Y312" si="1794">SUM(F318,F324)</f>
        <v>0</v>
      </c>
      <c r="G312" s="87">
        <f t="shared" si="1794"/>
        <v>1</v>
      </c>
      <c r="H312" s="87">
        <f t="shared" si="1794"/>
        <v>0</v>
      </c>
      <c r="I312" s="87">
        <f t="shared" si="1794"/>
        <v>0</v>
      </c>
      <c r="J312" s="87">
        <f t="shared" si="1794"/>
        <v>0</v>
      </c>
      <c r="K312" s="87">
        <f t="shared" si="1794"/>
        <v>0</v>
      </c>
      <c r="L312" s="87">
        <f t="shared" si="1794"/>
        <v>0</v>
      </c>
      <c r="M312" s="87">
        <f t="shared" si="1794"/>
        <v>0</v>
      </c>
      <c r="N312" s="87">
        <f t="shared" si="1794"/>
        <v>2</v>
      </c>
      <c r="O312" s="87">
        <f t="shared" si="1794"/>
        <v>0</v>
      </c>
      <c r="P312" s="87">
        <f t="shared" si="1794"/>
        <v>0</v>
      </c>
      <c r="Q312" s="87">
        <f t="shared" si="1794"/>
        <v>0</v>
      </c>
      <c r="R312" s="87">
        <f t="shared" si="1794"/>
        <v>0</v>
      </c>
      <c r="S312" s="87">
        <f t="shared" si="1794"/>
        <v>0</v>
      </c>
      <c r="T312" s="87">
        <f t="shared" si="1794"/>
        <v>0</v>
      </c>
      <c r="U312" s="87">
        <f t="shared" si="1794"/>
        <v>0</v>
      </c>
      <c r="V312" s="87">
        <f t="shared" si="1794"/>
        <v>0</v>
      </c>
      <c r="W312" s="87">
        <f t="shared" si="1794"/>
        <v>0</v>
      </c>
      <c r="X312" s="87">
        <f t="shared" si="1794"/>
        <v>0</v>
      </c>
      <c r="Y312" s="88">
        <f t="shared" si="1794"/>
        <v>0</v>
      </c>
    </row>
    <row r="313" spans="2:25" ht="15" customHeight="1" x14ac:dyDescent="0.2">
      <c r="B313" s="263"/>
      <c r="C313" s="98">
        <f>E313/SUM(E313:E315)</f>
        <v>0.4820716967859664</v>
      </c>
      <c r="D313" s="85" t="s">
        <v>0</v>
      </c>
      <c r="E313" s="151">
        <f t="shared" ref="E313" si="1795">SUM(E319,E325)</f>
        <v>0.48207169678596651</v>
      </c>
      <c r="F313" s="151">
        <f t="shared" ref="F313:Y313" si="1796">SUM(F319,F325)</f>
        <v>0.11113275105245032</v>
      </c>
      <c r="G313" s="151">
        <f t="shared" si="1796"/>
        <v>0.51906524014270961</v>
      </c>
      <c r="H313" s="151">
        <f t="shared" si="1796"/>
        <v>0.49651492906260764</v>
      </c>
      <c r="I313" s="151">
        <f t="shared" si="1796"/>
        <v>0.3401756439492879</v>
      </c>
      <c r="J313" s="151">
        <f t="shared" si="1796"/>
        <v>0.20656196119531528</v>
      </c>
      <c r="K313" s="151">
        <f t="shared" si="1796"/>
        <v>0.61836020015281123</v>
      </c>
      <c r="L313" s="151">
        <f t="shared" si="1796"/>
        <v>0.43834689971838281</v>
      </c>
      <c r="M313" s="151">
        <f t="shared" si="1796"/>
        <v>0.56128730213177791</v>
      </c>
      <c r="N313" s="151">
        <f t="shared" si="1796"/>
        <v>0.50942733800679219</v>
      </c>
      <c r="O313" s="151">
        <f t="shared" si="1796"/>
        <v>0</v>
      </c>
      <c r="P313" s="151">
        <f t="shared" si="1796"/>
        <v>0</v>
      </c>
      <c r="Q313" s="151">
        <f>SUM(Q319,Q325)</f>
        <v>0</v>
      </c>
      <c r="R313" s="151">
        <f t="shared" si="1796"/>
        <v>0</v>
      </c>
      <c r="S313" s="151">
        <f>SUM(S319,S325)</f>
        <v>0</v>
      </c>
      <c r="T313" s="151">
        <f t="shared" si="1796"/>
        <v>0</v>
      </c>
      <c r="U313" s="151">
        <f t="shared" si="1796"/>
        <v>0</v>
      </c>
      <c r="V313" s="151">
        <f t="shared" si="1796"/>
        <v>0</v>
      </c>
      <c r="W313" s="151">
        <f t="shared" si="1796"/>
        <v>0</v>
      </c>
      <c r="X313" s="151">
        <f t="shared" si="1796"/>
        <v>0</v>
      </c>
      <c r="Y313" s="156">
        <f t="shared" si="1796"/>
        <v>0</v>
      </c>
    </row>
    <row r="314" spans="2:25" ht="15" customHeight="1" x14ac:dyDescent="0.2">
      <c r="B314" s="263" t="s">
        <v>65</v>
      </c>
      <c r="C314" s="96">
        <f>E314/SUM(E313:E315)</f>
        <v>0.51104290450752299</v>
      </c>
      <c r="D314" s="79" t="s">
        <v>1</v>
      </c>
      <c r="E314" s="152">
        <f t="shared" ref="E314" si="1797">SUM(E320,E326)</f>
        <v>0.5110429045075231</v>
      </c>
      <c r="F314" s="152">
        <f t="shared" ref="F314:Y314" si="1798">SUM(F320,F326)</f>
        <v>0.41674781644668873</v>
      </c>
      <c r="G314" s="152">
        <f t="shared" si="1798"/>
        <v>0.45454073148233354</v>
      </c>
      <c r="H314" s="152">
        <f t="shared" si="1798"/>
        <v>0.50348507093739236</v>
      </c>
      <c r="I314" s="152">
        <f t="shared" si="1798"/>
        <v>0.65982435605071221</v>
      </c>
      <c r="J314" s="152">
        <f t="shared" si="1798"/>
        <v>0.32131860630382375</v>
      </c>
      <c r="K314" s="152">
        <f t="shared" si="1798"/>
        <v>0.38163979984718877</v>
      </c>
      <c r="L314" s="152">
        <f t="shared" si="1798"/>
        <v>0.56165310028161719</v>
      </c>
      <c r="M314" s="152">
        <f t="shared" si="1798"/>
        <v>0.4387126978682222</v>
      </c>
      <c r="N314" s="152">
        <f t="shared" si="1798"/>
        <v>0.46417863361825085</v>
      </c>
      <c r="O314" s="152">
        <f t="shared" si="1798"/>
        <v>0</v>
      </c>
      <c r="P314" s="152">
        <f t="shared" si="1798"/>
        <v>0</v>
      </c>
      <c r="Q314" s="152">
        <f>SUM(Q320,Q326)</f>
        <v>0</v>
      </c>
      <c r="R314" s="152">
        <f t="shared" si="1798"/>
        <v>0</v>
      </c>
      <c r="S314" s="152">
        <f>SUM(S320,S326)</f>
        <v>0</v>
      </c>
      <c r="T314" s="152">
        <f t="shared" si="1798"/>
        <v>0</v>
      </c>
      <c r="U314" s="152">
        <f t="shared" si="1798"/>
        <v>0</v>
      </c>
      <c r="V314" s="152">
        <f t="shared" si="1798"/>
        <v>0</v>
      </c>
      <c r="W314" s="152">
        <f t="shared" si="1798"/>
        <v>0</v>
      </c>
      <c r="X314" s="152">
        <f t="shared" si="1798"/>
        <v>0</v>
      </c>
      <c r="Y314" s="157">
        <f t="shared" si="1798"/>
        <v>0</v>
      </c>
    </row>
    <row r="315" spans="2:25" ht="15" customHeight="1" thickBot="1" x14ac:dyDescent="0.25">
      <c r="B315" s="264"/>
      <c r="C315" s="99">
        <f>E315/SUM(E313:E315)</f>
        <v>6.8853987065105081E-3</v>
      </c>
      <c r="D315" s="89" t="s">
        <v>2</v>
      </c>
      <c r="E315" s="153">
        <f t="shared" ref="E315" si="1799">SUM(E321,E327)</f>
        <v>6.8853987065105099E-3</v>
      </c>
      <c r="F315" s="153">
        <f t="shared" ref="F315:Y315" si="1800">SUM(F321,F327)</f>
        <v>0</v>
      </c>
      <c r="G315" s="153">
        <f t="shared" si="1800"/>
        <v>2.6394028374956951E-2</v>
      </c>
      <c r="H315" s="153">
        <f t="shared" si="1800"/>
        <v>0</v>
      </c>
      <c r="I315" s="153">
        <f t="shared" si="1800"/>
        <v>0</v>
      </c>
      <c r="J315" s="153">
        <f t="shared" si="1800"/>
        <v>0</v>
      </c>
      <c r="K315" s="153">
        <f t="shared" si="1800"/>
        <v>0</v>
      </c>
      <c r="L315" s="153">
        <f t="shared" si="1800"/>
        <v>0</v>
      </c>
      <c r="M315" s="153">
        <f t="shared" si="1800"/>
        <v>0</v>
      </c>
      <c r="N315" s="153">
        <f t="shared" si="1800"/>
        <v>2.6394028374956951E-2</v>
      </c>
      <c r="O315" s="153">
        <f t="shared" si="1800"/>
        <v>0</v>
      </c>
      <c r="P315" s="153">
        <f t="shared" si="1800"/>
        <v>0</v>
      </c>
      <c r="Q315" s="153">
        <f>SUM(Q321,Q327)</f>
        <v>0</v>
      </c>
      <c r="R315" s="153">
        <f t="shared" si="1800"/>
        <v>0</v>
      </c>
      <c r="S315" s="153">
        <f>SUM(S321,S327)</f>
        <v>0</v>
      </c>
      <c r="T315" s="153">
        <f t="shared" si="1800"/>
        <v>0</v>
      </c>
      <c r="U315" s="153">
        <f t="shared" si="1800"/>
        <v>0</v>
      </c>
      <c r="V315" s="153">
        <f t="shared" si="1800"/>
        <v>0</v>
      </c>
      <c r="W315" s="153">
        <f t="shared" si="1800"/>
        <v>0</v>
      </c>
      <c r="X315" s="153">
        <f t="shared" si="1800"/>
        <v>0</v>
      </c>
      <c r="Y315" s="158">
        <f t="shared" si="1800"/>
        <v>0</v>
      </c>
    </row>
    <row r="316" spans="2:25" ht="15" customHeight="1" x14ac:dyDescent="0.2">
      <c r="B316" s="249" t="s">
        <v>59</v>
      </c>
      <c r="C316" s="91">
        <f>E316/SUM(E316:E318)</f>
        <v>0.44782608695652176</v>
      </c>
      <c r="D316" s="67" t="s">
        <v>0</v>
      </c>
      <c r="E316" s="68">
        <f t="shared" si="1792"/>
        <v>103</v>
      </c>
      <c r="F316" s="68">
        <f>SUMIFS([0]!Chavez,[0]!Centro,B318,[0]!Turno,F$309)</f>
        <v>4</v>
      </c>
      <c r="G316" s="68">
        <f>SUMIFS([0]!Chavez,[0]!Centro,B318,[0]!Turno,G$309)</f>
        <v>12</v>
      </c>
      <c r="H316" s="68">
        <f>SUMIFS([0]!Chavez,[0]!Centro,B318,[0]!Turno,H$309)</f>
        <v>14</v>
      </c>
      <c r="I316" s="68">
        <f>SUMIFS([0]!Chavez,[0]!Centro,B318,[0]!Turno,I$309)</f>
        <v>4</v>
      </c>
      <c r="J316" s="68">
        <f>SUMIFS([0]!Chavez,[0]!Centro,B318,[0]!Turno,J$309)</f>
        <v>9</v>
      </c>
      <c r="K316" s="68">
        <f>SUMIFS([0]!Chavez,[0]!Centro,B318,[0]!Turno,K$309)</f>
        <v>12</v>
      </c>
      <c r="L316" s="68">
        <f>SUMIFS([0]!Chavez,[0]!Centro,B318,[0]!Turno,L$309)</f>
        <v>14</v>
      </c>
      <c r="M316" s="68">
        <f>SUMIFS([0]!Chavez,[0]!Centro,B318,[0]!Turno,M$309)</f>
        <v>22</v>
      </c>
      <c r="N316" s="68">
        <f>SUMIFS([0]!Chavez,[0]!Centro,B318,[0]!Turno,N$309)</f>
        <v>12</v>
      </c>
      <c r="O316" s="68">
        <f>SUMIFS([0]!Chavez,[0]!Centro,B318,[0]!Turno,O$309)</f>
        <v>0</v>
      </c>
      <c r="P316" s="68">
        <f>SUMIFS([0]!Chavez,[0]!Centro,B318,[0]!Turno,P$309)</f>
        <v>0</v>
      </c>
      <c r="Q316" s="68">
        <f>SUMIFS([0]!Chavez,[0]!Centro,B318,[0]!Turno,Q$309)</f>
        <v>0</v>
      </c>
      <c r="R316" s="68">
        <f>SUMIFS([0]!Chavez,[0]!Centro,B318,[0]!Turno,R$309)</f>
        <v>0</v>
      </c>
      <c r="S316" s="68">
        <f>SUMIFS([0]!Chavez,[0]!Centro,B318,[0]!Turno,S$309)</f>
        <v>0</v>
      </c>
      <c r="T316" s="68">
        <f>SUMIFS([0]!Chavez,[0]!Centro,B318,[0]!Turno,T$309)</f>
        <v>0</v>
      </c>
      <c r="U316" s="68">
        <f>SUMIFS([0]!Chavez,[0]!Centro,B318,[0]!Turno,U$309)</f>
        <v>0</v>
      </c>
      <c r="V316" s="68">
        <f>SUMIFS([0]!Chavez,[0]!Centro,B318,[0]!Turno,V$309)</f>
        <v>0</v>
      </c>
      <c r="W316" s="68">
        <f>SUMIFS([0]!Chavez,[0]!Centro,B318,[0]!Turno,W$309)</f>
        <v>0</v>
      </c>
      <c r="X316" s="68">
        <f>SUMIFS([0]!Chavez,[0]!Centro,B318,[0]!Turno,X$309)</f>
        <v>0</v>
      </c>
      <c r="Y316" s="69">
        <f>SUMIFS([0]!Chavez,[0]!Centro,B318,[0]!Turno,Y$309)</f>
        <v>0</v>
      </c>
    </row>
    <row r="317" spans="2:25" ht="15" customHeight="1" x14ac:dyDescent="0.2">
      <c r="B317" s="250"/>
      <c r="C317" s="92">
        <f>E317/SUM(E316:E318)</f>
        <v>0.53913043478260869</v>
      </c>
      <c r="D317" s="61" t="s">
        <v>1</v>
      </c>
      <c r="E317" s="62">
        <f t="shared" si="1792"/>
        <v>124</v>
      </c>
      <c r="F317" s="62">
        <f>SUMIFS([0]!Capriles,[0]!Centro,B318,[0]!Turno,F$309)</f>
        <v>15</v>
      </c>
      <c r="G317" s="62">
        <f>SUMIFS([0]!Capriles,[0]!Centro,B318,[0]!Turno,G$309)</f>
        <v>7</v>
      </c>
      <c r="H317" s="62">
        <f>SUMIFS([0]!Capriles,[0]!Centro,B318,[0]!Turno,H$309)</f>
        <v>18</v>
      </c>
      <c r="I317" s="62">
        <f>SUMIFS([0]!Capriles,[0]!Centro,B318,[0]!Turno,I$309)</f>
        <v>8</v>
      </c>
      <c r="J317" s="62">
        <f>SUMIFS([0]!Capriles,[0]!Centro,B318,[0]!Turno,J$309)</f>
        <v>14</v>
      </c>
      <c r="K317" s="62">
        <f>SUMIFS([0]!Capriles,[0]!Centro,B318,[0]!Turno,K$309)</f>
        <v>8</v>
      </c>
      <c r="L317" s="62">
        <f>SUMIFS([0]!Capriles,[0]!Centro,B318,[0]!Turno,L$309)</f>
        <v>11</v>
      </c>
      <c r="M317" s="62">
        <f>SUMIFS([0]!Capriles,[0]!Centro,B318,[0]!Turno,M$309)</f>
        <v>17</v>
      </c>
      <c r="N317" s="62">
        <f>SUMIFS([0]!Capriles,[0]!Centro,B318,[0]!Turno,N$309)</f>
        <v>26</v>
      </c>
      <c r="O317" s="62">
        <f>SUMIFS([0]!Capriles,[0]!Centro,B318,[0]!Turno,O$309)</f>
        <v>0</v>
      </c>
      <c r="P317" s="62">
        <f>SUMIFS([0]!Capriles,[0]!Centro,B318,[0]!Turno,P$309)</f>
        <v>0</v>
      </c>
      <c r="Q317" s="62">
        <f>SUMIFS([0]!Capriles,[0]!Centro,B318,[0]!Turno,Q$309)</f>
        <v>0</v>
      </c>
      <c r="R317" s="62">
        <f>SUMIFS([0]!Capriles,[0]!Centro,B318,[0]!Turno,R$309)</f>
        <v>0</v>
      </c>
      <c r="S317" s="62">
        <f>SUMIFS([0]!Capriles,[0]!Centro,B318,[0]!Turno,S$309)</f>
        <v>0</v>
      </c>
      <c r="T317" s="62">
        <f>SUMIFS([0]!Capriles,[0]!Centro,B318,[0]!Turno,T$309)</f>
        <v>0</v>
      </c>
      <c r="U317" s="62">
        <f>SUMIFS([0]!Capriles,[0]!Centro,B318,[0]!Turno,U$309)</f>
        <v>0</v>
      </c>
      <c r="V317" s="62">
        <f>SUMIFS([0]!Capriles,[0]!Centro,B318,[0]!Turno,V$309)</f>
        <v>0</v>
      </c>
      <c r="W317" s="62">
        <f>SUMIFS([0]!Capriles,[0]!Centro,B318,[0]!Turno,W$309)</f>
        <v>0</v>
      </c>
      <c r="X317" s="62">
        <f>SUMIFS([0]!Capriles,[0]!Centro,B318,[0]!Turno,X$309)</f>
        <v>0</v>
      </c>
      <c r="Y317" s="70">
        <f>SUMIFS([0]!Capriles,[0]!Centro,B318,[0]!Turno,Y$309)</f>
        <v>0</v>
      </c>
    </row>
    <row r="318" spans="2:25" ht="15" customHeight="1" thickBot="1" x14ac:dyDescent="0.25">
      <c r="B318" s="261">
        <v>62</v>
      </c>
      <c r="C318" s="100">
        <f>E318/SUM(E316:E318)</f>
        <v>1.3043478260869565E-2</v>
      </c>
      <c r="D318" s="71" t="s">
        <v>2</v>
      </c>
      <c r="E318" s="72">
        <f t="shared" si="1792"/>
        <v>3</v>
      </c>
      <c r="F318" s="72">
        <f>SUMIFS([0]!Otro,[0]!Centro,B318,[0]!Turno,F$309)</f>
        <v>0</v>
      </c>
      <c r="G318" s="72">
        <f>SUMIFS([0]!Otro,[0]!Centro,B318,[0]!Turno,G$309)</f>
        <v>1</v>
      </c>
      <c r="H318" s="72">
        <f>SUMIFS([0]!Otro,[0]!Centro,B318,[0]!Turno,H$309)</f>
        <v>0</v>
      </c>
      <c r="I318" s="72">
        <f>SUMIFS([0]!Otro,[0]!Centro,B318,[0]!Turno,I$309)</f>
        <v>0</v>
      </c>
      <c r="J318" s="72">
        <f>SUMIFS([0]!Otro,[0]!Centro,B318,[0]!Turno,J$309)</f>
        <v>0</v>
      </c>
      <c r="K318" s="72">
        <f>SUMIFS([0]!Otro,[0]!Centro,B318,[0]!Turno,K$309)</f>
        <v>0</v>
      </c>
      <c r="L318" s="72">
        <f>SUMIFS([0]!Otro,[0]!Centro,B318,[0]!Turno,L$309)</f>
        <v>0</v>
      </c>
      <c r="M318" s="72">
        <f>SUMIFS([0]!Otro,[0]!Centro,B318,[0]!Turno,M$309)</f>
        <v>0</v>
      </c>
      <c r="N318" s="72">
        <f>SUMIFS([0]!Otro,[0]!Centro,B318,[0]!Turno,N$309)</f>
        <v>2</v>
      </c>
      <c r="O318" s="72">
        <f>SUMIFS([0]!Otro,[0]!Centro,B318,[0]!Turno,O$309)</f>
        <v>0</v>
      </c>
      <c r="P318" s="72">
        <f>SUMIFS([0]!Otro,[0]!Centro,B318,[0]!Turno,P$309)</f>
        <v>0</v>
      </c>
      <c r="Q318" s="72">
        <f>SUMIFS([0]!Otro,[0]!Centro,B318,[0]!Turno,Q$309)</f>
        <v>0</v>
      </c>
      <c r="R318" s="72">
        <f>SUMIFS([0]!Otro,[0]!Centro,B318,[0]!Turno,R$309)</f>
        <v>0</v>
      </c>
      <c r="S318" s="72">
        <f>SUMIFS([0]!Otro,[0]!Centro,B318,[0]!Turno,S$309)</f>
        <v>0</v>
      </c>
      <c r="T318" s="72">
        <f>SUMIFS([0]!Otro,[0]!Centro,B318,[0]!Turno,T$309)</f>
        <v>0</v>
      </c>
      <c r="U318" s="72">
        <f>SUMIFS([0]!Otro,[0]!Centro,B318,[0]!Turno,U$309)</f>
        <v>0</v>
      </c>
      <c r="V318" s="72">
        <f>SUMIFS([0]!Otro,[0]!Centro,B318,[0]!Turno,V$309)</f>
        <v>0</v>
      </c>
      <c r="W318" s="72">
        <f>SUMIFS([0]!Otro,[0]!Centro,B318,[0]!Turno,W$309)</f>
        <v>0</v>
      </c>
      <c r="X318" s="72">
        <f>SUMIFS([0]!Otro,[0]!Centro,B318,[0]!Turno,X$309)</f>
        <v>0</v>
      </c>
      <c r="Y318" s="73">
        <f>SUMIFS([0]!Otro,[0]!Centro,B318,[0]!Turno,Y$309)</f>
        <v>0</v>
      </c>
    </row>
    <row r="319" spans="2:25" ht="15" customHeight="1" x14ac:dyDescent="0.2">
      <c r="B319" s="261"/>
      <c r="C319" s="94">
        <f>E319/SUM(E319:E321)</f>
        <v>0.44782608695652176</v>
      </c>
      <c r="D319" s="63" t="s">
        <v>0</v>
      </c>
      <c r="E319" s="150">
        <f>IF((E316+E317+E318)=0,0,(E316*$B320)/(E316+E317+E318))</f>
        <v>0.2363986889235275</v>
      </c>
      <c r="F319" s="150">
        <f>IF((F316+F317+F318)=0,0,(F316*$B320)/(F316+F317+F318))</f>
        <v>0.11113275105245032</v>
      </c>
      <c r="G319" s="150">
        <f t="shared" ref="G319:Y319" si="1801">IF((G316+G317+G318)=0,0,(G316*$B320)/(G316+G317+G318))</f>
        <v>0.31672834049948345</v>
      </c>
      <c r="H319" s="150">
        <f t="shared" si="1801"/>
        <v>0.23094774828087333</v>
      </c>
      <c r="I319" s="150">
        <f t="shared" si="1801"/>
        <v>0.17596018916637968</v>
      </c>
      <c r="J319" s="150">
        <f t="shared" si="1801"/>
        <v>0.20656196119531528</v>
      </c>
      <c r="K319" s="150">
        <f t="shared" si="1801"/>
        <v>0.31672834049948345</v>
      </c>
      <c r="L319" s="150">
        <f t="shared" si="1801"/>
        <v>0.29561311779951788</v>
      </c>
      <c r="M319" s="150">
        <f t="shared" si="1801"/>
        <v>0.29777878166618099</v>
      </c>
      <c r="N319" s="150">
        <f t="shared" si="1801"/>
        <v>0.15836417024974173</v>
      </c>
      <c r="O319" s="150">
        <f t="shared" si="1801"/>
        <v>0</v>
      </c>
      <c r="P319" s="150">
        <f t="shared" si="1801"/>
        <v>0</v>
      </c>
      <c r="Q319" s="150">
        <f t="shared" si="1801"/>
        <v>0</v>
      </c>
      <c r="R319" s="150">
        <f t="shared" si="1801"/>
        <v>0</v>
      </c>
      <c r="S319" s="150">
        <f t="shared" si="1801"/>
        <v>0</v>
      </c>
      <c r="T319" s="150">
        <f t="shared" si="1801"/>
        <v>0</v>
      </c>
      <c r="U319" s="150">
        <f t="shared" si="1801"/>
        <v>0</v>
      </c>
      <c r="V319" s="150">
        <f t="shared" si="1801"/>
        <v>0</v>
      </c>
      <c r="W319" s="150">
        <f t="shared" si="1801"/>
        <v>0</v>
      </c>
      <c r="X319" s="150">
        <f t="shared" si="1801"/>
        <v>0</v>
      </c>
      <c r="Y319" s="163">
        <f t="shared" si="1801"/>
        <v>0</v>
      </c>
    </row>
    <row r="320" spans="2:25" ht="15" customHeight="1" x14ac:dyDescent="0.2">
      <c r="B320" s="254">
        <v>0.52788056749913903</v>
      </c>
      <c r="C320" s="92">
        <f>E320/SUM(E319:E321)</f>
        <v>0.53913043478260869</v>
      </c>
      <c r="D320" s="61" t="s">
        <v>1</v>
      </c>
      <c r="E320" s="154">
        <f>IF((E316+E317+E318)=0,0,(E317*$B320)/(E316+E317+E318))</f>
        <v>0.28459647986910103</v>
      </c>
      <c r="F320" s="154">
        <f>IF((F316+F317+F318)=0,0,(F317*$B320)/(F316+F317+F318))</f>
        <v>0.41674781644668873</v>
      </c>
      <c r="G320" s="154">
        <f t="shared" ref="G320:O320" si="1802">IF((G316+G317+G318)=0,0,(G317*$B320)/(G316+G317+G318))</f>
        <v>0.18475819862469867</v>
      </c>
      <c r="H320" s="154">
        <f t="shared" si="1802"/>
        <v>0.2969328192182657</v>
      </c>
      <c r="I320" s="154">
        <f t="shared" si="1802"/>
        <v>0.35192037833275935</v>
      </c>
      <c r="J320" s="154">
        <f t="shared" si="1802"/>
        <v>0.32131860630382375</v>
      </c>
      <c r="K320" s="154">
        <f t="shared" si="1802"/>
        <v>0.21115222699965561</v>
      </c>
      <c r="L320" s="154">
        <f t="shared" si="1802"/>
        <v>0.23226744969962115</v>
      </c>
      <c r="M320" s="154">
        <f t="shared" si="1802"/>
        <v>0.23010178583295804</v>
      </c>
      <c r="N320" s="154">
        <f t="shared" si="1802"/>
        <v>0.34312236887444036</v>
      </c>
      <c r="O320" s="154">
        <f t="shared" si="1802"/>
        <v>0</v>
      </c>
      <c r="P320" s="154">
        <f>IF((P316+P317+P318)=0,0,(P317*$B320)/(P316+P317+P318))</f>
        <v>0</v>
      </c>
      <c r="Q320" s="154">
        <f t="shared" ref="Q320:Y320" si="1803">IF((Q316+Q317+Q318)=0,0,(Q317*$B320)/(Q316+Q317+Q318))</f>
        <v>0</v>
      </c>
      <c r="R320" s="154">
        <f t="shared" si="1803"/>
        <v>0</v>
      </c>
      <c r="S320" s="154">
        <f t="shared" si="1803"/>
        <v>0</v>
      </c>
      <c r="T320" s="154">
        <f t="shared" si="1803"/>
        <v>0</v>
      </c>
      <c r="U320" s="154">
        <f t="shared" si="1803"/>
        <v>0</v>
      </c>
      <c r="V320" s="154">
        <f t="shared" si="1803"/>
        <v>0</v>
      </c>
      <c r="W320" s="154">
        <f t="shared" si="1803"/>
        <v>0</v>
      </c>
      <c r="X320" s="154">
        <f t="shared" si="1803"/>
        <v>0</v>
      </c>
      <c r="Y320" s="159">
        <f t="shared" si="1803"/>
        <v>0</v>
      </c>
    </row>
    <row r="321" spans="2:25" ht="15" customHeight="1" thickBot="1" x14ac:dyDescent="0.25">
      <c r="B321" s="255"/>
      <c r="C321" s="93">
        <f>E321/SUM(E319:E321)</f>
        <v>1.3043478260869566E-2</v>
      </c>
      <c r="D321" s="75" t="s">
        <v>2</v>
      </c>
      <c r="E321" s="155">
        <f>IF((E316+E317+E318)=0,0,(E318*$B320)/(E316+E317+E318))</f>
        <v>6.8853987065105099E-3</v>
      </c>
      <c r="F321" s="155">
        <f>IF((F316+F317+F318)=0,0,(F318*$B320)/(F316+F317+F318))</f>
        <v>0</v>
      </c>
      <c r="G321" s="155">
        <f t="shared" ref="G321:Y321" si="1804">IF((G316+G317+G318)=0,0,(G318*$B320)/(G316+G317+G318))</f>
        <v>2.6394028374956951E-2</v>
      </c>
      <c r="H321" s="155">
        <f t="shared" si="1804"/>
        <v>0</v>
      </c>
      <c r="I321" s="155">
        <f t="shared" si="1804"/>
        <v>0</v>
      </c>
      <c r="J321" s="155">
        <f t="shared" si="1804"/>
        <v>0</v>
      </c>
      <c r="K321" s="155">
        <f t="shared" si="1804"/>
        <v>0</v>
      </c>
      <c r="L321" s="155">
        <f t="shared" si="1804"/>
        <v>0</v>
      </c>
      <c r="M321" s="155">
        <f t="shared" si="1804"/>
        <v>0</v>
      </c>
      <c r="N321" s="155">
        <f t="shared" si="1804"/>
        <v>2.6394028374956951E-2</v>
      </c>
      <c r="O321" s="155">
        <f t="shared" si="1804"/>
        <v>0</v>
      </c>
      <c r="P321" s="155">
        <f t="shared" si="1804"/>
        <v>0</v>
      </c>
      <c r="Q321" s="155">
        <f t="shared" si="1804"/>
        <v>0</v>
      </c>
      <c r="R321" s="155">
        <f t="shared" si="1804"/>
        <v>0</v>
      </c>
      <c r="S321" s="155">
        <f t="shared" si="1804"/>
        <v>0</v>
      </c>
      <c r="T321" s="155">
        <f t="shared" si="1804"/>
        <v>0</v>
      </c>
      <c r="U321" s="155">
        <f t="shared" si="1804"/>
        <v>0</v>
      </c>
      <c r="V321" s="155">
        <f t="shared" si="1804"/>
        <v>0</v>
      </c>
      <c r="W321" s="155">
        <f t="shared" si="1804"/>
        <v>0</v>
      </c>
      <c r="X321" s="155">
        <f t="shared" si="1804"/>
        <v>0</v>
      </c>
      <c r="Y321" s="160">
        <f t="shared" si="1804"/>
        <v>0</v>
      </c>
    </row>
    <row r="322" spans="2:25" ht="15" customHeight="1" x14ac:dyDescent="0.2">
      <c r="B322" s="249" t="s">
        <v>171</v>
      </c>
      <c r="C322" s="91">
        <f>E322/SUM(E322:E324)</f>
        <v>0.52036199095022628</v>
      </c>
      <c r="D322" s="67" t="s">
        <v>0</v>
      </c>
      <c r="E322" s="68">
        <f t="shared" si="1792"/>
        <v>115</v>
      </c>
      <c r="F322" s="68">
        <f>SUMIFS([0]!Chavez,[0]!Centro,B324,[0]!Turno,F$309)</f>
        <v>0</v>
      </c>
      <c r="G322" s="68">
        <f>SUMIFS([0]!Chavez,[0]!Centro,B324,[0]!Turno,G$309)</f>
        <v>9</v>
      </c>
      <c r="H322" s="68">
        <f>SUMIFS([0]!Chavez,[0]!Centro,B324,[0]!Turno,H$309)</f>
        <v>9</v>
      </c>
      <c r="I322" s="68">
        <f>SUMIFS([0]!Chavez,[0]!Centro,B324,[0]!Turno,I$309)</f>
        <v>8</v>
      </c>
      <c r="J322" s="68">
        <f>SUMIFS([0]!Chavez,[0]!Centro,B324,[0]!Turno,J$309)</f>
        <v>0</v>
      </c>
      <c r="K322" s="68">
        <f>SUMIFS([0]!Chavez,[0]!Centro,B324,[0]!Turno,K$309)</f>
        <v>23</v>
      </c>
      <c r="L322" s="68">
        <f>SUMIFS([0]!Chavez,[0]!Centro,B324,[0]!Turno,L$309)</f>
        <v>13</v>
      </c>
      <c r="M322" s="68">
        <f>SUMIFS([0]!Chavez,[0]!Centro,B324,[0]!Turno,M$309)</f>
        <v>24</v>
      </c>
      <c r="N322" s="68">
        <f>SUMIFS([0]!Chavez,[0]!Centro,B324,[0]!Turno,N$309)</f>
        <v>29</v>
      </c>
      <c r="O322" s="68">
        <f>SUMIFS([0]!Chavez,[0]!Centro,B324,[0]!Turno,O$309)</f>
        <v>0</v>
      </c>
      <c r="P322" s="68">
        <f>SUMIFS([0]!Chavez,[0]!Centro,B324,[0]!Turno,P$309)</f>
        <v>0</v>
      </c>
      <c r="Q322" s="68">
        <f>SUMIFS([0]!Chavez,[0]!Centro,B324,[0]!Turno,Q$309)</f>
        <v>0</v>
      </c>
      <c r="R322" s="68">
        <f>SUMIFS([0]!Chavez,[0]!Centro,B324,[0]!Turno,R$309)</f>
        <v>0</v>
      </c>
      <c r="S322" s="68">
        <f>SUMIFS([0]!Chavez,[0]!Centro,B324,[0]!Turno,S$309)</f>
        <v>0</v>
      </c>
      <c r="T322" s="68">
        <f>SUMIFS([0]!Chavez,[0]!Centro,B324,[0]!Turno,T$309)</f>
        <v>0</v>
      </c>
      <c r="U322" s="68">
        <f>SUMIFS([0]!Chavez,[0]!Centro,B324,[0]!Turno,U$309)</f>
        <v>0</v>
      </c>
      <c r="V322" s="68">
        <f>SUMIFS([0]!Chavez,[0]!Centro,B324,[0]!Turno,V$309)</f>
        <v>0</v>
      </c>
      <c r="W322" s="68">
        <f>SUMIFS([0]!Chavez,[0]!Centro,B324,[0]!Turno,W$309)</f>
        <v>0</v>
      </c>
      <c r="X322" s="68">
        <f>SUMIFS([0]!Chavez,[0]!Centro,B324,[0]!Turno,X$309)</f>
        <v>0</v>
      </c>
      <c r="Y322" s="69">
        <f>SUMIFS([0]!Chavez,[0]!Centro,B324,[0]!Turno,Y$309)</f>
        <v>0</v>
      </c>
    </row>
    <row r="323" spans="2:25" ht="15" customHeight="1" x14ac:dyDescent="0.2">
      <c r="B323" s="250"/>
      <c r="C323" s="92">
        <f>E323/SUM(E322:E324)</f>
        <v>0.47963800904977377</v>
      </c>
      <c r="D323" s="61" t="s">
        <v>1</v>
      </c>
      <c r="E323" s="62">
        <f t="shared" si="1792"/>
        <v>106</v>
      </c>
      <c r="F323" s="62">
        <f>SUMIFS([0]!Capriles,[0]!Centro,B324,[0]!Turno,F$309)</f>
        <v>0</v>
      </c>
      <c r="G323" s="62">
        <f>SUMIFS([0]!Capriles,[0]!Centro,B324,[0]!Turno,G$309)</f>
        <v>12</v>
      </c>
      <c r="H323" s="62">
        <f>SUMIFS([0]!Capriles,[0]!Centro,B324,[0]!Turno,H$309)</f>
        <v>7</v>
      </c>
      <c r="I323" s="62">
        <f>SUMIFS([0]!Capriles,[0]!Centro,B324,[0]!Turno,I$309)</f>
        <v>15</v>
      </c>
      <c r="J323" s="62">
        <f>SUMIFS([0]!Capriles,[0]!Centro,B324,[0]!Turno,J$309)</f>
        <v>0</v>
      </c>
      <c r="K323" s="62">
        <f>SUMIFS([0]!Capriles,[0]!Centro,B324,[0]!Turno,K$309)</f>
        <v>13</v>
      </c>
      <c r="L323" s="62">
        <f>SUMIFS([0]!Capriles,[0]!Centro,B324,[0]!Turno,L$309)</f>
        <v>30</v>
      </c>
      <c r="M323" s="62">
        <f>SUMIFS([0]!Capriles,[0]!Centro,B324,[0]!Turno,M$309)</f>
        <v>19</v>
      </c>
      <c r="N323" s="62">
        <f>SUMIFS([0]!Capriles,[0]!Centro,B324,[0]!Turno,N$309)</f>
        <v>10</v>
      </c>
      <c r="O323" s="62">
        <f>SUMIFS([0]!Capriles,[0]!Centro,B324,[0]!Turno,O$309)</f>
        <v>0</v>
      </c>
      <c r="P323" s="62">
        <f>SUMIFS([0]!Capriles,[0]!Centro,B324,[0]!Turno,P$309)</f>
        <v>0</v>
      </c>
      <c r="Q323" s="62">
        <f>SUMIFS([0]!Capriles,[0]!Centro,B324,[0]!Turno,Q$309)</f>
        <v>0</v>
      </c>
      <c r="R323" s="62">
        <f>SUMIFS([0]!Capriles,[0]!Centro,B324,[0]!Turno,R$309)</f>
        <v>0</v>
      </c>
      <c r="S323" s="62">
        <f>SUMIFS([0]!Capriles,[0]!Centro,B324,[0]!Turno,S$309)</f>
        <v>0</v>
      </c>
      <c r="T323" s="62">
        <f>SUMIFS([0]!Capriles,[0]!Centro,B324,[0]!Turno,T$309)</f>
        <v>0</v>
      </c>
      <c r="U323" s="62">
        <f>SUMIFS([0]!Capriles,[0]!Centro,B324,[0]!Turno,U$309)</f>
        <v>0</v>
      </c>
      <c r="V323" s="62">
        <f>SUMIFS([0]!Capriles,[0]!Centro,B324,[0]!Turno,V$309)</f>
        <v>0</v>
      </c>
      <c r="W323" s="62">
        <f>SUMIFS([0]!Capriles,[0]!Centro,B324,[0]!Turno,W$309)</f>
        <v>0</v>
      </c>
      <c r="X323" s="62">
        <f>SUMIFS([0]!Capriles,[0]!Centro,B324,[0]!Turno,X$309)</f>
        <v>0</v>
      </c>
      <c r="Y323" s="70">
        <f>SUMIFS([0]!Capriles,[0]!Centro,B324,[0]!Turno,Y$309)</f>
        <v>0</v>
      </c>
    </row>
    <row r="324" spans="2:25" ht="15" customHeight="1" thickBot="1" x14ac:dyDescent="0.25">
      <c r="B324" s="261">
        <v>63</v>
      </c>
      <c r="C324" s="100">
        <f>E324/SUM(E322:E324)</f>
        <v>0</v>
      </c>
      <c r="D324" s="71" t="s">
        <v>2</v>
      </c>
      <c r="E324" s="72">
        <f t="shared" si="1792"/>
        <v>0</v>
      </c>
      <c r="F324" s="72">
        <f>SUMIFS([0]!Otro,[0]!Centro,B324,[0]!Turno,F$309)</f>
        <v>0</v>
      </c>
      <c r="G324" s="72">
        <f>SUMIFS([0]!Otro,[0]!Centro,B324,[0]!Turno,G$309)</f>
        <v>0</v>
      </c>
      <c r="H324" s="72">
        <f>SUMIFS([0]!Otro,[0]!Centro,B324,[0]!Turno,H$309)</f>
        <v>0</v>
      </c>
      <c r="I324" s="72">
        <f>SUMIFS([0]!Otro,[0]!Centro,B324,[0]!Turno,I$309)</f>
        <v>0</v>
      </c>
      <c r="J324" s="72">
        <f>SUMIFS([0]!Otro,[0]!Centro,B324,[0]!Turno,J$309)</f>
        <v>0</v>
      </c>
      <c r="K324" s="72">
        <f>SUMIFS([0]!Otro,[0]!Centro,B324,[0]!Turno,K$309)</f>
        <v>0</v>
      </c>
      <c r="L324" s="72">
        <f>SUMIFS([0]!Otro,[0]!Centro,B324,[0]!Turno,L$309)</f>
        <v>0</v>
      </c>
      <c r="M324" s="72">
        <f>SUMIFS([0]!Otro,[0]!Centro,B324,[0]!Turno,M$309)</f>
        <v>0</v>
      </c>
      <c r="N324" s="72">
        <f>SUMIFS([0]!Otro,[0]!Centro,B324,[0]!Turno,N$309)</f>
        <v>0</v>
      </c>
      <c r="O324" s="72">
        <f>SUMIFS([0]!Otro,[0]!Centro,B324,[0]!Turno,O$309)</f>
        <v>0</v>
      </c>
      <c r="P324" s="72">
        <f>SUMIFS([0]!Otro,[0]!Centro,B324,[0]!Turno,P$309)</f>
        <v>0</v>
      </c>
      <c r="Q324" s="72">
        <f>SUMIFS([0]!Otro,[0]!Centro,B324,[0]!Turno,Q$309)</f>
        <v>0</v>
      </c>
      <c r="R324" s="72">
        <f>SUMIFS([0]!Otro,[0]!Centro,B324,[0]!Turno,R$309)</f>
        <v>0</v>
      </c>
      <c r="S324" s="72">
        <f>SUMIFS([0]!Otro,[0]!Centro,B324,[0]!Turno,S$309)</f>
        <v>0</v>
      </c>
      <c r="T324" s="72">
        <f>SUMIFS([0]!Otro,[0]!Centro,B324,[0]!Turno,T$309)</f>
        <v>0</v>
      </c>
      <c r="U324" s="72">
        <f>SUMIFS([0]!Otro,[0]!Centro,B324,[0]!Turno,U$309)</f>
        <v>0</v>
      </c>
      <c r="V324" s="72">
        <f>SUMIFS([0]!Otro,[0]!Centro,B324,[0]!Turno,V$309)</f>
        <v>0</v>
      </c>
      <c r="W324" s="72">
        <f>SUMIFS([0]!Otro,[0]!Centro,B324,[0]!Turno,W$309)</f>
        <v>0</v>
      </c>
      <c r="X324" s="72">
        <f>SUMIFS([0]!Otro,[0]!Centro,B324,[0]!Turno,X$309)</f>
        <v>0</v>
      </c>
      <c r="Y324" s="73">
        <f>SUMIFS([0]!Otro,[0]!Centro,B324,[0]!Turno,Y$309)</f>
        <v>0</v>
      </c>
    </row>
    <row r="325" spans="2:25" ht="15" customHeight="1" x14ac:dyDescent="0.2">
      <c r="B325" s="261"/>
      <c r="C325" s="94">
        <f>E325/SUM(E325:E327)</f>
        <v>0.52036199095022628</v>
      </c>
      <c r="D325" s="63" t="s">
        <v>0</v>
      </c>
      <c r="E325" s="150">
        <f>IF((E322+E323+E324)=0,0,(E322*$B326)/(E322+E323+E324))</f>
        <v>0.24567300786243898</v>
      </c>
      <c r="F325" s="150">
        <f>IF((F322+F323+F324)=0,0,(F322*$B326)/(F322+F323+F324))</f>
        <v>0</v>
      </c>
      <c r="G325" s="150">
        <f t="shared" ref="G325:Y325" si="1805">IF((G322+G323+G324)=0,0,(G322*$B326)/(G322+G323+G324))</f>
        <v>0.20233689964322613</v>
      </c>
      <c r="H325" s="150">
        <f t="shared" si="1805"/>
        <v>0.2655671807817343</v>
      </c>
      <c r="I325" s="150">
        <f t="shared" si="1805"/>
        <v>0.16421545478290819</v>
      </c>
      <c r="J325" s="150">
        <f t="shared" si="1805"/>
        <v>0</v>
      </c>
      <c r="K325" s="150">
        <f t="shared" si="1805"/>
        <v>0.30163185965332784</v>
      </c>
      <c r="L325" s="150">
        <f t="shared" si="1805"/>
        <v>0.14273378191886496</v>
      </c>
      <c r="M325" s="150">
        <f t="shared" si="1805"/>
        <v>0.26350852046559686</v>
      </c>
      <c r="N325" s="150">
        <f t="shared" si="1805"/>
        <v>0.35106316775705049</v>
      </c>
      <c r="O325" s="150">
        <f t="shared" si="1805"/>
        <v>0</v>
      </c>
      <c r="P325" s="150">
        <f t="shared" si="1805"/>
        <v>0</v>
      </c>
      <c r="Q325" s="150">
        <f t="shared" si="1805"/>
        <v>0</v>
      </c>
      <c r="R325" s="150">
        <f t="shared" si="1805"/>
        <v>0</v>
      </c>
      <c r="S325" s="150">
        <f t="shared" si="1805"/>
        <v>0</v>
      </c>
      <c r="T325" s="150">
        <f t="shared" si="1805"/>
        <v>0</v>
      </c>
      <c r="U325" s="150">
        <f t="shared" si="1805"/>
        <v>0</v>
      </c>
      <c r="V325" s="150">
        <f t="shared" si="1805"/>
        <v>0</v>
      </c>
      <c r="W325" s="150">
        <f t="shared" si="1805"/>
        <v>0</v>
      </c>
      <c r="X325" s="150">
        <f t="shared" si="1805"/>
        <v>0</v>
      </c>
      <c r="Y325" s="163">
        <f t="shared" si="1805"/>
        <v>0</v>
      </c>
    </row>
    <row r="326" spans="2:25" ht="15" customHeight="1" x14ac:dyDescent="0.2">
      <c r="B326" s="254">
        <v>0.47211943250086102</v>
      </c>
      <c r="C326" s="92">
        <f>E326/SUM(E325:E327)</f>
        <v>0.47963800904977377</v>
      </c>
      <c r="D326" s="61" t="s">
        <v>1</v>
      </c>
      <c r="E326" s="154">
        <f>IF((E322+E323+E324)=0,0,(E323*$B326)/(E322+E323+E324))</f>
        <v>0.22644642463842202</v>
      </c>
      <c r="F326" s="154">
        <f>IF((F322+F323+F324)=0,0,(F323*$B326)/(F322+F323+F324))</f>
        <v>0</v>
      </c>
      <c r="G326" s="154">
        <f t="shared" ref="G326:O326" si="1806">IF((G322+G323+G324)=0,0,(G323*$B326)/(G322+G323+G324))</f>
        <v>0.26978253285763487</v>
      </c>
      <c r="H326" s="154">
        <f t="shared" si="1806"/>
        <v>0.20655225171912669</v>
      </c>
      <c r="I326" s="154">
        <f t="shared" si="1806"/>
        <v>0.30790397771795286</v>
      </c>
      <c r="J326" s="154">
        <f t="shared" si="1806"/>
        <v>0</v>
      </c>
      <c r="K326" s="154">
        <f t="shared" si="1806"/>
        <v>0.17048757284753313</v>
      </c>
      <c r="L326" s="154">
        <f t="shared" si="1806"/>
        <v>0.32938565058199604</v>
      </c>
      <c r="M326" s="154">
        <f t="shared" si="1806"/>
        <v>0.20861091203526416</v>
      </c>
      <c r="N326" s="154">
        <f t="shared" si="1806"/>
        <v>0.12105626474381051</v>
      </c>
      <c r="O326" s="154">
        <f t="shared" si="1806"/>
        <v>0</v>
      </c>
      <c r="P326" s="154">
        <f>IF((P322+P323+P324)=0,0,(P323*$B326)/(P322+P323+P324))</f>
        <v>0</v>
      </c>
      <c r="Q326" s="154">
        <f t="shared" ref="Q326:Y326" si="1807">IF((Q322+Q323+Q324)=0,0,(Q323*$B326)/(Q322+Q323+Q324))</f>
        <v>0</v>
      </c>
      <c r="R326" s="154">
        <f t="shared" si="1807"/>
        <v>0</v>
      </c>
      <c r="S326" s="154">
        <f t="shared" si="1807"/>
        <v>0</v>
      </c>
      <c r="T326" s="154">
        <f t="shared" si="1807"/>
        <v>0</v>
      </c>
      <c r="U326" s="154">
        <f t="shared" si="1807"/>
        <v>0</v>
      </c>
      <c r="V326" s="154">
        <f t="shared" si="1807"/>
        <v>0</v>
      </c>
      <c r="W326" s="154">
        <f t="shared" si="1807"/>
        <v>0</v>
      </c>
      <c r="X326" s="154">
        <f t="shared" si="1807"/>
        <v>0</v>
      </c>
      <c r="Y326" s="159">
        <f t="shared" si="1807"/>
        <v>0</v>
      </c>
    </row>
    <row r="327" spans="2:25" ht="15" customHeight="1" thickBot="1" x14ac:dyDescent="0.25">
      <c r="B327" s="255"/>
      <c r="C327" s="93">
        <f>E327/SUM(E325:E327)</f>
        <v>0</v>
      </c>
      <c r="D327" s="75" t="s">
        <v>2</v>
      </c>
      <c r="E327" s="155">
        <f>IF((E322+E323+E324)=0,0,(E324*$B326)/(E322+E323+E324))</f>
        <v>0</v>
      </c>
      <c r="F327" s="155">
        <f>IF((F322+F323+F324)=0,0,(F324*$B326)/(F322+F323+F324))</f>
        <v>0</v>
      </c>
      <c r="G327" s="155">
        <f t="shared" ref="G327:Y327" si="1808">IF((G322+G323+G324)=0,0,(G324*$B326)/(G322+G323+G324))</f>
        <v>0</v>
      </c>
      <c r="H327" s="155">
        <f t="shared" si="1808"/>
        <v>0</v>
      </c>
      <c r="I327" s="155">
        <f t="shared" si="1808"/>
        <v>0</v>
      </c>
      <c r="J327" s="155">
        <f t="shared" si="1808"/>
        <v>0</v>
      </c>
      <c r="K327" s="155">
        <f t="shared" si="1808"/>
        <v>0</v>
      </c>
      <c r="L327" s="155">
        <f t="shared" si="1808"/>
        <v>0</v>
      </c>
      <c r="M327" s="155">
        <f t="shared" si="1808"/>
        <v>0</v>
      </c>
      <c r="N327" s="155">
        <f t="shared" si="1808"/>
        <v>0</v>
      </c>
      <c r="O327" s="155">
        <f t="shared" si="1808"/>
        <v>0</v>
      </c>
      <c r="P327" s="155">
        <f t="shared" si="1808"/>
        <v>0</v>
      </c>
      <c r="Q327" s="155">
        <f t="shared" si="1808"/>
        <v>0</v>
      </c>
      <c r="R327" s="155">
        <f t="shared" si="1808"/>
        <v>0</v>
      </c>
      <c r="S327" s="155">
        <f t="shared" si="1808"/>
        <v>0</v>
      </c>
      <c r="T327" s="155">
        <f t="shared" si="1808"/>
        <v>0</v>
      </c>
      <c r="U327" s="155">
        <f t="shared" si="1808"/>
        <v>0</v>
      </c>
      <c r="V327" s="155">
        <f t="shared" si="1808"/>
        <v>0</v>
      </c>
      <c r="W327" s="155">
        <f t="shared" si="1808"/>
        <v>0</v>
      </c>
      <c r="X327" s="155">
        <f t="shared" si="1808"/>
        <v>0</v>
      </c>
      <c r="Y327" s="160">
        <f t="shared" si="1808"/>
        <v>0</v>
      </c>
    </row>
    <row r="328" spans="2:25" ht="15" customHeight="1" thickBot="1" x14ac:dyDescent="0.25">
      <c r="B328" s="104" t="s">
        <v>3</v>
      </c>
      <c r="C328" s="90" t="s">
        <v>226</v>
      </c>
      <c r="D328" s="76" t="s">
        <v>4</v>
      </c>
      <c r="E328" s="65" t="s">
        <v>225</v>
      </c>
      <c r="F328" s="77">
        <v>1</v>
      </c>
      <c r="G328" s="77">
        <v>2</v>
      </c>
      <c r="H328" s="77">
        <v>3</v>
      </c>
      <c r="I328" s="77">
        <v>4</v>
      </c>
      <c r="J328" s="77">
        <v>5</v>
      </c>
      <c r="K328" s="77">
        <v>6</v>
      </c>
      <c r="L328" s="77">
        <v>7</v>
      </c>
      <c r="M328" s="77">
        <v>8</v>
      </c>
      <c r="N328" s="77">
        <v>9</v>
      </c>
      <c r="O328" s="77">
        <v>10</v>
      </c>
      <c r="P328" s="77">
        <v>11</v>
      </c>
      <c r="Q328" s="77">
        <v>12</v>
      </c>
      <c r="R328" s="77">
        <v>13</v>
      </c>
      <c r="S328" s="77">
        <v>14</v>
      </c>
      <c r="T328" s="77">
        <v>15</v>
      </c>
      <c r="U328" s="77">
        <v>16</v>
      </c>
      <c r="V328" s="77">
        <v>17</v>
      </c>
      <c r="W328" s="77">
        <v>18</v>
      </c>
      <c r="X328" s="77">
        <v>19</v>
      </c>
      <c r="Y328" s="78">
        <v>20</v>
      </c>
    </row>
    <row r="329" spans="2:25" ht="15" customHeight="1" x14ac:dyDescent="0.2">
      <c r="B329" s="246" t="s">
        <v>79</v>
      </c>
      <c r="C329" s="95">
        <f>E329/SUM($E$329:$E$331)</f>
        <v>0.46875</v>
      </c>
      <c r="D329" s="81" t="s">
        <v>0</v>
      </c>
      <c r="E329" s="82">
        <f t="shared" ref="E329:Y331" si="1809">E338</f>
        <v>0.46875</v>
      </c>
      <c r="F329" s="82">
        <f t="shared" si="1809"/>
        <v>0</v>
      </c>
      <c r="G329" s="82">
        <f t="shared" si="1809"/>
        <v>0</v>
      </c>
      <c r="H329" s="82">
        <f t="shared" si="1809"/>
        <v>0</v>
      </c>
      <c r="I329" s="82">
        <f t="shared" si="1809"/>
        <v>0.3</v>
      </c>
      <c r="J329" s="82">
        <f t="shared" si="1809"/>
        <v>0.52500000000000002</v>
      </c>
      <c r="K329" s="82">
        <f t="shared" si="1809"/>
        <v>0.5</v>
      </c>
      <c r="L329" s="82">
        <f t="shared" si="1809"/>
        <v>0.7</v>
      </c>
      <c r="M329" s="82">
        <f t="shared" si="1809"/>
        <v>0.2</v>
      </c>
      <c r="N329" s="82">
        <f t="shared" si="1809"/>
        <v>0.7</v>
      </c>
      <c r="O329" s="82">
        <f t="shared" si="1809"/>
        <v>0</v>
      </c>
      <c r="P329" s="82">
        <f t="shared" si="1809"/>
        <v>0</v>
      </c>
      <c r="Q329" s="82">
        <f t="shared" si="1809"/>
        <v>0</v>
      </c>
      <c r="R329" s="82">
        <f t="shared" si="1809"/>
        <v>0</v>
      </c>
      <c r="S329" s="82">
        <f t="shared" si="1809"/>
        <v>0</v>
      </c>
      <c r="T329" s="82">
        <f t="shared" si="1809"/>
        <v>0</v>
      </c>
      <c r="U329" s="82">
        <f t="shared" si="1809"/>
        <v>0</v>
      </c>
      <c r="V329" s="82">
        <f t="shared" si="1809"/>
        <v>0</v>
      </c>
      <c r="W329" s="82">
        <f t="shared" si="1809"/>
        <v>0</v>
      </c>
      <c r="X329" s="82">
        <f t="shared" si="1809"/>
        <v>0</v>
      </c>
      <c r="Y329" s="83">
        <f t="shared" si="1809"/>
        <v>0</v>
      </c>
    </row>
    <row r="330" spans="2:25" ht="15" customHeight="1" x14ac:dyDescent="0.2">
      <c r="B330" s="247"/>
      <c r="C330" s="96">
        <f>E330/SUM($E$329:$E$331)</f>
        <v>0.5</v>
      </c>
      <c r="D330" s="79" t="s">
        <v>1</v>
      </c>
      <c r="E330" s="80">
        <f t="shared" si="1809"/>
        <v>0.5</v>
      </c>
      <c r="F330" s="80">
        <f t="shared" si="1809"/>
        <v>0</v>
      </c>
      <c r="G330" s="80">
        <f t="shared" si="1809"/>
        <v>0</v>
      </c>
      <c r="H330" s="80">
        <f t="shared" si="1809"/>
        <v>0</v>
      </c>
      <c r="I330" s="80">
        <f t="shared" si="1809"/>
        <v>0.6</v>
      </c>
      <c r="J330" s="80">
        <f t="shared" si="1809"/>
        <v>0.45</v>
      </c>
      <c r="K330" s="80">
        <f t="shared" si="1809"/>
        <v>0.5</v>
      </c>
      <c r="L330" s="80">
        <f t="shared" si="1809"/>
        <v>0.3</v>
      </c>
      <c r="M330" s="80">
        <f t="shared" si="1809"/>
        <v>0.8</v>
      </c>
      <c r="N330" s="80">
        <f t="shared" si="1809"/>
        <v>0.3</v>
      </c>
      <c r="O330" s="80">
        <f t="shared" si="1809"/>
        <v>0</v>
      </c>
      <c r="P330" s="80">
        <f t="shared" si="1809"/>
        <v>0</v>
      </c>
      <c r="Q330" s="80">
        <f t="shared" si="1809"/>
        <v>0</v>
      </c>
      <c r="R330" s="80">
        <f t="shared" si="1809"/>
        <v>0</v>
      </c>
      <c r="S330" s="80">
        <f t="shared" si="1809"/>
        <v>0</v>
      </c>
      <c r="T330" s="80">
        <f t="shared" si="1809"/>
        <v>0</v>
      </c>
      <c r="U330" s="80">
        <f t="shared" si="1809"/>
        <v>0</v>
      </c>
      <c r="V330" s="80">
        <f t="shared" si="1809"/>
        <v>0</v>
      </c>
      <c r="W330" s="80">
        <f t="shared" si="1809"/>
        <v>0</v>
      </c>
      <c r="X330" s="80">
        <f t="shared" si="1809"/>
        <v>0</v>
      </c>
      <c r="Y330" s="84">
        <f t="shared" si="1809"/>
        <v>0</v>
      </c>
    </row>
    <row r="331" spans="2:25" ht="15" customHeight="1" thickBot="1" x14ac:dyDescent="0.25">
      <c r="B331" s="247"/>
      <c r="C331" s="97">
        <f>E331/SUM($E$329:$E$331)</f>
        <v>3.125E-2</v>
      </c>
      <c r="D331" s="86" t="s">
        <v>2</v>
      </c>
      <c r="E331" s="87">
        <f t="shared" si="1809"/>
        <v>3.125E-2</v>
      </c>
      <c r="F331" s="87">
        <f t="shared" si="1809"/>
        <v>0</v>
      </c>
      <c r="G331" s="87">
        <f t="shared" si="1809"/>
        <v>0</v>
      </c>
      <c r="H331" s="87">
        <f t="shared" si="1809"/>
        <v>0</v>
      </c>
      <c r="I331" s="87">
        <f t="shared" si="1809"/>
        <v>0.1</v>
      </c>
      <c r="J331" s="87">
        <f t="shared" si="1809"/>
        <v>2.5000000000000001E-2</v>
      </c>
      <c r="K331" s="87">
        <f t="shared" si="1809"/>
        <v>0</v>
      </c>
      <c r="L331" s="87">
        <f t="shared" si="1809"/>
        <v>0</v>
      </c>
      <c r="M331" s="87">
        <f t="shared" si="1809"/>
        <v>0</v>
      </c>
      <c r="N331" s="87">
        <f t="shared" si="1809"/>
        <v>0</v>
      </c>
      <c r="O331" s="87">
        <f t="shared" si="1809"/>
        <v>0</v>
      </c>
      <c r="P331" s="87">
        <f t="shared" si="1809"/>
        <v>0</v>
      </c>
      <c r="Q331" s="87">
        <f t="shared" si="1809"/>
        <v>0</v>
      </c>
      <c r="R331" s="87">
        <f t="shared" si="1809"/>
        <v>0</v>
      </c>
      <c r="S331" s="87">
        <f t="shared" si="1809"/>
        <v>0</v>
      </c>
      <c r="T331" s="87">
        <f t="shared" si="1809"/>
        <v>0</v>
      </c>
      <c r="U331" s="87">
        <f t="shared" si="1809"/>
        <v>0</v>
      </c>
      <c r="V331" s="87">
        <f t="shared" si="1809"/>
        <v>0</v>
      </c>
      <c r="W331" s="87">
        <f t="shared" si="1809"/>
        <v>0</v>
      </c>
      <c r="X331" s="87">
        <f t="shared" si="1809"/>
        <v>0</v>
      </c>
      <c r="Y331" s="88">
        <f t="shared" si="1809"/>
        <v>0</v>
      </c>
    </row>
    <row r="332" spans="2:25" ht="15" customHeight="1" x14ac:dyDescent="0.2">
      <c r="B332" s="247"/>
      <c r="C332" s="98">
        <f>E332/SUM($E$332:$E$334)</f>
        <v>0.46875</v>
      </c>
      <c r="D332" s="85" t="s">
        <v>0</v>
      </c>
      <c r="E332" s="151">
        <f>E338</f>
        <v>0.46875</v>
      </c>
      <c r="F332" s="151">
        <f t="shared" ref="F332:Y332" si="1810">F338</f>
        <v>0</v>
      </c>
      <c r="G332" s="151">
        <f t="shared" si="1810"/>
        <v>0</v>
      </c>
      <c r="H332" s="151">
        <f t="shared" si="1810"/>
        <v>0</v>
      </c>
      <c r="I332" s="151">
        <f t="shared" si="1810"/>
        <v>0.3</v>
      </c>
      <c r="J332" s="151">
        <f t="shared" si="1810"/>
        <v>0.52500000000000002</v>
      </c>
      <c r="K332" s="151">
        <f t="shared" si="1810"/>
        <v>0.5</v>
      </c>
      <c r="L332" s="151">
        <f t="shared" si="1810"/>
        <v>0.7</v>
      </c>
      <c r="M332" s="151">
        <f t="shared" si="1810"/>
        <v>0.2</v>
      </c>
      <c r="N332" s="151">
        <f t="shared" si="1810"/>
        <v>0.7</v>
      </c>
      <c r="O332" s="151">
        <f t="shared" si="1810"/>
        <v>0</v>
      </c>
      <c r="P332" s="151">
        <f t="shared" si="1810"/>
        <v>0</v>
      </c>
      <c r="Q332" s="151">
        <f t="shared" si="1810"/>
        <v>0</v>
      </c>
      <c r="R332" s="151">
        <f t="shared" si="1810"/>
        <v>0</v>
      </c>
      <c r="S332" s="151">
        <f t="shared" si="1810"/>
        <v>0</v>
      </c>
      <c r="T332" s="151">
        <f t="shared" si="1810"/>
        <v>0</v>
      </c>
      <c r="U332" s="151">
        <f t="shared" si="1810"/>
        <v>0</v>
      </c>
      <c r="V332" s="151">
        <f t="shared" si="1810"/>
        <v>0</v>
      </c>
      <c r="W332" s="151">
        <f t="shared" si="1810"/>
        <v>0</v>
      </c>
      <c r="X332" s="151">
        <f t="shared" si="1810"/>
        <v>0</v>
      </c>
      <c r="Y332" s="156">
        <f t="shared" si="1810"/>
        <v>0</v>
      </c>
    </row>
    <row r="333" spans="2:25" ht="15" customHeight="1" x14ac:dyDescent="0.2">
      <c r="B333" s="247"/>
      <c r="C333" s="96">
        <f>E333/SUM($E$332:$E$334)</f>
        <v>0.5</v>
      </c>
      <c r="D333" s="79" t="s">
        <v>1</v>
      </c>
      <c r="E333" s="152">
        <f t="shared" ref="E333:E334" si="1811">E339</f>
        <v>0.5</v>
      </c>
      <c r="F333" s="152">
        <f t="shared" ref="F333:Y334" si="1812">F339</f>
        <v>0</v>
      </c>
      <c r="G333" s="152">
        <f t="shared" si="1812"/>
        <v>0</v>
      </c>
      <c r="H333" s="152">
        <f t="shared" si="1812"/>
        <v>0</v>
      </c>
      <c r="I333" s="152">
        <f t="shared" si="1812"/>
        <v>0.6</v>
      </c>
      <c r="J333" s="152">
        <f t="shared" si="1812"/>
        <v>0.45</v>
      </c>
      <c r="K333" s="152">
        <f t="shared" si="1812"/>
        <v>0.5</v>
      </c>
      <c r="L333" s="152">
        <f t="shared" si="1812"/>
        <v>0.3</v>
      </c>
      <c r="M333" s="152">
        <f t="shared" si="1812"/>
        <v>0.8</v>
      </c>
      <c r="N333" s="152">
        <f t="shared" si="1812"/>
        <v>0.3</v>
      </c>
      <c r="O333" s="152">
        <f t="shared" si="1812"/>
        <v>0</v>
      </c>
      <c r="P333" s="152">
        <f t="shared" si="1812"/>
        <v>0</v>
      </c>
      <c r="Q333" s="152">
        <f t="shared" si="1812"/>
        <v>0</v>
      </c>
      <c r="R333" s="152">
        <f t="shared" si="1812"/>
        <v>0</v>
      </c>
      <c r="S333" s="152">
        <f>S339</f>
        <v>0</v>
      </c>
      <c r="T333" s="152">
        <f t="shared" si="1812"/>
        <v>0</v>
      </c>
      <c r="U333" s="152">
        <f t="shared" si="1812"/>
        <v>0</v>
      </c>
      <c r="V333" s="152">
        <f t="shared" si="1812"/>
        <v>0</v>
      </c>
      <c r="W333" s="152">
        <f t="shared" si="1812"/>
        <v>0</v>
      </c>
      <c r="X333" s="152">
        <f t="shared" si="1812"/>
        <v>0</v>
      </c>
      <c r="Y333" s="157">
        <f t="shared" si="1812"/>
        <v>0</v>
      </c>
    </row>
    <row r="334" spans="2:25" ht="15" customHeight="1" thickBot="1" x14ac:dyDescent="0.25">
      <c r="B334" s="248"/>
      <c r="C334" s="99">
        <f t="shared" ref="C334" si="1813">E334/SUM($E$332:$E$334)</f>
        <v>3.125E-2</v>
      </c>
      <c r="D334" s="89" t="s">
        <v>2</v>
      </c>
      <c r="E334" s="153">
        <f t="shared" si="1811"/>
        <v>3.125E-2</v>
      </c>
      <c r="F334" s="153">
        <f t="shared" si="1812"/>
        <v>0</v>
      </c>
      <c r="G334" s="153">
        <f t="shared" si="1812"/>
        <v>0</v>
      </c>
      <c r="H334" s="153">
        <f t="shared" si="1812"/>
        <v>0</v>
      </c>
      <c r="I334" s="153">
        <f t="shared" si="1812"/>
        <v>0.1</v>
      </c>
      <c r="J334" s="153">
        <f t="shared" si="1812"/>
        <v>2.5000000000000001E-2</v>
      </c>
      <c r="K334" s="153">
        <f t="shared" si="1812"/>
        <v>0</v>
      </c>
      <c r="L334" s="153">
        <f t="shared" si="1812"/>
        <v>0</v>
      </c>
      <c r="M334" s="153">
        <f t="shared" si="1812"/>
        <v>0</v>
      </c>
      <c r="N334" s="153">
        <f t="shared" si="1812"/>
        <v>0</v>
      </c>
      <c r="O334" s="153">
        <f t="shared" si="1812"/>
        <v>0</v>
      </c>
      <c r="P334" s="153">
        <f t="shared" si="1812"/>
        <v>0</v>
      </c>
      <c r="Q334" s="153">
        <f t="shared" si="1812"/>
        <v>0</v>
      </c>
      <c r="R334" s="153">
        <f t="shared" si="1812"/>
        <v>0</v>
      </c>
      <c r="S334" s="153">
        <f t="shared" si="1812"/>
        <v>0</v>
      </c>
      <c r="T334" s="153">
        <f t="shared" si="1812"/>
        <v>0</v>
      </c>
      <c r="U334" s="153">
        <f t="shared" si="1812"/>
        <v>0</v>
      </c>
      <c r="V334" s="153">
        <f t="shared" si="1812"/>
        <v>0</v>
      </c>
      <c r="W334" s="153">
        <f t="shared" si="1812"/>
        <v>0</v>
      </c>
      <c r="X334" s="153">
        <f t="shared" si="1812"/>
        <v>0</v>
      </c>
      <c r="Y334" s="158">
        <f t="shared" si="1812"/>
        <v>0</v>
      </c>
    </row>
    <row r="335" spans="2:25" ht="15" customHeight="1" x14ac:dyDescent="0.2">
      <c r="B335" s="266" t="s">
        <v>32</v>
      </c>
      <c r="C335" s="91">
        <f>E335/SUM(E335:E337)</f>
        <v>0.46875</v>
      </c>
      <c r="D335" s="67" t="s">
        <v>0</v>
      </c>
      <c r="E335" s="68">
        <f t="shared" ref="E335:E337" si="1814">SUM(F335:W335)</f>
        <v>75</v>
      </c>
      <c r="F335" s="68">
        <f>SUMIFS([0]!Chavez,[0]!Centro,$B337,[0]!Turno,F$328)</f>
        <v>0</v>
      </c>
      <c r="G335" s="68">
        <f>SUMIFS([0]!Chavez,[0]!Centro,$B337,[0]!Turno,G$328)</f>
        <v>0</v>
      </c>
      <c r="H335" s="68">
        <f>SUMIFS([0]!Chavez,[0]!Centro,$B337,[0]!Turno,H$328)</f>
        <v>0</v>
      </c>
      <c r="I335" s="68">
        <f>SUMIFS([0]!Chavez,[0]!Centro,$B337,[0]!Turno,I$328)</f>
        <v>12</v>
      </c>
      <c r="J335" s="68">
        <f>SUMIFS([0]!Chavez,[0]!Centro,$B337,[0]!Turno,J$328)</f>
        <v>21</v>
      </c>
      <c r="K335" s="68">
        <f>SUMIFS([0]!Chavez,[0]!Centro,$B337,[0]!Turno,K$328)</f>
        <v>10</v>
      </c>
      <c r="L335" s="68">
        <f>SUMIFS([0]!Chavez,[0]!Centro,$B337,[0]!Turno,L$328)</f>
        <v>14</v>
      </c>
      <c r="M335" s="68">
        <f>SUMIFS([0]!Chavez,[0]!Centro,$B337,[0]!Turno,M$328)</f>
        <v>4</v>
      </c>
      <c r="N335" s="68">
        <f>SUMIFS([0]!Chavez,[0]!Centro,$B337,[0]!Turno,N$328)</f>
        <v>14</v>
      </c>
      <c r="O335" s="68">
        <f>SUMIFS([0]!Chavez,[0]!Centro,$B337,[0]!Turno,O$328)</f>
        <v>0</v>
      </c>
      <c r="P335" s="68">
        <f>SUMIFS([0]!Chavez,[0]!Centro,$B337,[0]!Turno,P$328)</f>
        <v>0</v>
      </c>
      <c r="Q335" s="68">
        <f>SUMIFS([0]!Chavez,[0]!Centro,$B337,[0]!Turno,Q$328)</f>
        <v>0</v>
      </c>
      <c r="R335" s="68">
        <f>SUMIFS([0]!Chavez,[0]!Centro,$B337,[0]!Turno,R$328)</f>
        <v>0</v>
      </c>
      <c r="S335" s="68">
        <f>SUMIFS([0]!Chavez,[0]!Centro,$B337,[0]!Turno,S$328)</f>
        <v>0</v>
      </c>
      <c r="T335" s="68">
        <f>SUMIFS([0]!Chavez,[0]!Centro,$B337,[0]!Turno,T$328)</f>
        <v>0</v>
      </c>
      <c r="U335" s="68">
        <f>SUMIFS([0]!Chavez,[0]!Centro,$B337,[0]!Turno,U$328)</f>
        <v>0</v>
      </c>
      <c r="V335" s="68">
        <f>SUMIFS([0]!Chavez,[0]!Centro,$B337,[0]!Turno,V$328)</f>
        <v>0</v>
      </c>
      <c r="W335" s="68">
        <f>SUMIFS([0]!Chavez,[0]!Centro,$B337,[0]!Turno,W$328)</f>
        <v>0</v>
      </c>
      <c r="X335" s="68">
        <f>SUMIFS([0]!Chavez,[0]!Centro,$B337,[0]!Turno,X$328)</f>
        <v>0</v>
      </c>
      <c r="Y335" s="69">
        <f>SUMIFS([0]!Chavez,[0]!Centro,$B337,[0]!Turno,Y$328)</f>
        <v>0</v>
      </c>
    </row>
    <row r="336" spans="2:25" ht="15" customHeight="1" x14ac:dyDescent="0.2">
      <c r="B336" s="265"/>
      <c r="C336" s="92">
        <f>E336/SUM(E335:E337)</f>
        <v>0.5</v>
      </c>
      <c r="D336" s="61" t="s">
        <v>1</v>
      </c>
      <c r="E336" s="62">
        <f t="shared" si="1814"/>
        <v>80</v>
      </c>
      <c r="F336" s="62">
        <f>SUMIFS([0]!Capriles,[0]!Centro,$B337,[0]!Turno,F$328)</f>
        <v>0</v>
      </c>
      <c r="G336" s="62">
        <f>SUMIFS([0]!Capriles,[0]!Centro,$B337,[0]!Turno,G$328)</f>
        <v>0</v>
      </c>
      <c r="H336" s="62">
        <f>SUMIFS([0]!Capriles,[0]!Centro,$B337,[0]!Turno,H$328)</f>
        <v>0</v>
      </c>
      <c r="I336" s="62">
        <f>SUMIFS([0]!Capriles,[0]!Centro,$B337,[0]!Turno,I$328)</f>
        <v>24</v>
      </c>
      <c r="J336" s="62">
        <f>SUMIFS([0]!Capriles,[0]!Centro,$B337,[0]!Turno,J$328)</f>
        <v>18</v>
      </c>
      <c r="K336" s="62">
        <f>SUMIFS([0]!Capriles,[0]!Centro,$B337,[0]!Turno,K$328)</f>
        <v>10</v>
      </c>
      <c r="L336" s="62">
        <f>SUMIFS([0]!Capriles,[0]!Centro,$B337,[0]!Turno,L$328)</f>
        <v>6</v>
      </c>
      <c r="M336" s="62">
        <f>SUMIFS([0]!Capriles,[0]!Centro,$B337,[0]!Turno,M$328)</f>
        <v>16</v>
      </c>
      <c r="N336" s="62">
        <f>SUMIFS([0]!Capriles,[0]!Centro,$B337,[0]!Turno,N$328)</f>
        <v>6</v>
      </c>
      <c r="O336" s="62">
        <f>SUMIFS([0]!Capriles,[0]!Centro,$B337,[0]!Turno,O$328)</f>
        <v>0</v>
      </c>
      <c r="P336" s="62">
        <f>SUMIFS([0]!Capriles,[0]!Centro,$B337,[0]!Turno,P$328)</f>
        <v>0</v>
      </c>
      <c r="Q336" s="62">
        <f>SUMIFS([0]!Capriles,[0]!Centro,$B337,[0]!Turno,Q$328)</f>
        <v>0</v>
      </c>
      <c r="R336" s="62">
        <f>SUMIFS([0]!Capriles,[0]!Centro,$B337,[0]!Turno,R$328)</f>
        <v>0</v>
      </c>
      <c r="S336" s="62">
        <f>SUMIFS([0]!Capriles,[0]!Centro,$B337,[0]!Turno,S$328)</f>
        <v>0</v>
      </c>
      <c r="T336" s="62">
        <f>SUMIFS([0]!Capriles,[0]!Centro,$B337,[0]!Turno,T$328)</f>
        <v>0</v>
      </c>
      <c r="U336" s="62">
        <f>SUMIFS([0]!Capriles,[0]!Centro,$B337,[0]!Turno,U$328)</f>
        <v>0</v>
      </c>
      <c r="V336" s="62">
        <f>SUMIFS([0]!Capriles,[0]!Centro,$B337,[0]!Turno,V$328)</f>
        <v>0</v>
      </c>
      <c r="W336" s="62">
        <f>SUMIFS([0]!Capriles,[0]!Centro,$B337,[0]!Turno,W$328)</f>
        <v>0</v>
      </c>
      <c r="X336" s="62">
        <f>SUMIFS([0]!Capriles,[0]!Centro,$B337,[0]!Turno,X$328)</f>
        <v>0</v>
      </c>
      <c r="Y336" s="70">
        <f>SUMIFS([0]!Capriles,[0]!Centro,$B337,[0]!Turno,Y$328)</f>
        <v>0</v>
      </c>
    </row>
    <row r="337" spans="2:25" ht="15" customHeight="1" thickBot="1" x14ac:dyDescent="0.25">
      <c r="B337" s="261">
        <v>154</v>
      </c>
      <c r="C337" s="100">
        <f>E337/SUM(E335:E337)</f>
        <v>3.125E-2</v>
      </c>
      <c r="D337" s="71" t="s">
        <v>2</v>
      </c>
      <c r="E337" s="72">
        <f t="shared" si="1814"/>
        <v>5</v>
      </c>
      <c r="F337" s="72">
        <f>SUMIFS([0]!Otro,[0]!Centro,$B337,[0]!Turno,F$328)</f>
        <v>0</v>
      </c>
      <c r="G337" s="72">
        <f>SUMIFS([0]!Otro,[0]!Centro,$B337,[0]!Turno,G$328)</f>
        <v>0</v>
      </c>
      <c r="H337" s="72">
        <f>SUMIFS([0]!Otro,[0]!Centro,$B337,[0]!Turno,H$328)</f>
        <v>0</v>
      </c>
      <c r="I337" s="72">
        <f>SUMIFS([0]!Otro,[0]!Centro,$B337,[0]!Turno,I$328)</f>
        <v>4</v>
      </c>
      <c r="J337" s="72">
        <f>SUMIFS([0]!Otro,[0]!Centro,$B337,[0]!Turno,J$328)</f>
        <v>1</v>
      </c>
      <c r="K337" s="72">
        <f>SUMIFS([0]!Otro,[0]!Centro,$B337,[0]!Turno,K$328)</f>
        <v>0</v>
      </c>
      <c r="L337" s="72">
        <f>SUMIFS([0]!Otro,[0]!Centro,$B337,[0]!Turno,L$328)</f>
        <v>0</v>
      </c>
      <c r="M337" s="72">
        <f>SUMIFS([0]!Otro,[0]!Centro,$B337,[0]!Turno,M$328)</f>
        <v>0</v>
      </c>
      <c r="N337" s="72">
        <f>SUMIFS([0]!Otro,[0]!Centro,$B337,[0]!Turno,N$328)</f>
        <v>0</v>
      </c>
      <c r="O337" s="72">
        <f>SUMIFS([0]!Otro,[0]!Centro,$B337,[0]!Turno,O$328)</f>
        <v>0</v>
      </c>
      <c r="P337" s="72">
        <f>SUMIFS([0]!Otro,[0]!Centro,$B337,[0]!Turno,P$328)</f>
        <v>0</v>
      </c>
      <c r="Q337" s="72">
        <f>SUMIFS([0]!Otro,[0]!Centro,$B337,[0]!Turno,Q$328)</f>
        <v>0</v>
      </c>
      <c r="R337" s="72">
        <f>SUMIFS([0]!Otro,[0]!Centro,$B337,[0]!Turno,R$328)</f>
        <v>0</v>
      </c>
      <c r="S337" s="72">
        <f>SUMIFS([0]!Otro,[0]!Centro,$B337,[0]!Turno,S$328)</f>
        <v>0</v>
      </c>
      <c r="T337" s="72">
        <f>SUMIFS([0]!Otro,[0]!Centro,$B337,[0]!Turno,T$328)</f>
        <v>0</v>
      </c>
      <c r="U337" s="72">
        <f>SUMIFS([0]!Otro,[0]!Centro,$B337,[0]!Turno,U$328)</f>
        <v>0</v>
      </c>
      <c r="V337" s="72">
        <f>SUMIFS([0]!Otro,[0]!Centro,$B337,[0]!Turno,V$328)</f>
        <v>0</v>
      </c>
      <c r="W337" s="72">
        <f>SUMIFS([0]!Otro,[0]!Centro,$B337,[0]!Turno,W$328)</f>
        <v>0</v>
      </c>
      <c r="X337" s="72">
        <f>SUMIFS([0]!Otro,[0]!Centro,$B337,[0]!Turno,X$328)</f>
        <v>0</v>
      </c>
      <c r="Y337" s="73">
        <f>SUMIFS([0]!Otro,[0]!Centro,$B337,[0]!Turno,Y$328)</f>
        <v>0</v>
      </c>
    </row>
    <row r="338" spans="2:25" ht="15" customHeight="1" x14ac:dyDescent="0.2">
      <c r="B338" s="261"/>
      <c r="C338" s="94">
        <f>E338/SUM(E338:E340)</f>
        <v>0.46875</v>
      </c>
      <c r="D338" s="63" t="s">
        <v>0</v>
      </c>
      <c r="E338" s="150">
        <f>IF((E335+E336+E337)=0,0,(E335*$B339)/(E335+E336+E337))</f>
        <v>0.46875</v>
      </c>
      <c r="F338" s="150">
        <f>IF((F335+F336+F337)=0,0,(F335*$B339)/(F335+F336+F337))</f>
        <v>0</v>
      </c>
      <c r="G338" s="150">
        <f t="shared" ref="G338:Y338" si="1815">IF((G335+G336+G337)=0,0,(G335*$B339)/(G335+G336+G337))</f>
        <v>0</v>
      </c>
      <c r="H338" s="150">
        <f t="shared" si="1815"/>
        <v>0</v>
      </c>
      <c r="I338" s="150">
        <f t="shared" si="1815"/>
        <v>0.3</v>
      </c>
      <c r="J338" s="150">
        <f t="shared" si="1815"/>
        <v>0.52500000000000002</v>
      </c>
      <c r="K338" s="150">
        <f t="shared" si="1815"/>
        <v>0.5</v>
      </c>
      <c r="L338" s="150">
        <f t="shared" si="1815"/>
        <v>0.7</v>
      </c>
      <c r="M338" s="150">
        <f t="shared" si="1815"/>
        <v>0.2</v>
      </c>
      <c r="N338" s="150">
        <f t="shared" si="1815"/>
        <v>0.7</v>
      </c>
      <c r="O338" s="150">
        <f t="shared" si="1815"/>
        <v>0</v>
      </c>
      <c r="P338" s="150">
        <f t="shared" si="1815"/>
        <v>0</v>
      </c>
      <c r="Q338" s="150">
        <f t="shared" si="1815"/>
        <v>0</v>
      </c>
      <c r="R338" s="150">
        <f t="shared" si="1815"/>
        <v>0</v>
      </c>
      <c r="S338" s="150">
        <f t="shared" si="1815"/>
        <v>0</v>
      </c>
      <c r="T338" s="150">
        <f t="shared" si="1815"/>
        <v>0</v>
      </c>
      <c r="U338" s="150">
        <f t="shared" si="1815"/>
        <v>0</v>
      </c>
      <c r="V338" s="150">
        <f t="shared" si="1815"/>
        <v>0</v>
      </c>
      <c r="W338" s="150">
        <f t="shared" si="1815"/>
        <v>0</v>
      </c>
      <c r="X338" s="150">
        <f t="shared" si="1815"/>
        <v>0</v>
      </c>
      <c r="Y338" s="163">
        <f t="shared" si="1815"/>
        <v>0</v>
      </c>
    </row>
    <row r="339" spans="2:25" ht="15" customHeight="1" x14ac:dyDescent="0.2">
      <c r="B339" s="254">
        <v>1</v>
      </c>
      <c r="C339" s="92">
        <f>E339/SUM(E338:E340)</f>
        <v>0.5</v>
      </c>
      <c r="D339" s="61" t="s">
        <v>1</v>
      </c>
      <c r="E339" s="154">
        <f>IF((E335+E336+E337)=0,0,(E336*$B339)/(E335+E336+E337))</f>
        <v>0.5</v>
      </c>
      <c r="F339" s="154">
        <f>IF((F335+F336+F337)=0,0,(F336*$B339)/(F335+F336+F337))</f>
        <v>0</v>
      </c>
      <c r="G339" s="154">
        <f t="shared" ref="G339:O339" si="1816">IF((G335+G336+G337)=0,0,(G336*$B339)/(G335+G336+G337))</f>
        <v>0</v>
      </c>
      <c r="H339" s="154">
        <f t="shared" si="1816"/>
        <v>0</v>
      </c>
      <c r="I339" s="154">
        <f t="shared" si="1816"/>
        <v>0.6</v>
      </c>
      <c r="J339" s="154">
        <f t="shared" si="1816"/>
        <v>0.45</v>
      </c>
      <c r="K339" s="154">
        <f t="shared" si="1816"/>
        <v>0.5</v>
      </c>
      <c r="L339" s="154">
        <f t="shared" si="1816"/>
        <v>0.3</v>
      </c>
      <c r="M339" s="154">
        <f t="shared" si="1816"/>
        <v>0.8</v>
      </c>
      <c r="N339" s="154">
        <f t="shared" si="1816"/>
        <v>0.3</v>
      </c>
      <c r="O339" s="154">
        <f t="shared" si="1816"/>
        <v>0</v>
      </c>
      <c r="P339" s="154">
        <f>IF((P335+P336+P337)=0,0,(P336*$B339)/(P335+P336+P337))</f>
        <v>0</v>
      </c>
      <c r="Q339" s="154">
        <f t="shared" ref="Q339:Y339" si="1817">IF((Q335+Q336+Q337)=0,0,(Q336*$B339)/(Q335+Q336+Q337))</f>
        <v>0</v>
      </c>
      <c r="R339" s="154">
        <f t="shared" si="1817"/>
        <v>0</v>
      </c>
      <c r="S339" s="154">
        <f t="shared" si="1817"/>
        <v>0</v>
      </c>
      <c r="T339" s="154">
        <f t="shared" si="1817"/>
        <v>0</v>
      </c>
      <c r="U339" s="154">
        <f t="shared" si="1817"/>
        <v>0</v>
      </c>
      <c r="V339" s="154">
        <f t="shared" si="1817"/>
        <v>0</v>
      </c>
      <c r="W339" s="154">
        <f t="shared" si="1817"/>
        <v>0</v>
      </c>
      <c r="X339" s="154">
        <f t="shared" si="1817"/>
        <v>0</v>
      </c>
      <c r="Y339" s="159">
        <f t="shared" si="1817"/>
        <v>0</v>
      </c>
    </row>
    <row r="340" spans="2:25" ht="15" customHeight="1" thickBot="1" x14ac:dyDescent="0.25">
      <c r="B340" s="255"/>
      <c r="C340" s="93">
        <f>E340/SUM(E338:E340)</f>
        <v>3.125E-2</v>
      </c>
      <c r="D340" s="75" t="s">
        <v>2</v>
      </c>
      <c r="E340" s="155">
        <f>IF((E335+E336+E337)=0,0,(E337*$B339)/(E335+E336+E337))</f>
        <v>3.125E-2</v>
      </c>
      <c r="F340" s="155">
        <f>IF((F335+F336+F337)=0,0,(F337*$B339)/(F335+F336+F337))</f>
        <v>0</v>
      </c>
      <c r="G340" s="155">
        <f t="shared" ref="G340:Y340" si="1818">IF((G335+G336+G337)=0,0,(G337*$B339)/(G335+G336+G337))</f>
        <v>0</v>
      </c>
      <c r="H340" s="155">
        <f t="shared" si="1818"/>
        <v>0</v>
      </c>
      <c r="I340" s="155">
        <f t="shared" si="1818"/>
        <v>0.1</v>
      </c>
      <c r="J340" s="155">
        <f t="shared" si="1818"/>
        <v>2.5000000000000001E-2</v>
      </c>
      <c r="K340" s="155">
        <f t="shared" si="1818"/>
        <v>0</v>
      </c>
      <c r="L340" s="155">
        <f t="shared" si="1818"/>
        <v>0</v>
      </c>
      <c r="M340" s="155">
        <f t="shared" si="1818"/>
        <v>0</v>
      </c>
      <c r="N340" s="155">
        <f t="shared" si="1818"/>
        <v>0</v>
      </c>
      <c r="O340" s="155">
        <f t="shared" si="1818"/>
        <v>0</v>
      </c>
      <c r="P340" s="155">
        <f t="shared" si="1818"/>
        <v>0</v>
      </c>
      <c r="Q340" s="155">
        <f t="shared" si="1818"/>
        <v>0</v>
      </c>
      <c r="R340" s="155">
        <f t="shared" si="1818"/>
        <v>0</v>
      </c>
      <c r="S340" s="155">
        <f t="shared" si="1818"/>
        <v>0</v>
      </c>
      <c r="T340" s="155">
        <f t="shared" si="1818"/>
        <v>0</v>
      </c>
      <c r="U340" s="155">
        <f t="shared" si="1818"/>
        <v>0</v>
      </c>
      <c r="V340" s="155">
        <f t="shared" si="1818"/>
        <v>0</v>
      </c>
      <c r="W340" s="155">
        <f t="shared" si="1818"/>
        <v>0</v>
      </c>
      <c r="X340" s="155">
        <f t="shared" si="1818"/>
        <v>0</v>
      </c>
      <c r="Y340" s="160">
        <f t="shared" si="1818"/>
        <v>0</v>
      </c>
    </row>
    <row r="341" spans="2:25" ht="15" customHeight="1" thickBot="1" x14ac:dyDescent="0.25">
      <c r="B341" s="18" t="s">
        <v>3</v>
      </c>
      <c r="C341" s="24" t="s">
        <v>226</v>
      </c>
      <c r="D341" s="25" t="s">
        <v>4</v>
      </c>
      <c r="E341" s="18" t="s">
        <v>225</v>
      </c>
      <c r="F341" s="19">
        <v>1</v>
      </c>
      <c r="G341" s="19">
        <v>2</v>
      </c>
      <c r="H341" s="19">
        <v>3</v>
      </c>
      <c r="I341" s="19">
        <v>4</v>
      </c>
      <c r="J341" s="19">
        <v>5</v>
      </c>
      <c r="K341" s="19">
        <v>6</v>
      </c>
      <c r="L341" s="19">
        <v>7</v>
      </c>
      <c r="M341" s="19">
        <v>8</v>
      </c>
      <c r="N341" s="19">
        <v>9</v>
      </c>
      <c r="O341" s="19">
        <v>10</v>
      </c>
      <c r="P341" s="19">
        <v>11</v>
      </c>
      <c r="Q341" s="19">
        <v>12</v>
      </c>
      <c r="R341" s="19">
        <v>13</v>
      </c>
      <c r="S341" s="19">
        <v>14</v>
      </c>
      <c r="T341" s="19">
        <v>15</v>
      </c>
      <c r="U341" s="19">
        <v>16</v>
      </c>
      <c r="V341" s="19">
        <v>17</v>
      </c>
      <c r="W341" s="19">
        <v>18</v>
      </c>
      <c r="X341" s="19">
        <v>19</v>
      </c>
      <c r="Y341" s="19">
        <v>20</v>
      </c>
    </row>
    <row r="342" spans="2:25" ht="15" customHeight="1" x14ac:dyDescent="0.2">
      <c r="B342" s="246" t="s">
        <v>80</v>
      </c>
      <c r="C342" s="95">
        <f>E342/SUM(E342:E344)</f>
        <v>0.38854679802955666</v>
      </c>
      <c r="D342" s="81" t="s">
        <v>0</v>
      </c>
      <c r="E342" s="82">
        <f>SUM(F342:Y342)</f>
        <v>1262</v>
      </c>
      <c r="F342" s="82">
        <f t="shared" ref="F342:Y342" si="1819">SUM(F348,F354,F360,F366,F372,F378,F384,F390,F396,F402,F408,F414,F420,F426,F432,F438,F444,F450,F456)</f>
        <v>121</v>
      </c>
      <c r="G342" s="82">
        <f t="shared" si="1819"/>
        <v>132</v>
      </c>
      <c r="H342" s="82">
        <f t="shared" si="1819"/>
        <v>174</v>
      </c>
      <c r="I342" s="82">
        <f t="shared" si="1819"/>
        <v>181</v>
      </c>
      <c r="J342" s="82">
        <f t="shared" si="1819"/>
        <v>143</v>
      </c>
      <c r="K342" s="82">
        <f>SUM(K348,K354,K360,K366,K372,K378,K384,K390,K396,K402,K408,K414,K420,K426,K432,K438,K444,K450,K456)</f>
        <v>141</v>
      </c>
      <c r="L342" s="82">
        <f t="shared" si="1819"/>
        <v>98</v>
      </c>
      <c r="M342" s="82">
        <f t="shared" si="1819"/>
        <v>146</v>
      </c>
      <c r="N342" s="82">
        <f t="shared" si="1819"/>
        <v>60</v>
      </c>
      <c r="O342" s="82">
        <f>SUM(O348,O354,O360,O366,O372,O378,O384,O390,O396,O402,O408,O414,O420,O426,O432,O438,O444,O450,O456)</f>
        <v>57</v>
      </c>
      <c r="P342" s="82">
        <f t="shared" si="1819"/>
        <v>9</v>
      </c>
      <c r="Q342" s="82">
        <f t="shared" si="1819"/>
        <v>0</v>
      </c>
      <c r="R342" s="82">
        <f t="shared" si="1819"/>
        <v>0</v>
      </c>
      <c r="S342" s="82">
        <f t="shared" si="1819"/>
        <v>0</v>
      </c>
      <c r="T342" s="82">
        <f t="shared" si="1819"/>
        <v>0</v>
      </c>
      <c r="U342" s="82">
        <f t="shared" si="1819"/>
        <v>0</v>
      </c>
      <c r="V342" s="82">
        <f t="shared" si="1819"/>
        <v>0</v>
      </c>
      <c r="W342" s="82">
        <f t="shared" si="1819"/>
        <v>0</v>
      </c>
      <c r="X342" s="82">
        <f t="shared" si="1819"/>
        <v>0</v>
      </c>
      <c r="Y342" s="83">
        <f t="shared" si="1819"/>
        <v>0</v>
      </c>
    </row>
    <row r="343" spans="2:25" ht="15" customHeight="1" x14ac:dyDescent="0.2">
      <c r="B343" s="247"/>
      <c r="C343" s="96">
        <f>E343/SUM(E342:E344)</f>
        <v>0.57173645320197042</v>
      </c>
      <c r="D343" s="79" t="s">
        <v>1</v>
      </c>
      <c r="E343" s="80">
        <f t="shared" ref="E343:E404" si="1820">SUM(F343:Y343)</f>
        <v>1857</v>
      </c>
      <c r="F343" s="80">
        <f t="shared" ref="F343:Y343" si="1821">SUM(F349,F355,F361,F367,F373,F379,F385,F391,F397,F403,F409,F415,F421,F427,F433,F439,F445,F451,F457)</f>
        <v>134</v>
      </c>
      <c r="G343" s="80">
        <f t="shared" si="1821"/>
        <v>116</v>
      </c>
      <c r="H343" s="80">
        <f t="shared" si="1821"/>
        <v>191</v>
      </c>
      <c r="I343" s="80">
        <f t="shared" si="1821"/>
        <v>238</v>
      </c>
      <c r="J343" s="80">
        <f t="shared" si="1821"/>
        <v>230</v>
      </c>
      <c r="K343" s="80">
        <f t="shared" si="1821"/>
        <v>289</v>
      </c>
      <c r="L343" s="80">
        <f t="shared" si="1821"/>
        <v>177</v>
      </c>
      <c r="M343" s="80">
        <f t="shared" si="1821"/>
        <v>232</v>
      </c>
      <c r="N343" s="80">
        <f t="shared" si="1821"/>
        <v>125</v>
      </c>
      <c r="O343" s="80">
        <f>SUM(O349,O355,O361,O367,O373,O379,O385,O391,O397,O403,O409,O415,O421,O427,O433,O439,O445,O451,O457)</f>
        <v>114</v>
      </c>
      <c r="P343" s="80">
        <f t="shared" si="1821"/>
        <v>11</v>
      </c>
      <c r="Q343" s="80">
        <f t="shared" si="1821"/>
        <v>0</v>
      </c>
      <c r="R343" s="80">
        <f t="shared" si="1821"/>
        <v>0</v>
      </c>
      <c r="S343" s="80">
        <f t="shared" si="1821"/>
        <v>0</v>
      </c>
      <c r="T343" s="80">
        <f t="shared" si="1821"/>
        <v>0</v>
      </c>
      <c r="U343" s="80">
        <f t="shared" si="1821"/>
        <v>0</v>
      </c>
      <c r="V343" s="80">
        <f t="shared" si="1821"/>
        <v>0</v>
      </c>
      <c r="W343" s="80">
        <f t="shared" si="1821"/>
        <v>0</v>
      </c>
      <c r="X343" s="80">
        <f t="shared" si="1821"/>
        <v>0</v>
      </c>
      <c r="Y343" s="84">
        <f t="shared" si="1821"/>
        <v>0</v>
      </c>
    </row>
    <row r="344" spans="2:25" ht="15" customHeight="1" thickBot="1" x14ac:dyDescent="0.25">
      <c r="B344" s="247"/>
      <c r="C344" s="97">
        <f>E344/SUM(E342:E344)</f>
        <v>3.9716748768472906E-2</v>
      </c>
      <c r="D344" s="86" t="s">
        <v>2</v>
      </c>
      <c r="E344" s="87">
        <f t="shared" si="1820"/>
        <v>129</v>
      </c>
      <c r="F344" s="87">
        <f t="shared" ref="F344:Y344" si="1822">SUM(F350,F356,F362,F368,F374,F380,F386,F392,F398,F404,F410,F416,F422,F428,F434,F440,F446,F452,F458)</f>
        <v>14</v>
      </c>
      <c r="G344" s="87">
        <f t="shared" si="1822"/>
        <v>7</v>
      </c>
      <c r="H344" s="87">
        <f t="shared" si="1822"/>
        <v>8</v>
      </c>
      <c r="I344" s="87">
        <f t="shared" si="1822"/>
        <v>29</v>
      </c>
      <c r="J344" s="87">
        <f t="shared" si="1822"/>
        <v>15</v>
      </c>
      <c r="K344" s="87">
        <f t="shared" si="1822"/>
        <v>10</v>
      </c>
      <c r="L344" s="87">
        <f t="shared" si="1822"/>
        <v>7</v>
      </c>
      <c r="M344" s="87">
        <f t="shared" si="1822"/>
        <v>11</v>
      </c>
      <c r="N344" s="87">
        <f t="shared" si="1822"/>
        <v>14</v>
      </c>
      <c r="O344" s="87">
        <f t="shared" si="1822"/>
        <v>14</v>
      </c>
      <c r="P344" s="87">
        <f t="shared" si="1822"/>
        <v>0</v>
      </c>
      <c r="Q344" s="87">
        <f t="shared" si="1822"/>
        <v>0</v>
      </c>
      <c r="R344" s="87">
        <f t="shared" si="1822"/>
        <v>0</v>
      </c>
      <c r="S344" s="87">
        <f t="shared" si="1822"/>
        <v>0</v>
      </c>
      <c r="T344" s="87">
        <f t="shared" si="1822"/>
        <v>0</v>
      </c>
      <c r="U344" s="87">
        <f t="shared" si="1822"/>
        <v>0</v>
      </c>
      <c r="V344" s="87">
        <f t="shared" si="1822"/>
        <v>0</v>
      </c>
      <c r="W344" s="87">
        <f t="shared" si="1822"/>
        <v>0</v>
      </c>
      <c r="X344" s="87">
        <f t="shared" si="1822"/>
        <v>0</v>
      </c>
      <c r="Y344" s="88">
        <f t="shared" si="1822"/>
        <v>0</v>
      </c>
    </row>
    <row r="345" spans="2:25" ht="15" customHeight="1" x14ac:dyDescent="0.2">
      <c r="B345" s="247"/>
      <c r="C345" s="98">
        <f>E345/SUM(E345:E347)</f>
        <v>0.36035616527978748</v>
      </c>
      <c r="D345" s="85" t="s">
        <v>0</v>
      </c>
      <c r="E345" s="151">
        <f t="shared" ref="E345" si="1823">SUM(E351,E357,E363,E369,E375,E381,E387,E393,E399,E405,E411,E417,E423,E429,E435,E441,E447,E453,E459)</f>
        <v>0.35039838148536406</v>
      </c>
      <c r="F345" s="151">
        <f t="shared" ref="F345:Y345" si="1824">SUM(F351,F357,F363,F369,F375,F381,F387,F393,F399,F405,F411,F417,F423,F429,F435,F441,F447,F453,F459)</f>
        <v>0.27799602964464726</v>
      </c>
      <c r="G345" s="151">
        <f t="shared" si="1824"/>
        <v>0.346627935358366</v>
      </c>
      <c r="H345" s="151">
        <f t="shared" si="1824"/>
        <v>0.38077292276104779</v>
      </c>
      <c r="I345" s="151">
        <f t="shared" si="1824"/>
        <v>0.37108223122643597</v>
      </c>
      <c r="J345" s="151">
        <f t="shared" si="1824"/>
        <v>0.25262875653828737</v>
      </c>
      <c r="K345" s="151">
        <f t="shared" si="1824"/>
        <v>0.25290785423820994</v>
      </c>
      <c r="L345" s="151">
        <f t="shared" si="1824"/>
        <v>0.29487490774896896</v>
      </c>
      <c r="M345" s="151">
        <f t="shared" si="1824"/>
        <v>0.25729667530472111</v>
      </c>
      <c r="N345" s="151">
        <f t="shared" si="1824"/>
        <v>0.1413174287571185</v>
      </c>
      <c r="O345" s="151">
        <f t="shared" si="1824"/>
        <v>0.12301541474818461</v>
      </c>
      <c r="P345" s="151">
        <f t="shared" si="1824"/>
        <v>8.4882186158815792E-2</v>
      </c>
      <c r="Q345" s="151">
        <f t="shared" si="1824"/>
        <v>0</v>
      </c>
      <c r="R345" s="151">
        <f t="shared" si="1824"/>
        <v>0</v>
      </c>
      <c r="S345" s="151">
        <f t="shared" si="1824"/>
        <v>0</v>
      </c>
      <c r="T345" s="151">
        <f t="shared" si="1824"/>
        <v>0</v>
      </c>
      <c r="U345" s="151">
        <f t="shared" si="1824"/>
        <v>0</v>
      </c>
      <c r="V345" s="151">
        <f t="shared" si="1824"/>
        <v>0</v>
      </c>
      <c r="W345" s="151">
        <f t="shared" si="1824"/>
        <v>0</v>
      </c>
      <c r="X345" s="151">
        <f t="shared" si="1824"/>
        <v>0</v>
      </c>
      <c r="Y345" s="156">
        <f t="shared" si="1824"/>
        <v>0</v>
      </c>
    </row>
    <row r="346" spans="2:25" ht="15" customHeight="1" x14ac:dyDescent="0.2">
      <c r="B346" s="247"/>
      <c r="C346" s="96">
        <f>E346/SUM(E345:E347)</f>
        <v>0.60038517360975008</v>
      </c>
      <c r="D346" s="79" t="s">
        <v>1</v>
      </c>
      <c r="E346" s="152">
        <f>SUM(E352,E358,E364,E370,E376,E382,E388,E394,E400,E406,E412,E418,E424,E430,E436,E442,E448,E454,E460)</f>
        <v>0.58379462701110529</v>
      </c>
      <c r="F346" s="152">
        <f t="shared" ref="F346:Y346" si="1825">SUM(F352,F358,F364,F370,F376,F382,F388,F394,F400,F406,F412,F418,F424,F430,F436,F442,F448,F454,F460)</f>
        <v>0.38705623212196316</v>
      </c>
      <c r="G346" s="152">
        <f t="shared" si="1825"/>
        <v>0.30710299127596008</v>
      </c>
      <c r="H346" s="152">
        <f t="shared" si="1825"/>
        <v>0.44643853793102417</v>
      </c>
      <c r="I346" s="152">
        <f t="shared" si="1825"/>
        <v>0.49937799470489547</v>
      </c>
      <c r="J346" s="152">
        <f t="shared" si="1825"/>
        <v>0.49420514401024312</v>
      </c>
      <c r="K346" s="152">
        <f t="shared" si="1825"/>
        <v>0.51977584026229695</v>
      </c>
      <c r="L346" s="152">
        <f t="shared" si="1825"/>
        <v>0.46472176372125751</v>
      </c>
      <c r="M346" s="152">
        <f t="shared" si="1825"/>
        <v>0.42770760355980603</v>
      </c>
      <c r="N346" s="152">
        <f t="shared" si="1825"/>
        <v>0.27339545164658824</v>
      </c>
      <c r="O346" s="152">
        <f t="shared" si="1825"/>
        <v>0.27706922811589435</v>
      </c>
      <c r="P346" s="152">
        <f t="shared" si="1825"/>
        <v>0.10374489419410819</v>
      </c>
      <c r="Q346" s="152">
        <f t="shared" si="1825"/>
        <v>0</v>
      </c>
      <c r="R346" s="152">
        <f t="shared" si="1825"/>
        <v>0</v>
      </c>
      <c r="S346" s="152">
        <f t="shared" si="1825"/>
        <v>0</v>
      </c>
      <c r="T346" s="152">
        <f t="shared" si="1825"/>
        <v>0</v>
      </c>
      <c r="U346" s="152">
        <f t="shared" si="1825"/>
        <v>0</v>
      </c>
      <c r="V346" s="152">
        <f t="shared" si="1825"/>
        <v>0</v>
      </c>
      <c r="W346" s="152">
        <f t="shared" si="1825"/>
        <v>0</v>
      </c>
      <c r="X346" s="152">
        <f t="shared" si="1825"/>
        <v>0</v>
      </c>
      <c r="Y346" s="157">
        <f t="shared" si="1825"/>
        <v>0</v>
      </c>
    </row>
    <row r="347" spans="2:25" ht="15" customHeight="1" thickBot="1" x14ac:dyDescent="0.25">
      <c r="B347" s="248"/>
      <c r="C347" s="99">
        <f>E347/SUM(E345:E347)</f>
        <v>3.9258661110462376E-2</v>
      </c>
      <c r="D347" s="89" t="s">
        <v>2</v>
      </c>
      <c r="E347" s="153">
        <f t="shared" ref="E347" si="1826">SUM(E353,E359,E365,E371,E377,E383,E389,E395,E401,E407,E413,E419,E425,E431,E437,E443,E449,E455,E461)</f>
        <v>3.8173819786621009E-2</v>
      </c>
      <c r="F347" s="153">
        <f t="shared" ref="F347:Y347" si="1827">SUM(F353,F359,F365,F371,F377,F383,F389,F395,F401,F407,F413,F419,F425,F431,F437,F443,F449,F455,F461)</f>
        <v>2.388942038200375E-2</v>
      </c>
      <c r="G347" s="153">
        <f t="shared" si="1827"/>
        <v>2.0942334155027113E-2</v>
      </c>
      <c r="H347" s="153">
        <f t="shared" si="1827"/>
        <v>1.8902948199637008E-2</v>
      </c>
      <c r="I347" s="153">
        <f t="shared" si="1827"/>
        <v>4.610621265982269E-2</v>
      </c>
      <c r="J347" s="153">
        <f t="shared" si="1827"/>
        <v>3.6450127908044042E-2</v>
      </c>
      <c r="K347" s="153">
        <f t="shared" si="1827"/>
        <v>1.9833184597894168E-2</v>
      </c>
      <c r="L347" s="153">
        <f t="shared" si="1827"/>
        <v>1.5259136040082763E-2</v>
      </c>
      <c r="M347" s="153">
        <f t="shared" si="1827"/>
        <v>2.4434422334973751E-2</v>
      </c>
      <c r="N347" s="153">
        <f t="shared" si="1827"/>
        <v>3.2430781276370849E-2</v>
      </c>
      <c r="O347" s="153">
        <f t="shared" si="1827"/>
        <v>2.5708173080924449E-2</v>
      </c>
      <c r="P347" s="153">
        <f t="shared" si="1827"/>
        <v>0</v>
      </c>
      <c r="Q347" s="153">
        <f t="shared" si="1827"/>
        <v>0</v>
      </c>
      <c r="R347" s="153">
        <f t="shared" si="1827"/>
        <v>0</v>
      </c>
      <c r="S347" s="153">
        <f t="shared" si="1827"/>
        <v>0</v>
      </c>
      <c r="T347" s="153">
        <f t="shared" si="1827"/>
        <v>0</v>
      </c>
      <c r="U347" s="153">
        <f t="shared" si="1827"/>
        <v>0</v>
      </c>
      <c r="V347" s="153">
        <f t="shared" si="1827"/>
        <v>0</v>
      </c>
      <c r="W347" s="153">
        <f t="shared" si="1827"/>
        <v>0</v>
      </c>
      <c r="X347" s="153">
        <f t="shared" si="1827"/>
        <v>0</v>
      </c>
      <c r="Y347" s="158">
        <f t="shared" si="1827"/>
        <v>0</v>
      </c>
    </row>
    <row r="348" spans="2:25" ht="15" customHeight="1" x14ac:dyDescent="0.2">
      <c r="B348" s="249" t="s">
        <v>81</v>
      </c>
      <c r="C348" s="91">
        <f>E348/SUM(E348:E350)</f>
        <v>0.43641618497109824</v>
      </c>
      <c r="D348" s="67" t="s">
        <v>0</v>
      </c>
      <c r="E348" s="68">
        <f t="shared" si="1820"/>
        <v>151</v>
      </c>
      <c r="F348" s="68">
        <f>SUMIFS([0]!Chavez,[0]!Centro,$B350,[0]!Turno,F$341)</f>
        <v>26</v>
      </c>
      <c r="G348" s="68">
        <f>SUMIFS([0]!Chavez,[0]!Centro,$B350,[0]!Turno,G$341)</f>
        <v>21</v>
      </c>
      <c r="H348" s="68">
        <f>SUMIFS([0]!Chavez,[0]!Centro,$B350,[0]!Turno,H$341)</f>
        <v>28</v>
      </c>
      <c r="I348" s="68">
        <f>SUMIFS([0]!Chavez,[0]!Centro,$B350,[0]!Turno,I$341)</f>
        <v>15</v>
      </c>
      <c r="J348" s="68">
        <f>SUMIFS([0]!Chavez,[0]!Centro,$B350,[0]!Turno,J$341)</f>
        <v>1</v>
      </c>
      <c r="K348" s="68">
        <f>SUMIFS([0]!Chavez,[0]!Centro,$B350,[0]!Turno,K$341)</f>
        <v>13</v>
      </c>
      <c r="L348" s="68">
        <f>SUMIFS([0]!Chavez,[0]!Centro,$B350,[0]!Turno,L$341)</f>
        <v>15</v>
      </c>
      <c r="M348" s="68">
        <f>SUMIFS([0]!Chavez,[0]!Centro,$B350,[0]!Turno,M$341)</f>
        <v>18</v>
      </c>
      <c r="N348" s="68">
        <f>SUMIFS([0]!Chavez,[0]!Centro,$B350,[0]!Turno,N$341)</f>
        <v>6</v>
      </c>
      <c r="O348" s="68">
        <f>SUMIFS([0]!Chavez,[0]!Centro,$B350,[0]!Turno,O$341)</f>
        <v>8</v>
      </c>
      <c r="P348" s="68">
        <f>SUMIFS([0]!Chavez,[0]!Centro,$B350,[0]!Turno,P$341)</f>
        <v>0</v>
      </c>
      <c r="Q348" s="68">
        <f>SUMIFS([0]!Chavez,[0]!Centro,$B350,[0]!Turno,Q$341)</f>
        <v>0</v>
      </c>
      <c r="R348" s="68">
        <f>SUMIFS([0]!Chavez,[0]!Centro,$B350,[0]!Turno,R$341)</f>
        <v>0</v>
      </c>
      <c r="S348" s="68">
        <f>SUMIFS([0]!Chavez,[0]!Centro,$B350,[0]!Turno,S$341)</f>
        <v>0</v>
      </c>
      <c r="T348" s="68">
        <f>SUMIFS([0]!Chavez,[0]!Centro,$B350,[0]!Turno,T$341)</f>
        <v>0</v>
      </c>
      <c r="U348" s="68">
        <f>SUMIFS([0]!Chavez,[0]!Centro,$B350,[0]!Turno,U$341)</f>
        <v>0</v>
      </c>
      <c r="V348" s="68">
        <f>SUMIFS([0]!Chavez,[0]!Centro,$B350,[0]!Turno,V$341)</f>
        <v>0</v>
      </c>
      <c r="W348" s="68">
        <f>SUMIFS([0]!Chavez,[0]!Centro,$B350,[0]!Turno,W$341)</f>
        <v>0</v>
      </c>
      <c r="X348" s="68">
        <f>SUMIFS([0]!Chavez,[0]!Centro,$B350,[0]!Turno,X$341)</f>
        <v>0</v>
      </c>
      <c r="Y348" s="69">
        <f>SUMIFS([0]!Chavez,[0]!Centro,$B350,[0]!Turno,Y$341)</f>
        <v>0</v>
      </c>
    </row>
    <row r="349" spans="2:25" ht="15" customHeight="1" x14ac:dyDescent="0.2">
      <c r="B349" s="250"/>
      <c r="C349" s="92">
        <f>E349/SUM(E348:E350)</f>
        <v>0.53468208092485547</v>
      </c>
      <c r="D349" s="61" t="s">
        <v>1</v>
      </c>
      <c r="E349" s="62">
        <f t="shared" si="1820"/>
        <v>185</v>
      </c>
      <c r="F349" s="62">
        <f>SUMIFS([0]!Capriles,[0]!Centro,$B350,[0]!Turno,F$341)</f>
        <v>4</v>
      </c>
      <c r="G349" s="62">
        <f>SUMIFS([0]!Capriles,[0]!Centro,$B350,[0]!Turno,G$341)</f>
        <v>0</v>
      </c>
      <c r="H349" s="62">
        <f>SUMIFS([0]!Capriles,[0]!Centro,$B350,[0]!Turno,H$341)</f>
        <v>6</v>
      </c>
      <c r="I349" s="62">
        <f>SUMIFS([0]!Capriles,[0]!Centro,$B350,[0]!Turno,I$341)</f>
        <v>25</v>
      </c>
      <c r="J349" s="62">
        <f>SUMIFS([0]!Capriles,[0]!Centro,$B350,[0]!Turno,J$341)</f>
        <v>10</v>
      </c>
      <c r="K349" s="62">
        <f>SUMIFS([0]!Capriles,[0]!Centro,$B350,[0]!Turno,K$341)</f>
        <v>40</v>
      </c>
      <c r="L349" s="62">
        <f>SUMIFS([0]!Capriles,[0]!Centro,$B350,[0]!Turno,L$341)</f>
        <v>36</v>
      </c>
      <c r="M349" s="62">
        <f>SUMIFS([0]!Capriles,[0]!Centro,$B350,[0]!Turno,M$341)</f>
        <v>18</v>
      </c>
      <c r="N349" s="62">
        <f>SUMIFS([0]!Capriles,[0]!Centro,$B350,[0]!Turno,N$341)</f>
        <v>19</v>
      </c>
      <c r="O349" s="62">
        <f>SUMIFS([0]!Capriles,[0]!Centro,$B350,[0]!Turno,O$341)</f>
        <v>27</v>
      </c>
      <c r="P349" s="62">
        <f>SUMIFS([0]!Capriles,[0]!Centro,$B350,[0]!Turno,P$341)</f>
        <v>0</v>
      </c>
      <c r="Q349" s="62">
        <f>SUMIFS([0]!Capriles,[0]!Centro,$B350,[0]!Turno,Q$341)</f>
        <v>0</v>
      </c>
      <c r="R349" s="62">
        <f>SUMIFS([0]!Capriles,[0]!Centro,$B350,[0]!Turno,R$341)</f>
        <v>0</v>
      </c>
      <c r="S349" s="62">
        <f>SUMIFS([0]!Capriles,[0]!Centro,$B350,[0]!Turno,S$341)</f>
        <v>0</v>
      </c>
      <c r="T349" s="62">
        <f>SUMIFS([0]!Capriles,[0]!Centro,$B350,[0]!Turno,T$341)</f>
        <v>0</v>
      </c>
      <c r="U349" s="62">
        <f>SUMIFS([0]!Capriles,[0]!Centro,$B350,[0]!Turno,U$341)</f>
        <v>0</v>
      </c>
      <c r="V349" s="62">
        <f>SUMIFS([0]!Capriles,[0]!Centro,$B350,[0]!Turno,V$341)</f>
        <v>0</v>
      </c>
      <c r="W349" s="62">
        <f>SUMIFS([0]!Capriles,[0]!Centro,$B350,[0]!Turno,W$341)</f>
        <v>0</v>
      </c>
      <c r="X349" s="62">
        <f>SUMIFS([0]!Capriles,[0]!Centro,$B350,[0]!Turno,X$341)</f>
        <v>0</v>
      </c>
      <c r="Y349" s="70">
        <f>SUMIFS([0]!Capriles,[0]!Centro,$B350,[0]!Turno,Y$341)</f>
        <v>0</v>
      </c>
    </row>
    <row r="350" spans="2:25" ht="15" customHeight="1" thickBot="1" x14ac:dyDescent="0.25">
      <c r="B350" s="251">
        <v>9</v>
      </c>
      <c r="C350" s="100">
        <f>E350/SUM(E348:E350)</f>
        <v>2.8901734104046242E-2</v>
      </c>
      <c r="D350" s="71" t="s">
        <v>2</v>
      </c>
      <c r="E350" s="72">
        <f t="shared" si="1820"/>
        <v>10</v>
      </c>
      <c r="F350" s="72">
        <f>SUMIFS([0]!Otro,[0]!Centro,$B350,[0]!Turno,F$341)</f>
        <v>1</v>
      </c>
      <c r="G350" s="72">
        <f>SUMIFS([0]!Otro,[0]!Centro,$B350,[0]!Turno,G$341)</f>
        <v>0</v>
      </c>
      <c r="H350" s="72">
        <f>SUMIFS([0]!Otro,[0]!Centro,$B350,[0]!Turno,H$341)</f>
        <v>0</v>
      </c>
      <c r="I350" s="72">
        <f>SUMIFS([0]!Otro,[0]!Centro,$B350,[0]!Turno,I$341)</f>
        <v>0</v>
      </c>
      <c r="J350" s="72">
        <f>SUMIFS([0]!Otro,[0]!Centro,$B350,[0]!Turno,J$341)</f>
        <v>1</v>
      </c>
      <c r="K350" s="72">
        <f>SUMIFS([0]!Otro,[0]!Centro,$B350,[0]!Turno,K$341)</f>
        <v>1</v>
      </c>
      <c r="L350" s="72">
        <f>SUMIFS([0]!Otro,[0]!Centro,$B350,[0]!Turno,L$341)</f>
        <v>2</v>
      </c>
      <c r="M350" s="72">
        <f>SUMIFS([0]!Otro,[0]!Centro,$B350,[0]!Turno,M$341)</f>
        <v>3</v>
      </c>
      <c r="N350" s="72">
        <f>SUMIFS([0]!Otro,[0]!Centro,$B350,[0]!Turno,N$341)</f>
        <v>1</v>
      </c>
      <c r="O350" s="72">
        <f>SUMIFS([0]!Otro,[0]!Centro,$B350,[0]!Turno,O$341)</f>
        <v>1</v>
      </c>
      <c r="P350" s="72">
        <f>SUMIFS([0]!Otro,[0]!Centro,$B350,[0]!Turno,P$341)</f>
        <v>0</v>
      </c>
      <c r="Q350" s="72">
        <f>SUMIFS([0]!Otro,[0]!Centro,$B350,[0]!Turno,Q$341)</f>
        <v>0</v>
      </c>
      <c r="R350" s="72">
        <f>SUMIFS([0]!Otro,[0]!Centro,$B350,[0]!Turno,R$341)</f>
        <v>0</v>
      </c>
      <c r="S350" s="72">
        <f>SUMIFS([0]!Otro,[0]!Centro,$B350,[0]!Turno,S$341)</f>
        <v>0</v>
      </c>
      <c r="T350" s="72">
        <f>SUMIFS([0]!Otro,[0]!Centro,$B350,[0]!Turno,T$341)</f>
        <v>0</v>
      </c>
      <c r="U350" s="72">
        <f>SUMIFS([0]!Otro,[0]!Centro,$B350,[0]!Turno,U$341)</f>
        <v>0</v>
      </c>
      <c r="V350" s="72">
        <f>SUMIFS([0]!Otro,[0]!Centro,$B350,[0]!Turno,V$341)</f>
        <v>0</v>
      </c>
      <c r="W350" s="72">
        <f>SUMIFS([0]!Otro,[0]!Centro,$B350,[0]!Turno,W$341)</f>
        <v>0</v>
      </c>
      <c r="X350" s="72">
        <f>SUMIFS([0]!Otro,[0]!Centro,$B350,[0]!Turno,X$341)</f>
        <v>0</v>
      </c>
      <c r="Y350" s="73">
        <f>SUMIFS([0]!Otro,[0]!Centro,$B350,[0]!Turno,Y$341)</f>
        <v>0</v>
      </c>
    </row>
    <row r="351" spans="2:25" ht="15" customHeight="1" x14ac:dyDescent="0.2">
      <c r="B351" s="251"/>
      <c r="C351" s="94">
        <f>E351/SUM(E351:E353)</f>
        <v>0.4364161849710983</v>
      </c>
      <c r="D351" s="63" t="s">
        <v>0</v>
      </c>
      <c r="E351" s="150">
        <f>IF((E348+E349+E350)=0,0,(E348*$B352)/(E348+E349+E350))</f>
        <v>2.0431874574769533E-2</v>
      </c>
      <c r="F351" s="150">
        <f>IF((F348+F349+F350)=0,0,(F348*$B352)/(F348+F349+F350))</f>
        <v>3.9266213132797843E-2</v>
      </c>
      <c r="G351" s="150">
        <f t="shared" ref="G351:Y351" si="1828">IF((G348+G349+G350)=0,0,(G348*$B352)/(G348+G349+G350))</f>
        <v>4.68174079660282E-2</v>
      </c>
      <c r="H351" s="150">
        <f t="shared" si="1828"/>
        <v>3.8555512442611461E-2</v>
      </c>
      <c r="I351" s="150">
        <f t="shared" si="1828"/>
        <v>1.7556527987260574E-2</v>
      </c>
      <c r="J351" s="150">
        <f t="shared" si="1828"/>
        <v>3.9014506638356834E-3</v>
      </c>
      <c r="K351" s="150">
        <f t="shared" si="1828"/>
        <v>1.1270857473303085E-2</v>
      </c>
      <c r="L351" s="150">
        <f t="shared" si="1828"/>
        <v>1.3250209801706095E-2</v>
      </c>
      <c r="M351" s="150">
        <f t="shared" si="1828"/>
        <v>2.1608034445859167E-2</v>
      </c>
      <c r="N351" s="150">
        <f t="shared" si="1828"/>
        <v>1.0804017222929584E-2</v>
      </c>
      <c r="O351" s="150">
        <f t="shared" si="1828"/>
        <v>1.0403868436895156E-2</v>
      </c>
      <c r="P351" s="150">
        <f t="shared" si="1828"/>
        <v>0</v>
      </c>
      <c r="Q351" s="150">
        <f t="shared" si="1828"/>
        <v>0</v>
      </c>
      <c r="R351" s="150">
        <f t="shared" si="1828"/>
        <v>0</v>
      </c>
      <c r="S351" s="150">
        <f t="shared" si="1828"/>
        <v>0</v>
      </c>
      <c r="T351" s="150">
        <f t="shared" si="1828"/>
        <v>0</v>
      </c>
      <c r="U351" s="150">
        <f t="shared" si="1828"/>
        <v>0</v>
      </c>
      <c r="V351" s="150">
        <f t="shared" si="1828"/>
        <v>0</v>
      </c>
      <c r="W351" s="150">
        <f t="shared" si="1828"/>
        <v>0</v>
      </c>
      <c r="X351" s="150">
        <f t="shared" si="1828"/>
        <v>0</v>
      </c>
      <c r="Y351" s="163">
        <f t="shared" si="1828"/>
        <v>0</v>
      </c>
    </row>
    <row r="352" spans="2:25" ht="15" customHeight="1" x14ac:dyDescent="0.2">
      <c r="B352" s="252">
        <v>4.68174079660282E-2</v>
      </c>
      <c r="C352" s="92">
        <f>E352/SUM(E351:E353)</f>
        <v>0.53468208092485547</v>
      </c>
      <c r="D352" s="61" t="s">
        <v>1</v>
      </c>
      <c r="E352" s="154">
        <f>IF((E348+E349+E350)=0,0,(E349*$B352)/(E348+E349+E350))</f>
        <v>2.5032429114783861E-2</v>
      </c>
      <c r="F352" s="154">
        <f>IF((F348+F349+F350)=0,0,(F349*$B352)/(F348+F349+F350))</f>
        <v>6.0409558665842841E-3</v>
      </c>
      <c r="G352" s="154">
        <f t="shared" ref="G352:O352" si="1829">IF((G348+G349+G350)=0,0,(G349*$B352)/(G348+G349+G350))</f>
        <v>0</v>
      </c>
      <c r="H352" s="154">
        <f t="shared" si="1829"/>
        <v>8.2618955234167405E-3</v>
      </c>
      <c r="I352" s="154">
        <f t="shared" si="1829"/>
        <v>2.9260879978767623E-2</v>
      </c>
      <c r="J352" s="154">
        <f t="shared" si="1829"/>
        <v>3.9014506638356837E-2</v>
      </c>
      <c r="K352" s="154">
        <f t="shared" si="1829"/>
        <v>3.4679561456317183E-2</v>
      </c>
      <c r="L352" s="154">
        <f t="shared" si="1829"/>
        <v>3.1800503524094623E-2</v>
      </c>
      <c r="M352" s="154">
        <f t="shared" si="1829"/>
        <v>2.1608034445859167E-2</v>
      </c>
      <c r="N352" s="154">
        <f t="shared" si="1829"/>
        <v>3.4212721205943687E-2</v>
      </c>
      <c r="O352" s="154">
        <f t="shared" si="1829"/>
        <v>3.5113055974521155E-2</v>
      </c>
      <c r="P352" s="154">
        <f>IF((P348+P349+P350)=0,0,(P349*$B352)/(P348+P349+P350))</f>
        <v>0</v>
      </c>
      <c r="Q352" s="154">
        <f t="shared" ref="Q352:Y352" si="1830">IF((Q348+Q349+Q350)=0,0,(Q349*$B352)/(Q348+Q349+Q350))</f>
        <v>0</v>
      </c>
      <c r="R352" s="154">
        <f t="shared" si="1830"/>
        <v>0</v>
      </c>
      <c r="S352" s="154">
        <f t="shared" si="1830"/>
        <v>0</v>
      </c>
      <c r="T352" s="154">
        <f t="shared" si="1830"/>
        <v>0</v>
      </c>
      <c r="U352" s="154">
        <f t="shared" si="1830"/>
        <v>0</v>
      </c>
      <c r="V352" s="154">
        <f t="shared" si="1830"/>
        <v>0</v>
      </c>
      <c r="W352" s="154">
        <f t="shared" si="1830"/>
        <v>0</v>
      </c>
      <c r="X352" s="154">
        <f t="shared" si="1830"/>
        <v>0</v>
      </c>
      <c r="Y352" s="159">
        <f t="shared" si="1830"/>
        <v>0</v>
      </c>
    </row>
    <row r="353" spans="2:25" ht="15" customHeight="1" thickBot="1" x14ac:dyDescent="0.25">
      <c r="B353" s="253"/>
      <c r="C353" s="93">
        <f>E353/SUM(E351:E353)</f>
        <v>2.8901734104046242E-2</v>
      </c>
      <c r="D353" s="75" t="s">
        <v>2</v>
      </c>
      <c r="E353" s="155">
        <f>IF((E348+E349+E350)=0,0,(E350*$B352)/(E348+E349+E350))</f>
        <v>1.3531042764748035E-3</v>
      </c>
      <c r="F353" s="155">
        <f>IF((F348+F349+F350)=0,0,(F350*$B352)/(F348+F349+F350))</f>
        <v>1.510238966646071E-3</v>
      </c>
      <c r="G353" s="155">
        <f t="shared" ref="G353:Y353" si="1831">IF((G348+G349+G350)=0,0,(G350*$B352)/(G348+G349+G350))</f>
        <v>0</v>
      </c>
      <c r="H353" s="155">
        <f t="shared" si="1831"/>
        <v>0</v>
      </c>
      <c r="I353" s="155">
        <f t="shared" si="1831"/>
        <v>0</v>
      </c>
      <c r="J353" s="155">
        <f t="shared" si="1831"/>
        <v>3.9014506638356834E-3</v>
      </c>
      <c r="K353" s="155">
        <f t="shared" si="1831"/>
        <v>8.669890364079296E-4</v>
      </c>
      <c r="L353" s="155">
        <f t="shared" si="1831"/>
        <v>1.7666946402274792E-3</v>
      </c>
      <c r="M353" s="155">
        <f t="shared" si="1831"/>
        <v>3.6013390743098615E-3</v>
      </c>
      <c r="N353" s="155">
        <f t="shared" si="1831"/>
        <v>1.8006695371549307E-3</v>
      </c>
      <c r="O353" s="155">
        <f t="shared" si="1831"/>
        <v>1.3004835546118945E-3</v>
      </c>
      <c r="P353" s="155">
        <f t="shared" si="1831"/>
        <v>0</v>
      </c>
      <c r="Q353" s="155">
        <f t="shared" si="1831"/>
        <v>0</v>
      </c>
      <c r="R353" s="155">
        <f t="shared" si="1831"/>
        <v>0</v>
      </c>
      <c r="S353" s="155">
        <f t="shared" si="1831"/>
        <v>0</v>
      </c>
      <c r="T353" s="155">
        <f t="shared" si="1831"/>
        <v>0</v>
      </c>
      <c r="U353" s="155">
        <f t="shared" si="1831"/>
        <v>0</v>
      </c>
      <c r="V353" s="155">
        <f t="shared" si="1831"/>
        <v>0</v>
      </c>
      <c r="W353" s="155">
        <f t="shared" si="1831"/>
        <v>0</v>
      </c>
      <c r="X353" s="155">
        <f t="shared" si="1831"/>
        <v>0</v>
      </c>
      <c r="Y353" s="160">
        <f t="shared" si="1831"/>
        <v>0</v>
      </c>
    </row>
    <row r="354" spans="2:25" ht="15" customHeight="1" x14ac:dyDescent="0.2">
      <c r="B354" s="249" t="s">
        <v>82</v>
      </c>
      <c r="C354" s="91">
        <f>E354/SUM(E354:E356)</f>
        <v>0.41242937853107342</v>
      </c>
      <c r="D354" s="67" t="s">
        <v>0</v>
      </c>
      <c r="E354" s="68">
        <f t="shared" si="1820"/>
        <v>73</v>
      </c>
      <c r="F354" s="68">
        <f>SUMIFS([0]!Chavez,[0]!Centro,$B356,[0]!Turno,F$341)</f>
        <v>0</v>
      </c>
      <c r="G354" s="68">
        <f>SUMIFS([0]!Chavez,[0]!Centro,$B356,[0]!Turno,G$341)</f>
        <v>9</v>
      </c>
      <c r="H354" s="68">
        <f>SUMIFS([0]!Chavez,[0]!Centro,$B356,[0]!Turno,H$341)</f>
        <v>21</v>
      </c>
      <c r="I354" s="68">
        <f>SUMIFS([0]!Chavez,[0]!Centro,$B356,[0]!Turno,I$341)</f>
        <v>2</v>
      </c>
      <c r="J354" s="68">
        <f>SUMIFS([0]!Chavez,[0]!Centro,$B356,[0]!Turno,J$341)</f>
        <v>5</v>
      </c>
      <c r="K354" s="68">
        <f>SUMIFS([0]!Chavez,[0]!Centro,$B356,[0]!Turno,K$341)</f>
        <v>3</v>
      </c>
      <c r="L354" s="68">
        <f>SUMIFS([0]!Chavez,[0]!Centro,$B356,[0]!Turno,L$341)</f>
        <v>10</v>
      </c>
      <c r="M354" s="68">
        <f>SUMIFS([0]!Chavez,[0]!Centro,$B356,[0]!Turno,M$341)</f>
        <v>23</v>
      </c>
      <c r="N354" s="68">
        <f>SUMIFS([0]!Chavez,[0]!Centro,$B356,[0]!Turno,N$341)</f>
        <v>0</v>
      </c>
      <c r="O354" s="68">
        <f>SUMIFS([0]!Chavez,[0]!Centro,$B356,[0]!Turno,O$341)</f>
        <v>0</v>
      </c>
      <c r="P354" s="68">
        <f>SUMIFS([0]!Chavez,[0]!Centro,$B356,[0]!Turno,P$341)</f>
        <v>0</v>
      </c>
      <c r="Q354" s="68">
        <f>SUMIFS([0]!Chavez,[0]!Centro,$B356,[0]!Turno,Q$341)</f>
        <v>0</v>
      </c>
      <c r="R354" s="68">
        <f>SUMIFS([0]!Chavez,[0]!Centro,$B356,[0]!Turno,R$341)</f>
        <v>0</v>
      </c>
      <c r="S354" s="68">
        <f>SUMIFS([0]!Chavez,[0]!Centro,$B356,[0]!Turno,S$341)</f>
        <v>0</v>
      </c>
      <c r="T354" s="68">
        <f>SUMIFS([0]!Chavez,[0]!Centro,$B356,[0]!Turno,T$341)</f>
        <v>0</v>
      </c>
      <c r="U354" s="68">
        <f>SUMIFS([0]!Chavez,[0]!Centro,$B356,[0]!Turno,U$341)</f>
        <v>0</v>
      </c>
      <c r="V354" s="68">
        <f>SUMIFS([0]!Chavez,[0]!Centro,$B356,[0]!Turno,V$341)</f>
        <v>0</v>
      </c>
      <c r="W354" s="68">
        <f>SUMIFS([0]!Chavez,[0]!Centro,$B356,[0]!Turno,W$341)</f>
        <v>0</v>
      </c>
      <c r="X354" s="68">
        <f>SUMIFS([0]!Chavez,[0]!Centro,$B356,[0]!Turno,X$341)</f>
        <v>0</v>
      </c>
      <c r="Y354" s="69">
        <f>SUMIFS([0]!Chavez,[0]!Centro,$B356,[0]!Turno,Y$341)</f>
        <v>0</v>
      </c>
    </row>
    <row r="355" spans="2:25" ht="15" customHeight="1" x14ac:dyDescent="0.2">
      <c r="B355" s="250"/>
      <c r="C355" s="92">
        <f>E355/SUM(E354:E356)</f>
        <v>0.57062146892655363</v>
      </c>
      <c r="D355" s="61" t="s">
        <v>1</v>
      </c>
      <c r="E355" s="62">
        <f t="shared" si="1820"/>
        <v>101</v>
      </c>
      <c r="F355" s="62">
        <f>SUMIFS([0]!Capriles,[0]!Centro,$B356,[0]!Turno,F$341)</f>
        <v>0</v>
      </c>
      <c r="G355" s="62">
        <f>SUMIFS([0]!Capriles,[0]!Centro,$B356,[0]!Turno,G$341)</f>
        <v>21</v>
      </c>
      <c r="H355" s="62">
        <f>SUMIFS([0]!Capriles,[0]!Centro,$B356,[0]!Turno,H$341)</f>
        <v>39</v>
      </c>
      <c r="I355" s="62">
        <f>SUMIFS([0]!Capriles,[0]!Centro,$B356,[0]!Turno,I$341)</f>
        <v>3</v>
      </c>
      <c r="J355" s="62">
        <f>SUMIFS([0]!Capriles,[0]!Centro,$B356,[0]!Turno,J$341)</f>
        <v>12</v>
      </c>
      <c r="K355" s="62">
        <f>SUMIFS([0]!Capriles,[0]!Centro,$B356,[0]!Turno,K$341)</f>
        <v>6</v>
      </c>
      <c r="L355" s="62">
        <f>SUMIFS([0]!Capriles,[0]!Centro,$B356,[0]!Turno,L$341)</f>
        <v>9</v>
      </c>
      <c r="M355" s="62">
        <f>SUMIFS([0]!Capriles,[0]!Centro,$B356,[0]!Turno,M$341)</f>
        <v>11</v>
      </c>
      <c r="N355" s="62">
        <f>SUMIFS([0]!Capriles,[0]!Centro,$B356,[0]!Turno,N$341)</f>
        <v>0</v>
      </c>
      <c r="O355" s="62">
        <f>SUMIFS([0]!Capriles,[0]!Centro,$B356,[0]!Turno,O$341)</f>
        <v>0</v>
      </c>
      <c r="P355" s="62">
        <f>SUMIFS([0]!Capriles,[0]!Centro,$B356,[0]!Turno,P$341)</f>
        <v>0</v>
      </c>
      <c r="Q355" s="62">
        <f>SUMIFS([0]!Capriles,[0]!Centro,$B356,[0]!Turno,Q$341)</f>
        <v>0</v>
      </c>
      <c r="R355" s="62">
        <f>SUMIFS([0]!Capriles,[0]!Centro,$B356,[0]!Turno,R$341)</f>
        <v>0</v>
      </c>
      <c r="S355" s="62">
        <f>SUMIFS([0]!Capriles,[0]!Centro,$B356,[0]!Turno,S$341)</f>
        <v>0</v>
      </c>
      <c r="T355" s="62">
        <f>SUMIFS([0]!Capriles,[0]!Centro,$B356,[0]!Turno,T$341)</f>
        <v>0</v>
      </c>
      <c r="U355" s="62">
        <f>SUMIFS([0]!Capriles,[0]!Centro,$B356,[0]!Turno,U$341)</f>
        <v>0</v>
      </c>
      <c r="V355" s="62">
        <f>SUMIFS([0]!Capriles,[0]!Centro,$B356,[0]!Turno,V$341)</f>
        <v>0</v>
      </c>
      <c r="W355" s="62">
        <f>SUMIFS([0]!Capriles,[0]!Centro,$B356,[0]!Turno,W$341)</f>
        <v>0</v>
      </c>
      <c r="X355" s="62">
        <f>SUMIFS([0]!Capriles,[0]!Centro,$B356,[0]!Turno,X$341)</f>
        <v>0</v>
      </c>
      <c r="Y355" s="70">
        <f>SUMIFS([0]!Capriles,[0]!Centro,$B356,[0]!Turno,Y$341)</f>
        <v>0</v>
      </c>
    </row>
    <row r="356" spans="2:25" ht="15" customHeight="1" thickBot="1" x14ac:dyDescent="0.25">
      <c r="B356" s="251">
        <v>1</v>
      </c>
      <c r="C356" s="100">
        <f>E356/SUM(E354:E356)</f>
        <v>1.6949152542372881E-2</v>
      </c>
      <c r="D356" s="71" t="s">
        <v>2</v>
      </c>
      <c r="E356" s="72">
        <f t="shared" si="1820"/>
        <v>3</v>
      </c>
      <c r="F356" s="72">
        <f>SUMIFS([0]!Otro,[0]!Centro,$B356,[0]!Turno,F$341)</f>
        <v>0</v>
      </c>
      <c r="G356" s="72">
        <f>SUMIFS([0]!Otro,[0]!Centro,$B356,[0]!Turno,G$341)</f>
        <v>2</v>
      </c>
      <c r="H356" s="72">
        <f>SUMIFS([0]!Otro,[0]!Centro,$B356,[0]!Turno,H$341)</f>
        <v>0</v>
      </c>
      <c r="I356" s="72">
        <f>SUMIFS([0]!Otro,[0]!Centro,$B356,[0]!Turno,I$341)</f>
        <v>0</v>
      </c>
      <c r="J356" s="72">
        <f>SUMIFS([0]!Otro,[0]!Centro,$B356,[0]!Turno,J$341)</f>
        <v>0</v>
      </c>
      <c r="K356" s="72">
        <f>SUMIFS([0]!Otro,[0]!Centro,$B356,[0]!Turno,K$341)</f>
        <v>1</v>
      </c>
      <c r="L356" s="72">
        <f>SUMIFS([0]!Otro,[0]!Centro,$B356,[0]!Turno,L$341)</f>
        <v>0</v>
      </c>
      <c r="M356" s="72">
        <f>SUMIFS([0]!Otro,[0]!Centro,$B356,[0]!Turno,M$341)</f>
        <v>0</v>
      </c>
      <c r="N356" s="72">
        <f>SUMIFS([0]!Otro,[0]!Centro,$B356,[0]!Turno,N$341)</f>
        <v>0</v>
      </c>
      <c r="O356" s="72">
        <f>SUMIFS([0]!Otro,[0]!Centro,$B356,[0]!Turno,O$341)</f>
        <v>0</v>
      </c>
      <c r="P356" s="72">
        <f>SUMIFS([0]!Otro,[0]!Centro,$B356,[0]!Turno,P$341)</f>
        <v>0</v>
      </c>
      <c r="Q356" s="72">
        <f>SUMIFS([0]!Otro,[0]!Centro,$B356,[0]!Turno,Q$341)</f>
        <v>0</v>
      </c>
      <c r="R356" s="72">
        <f>SUMIFS([0]!Otro,[0]!Centro,$B356,[0]!Turno,R$341)</f>
        <v>0</v>
      </c>
      <c r="S356" s="72">
        <f>SUMIFS([0]!Otro,[0]!Centro,$B356,[0]!Turno,S$341)</f>
        <v>0</v>
      </c>
      <c r="T356" s="72">
        <f>SUMIFS([0]!Otro,[0]!Centro,$B356,[0]!Turno,T$341)</f>
        <v>0</v>
      </c>
      <c r="U356" s="72">
        <f>SUMIFS([0]!Otro,[0]!Centro,$B356,[0]!Turno,U$341)</f>
        <v>0</v>
      </c>
      <c r="V356" s="72">
        <f>SUMIFS([0]!Otro,[0]!Centro,$B356,[0]!Turno,V$341)</f>
        <v>0</v>
      </c>
      <c r="W356" s="72">
        <f>SUMIFS([0]!Otro,[0]!Centro,$B356,[0]!Turno,W$341)</f>
        <v>0</v>
      </c>
      <c r="X356" s="72">
        <f>SUMIFS([0]!Otro,[0]!Centro,$B356,[0]!Turno,X$341)</f>
        <v>0</v>
      </c>
      <c r="Y356" s="73">
        <f>SUMIFS([0]!Otro,[0]!Centro,$B356,[0]!Turno,Y$341)</f>
        <v>0</v>
      </c>
    </row>
    <row r="357" spans="2:25" ht="15" customHeight="1" x14ac:dyDescent="0.2">
      <c r="B357" s="251"/>
      <c r="C357" s="94">
        <f>E357/SUM(E357:E359)</f>
        <v>0.41242937853107348</v>
      </c>
      <c r="D357" s="63" t="s">
        <v>0</v>
      </c>
      <c r="E357" s="150">
        <f>IF((E354+E355+E356)=0,0,(E354*$B358)/(E354+E355+E356))</f>
        <v>9.4005417154586317E-3</v>
      </c>
      <c r="F357" s="150">
        <f>IF((F354+F355+F356)=0,0,(F354*$B358)/(F354+F355+F356))</f>
        <v>0</v>
      </c>
      <c r="G357" s="150">
        <f t="shared" ref="G357:Y357" si="1832">IF((G354+G355+G356)=0,0,(G354*$B358)/(G354+G355+G356))</f>
        <v>6.4105577708585618E-3</v>
      </c>
      <c r="H357" s="150">
        <f t="shared" si="1832"/>
        <v>7.9775830037350989E-3</v>
      </c>
      <c r="I357" s="150">
        <f t="shared" si="1832"/>
        <v>9.1172377185544003E-3</v>
      </c>
      <c r="J357" s="150">
        <f t="shared" si="1832"/>
        <v>6.7038512636429411E-3</v>
      </c>
      <c r="K357" s="150">
        <f t="shared" si="1832"/>
        <v>6.8379282889157993E-3</v>
      </c>
      <c r="L357" s="150">
        <f t="shared" si="1832"/>
        <v>1.1996365419150525E-2</v>
      </c>
      <c r="M357" s="150">
        <f t="shared" si="1832"/>
        <v>1.5418857906378765E-2</v>
      </c>
      <c r="N357" s="150">
        <f t="shared" si="1832"/>
        <v>0</v>
      </c>
      <c r="O357" s="150">
        <f t="shared" si="1832"/>
        <v>0</v>
      </c>
      <c r="P357" s="150">
        <f t="shared" si="1832"/>
        <v>0</v>
      </c>
      <c r="Q357" s="150">
        <f t="shared" si="1832"/>
        <v>0</v>
      </c>
      <c r="R357" s="150">
        <f t="shared" si="1832"/>
        <v>0</v>
      </c>
      <c r="S357" s="150">
        <f t="shared" si="1832"/>
        <v>0</v>
      </c>
      <c r="T357" s="150">
        <f t="shared" si="1832"/>
        <v>0</v>
      </c>
      <c r="U357" s="150">
        <f t="shared" si="1832"/>
        <v>0</v>
      </c>
      <c r="V357" s="150">
        <f t="shared" si="1832"/>
        <v>0</v>
      </c>
      <c r="W357" s="150">
        <f t="shared" si="1832"/>
        <v>0</v>
      </c>
      <c r="X357" s="150">
        <f t="shared" si="1832"/>
        <v>0</v>
      </c>
      <c r="Y357" s="163">
        <f t="shared" si="1832"/>
        <v>0</v>
      </c>
    </row>
    <row r="358" spans="2:25" ht="15" customHeight="1" x14ac:dyDescent="0.2">
      <c r="B358" s="252">
        <v>2.2793094296385999E-2</v>
      </c>
      <c r="C358" s="92">
        <f>E358/SUM(E357:E359)</f>
        <v>0.57062146892655374</v>
      </c>
      <c r="D358" s="61" t="s">
        <v>1</v>
      </c>
      <c r="E358" s="154">
        <f>IF((E354+E355+E356)=0,0,(E355*$B358)/(E354+E355+E356))</f>
        <v>1.3006228948785231E-2</v>
      </c>
      <c r="F358" s="154">
        <f>IF((F354+F355+F356)=0,0,(F355*$B358)/(F354+F355+F356))</f>
        <v>0</v>
      </c>
      <c r="G358" s="154">
        <f t="shared" ref="G358:O358" si="1833">IF((G354+G355+G356)=0,0,(G355*$B358)/(G354+G355+G356))</f>
        <v>1.4957968132003311E-2</v>
      </c>
      <c r="H358" s="154">
        <f t="shared" si="1833"/>
        <v>1.48155112926509E-2</v>
      </c>
      <c r="I358" s="154">
        <f t="shared" si="1833"/>
        <v>1.3675856577831599E-2</v>
      </c>
      <c r="J358" s="154">
        <f t="shared" si="1833"/>
        <v>1.6089243032743058E-2</v>
      </c>
      <c r="K358" s="154">
        <f t="shared" si="1833"/>
        <v>1.3675856577831599E-2</v>
      </c>
      <c r="L358" s="154">
        <f t="shared" si="1833"/>
        <v>1.0796728877235472E-2</v>
      </c>
      <c r="M358" s="154">
        <f t="shared" si="1833"/>
        <v>7.374236390007235E-3</v>
      </c>
      <c r="N358" s="154">
        <f t="shared" si="1833"/>
        <v>0</v>
      </c>
      <c r="O358" s="154">
        <f t="shared" si="1833"/>
        <v>0</v>
      </c>
      <c r="P358" s="154">
        <f>IF((P354+P355+P356)=0,0,(P355*$B358)/(P354+P355+P356))</f>
        <v>0</v>
      </c>
      <c r="Q358" s="154">
        <f t="shared" ref="Q358:Y358" si="1834">IF((Q354+Q355+Q356)=0,0,(Q355*$B358)/(Q354+Q355+Q356))</f>
        <v>0</v>
      </c>
      <c r="R358" s="154">
        <f t="shared" si="1834"/>
        <v>0</v>
      </c>
      <c r="S358" s="154">
        <f t="shared" si="1834"/>
        <v>0</v>
      </c>
      <c r="T358" s="154">
        <f t="shared" si="1834"/>
        <v>0</v>
      </c>
      <c r="U358" s="154">
        <f t="shared" si="1834"/>
        <v>0</v>
      </c>
      <c r="V358" s="154">
        <f t="shared" si="1834"/>
        <v>0</v>
      </c>
      <c r="W358" s="154">
        <f t="shared" si="1834"/>
        <v>0</v>
      </c>
      <c r="X358" s="154">
        <f t="shared" si="1834"/>
        <v>0</v>
      </c>
      <c r="Y358" s="159">
        <f t="shared" si="1834"/>
        <v>0</v>
      </c>
    </row>
    <row r="359" spans="2:25" ht="15" customHeight="1" thickBot="1" x14ac:dyDescent="0.25">
      <c r="B359" s="253"/>
      <c r="C359" s="93">
        <f>E359/SUM(E357:E359)</f>
        <v>1.6949152542372885E-2</v>
      </c>
      <c r="D359" s="75" t="s">
        <v>2</v>
      </c>
      <c r="E359" s="155">
        <f>IF((E354+E355+E356)=0,0,(E356*$B358)/(E354+E355+E356))</f>
        <v>3.8632363214213556E-4</v>
      </c>
      <c r="F359" s="155">
        <f>IF((F354+F355+F356)=0,0,(F356*$B358)/(F354+F355+F356))</f>
        <v>0</v>
      </c>
      <c r="G359" s="155">
        <f t="shared" ref="G359:Y359" si="1835">IF((G354+G355+G356)=0,0,(G356*$B358)/(G354+G355+G356))</f>
        <v>1.4245683935241249E-3</v>
      </c>
      <c r="H359" s="155">
        <f t="shared" si="1835"/>
        <v>0</v>
      </c>
      <c r="I359" s="155">
        <f t="shared" si="1835"/>
        <v>0</v>
      </c>
      <c r="J359" s="155">
        <f t="shared" si="1835"/>
        <v>0</v>
      </c>
      <c r="K359" s="155">
        <f t="shared" si="1835"/>
        <v>2.2793094296386001E-3</v>
      </c>
      <c r="L359" s="155">
        <f t="shared" si="1835"/>
        <v>0</v>
      </c>
      <c r="M359" s="155">
        <f t="shared" si="1835"/>
        <v>0</v>
      </c>
      <c r="N359" s="155">
        <f t="shared" si="1835"/>
        <v>0</v>
      </c>
      <c r="O359" s="155">
        <f t="shared" si="1835"/>
        <v>0</v>
      </c>
      <c r="P359" s="155">
        <f t="shared" si="1835"/>
        <v>0</v>
      </c>
      <c r="Q359" s="155">
        <f t="shared" si="1835"/>
        <v>0</v>
      </c>
      <c r="R359" s="155">
        <f t="shared" si="1835"/>
        <v>0</v>
      </c>
      <c r="S359" s="155">
        <f t="shared" si="1835"/>
        <v>0</v>
      </c>
      <c r="T359" s="155">
        <f t="shared" si="1835"/>
        <v>0</v>
      </c>
      <c r="U359" s="155">
        <f t="shared" si="1835"/>
        <v>0</v>
      </c>
      <c r="V359" s="155">
        <f t="shared" si="1835"/>
        <v>0</v>
      </c>
      <c r="W359" s="155">
        <f t="shared" si="1835"/>
        <v>0</v>
      </c>
      <c r="X359" s="155">
        <f t="shared" si="1835"/>
        <v>0</v>
      </c>
      <c r="Y359" s="160">
        <f t="shared" si="1835"/>
        <v>0</v>
      </c>
    </row>
    <row r="360" spans="2:25" ht="15" customHeight="1" x14ac:dyDescent="0.2">
      <c r="B360" s="249" t="s">
        <v>231</v>
      </c>
      <c r="C360" s="91">
        <f>E360/SUM(E360:E362)</f>
        <v>0.44318181818181818</v>
      </c>
      <c r="D360" s="67" t="s">
        <v>0</v>
      </c>
      <c r="E360" s="68">
        <f t="shared" si="1820"/>
        <v>39</v>
      </c>
      <c r="F360" s="68">
        <f>SUMIFS([0]!Chavez,[0]!Centro,$B362,[0]!Turno,F$341)</f>
        <v>1</v>
      </c>
      <c r="G360" s="68">
        <f>SUMIFS([0]!Chavez,[0]!Centro,$B362,[0]!Turno,G$341)</f>
        <v>3</v>
      </c>
      <c r="H360" s="68">
        <f>SUMIFS([0]!Chavez,[0]!Centro,$B362,[0]!Turno,H$341)</f>
        <v>11</v>
      </c>
      <c r="I360" s="68">
        <f>SUMIFS([0]!Chavez,[0]!Centro,$B362,[0]!Turno,I$341)</f>
        <v>19</v>
      </c>
      <c r="J360" s="68">
        <f>SUMIFS([0]!Chavez,[0]!Centro,$B362,[0]!Turno,J$341)</f>
        <v>0</v>
      </c>
      <c r="K360" s="68">
        <f>SUMIFS([0]!Chavez,[0]!Centro,$B362,[0]!Turno,K$341)</f>
        <v>0</v>
      </c>
      <c r="L360" s="68">
        <f>SUMIFS([0]!Chavez,[0]!Centro,$B362,[0]!Turno,L$341)</f>
        <v>5</v>
      </c>
      <c r="M360" s="68">
        <f>SUMIFS([0]!Chavez,[0]!Centro,$B362,[0]!Turno,M$341)</f>
        <v>0</v>
      </c>
      <c r="N360" s="68">
        <f>SUMIFS([0]!Chavez,[0]!Centro,$B362,[0]!Turno,N$341)</f>
        <v>0</v>
      </c>
      <c r="O360" s="68">
        <f>SUMIFS([0]!Chavez,[0]!Centro,$B362,[0]!Turno,O$341)</f>
        <v>0</v>
      </c>
      <c r="P360" s="68">
        <f>SUMIFS([0]!Chavez,[0]!Centro,$B362,[0]!Turno,P$341)</f>
        <v>0</v>
      </c>
      <c r="Q360" s="68">
        <f>SUMIFS([0]!Chavez,[0]!Centro,$B362,[0]!Turno,Q$341)</f>
        <v>0</v>
      </c>
      <c r="R360" s="68">
        <f>SUMIFS([0]!Chavez,[0]!Centro,$B362,[0]!Turno,R$341)</f>
        <v>0</v>
      </c>
      <c r="S360" s="68">
        <f>SUMIFS([0]!Chavez,[0]!Centro,$B362,[0]!Turno,S$341)</f>
        <v>0</v>
      </c>
      <c r="T360" s="68">
        <f>SUMIFS([0]!Chavez,[0]!Centro,$B362,[0]!Turno,T$341)</f>
        <v>0</v>
      </c>
      <c r="U360" s="68">
        <f>SUMIFS([0]!Chavez,[0]!Centro,$B362,[0]!Turno,U$341)</f>
        <v>0</v>
      </c>
      <c r="V360" s="68">
        <f>SUMIFS([0]!Chavez,[0]!Centro,$B362,[0]!Turno,V$341)</f>
        <v>0</v>
      </c>
      <c r="W360" s="68">
        <f>SUMIFS([0]!Chavez,[0]!Centro,$B362,[0]!Turno,W$341)</f>
        <v>0</v>
      </c>
      <c r="X360" s="68">
        <f>SUMIFS([0]!Chavez,[0]!Centro,$B362,[0]!Turno,X$341)</f>
        <v>0</v>
      </c>
      <c r="Y360" s="69">
        <f>SUMIFS([0]!Chavez,[0]!Centro,$B362,[0]!Turno,Y$341)</f>
        <v>0</v>
      </c>
    </row>
    <row r="361" spans="2:25" ht="15" customHeight="1" x14ac:dyDescent="0.2">
      <c r="B361" s="250"/>
      <c r="C361" s="92">
        <f>E361/SUM(E360:E362)</f>
        <v>0.40909090909090912</v>
      </c>
      <c r="D361" s="61" t="s">
        <v>1</v>
      </c>
      <c r="E361" s="62">
        <f t="shared" si="1820"/>
        <v>36</v>
      </c>
      <c r="F361" s="62">
        <f>SUMIFS([0]!Capriles,[0]!Centro,$B362,[0]!Turno,F$341)</f>
        <v>2</v>
      </c>
      <c r="G361" s="62">
        <f>SUMIFS([0]!Capriles,[0]!Centro,$B362,[0]!Turno,G$341)</f>
        <v>4</v>
      </c>
      <c r="H361" s="62">
        <f>SUMIFS([0]!Capriles,[0]!Centro,$B362,[0]!Turno,H$341)</f>
        <v>10</v>
      </c>
      <c r="I361" s="62">
        <f>SUMIFS([0]!Capriles,[0]!Centro,$B362,[0]!Turno,I$341)</f>
        <v>20</v>
      </c>
      <c r="J361" s="62">
        <f>SUMIFS([0]!Capriles,[0]!Centro,$B362,[0]!Turno,J$341)</f>
        <v>0</v>
      </c>
      <c r="K361" s="62">
        <f>SUMIFS([0]!Capriles,[0]!Centro,$B362,[0]!Turno,K$341)</f>
        <v>0</v>
      </c>
      <c r="L361" s="62">
        <f>SUMIFS([0]!Capriles,[0]!Centro,$B362,[0]!Turno,L$341)</f>
        <v>0</v>
      </c>
      <c r="M361" s="62">
        <f>SUMIFS([0]!Capriles,[0]!Centro,$B362,[0]!Turno,M$341)</f>
        <v>0</v>
      </c>
      <c r="N361" s="62">
        <f>SUMIFS([0]!Capriles,[0]!Centro,$B362,[0]!Turno,N$341)</f>
        <v>0</v>
      </c>
      <c r="O361" s="62">
        <f>SUMIFS([0]!Capriles,[0]!Centro,$B362,[0]!Turno,O$341)</f>
        <v>0</v>
      </c>
      <c r="P361" s="62">
        <f>SUMIFS([0]!Capriles,[0]!Centro,$B362,[0]!Turno,P$341)</f>
        <v>0</v>
      </c>
      <c r="Q361" s="62">
        <f>SUMIFS([0]!Capriles,[0]!Centro,$B362,[0]!Turno,Q$341)</f>
        <v>0</v>
      </c>
      <c r="R361" s="62">
        <f>SUMIFS([0]!Capriles,[0]!Centro,$B362,[0]!Turno,R$341)</f>
        <v>0</v>
      </c>
      <c r="S361" s="62">
        <f>SUMIFS([0]!Capriles,[0]!Centro,$B362,[0]!Turno,S$341)</f>
        <v>0</v>
      </c>
      <c r="T361" s="62">
        <f>SUMIFS([0]!Capriles,[0]!Centro,$B362,[0]!Turno,T$341)</f>
        <v>0</v>
      </c>
      <c r="U361" s="62">
        <f>SUMIFS([0]!Capriles,[0]!Centro,$B362,[0]!Turno,U$341)</f>
        <v>0</v>
      </c>
      <c r="V361" s="62">
        <f>SUMIFS([0]!Capriles,[0]!Centro,$B362,[0]!Turno,V$341)</f>
        <v>0</v>
      </c>
      <c r="W361" s="62">
        <f>SUMIFS([0]!Capriles,[0]!Centro,$B362,[0]!Turno,W$341)</f>
        <v>0</v>
      </c>
      <c r="X361" s="62">
        <f>SUMIFS([0]!Capriles,[0]!Centro,$B362,[0]!Turno,X$341)</f>
        <v>0</v>
      </c>
      <c r="Y361" s="70">
        <f>SUMIFS([0]!Capriles,[0]!Centro,$B362,[0]!Turno,Y$341)</f>
        <v>0</v>
      </c>
    </row>
    <row r="362" spans="2:25" ht="15" customHeight="1" thickBot="1" x14ac:dyDescent="0.25">
      <c r="B362" s="251">
        <v>10</v>
      </c>
      <c r="C362" s="100">
        <f>E362/SUM(E360:E362)</f>
        <v>0.14772727272727273</v>
      </c>
      <c r="D362" s="71" t="s">
        <v>2</v>
      </c>
      <c r="E362" s="72">
        <f t="shared" si="1820"/>
        <v>13</v>
      </c>
      <c r="F362" s="72">
        <f>SUMIFS([0]!Otro,[0]!Centro,$B362,[0]!Turno,F$341)</f>
        <v>0</v>
      </c>
      <c r="G362" s="72">
        <f>SUMIFS([0]!Otro,[0]!Centro,$B362,[0]!Turno,G$341)</f>
        <v>0</v>
      </c>
      <c r="H362" s="72">
        <f>SUMIFS([0]!Otro,[0]!Centro,$B362,[0]!Turno,H$341)</f>
        <v>3</v>
      </c>
      <c r="I362" s="72">
        <f>SUMIFS([0]!Otro,[0]!Centro,$B362,[0]!Turno,I$341)</f>
        <v>10</v>
      </c>
      <c r="J362" s="72">
        <f>SUMIFS([0]!Otro,[0]!Centro,$B362,[0]!Turno,J$341)</f>
        <v>0</v>
      </c>
      <c r="K362" s="72">
        <f>SUMIFS([0]!Otro,[0]!Centro,$B362,[0]!Turno,K$341)</f>
        <v>0</v>
      </c>
      <c r="L362" s="72">
        <f>SUMIFS([0]!Otro,[0]!Centro,$B362,[0]!Turno,L$341)</f>
        <v>0</v>
      </c>
      <c r="M362" s="72">
        <f>SUMIFS([0]!Otro,[0]!Centro,$B362,[0]!Turno,M$341)</f>
        <v>0</v>
      </c>
      <c r="N362" s="72">
        <f>SUMIFS([0]!Otro,[0]!Centro,$B362,[0]!Turno,N$341)</f>
        <v>0</v>
      </c>
      <c r="O362" s="72">
        <f>SUMIFS([0]!Otro,[0]!Centro,$B362,[0]!Turno,O$341)</f>
        <v>0</v>
      </c>
      <c r="P362" s="72">
        <f>SUMIFS([0]!Otro,[0]!Centro,$B362,[0]!Turno,P$341)</f>
        <v>0</v>
      </c>
      <c r="Q362" s="72">
        <f>SUMIFS([0]!Otro,[0]!Centro,$B362,[0]!Turno,Q$341)</f>
        <v>0</v>
      </c>
      <c r="R362" s="72">
        <f>SUMIFS([0]!Otro,[0]!Centro,$B362,[0]!Turno,R$341)</f>
        <v>0</v>
      </c>
      <c r="S362" s="72">
        <f>SUMIFS([0]!Otro,[0]!Centro,$B362,[0]!Turno,S$341)</f>
        <v>0</v>
      </c>
      <c r="T362" s="72">
        <f>SUMIFS([0]!Otro,[0]!Centro,$B362,[0]!Turno,T$341)</f>
        <v>0</v>
      </c>
      <c r="U362" s="72">
        <f>SUMIFS([0]!Otro,[0]!Centro,$B362,[0]!Turno,U$341)</f>
        <v>0</v>
      </c>
      <c r="V362" s="72">
        <f>SUMIFS([0]!Otro,[0]!Centro,$B362,[0]!Turno,V$341)</f>
        <v>0</v>
      </c>
      <c r="W362" s="72">
        <f>SUMIFS([0]!Otro,[0]!Centro,$B362,[0]!Turno,W$341)</f>
        <v>0</v>
      </c>
      <c r="X362" s="72">
        <f>SUMIFS([0]!Otro,[0]!Centro,$B362,[0]!Turno,X$341)</f>
        <v>0</v>
      </c>
      <c r="Y362" s="73">
        <f>SUMIFS([0]!Otro,[0]!Centro,$B362,[0]!Turno,Y$341)</f>
        <v>0</v>
      </c>
    </row>
    <row r="363" spans="2:25" ht="15" customHeight="1" x14ac:dyDescent="0.2">
      <c r="B363" s="251"/>
      <c r="C363" s="94">
        <f>E363/SUM(E363:E365)</f>
        <v>0.44318181818181818</v>
      </c>
      <c r="D363" s="63" t="s">
        <v>0</v>
      </c>
      <c r="E363" s="150">
        <f>IF((E360+E361+E362)=0,0,(E360*$B364)/(E360+E361+E362))</f>
        <v>2.7299628197877821E-2</v>
      </c>
      <c r="F363" s="150">
        <f>IF((F360+F361+F362)=0,0,(F360*$B364)/(F360+F361+F362))</f>
        <v>2.0533053687292722E-2</v>
      </c>
      <c r="G363" s="150">
        <f t="shared" ref="G363:Y363" si="1836">IF((G360+G361+G362)=0,0,(G360*$B364)/(G360+G361+G362))</f>
        <v>2.6399640455090641E-2</v>
      </c>
      <c r="H363" s="150">
        <f t="shared" si="1836"/>
        <v>2.8232948820027488E-2</v>
      </c>
      <c r="I363" s="150">
        <f t="shared" si="1836"/>
        <v>2.3885388983177245E-2</v>
      </c>
      <c r="J363" s="150">
        <f t="shared" si="1836"/>
        <v>0</v>
      </c>
      <c r="K363" s="150">
        <f t="shared" si="1836"/>
        <v>0</v>
      </c>
      <c r="L363" s="150">
        <f t="shared" si="1836"/>
        <v>6.1599161061878162E-2</v>
      </c>
      <c r="M363" s="150">
        <f t="shared" si="1836"/>
        <v>0</v>
      </c>
      <c r="N363" s="150">
        <f t="shared" si="1836"/>
        <v>0</v>
      </c>
      <c r="O363" s="150">
        <f t="shared" si="1836"/>
        <v>0</v>
      </c>
      <c r="P363" s="150">
        <f t="shared" si="1836"/>
        <v>0</v>
      </c>
      <c r="Q363" s="150">
        <f t="shared" si="1836"/>
        <v>0</v>
      </c>
      <c r="R363" s="150">
        <f t="shared" si="1836"/>
        <v>0</v>
      </c>
      <c r="S363" s="150">
        <f t="shared" si="1836"/>
        <v>0</v>
      </c>
      <c r="T363" s="150">
        <f t="shared" si="1836"/>
        <v>0</v>
      </c>
      <c r="U363" s="150">
        <f t="shared" si="1836"/>
        <v>0</v>
      </c>
      <c r="V363" s="150">
        <f t="shared" si="1836"/>
        <v>0</v>
      </c>
      <c r="W363" s="150">
        <f t="shared" si="1836"/>
        <v>0</v>
      </c>
      <c r="X363" s="150">
        <f t="shared" si="1836"/>
        <v>0</v>
      </c>
      <c r="Y363" s="163">
        <f t="shared" si="1836"/>
        <v>0</v>
      </c>
    </row>
    <row r="364" spans="2:25" ht="15" customHeight="1" x14ac:dyDescent="0.2">
      <c r="B364" s="252">
        <v>6.1599161061878162E-2</v>
      </c>
      <c r="C364" s="92">
        <f>E364/SUM(E363:E365)</f>
        <v>0.40909090909090912</v>
      </c>
      <c r="D364" s="61" t="s">
        <v>1</v>
      </c>
      <c r="E364" s="154">
        <f>IF((E360+E361+E362)=0,0,(E361*$B364)/(E360+E361+E362))</f>
        <v>2.5199656798041068E-2</v>
      </c>
      <c r="F364" s="154">
        <f>IF((F360+F361+F362)=0,0,(F361*$B364)/(F360+F361+F362))</f>
        <v>4.1066107374585444E-2</v>
      </c>
      <c r="G364" s="154">
        <f t="shared" ref="G364:O364" si="1837">IF((G360+G361+G362)=0,0,(G361*$B364)/(G360+G361+G362))</f>
        <v>3.5199520606787521E-2</v>
      </c>
      <c r="H364" s="154">
        <f t="shared" si="1837"/>
        <v>2.5666317109115901E-2</v>
      </c>
      <c r="I364" s="154">
        <f t="shared" si="1837"/>
        <v>2.5142514719133945E-2</v>
      </c>
      <c r="J364" s="154">
        <f t="shared" si="1837"/>
        <v>0</v>
      </c>
      <c r="K364" s="154">
        <f t="shared" si="1837"/>
        <v>0</v>
      </c>
      <c r="L364" s="154">
        <f t="shared" si="1837"/>
        <v>0</v>
      </c>
      <c r="M364" s="154">
        <f t="shared" si="1837"/>
        <v>0</v>
      </c>
      <c r="N364" s="154">
        <f t="shared" si="1837"/>
        <v>0</v>
      </c>
      <c r="O364" s="154">
        <f t="shared" si="1837"/>
        <v>0</v>
      </c>
      <c r="P364" s="154">
        <f>IF((P360+P361+P362)=0,0,(P361*$B364)/(P360+P361+P362))</f>
        <v>0</v>
      </c>
      <c r="Q364" s="154">
        <f t="shared" ref="Q364:Y364" si="1838">IF((Q360+Q361+Q362)=0,0,(Q361*$B364)/(Q360+Q361+Q362))</f>
        <v>0</v>
      </c>
      <c r="R364" s="154">
        <f t="shared" si="1838"/>
        <v>0</v>
      </c>
      <c r="S364" s="154">
        <f t="shared" si="1838"/>
        <v>0</v>
      </c>
      <c r="T364" s="154">
        <f t="shared" si="1838"/>
        <v>0</v>
      </c>
      <c r="U364" s="154">
        <f t="shared" si="1838"/>
        <v>0</v>
      </c>
      <c r="V364" s="154">
        <f t="shared" si="1838"/>
        <v>0</v>
      </c>
      <c r="W364" s="154">
        <f t="shared" si="1838"/>
        <v>0</v>
      </c>
      <c r="X364" s="154">
        <f t="shared" si="1838"/>
        <v>0</v>
      </c>
      <c r="Y364" s="159">
        <f t="shared" si="1838"/>
        <v>0</v>
      </c>
    </row>
    <row r="365" spans="2:25" ht="15" customHeight="1" thickBot="1" x14ac:dyDescent="0.25">
      <c r="B365" s="253"/>
      <c r="C365" s="93">
        <f>E365/SUM(E363:E365)</f>
        <v>0.14772727272727273</v>
      </c>
      <c r="D365" s="75" t="s">
        <v>2</v>
      </c>
      <c r="E365" s="155">
        <f>IF((E360+E361+E362)=0,0,(E362*$B364)/(E360+E361+E362))</f>
        <v>9.0998760659592743E-3</v>
      </c>
      <c r="F365" s="155">
        <f>IF((F360+F361+F362)=0,0,(F362*$B364)/(F360+F361+F362))</f>
        <v>0</v>
      </c>
      <c r="G365" s="155">
        <f t="shared" ref="G365:Y365" si="1839">IF((G360+G361+G362)=0,0,(G362*$B364)/(G360+G361+G362))</f>
        <v>0</v>
      </c>
      <c r="H365" s="155">
        <f t="shared" si="1839"/>
        <v>7.6998951327347702E-3</v>
      </c>
      <c r="I365" s="155">
        <f t="shared" si="1839"/>
        <v>1.2571257359566972E-2</v>
      </c>
      <c r="J365" s="155">
        <f t="shared" si="1839"/>
        <v>0</v>
      </c>
      <c r="K365" s="155">
        <f t="shared" si="1839"/>
        <v>0</v>
      </c>
      <c r="L365" s="155">
        <f t="shared" si="1839"/>
        <v>0</v>
      </c>
      <c r="M365" s="155">
        <f t="shared" si="1839"/>
        <v>0</v>
      </c>
      <c r="N365" s="155">
        <f t="shared" si="1839"/>
        <v>0</v>
      </c>
      <c r="O365" s="155">
        <f t="shared" si="1839"/>
        <v>0</v>
      </c>
      <c r="P365" s="155">
        <f t="shared" si="1839"/>
        <v>0</v>
      </c>
      <c r="Q365" s="155">
        <f t="shared" si="1839"/>
        <v>0</v>
      </c>
      <c r="R365" s="155">
        <f t="shared" si="1839"/>
        <v>0</v>
      </c>
      <c r="S365" s="155">
        <f t="shared" si="1839"/>
        <v>0</v>
      </c>
      <c r="T365" s="155">
        <f t="shared" si="1839"/>
        <v>0</v>
      </c>
      <c r="U365" s="155">
        <f t="shared" si="1839"/>
        <v>0</v>
      </c>
      <c r="V365" s="155">
        <f t="shared" si="1839"/>
        <v>0</v>
      </c>
      <c r="W365" s="155">
        <f t="shared" si="1839"/>
        <v>0</v>
      </c>
      <c r="X365" s="155">
        <f t="shared" si="1839"/>
        <v>0</v>
      </c>
      <c r="Y365" s="160">
        <f t="shared" si="1839"/>
        <v>0</v>
      </c>
    </row>
    <row r="366" spans="2:25" ht="15" customHeight="1" x14ac:dyDescent="0.2">
      <c r="B366" s="249" t="s">
        <v>83</v>
      </c>
      <c r="C366" s="91">
        <f>E366/SUM(E366:E368)</f>
        <v>0.1875</v>
      </c>
      <c r="D366" s="67" t="s">
        <v>0</v>
      </c>
      <c r="E366" s="68">
        <f t="shared" si="1820"/>
        <v>15</v>
      </c>
      <c r="F366" s="68">
        <f>SUMIFS([0]!Chavez,[0]!Centro,$B368,[0]!Turno,F$341)</f>
        <v>0</v>
      </c>
      <c r="G366" s="68">
        <f>SUMIFS([0]!Chavez,[0]!Centro,$B368,[0]!Turno,G$341)</f>
        <v>0</v>
      </c>
      <c r="H366" s="68">
        <f>SUMIFS([0]!Chavez,[0]!Centro,$B368,[0]!Turno,H$341)</f>
        <v>0</v>
      </c>
      <c r="I366" s="68">
        <f>SUMIFS([0]!Chavez,[0]!Centro,$B368,[0]!Turno,I$341)</f>
        <v>4</v>
      </c>
      <c r="J366" s="68">
        <f>SUMIFS([0]!Chavez,[0]!Centro,$B368,[0]!Turno,J$341)</f>
        <v>2</v>
      </c>
      <c r="K366" s="68">
        <f>SUMIFS([0]!Chavez,[0]!Centro,$B368,[0]!Turno,K$341)</f>
        <v>4</v>
      </c>
      <c r="L366" s="68">
        <f>SUMIFS([0]!Chavez,[0]!Centro,$B368,[0]!Turno,L$341)</f>
        <v>5</v>
      </c>
      <c r="M366" s="68">
        <f>SUMIFS([0]!Chavez,[0]!Centro,$B368,[0]!Turno,M$341)</f>
        <v>0</v>
      </c>
      <c r="N366" s="68">
        <f>SUMIFS([0]!Chavez,[0]!Centro,$B368,[0]!Turno,N$341)</f>
        <v>0</v>
      </c>
      <c r="O366" s="68">
        <f>SUMIFS([0]!Chavez,[0]!Centro,$B368,[0]!Turno,O$341)</f>
        <v>0</v>
      </c>
      <c r="P366" s="68">
        <f>SUMIFS([0]!Chavez,[0]!Centro,$B368,[0]!Turno,P$341)</f>
        <v>0</v>
      </c>
      <c r="Q366" s="68">
        <f>SUMIFS([0]!Chavez,[0]!Centro,$B368,[0]!Turno,Q$341)</f>
        <v>0</v>
      </c>
      <c r="R366" s="68">
        <f>SUMIFS([0]!Chavez,[0]!Centro,$B368,[0]!Turno,R$341)</f>
        <v>0</v>
      </c>
      <c r="S366" s="68">
        <f>SUMIFS([0]!Chavez,[0]!Centro,$B368,[0]!Turno,S$341)</f>
        <v>0</v>
      </c>
      <c r="T366" s="68">
        <f>SUMIFS([0]!Chavez,[0]!Centro,$B368,[0]!Turno,T$341)</f>
        <v>0</v>
      </c>
      <c r="U366" s="68">
        <f>SUMIFS([0]!Chavez,[0]!Centro,$B368,[0]!Turno,U$341)</f>
        <v>0</v>
      </c>
      <c r="V366" s="68">
        <f>SUMIFS([0]!Chavez,[0]!Centro,$B368,[0]!Turno,V$341)</f>
        <v>0</v>
      </c>
      <c r="W366" s="68">
        <f>SUMIFS([0]!Chavez,[0]!Centro,$B368,[0]!Turno,W$341)</f>
        <v>0</v>
      </c>
      <c r="X366" s="68">
        <f>SUMIFS([0]!Chavez,[0]!Centro,$B368,[0]!Turno,X$341)</f>
        <v>0</v>
      </c>
      <c r="Y366" s="69">
        <f>SUMIFS([0]!Chavez,[0]!Centro,$B368,[0]!Turno,Y$341)</f>
        <v>0</v>
      </c>
    </row>
    <row r="367" spans="2:25" ht="15" customHeight="1" x14ac:dyDescent="0.2">
      <c r="B367" s="250"/>
      <c r="C367" s="92">
        <f>E367/SUM(E366:E368)</f>
        <v>0.77500000000000002</v>
      </c>
      <c r="D367" s="61" t="s">
        <v>1</v>
      </c>
      <c r="E367" s="62">
        <f t="shared" si="1820"/>
        <v>62</v>
      </c>
      <c r="F367" s="62">
        <f>SUMIFS([0]!Capriles,[0]!Centro,$B368,[0]!Turno,F$341)</f>
        <v>0</v>
      </c>
      <c r="G367" s="62">
        <f>SUMIFS([0]!Capriles,[0]!Centro,$B368,[0]!Turno,G$341)</f>
        <v>0</v>
      </c>
      <c r="H367" s="62">
        <f>SUMIFS([0]!Capriles,[0]!Centro,$B368,[0]!Turno,H$341)</f>
        <v>0</v>
      </c>
      <c r="I367" s="62">
        <f>SUMIFS([0]!Capriles,[0]!Centro,$B368,[0]!Turno,I$341)</f>
        <v>16</v>
      </c>
      <c r="J367" s="62">
        <f>SUMIFS([0]!Capriles,[0]!Centro,$B368,[0]!Turno,J$341)</f>
        <v>16</v>
      </c>
      <c r="K367" s="62">
        <f>SUMIFS([0]!Capriles,[0]!Centro,$B368,[0]!Turno,K$341)</f>
        <v>15</v>
      </c>
      <c r="L367" s="62">
        <f>SUMIFS([0]!Capriles,[0]!Centro,$B368,[0]!Turno,L$341)</f>
        <v>15</v>
      </c>
      <c r="M367" s="62">
        <f>SUMIFS([0]!Capriles,[0]!Centro,$B368,[0]!Turno,M$341)</f>
        <v>0</v>
      </c>
      <c r="N367" s="62">
        <f>SUMIFS([0]!Capriles,[0]!Centro,$B368,[0]!Turno,N$341)</f>
        <v>0</v>
      </c>
      <c r="O367" s="62">
        <f>SUMIFS([0]!Capriles,[0]!Centro,$B368,[0]!Turno,O$341)</f>
        <v>0</v>
      </c>
      <c r="P367" s="62">
        <f>SUMIFS([0]!Capriles,[0]!Centro,$B368,[0]!Turno,P$341)</f>
        <v>0</v>
      </c>
      <c r="Q367" s="62">
        <f>SUMIFS([0]!Capriles,[0]!Centro,$B368,[0]!Turno,Q$341)</f>
        <v>0</v>
      </c>
      <c r="R367" s="62">
        <f>SUMIFS([0]!Capriles,[0]!Centro,$B368,[0]!Turno,R$341)</f>
        <v>0</v>
      </c>
      <c r="S367" s="62">
        <f>SUMIFS([0]!Capriles,[0]!Centro,$B368,[0]!Turno,S$341)</f>
        <v>0</v>
      </c>
      <c r="T367" s="62">
        <f>SUMIFS([0]!Capriles,[0]!Centro,$B368,[0]!Turno,T$341)</f>
        <v>0</v>
      </c>
      <c r="U367" s="62">
        <f>SUMIFS([0]!Capriles,[0]!Centro,$B368,[0]!Turno,U$341)</f>
        <v>0</v>
      </c>
      <c r="V367" s="62">
        <f>SUMIFS([0]!Capriles,[0]!Centro,$B368,[0]!Turno,V$341)</f>
        <v>0</v>
      </c>
      <c r="W367" s="62">
        <f>SUMIFS([0]!Capriles,[0]!Centro,$B368,[0]!Turno,W$341)</f>
        <v>0</v>
      </c>
      <c r="X367" s="62">
        <f>SUMIFS([0]!Capriles,[0]!Centro,$B368,[0]!Turno,X$341)</f>
        <v>0</v>
      </c>
      <c r="Y367" s="70">
        <f>SUMIFS([0]!Capriles,[0]!Centro,$B368,[0]!Turno,Y$341)</f>
        <v>0</v>
      </c>
    </row>
    <row r="368" spans="2:25" ht="15" customHeight="1" thickBot="1" x14ac:dyDescent="0.25">
      <c r="B368" s="251">
        <v>2</v>
      </c>
      <c r="C368" s="100">
        <f>E368/SUM(E366:E368)</f>
        <v>3.7499999999999999E-2</v>
      </c>
      <c r="D368" s="71" t="s">
        <v>2</v>
      </c>
      <c r="E368" s="72">
        <f t="shared" si="1820"/>
        <v>3</v>
      </c>
      <c r="F368" s="72">
        <f>SUMIFS([0]!Otro,[0]!Centro,$B368,[0]!Turno,F$341)</f>
        <v>0</v>
      </c>
      <c r="G368" s="72">
        <f>SUMIFS([0]!Otro,[0]!Centro,$B368,[0]!Turno,G$341)</f>
        <v>0</v>
      </c>
      <c r="H368" s="72">
        <f>SUMIFS([0]!Otro,[0]!Centro,$B368,[0]!Turno,H$341)</f>
        <v>0</v>
      </c>
      <c r="I368" s="72">
        <f>SUMIFS([0]!Otro,[0]!Centro,$B368,[0]!Turno,I$341)</f>
        <v>0</v>
      </c>
      <c r="J368" s="72">
        <f>SUMIFS([0]!Otro,[0]!Centro,$B368,[0]!Turno,J$341)</f>
        <v>2</v>
      </c>
      <c r="K368" s="72">
        <f>SUMIFS([0]!Otro,[0]!Centro,$B368,[0]!Turno,K$341)</f>
        <v>1</v>
      </c>
      <c r="L368" s="72">
        <f>SUMIFS([0]!Otro,[0]!Centro,$B368,[0]!Turno,L$341)</f>
        <v>0</v>
      </c>
      <c r="M368" s="72">
        <f>SUMIFS([0]!Otro,[0]!Centro,$B368,[0]!Turno,M$341)</f>
        <v>0</v>
      </c>
      <c r="N368" s="72">
        <f>SUMIFS([0]!Otro,[0]!Centro,$B368,[0]!Turno,N$341)</f>
        <v>0</v>
      </c>
      <c r="O368" s="72">
        <f>SUMIFS([0]!Otro,[0]!Centro,$B368,[0]!Turno,O$341)</f>
        <v>0</v>
      </c>
      <c r="P368" s="72">
        <f>SUMIFS([0]!Otro,[0]!Centro,$B368,[0]!Turno,P$341)</f>
        <v>0</v>
      </c>
      <c r="Q368" s="72">
        <f>SUMIFS([0]!Otro,[0]!Centro,$B368,[0]!Turno,Q$341)</f>
        <v>0</v>
      </c>
      <c r="R368" s="72">
        <f>SUMIFS([0]!Otro,[0]!Centro,$B368,[0]!Turno,R$341)</f>
        <v>0</v>
      </c>
      <c r="S368" s="72">
        <f>SUMIFS([0]!Otro,[0]!Centro,$B368,[0]!Turno,S$341)</f>
        <v>0</v>
      </c>
      <c r="T368" s="72">
        <f>SUMIFS([0]!Otro,[0]!Centro,$B368,[0]!Turno,T$341)</f>
        <v>0</v>
      </c>
      <c r="U368" s="72">
        <f>SUMIFS([0]!Otro,[0]!Centro,$B368,[0]!Turno,U$341)</f>
        <v>0</v>
      </c>
      <c r="V368" s="72">
        <f>SUMIFS([0]!Otro,[0]!Centro,$B368,[0]!Turno,V$341)</f>
        <v>0</v>
      </c>
      <c r="W368" s="72">
        <f>SUMIFS([0]!Otro,[0]!Centro,$B368,[0]!Turno,W$341)</f>
        <v>0</v>
      </c>
      <c r="X368" s="72">
        <f>SUMIFS([0]!Otro,[0]!Centro,$B368,[0]!Turno,X$341)</f>
        <v>0</v>
      </c>
      <c r="Y368" s="73">
        <f>SUMIFS([0]!Otro,[0]!Centro,$B368,[0]!Turno,Y$341)</f>
        <v>0</v>
      </c>
    </row>
    <row r="369" spans="2:25" ht="15" customHeight="1" x14ac:dyDescent="0.2">
      <c r="B369" s="251"/>
      <c r="C369" s="94">
        <f>E369/SUM(E369:E371)</f>
        <v>0.1875</v>
      </c>
      <c r="D369" s="63" t="s">
        <v>0</v>
      </c>
      <c r="E369" s="150">
        <f>IF((E366+E367+E368)=0,0,(E366*$B370)/(E366+E367+E368))</f>
        <v>6.0980800227859689E-3</v>
      </c>
      <c r="F369" s="150">
        <f>IF((F366+F367+F368)=0,0,(F366*$B370)/(F366+F367+F368))</f>
        <v>0</v>
      </c>
      <c r="G369" s="150">
        <f t="shared" ref="G369:Y369" si="1840">IF((G366+G367+G368)=0,0,(G366*$B370)/(G366+G367+G368))</f>
        <v>0</v>
      </c>
      <c r="H369" s="150">
        <f t="shared" si="1840"/>
        <v>0</v>
      </c>
      <c r="I369" s="150">
        <f t="shared" si="1840"/>
        <v>6.5046186909717002E-3</v>
      </c>
      <c r="J369" s="150">
        <f t="shared" si="1840"/>
        <v>3.2523093454858501E-3</v>
      </c>
      <c r="K369" s="150">
        <f t="shared" si="1840"/>
        <v>6.5046186909717002E-3</v>
      </c>
      <c r="L369" s="150">
        <f t="shared" si="1840"/>
        <v>8.1307733637146253E-3</v>
      </c>
      <c r="M369" s="150">
        <f t="shared" si="1840"/>
        <v>0</v>
      </c>
      <c r="N369" s="150">
        <f t="shared" si="1840"/>
        <v>0</v>
      </c>
      <c r="O369" s="150">
        <f t="shared" si="1840"/>
        <v>0</v>
      </c>
      <c r="P369" s="150">
        <f t="shared" si="1840"/>
        <v>0</v>
      </c>
      <c r="Q369" s="150">
        <f t="shared" si="1840"/>
        <v>0</v>
      </c>
      <c r="R369" s="150">
        <f t="shared" si="1840"/>
        <v>0</v>
      </c>
      <c r="S369" s="150">
        <f t="shared" si="1840"/>
        <v>0</v>
      </c>
      <c r="T369" s="150">
        <f t="shared" si="1840"/>
        <v>0</v>
      </c>
      <c r="U369" s="150">
        <f t="shared" si="1840"/>
        <v>0</v>
      </c>
      <c r="V369" s="150">
        <f t="shared" si="1840"/>
        <v>0</v>
      </c>
      <c r="W369" s="150">
        <f t="shared" si="1840"/>
        <v>0</v>
      </c>
      <c r="X369" s="150">
        <f t="shared" si="1840"/>
        <v>0</v>
      </c>
      <c r="Y369" s="163">
        <f t="shared" si="1840"/>
        <v>0</v>
      </c>
    </row>
    <row r="370" spans="2:25" ht="15" customHeight="1" x14ac:dyDescent="0.2">
      <c r="B370" s="252">
        <v>3.2523093454858501E-2</v>
      </c>
      <c r="C370" s="92">
        <f>E370/SUM(E369:E371)</f>
        <v>0.77499999999999991</v>
      </c>
      <c r="D370" s="61" t="s">
        <v>1</v>
      </c>
      <c r="E370" s="154">
        <f>IF((E366+E367+E368)=0,0,(E367*$B370)/(E366+E367+E368))</f>
        <v>2.5205397427515337E-2</v>
      </c>
      <c r="F370" s="154">
        <f>IF((F366+F367+F368)=0,0,(F367*$B370)/(F366+F367+F368))</f>
        <v>0</v>
      </c>
      <c r="G370" s="154">
        <f t="shared" ref="G370:O370" si="1841">IF((G366+G367+G368)=0,0,(G367*$B370)/(G366+G367+G368))</f>
        <v>0</v>
      </c>
      <c r="H370" s="154">
        <f t="shared" si="1841"/>
        <v>0</v>
      </c>
      <c r="I370" s="154">
        <f t="shared" si="1841"/>
        <v>2.6018474763886801E-2</v>
      </c>
      <c r="J370" s="154">
        <f t="shared" si="1841"/>
        <v>2.6018474763886801E-2</v>
      </c>
      <c r="K370" s="154">
        <f t="shared" si="1841"/>
        <v>2.4392320091143876E-2</v>
      </c>
      <c r="L370" s="154">
        <f t="shared" si="1841"/>
        <v>2.4392320091143876E-2</v>
      </c>
      <c r="M370" s="154">
        <f t="shared" si="1841"/>
        <v>0</v>
      </c>
      <c r="N370" s="154">
        <f t="shared" si="1841"/>
        <v>0</v>
      </c>
      <c r="O370" s="154">
        <f t="shared" si="1841"/>
        <v>0</v>
      </c>
      <c r="P370" s="154">
        <f>IF((P366+P367+P368)=0,0,(P367*$B370)/(P366+P367+P368))</f>
        <v>0</v>
      </c>
      <c r="Q370" s="154">
        <f t="shared" ref="Q370:Y370" si="1842">IF((Q366+Q367+Q368)=0,0,(Q367*$B370)/(Q366+Q367+Q368))</f>
        <v>0</v>
      </c>
      <c r="R370" s="154">
        <f t="shared" si="1842"/>
        <v>0</v>
      </c>
      <c r="S370" s="154">
        <f t="shared" si="1842"/>
        <v>0</v>
      </c>
      <c r="T370" s="154">
        <f t="shared" si="1842"/>
        <v>0</v>
      </c>
      <c r="U370" s="154">
        <f t="shared" si="1842"/>
        <v>0</v>
      </c>
      <c r="V370" s="154">
        <f t="shared" si="1842"/>
        <v>0</v>
      </c>
      <c r="W370" s="154">
        <f t="shared" si="1842"/>
        <v>0</v>
      </c>
      <c r="X370" s="154">
        <f t="shared" si="1842"/>
        <v>0</v>
      </c>
      <c r="Y370" s="159">
        <f t="shared" si="1842"/>
        <v>0</v>
      </c>
    </row>
    <row r="371" spans="2:25" ht="15" customHeight="1" thickBot="1" x14ac:dyDescent="0.25">
      <c r="B371" s="253"/>
      <c r="C371" s="93">
        <f>E371/SUM(E369:E371)</f>
        <v>3.7499999999999999E-2</v>
      </c>
      <c r="D371" s="75" t="s">
        <v>2</v>
      </c>
      <c r="E371" s="155">
        <f>IF((E366+E367+E368)=0,0,(E368*$B370)/(E366+E367+E368))</f>
        <v>1.2196160045571938E-3</v>
      </c>
      <c r="F371" s="155">
        <f>IF((F366+F367+F368)=0,0,(F368*$B370)/(F366+F367+F368))</f>
        <v>0</v>
      </c>
      <c r="G371" s="155">
        <f t="shared" ref="G371:Y371" si="1843">IF((G366+G367+G368)=0,0,(G368*$B370)/(G366+G367+G368))</f>
        <v>0</v>
      </c>
      <c r="H371" s="155">
        <f t="shared" si="1843"/>
        <v>0</v>
      </c>
      <c r="I371" s="155">
        <f t="shared" si="1843"/>
        <v>0</v>
      </c>
      <c r="J371" s="155">
        <f t="shared" si="1843"/>
        <v>3.2523093454858501E-3</v>
      </c>
      <c r="K371" s="155">
        <f t="shared" si="1843"/>
        <v>1.6261546727429251E-3</v>
      </c>
      <c r="L371" s="155">
        <f t="shared" si="1843"/>
        <v>0</v>
      </c>
      <c r="M371" s="155">
        <f t="shared" si="1843"/>
        <v>0</v>
      </c>
      <c r="N371" s="155">
        <f t="shared" si="1843"/>
        <v>0</v>
      </c>
      <c r="O371" s="155">
        <f t="shared" si="1843"/>
        <v>0</v>
      </c>
      <c r="P371" s="155">
        <f t="shared" si="1843"/>
        <v>0</v>
      </c>
      <c r="Q371" s="155">
        <f t="shared" si="1843"/>
        <v>0</v>
      </c>
      <c r="R371" s="155">
        <f t="shared" si="1843"/>
        <v>0</v>
      </c>
      <c r="S371" s="155">
        <f t="shared" si="1843"/>
        <v>0</v>
      </c>
      <c r="T371" s="155">
        <f t="shared" si="1843"/>
        <v>0</v>
      </c>
      <c r="U371" s="155">
        <f t="shared" si="1843"/>
        <v>0</v>
      </c>
      <c r="V371" s="155">
        <f t="shared" si="1843"/>
        <v>0</v>
      </c>
      <c r="W371" s="155">
        <f t="shared" si="1843"/>
        <v>0</v>
      </c>
      <c r="X371" s="155">
        <f t="shared" si="1843"/>
        <v>0</v>
      </c>
      <c r="Y371" s="160">
        <f t="shared" si="1843"/>
        <v>0</v>
      </c>
    </row>
    <row r="372" spans="2:25" ht="15" customHeight="1" x14ac:dyDescent="0.2">
      <c r="B372" s="249" t="s">
        <v>84</v>
      </c>
      <c r="C372" s="91">
        <f>E372/SUM(E372:E374)</f>
        <v>0.33333333333333331</v>
      </c>
      <c r="D372" s="67" t="s">
        <v>0</v>
      </c>
      <c r="E372" s="68">
        <f t="shared" si="1820"/>
        <v>51</v>
      </c>
      <c r="F372" s="68">
        <f>SUMIFS([0]!Chavez,[0]!Centro,$B374,[0]!Turno,F$341)</f>
        <v>1</v>
      </c>
      <c r="G372" s="68">
        <f>SUMIFS([0]!Chavez,[0]!Centro,$B374,[0]!Turno,G$341)</f>
        <v>13</v>
      </c>
      <c r="H372" s="68">
        <f>SUMIFS([0]!Chavez,[0]!Centro,$B374,[0]!Turno,H$341)</f>
        <v>9</v>
      </c>
      <c r="I372" s="68">
        <f>SUMIFS([0]!Chavez,[0]!Centro,$B374,[0]!Turno,I$341)</f>
        <v>4</v>
      </c>
      <c r="J372" s="68">
        <f>SUMIFS([0]!Chavez,[0]!Centro,$B374,[0]!Turno,J$341)</f>
        <v>0</v>
      </c>
      <c r="K372" s="68">
        <f>SUMIFS([0]!Chavez,[0]!Centro,$B374,[0]!Turno,K$341)</f>
        <v>11</v>
      </c>
      <c r="L372" s="68">
        <f>SUMIFS([0]!Chavez,[0]!Centro,$B374,[0]!Turno,L$341)</f>
        <v>1</v>
      </c>
      <c r="M372" s="68">
        <f>SUMIFS([0]!Chavez,[0]!Centro,$B374,[0]!Turno,M$341)</f>
        <v>12</v>
      </c>
      <c r="N372" s="68">
        <f>SUMIFS([0]!Chavez,[0]!Centro,$B374,[0]!Turno,N$341)</f>
        <v>0</v>
      </c>
      <c r="O372" s="68">
        <f>SUMIFS([0]!Chavez,[0]!Centro,$B374,[0]!Turno,O$341)</f>
        <v>0</v>
      </c>
      <c r="P372" s="68">
        <f>SUMIFS([0]!Chavez,[0]!Centro,$B374,[0]!Turno,P$341)</f>
        <v>0</v>
      </c>
      <c r="Q372" s="68">
        <f>SUMIFS([0]!Chavez,[0]!Centro,$B374,[0]!Turno,Q$341)</f>
        <v>0</v>
      </c>
      <c r="R372" s="68">
        <f>SUMIFS([0]!Chavez,[0]!Centro,$B374,[0]!Turno,R$341)</f>
        <v>0</v>
      </c>
      <c r="S372" s="68">
        <f>SUMIFS([0]!Chavez,[0]!Centro,$B374,[0]!Turno,S$341)</f>
        <v>0</v>
      </c>
      <c r="T372" s="68">
        <f>SUMIFS([0]!Chavez,[0]!Centro,$B374,[0]!Turno,T$341)</f>
        <v>0</v>
      </c>
      <c r="U372" s="68">
        <f>SUMIFS([0]!Chavez,[0]!Centro,$B374,[0]!Turno,U$341)</f>
        <v>0</v>
      </c>
      <c r="V372" s="68">
        <f>SUMIFS([0]!Chavez,[0]!Centro,$B374,[0]!Turno,V$341)</f>
        <v>0</v>
      </c>
      <c r="W372" s="68">
        <f>SUMIFS([0]!Chavez,[0]!Centro,$B374,[0]!Turno,W$341)</f>
        <v>0</v>
      </c>
      <c r="X372" s="68">
        <f>SUMIFS([0]!Chavez,[0]!Centro,$B374,[0]!Turno,X$341)</f>
        <v>0</v>
      </c>
      <c r="Y372" s="69">
        <f>SUMIFS([0]!Chavez,[0]!Centro,$B374,[0]!Turno,Y$341)</f>
        <v>0</v>
      </c>
    </row>
    <row r="373" spans="2:25" ht="15" customHeight="1" x14ac:dyDescent="0.2">
      <c r="B373" s="250"/>
      <c r="C373" s="92">
        <f>E373/SUM(E372:E374)</f>
        <v>0.62745098039215685</v>
      </c>
      <c r="D373" s="61" t="s">
        <v>1</v>
      </c>
      <c r="E373" s="62">
        <f t="shared" si="1820"/>
        <v>96</v>
      </c>
      <c r="F373" s="62">
        <f>SUMIFS([0]!Capriles,[0]!Centro,$B374,[0]!Turno,F$341)</f>
        <v>10</v>
      </c>
      <c r="G373" s="62">
        <f>SUMIFS([0]!Capriles,[0]!Centro,$B374,[0]!Turno,G$341)</f>
        <v>6</v>
      </c>
      <c r="H373" s="62">
        <f>SUMIFS([0]!Capriles,[0]!Centro,$B374,[0]!Turno,H$341)</f>
        <v>17</v>
      </c>
      <c r="I373" s="62">
        <f>SUMIFS([0]!Capriles,[0]!Centro,$B374,[0]!Turno,I$341)</f>
        <v>19</v>
      </c>
      <c r="J373" s="62">
        <f>SUMIFS([0]!Capriles,[0]!Centro,$B374,[0]!Turno,J$341)</f>
        <v>0</v>
      </c>
      <c r="K373" s="62">
        <f>SUMIFS([0]!Capriles,[0]!Centro,$B374,[0]!Turno,K$341)</f>
        <v>15</v>
      </c>
      <c r="L373" s="62">
        <f>SUMIFS([0]!Capriles,[0]!Centro,$B374,[0]!Turno,L$341)</f>
        <v>10</v>
      </c>
      <c r="M373" s="62">
        <f>SUMIFS([0]!Capriles,[0]!Centro,$B374,[0]!Turno,M$341)</f>
        <v>19</v>
      </c>
      <c r="N373" s="62">
        <f>SUMIFS([0]!Capriles,[0]!Centro,$B374,[0]!Turno,N$341)</f>
        <v>0</v>
      </c>
      <c r="O373" s="62">
        <f>SUMIFS([0]!Capriles,[0]!Centro,$B374,[0]!Turno,O$341)</f>
        <v>0</v>
      </c>
      <c r="P373" s="62">
        <f>SUMIFS([0]!Capriles,[0]!Centro,$B374,[0]!Turno,P$341)</f>
        <v>0</v>
      </c>
      <c r="Q373" s="62">
        <f>SUMIFS([0]!Capriles,[0]!Centro,$B374,[0]!Turno,Q$341)</f>
        <v>0</v>
      </c>
      <c r="R373" s="62">
        <f>SUMIFS([0]!Capriles,[0]!Centro,$B374,[0]!Turno,R$341)</f>
        <v>0</v>
      </c>
      <c r="S373" s="62">
        <f>SUMIFS([0]!Capriles,[0]!Centro,$B374,[0]!Turno,S$341)</f>
        <v>0</v>
      </c>
      <c r="T373" s="62">
        <f>SUMIFS([0]!Capriles,[0]!Centro,$B374,[0]!Turno,T$341)</f>
        <v>0</v>
      </c>
      <c r="U373" s="62">
        <f>SUMIFS([0]!Capriles,[0]!Centro,$B374,[0]!Turno,U$341)</f>
        <v>0</v>
      </c>
      <c r="V373" s="62">
        <f>SUMIFS([0]!Capriles,[0]!Centro,$B374,[0]!Turno,V$341)</f>
        <v>0</v>
      </c>
      <c r="W373" s="62">
        <f>SUMIFS([0]!Capriles,[0]!Centro,$B374,[0]!Turno,W$341)</f>
        <v>0</v>
      </c>
      <c r="X373" s="62">
        <f>SUMIFS([0]!Capriles,[0]!Centro,$B374,[0]!Turno,X$341)</f>
        <v>0</v>
      </c>
      <c r="Y373" s="70">
        <f>SUMIFS([0]!Capriles,[0]!Centro,$B374,[0]!Turno,Y$341)</f>
        <v>0</v>
      </c>
    </row>
    <row r="374" spans="2:25" ht="15" customHeight="1" thickBot="1" x14ac:dyDescent="0.25">
      <c r="B374" s="251">
        <v>15</v>
      </c>
      <c r="C374" s="100">
        <f>E374/SUM(E372:E374)</f>
        <v>3.9215686274509803E-2</v>
      </c>
      <c r="D374" s="71" t="s">
        <v>2</v>
      </c>
      <c r="E374" s="72">
        <f t="shared" si="1820"/>
        <v>6</v>
      </c>
      <c r="F374" s="72">
        <f>SUMIFS([0]!Otro,[0]!Centro,$B374,[0]!Turno,F$341)</f>
        <v>0</v>
      </c>
      <c r="G374" s="72">
        <f>SUMIFS([0]!Otro,[0]!Centro,$B374,[0]!Turno,G$341)</f>
        <v>0</v>
      </c>
      <c r="H374" s="72">
        <f>SUMIFS([0]!Otro,[0]!Centro,$B374,[0]!Turno,H$341)</f>
        <v>3</v>
      </c>
      <c r="I374" s="72">
        <f>SUMIFS([0]!Otro,[0]!Centro,$B374,[0]!Turno,I$341)</f>
        <v>2</v>
      </c>
      <c r="J374" s="72">
        <f>SUMIFS([0]!Otro,[0]!Centro,$B374,[0]!Turno,J$341)</f>
        <v>0</v>
      </c>
      <c r="K374" s="72">
        <f>SUMIFS([0]!Otro,[0]!Centro,$B374,[0]!Turno,K$341)</f>
        <v>1</v>
      </c>
      <c r="L374" s="72">
        <f>SUMIFS([0]!Otro,[0]!Centro,$B374,[0]!Turno,L$341)</f>
        <v>0</v>
      </c>
      <c r="M374" s="72">
        <f>SUMIFS([0]!Otro,[0]!Centro,$B374,[0]!Turno,M$341)</f>
        <v>0</v>
      </c>
      <c r="N374" s="72">
        <f>SUMIFS([0]!Otro,[0]!Centro,$B374,[0]!Turno,N$341)</f>
        <v>0</v>
      </c>
      <c r="O374" s="72">
        <f>SUMIFS([0]!Otro,[0]!Centro,$B374,[0]!Turno,O$341)</f>
        <v>0</v>
      </c>
      <c r="P374" s="72">
        <f>SUMIFS([0]!Otro,[0]!Centro,$B374,[0]!Turno,P$341)</f>
        <v>0</v>
      </c>
      <c r="Q374" s="72">
        <f>SUMIFS([0]!Otro,[0]!Centro,$B374,[0]!Turno,Q$341)</f>
        <v>0</v>
      </c>
      <c r="R374" s="72">
        <f>SUMIFS([0]!Otro,[0]!Centro,$B374,[0]!Turno,R$341)</f>
        <v>0</v>
      </c>
      <c r="S374" s="72">
        <f>SUMIFS([0]!Otro,[0]!Centro,$B374,[0]!Turno,S$341)</f>
        <v>0</v>
      </c>
      <c r="T374" s="72">
        <f>SUMIFS([0]!Otro,[0]!Centro,$B374,[0]!Turno,T$341)</f>
        <v>0</v>
      </c>
      <c r="U374" s="72">
        <f>SUMIFS([0]!Otro,[0]!Centro,$B374,[0]!Turno,U$341)</f>
        <v>0</v>
      </c>
      <c r="V374" s="72">
        <f>SUMIFS([0]!Otro,[0]!Centro,$B374,[0]!Turno,V$341)</f>
        <v>0</v>
      </c>
      <c r="W374" s="72">
        <f>SUMIFS([0]!Otro,[0]!Centro,$B374,[0]!Turno,W$341)</f>
        <v>0</v>
      </c>
      <c r="X374" s="72">
        <f>SUMIFS([0]!Otro,[0]!Centro,$B374,[0]!Turno,X$341)</f>
        <v>0</v>
      </c>
      <c r="Y374" s="73">
        <f>SUMIFS([0]!Otro,[0]!Centro,$B374,[0]!Turno,Y$341)</f>
        <v>0</v>
      </c>
    </row>
    <row r="375" spans="2:25" ht="15" customHeight="1" x14ac:dyDescent="0.2">
      <c r="B375" s="251"/>
      <c r="C375" s="94">
        <f>E375/SUM(E375:E377)</f>
        <v>0.33333333333333331</v>
      </c>
      <c r="D375" s="63" t="s">
        <v>0</v>
      </c>
      <c r="E375" s="150">
        <f>IF((E372+E373+E374)=0,0,(E372*$B376)/(E372+E373+E374))</f>
        <v>2.2686932373560498E-2</v>
      </c>
      <c r="F375" s="150">
        <f>IF((F372+F373+F374)=0,0,(F372*$B376)/(F372+F373+F374))</f>
        <v>6.1873451927892268E-3</v>
      </c>
      <c r="G375" s="150">
        <f t="shared" ref="G375:Y375" si="1844">IF((G372+G373+G374)=0,0,(G372*$B376)/(G372+G373+G374))</f>
        <v>4.6567913819413657E-2</v>
      </c>
      <c r="H375" s="150">
        <f t="shared" si="1844"/>
        <v>2.1122316347797706E-2</v>
      </c>
      <c r="I375" s="150">
        <f t="shared" si="1844"/>
        <v>1.088972753930904E-2</v>
      </c>
      <c r="J375" s="150">
        <f t="shared" si="1844"/>
        <v>0</v>
      </c>
      <c r="K375" s="150">
        <f t="shared" si="1844"/>
        <v>2.7728472901018389E-2</v>
      </c>
      <c r="L375" s="150">
        <f t="shared" si="1844"/>
        <v>6.1873451927892268E-3</v>
      </c>
      <c r="M375" s="150">
        <f t="shared" si="1844"/>
        <v>2.6346115014457355E-2</v>
      </c>
      <c r="N375" s="150">
        <f t="shared" si="1844"/>
        <v>0</v>
      </c>
      <c r="O375" s="150">
        <f t="shared" si="1844"/>
        <v>0</v>
      </c>
      <c r="P375" s="150">
        <f t="shared" si="1844"/>
        <v>0</v>
      </c>
      <c r="Q375" s="150">
        <f t="shared" si="1844"/>
        <v>0</v>
      </c>
      <c r="R375" s="150">
        <f t="shared" si="1844"/>
        <v>0</v>
      </c>
      <c r="S375" s="150">
        <f t="shared" si="1844"/>
        <v>0</v>
      </c>
      <c r="T375" s="150">
        <f t="shared" si="1844"/>
        <v>0</v>
      </c>
      <c r="U375" s="150">
        <f t="shared" si="1844"/>
        <v>0</v>
      </c>
      <c r="V375" s="150">
        <f t="shared" si="1844"/>
        <v>0</v>
      </c>
      <c r="W375" s="150">
        <f t="shared" si="1844"/>
        <v>0</v>
      </c>
      <c r="X375" s="150">
        <f t="shared" si="1844"/>
        <v>0</v>
      </c>
      <c r="Y375" s="163">
        <f t="shared" si="1844"/>
        <v>0</v>
      </c>
    </row>
    <row r="376" spans="2:25" ht="15" customHeight="1" x14ac:dyDescent="0.2">
      <c r="B376" s="252">
        <v>6.8060797120681499E-2</v>
      </c>
      <c r="C376" s="92">
        <f>E376/SUM(E375:E377)</f>
        <v>0.62745098039215685</v>
      </c>
      <c r="D376" s="61" t="s">
        <v>1</v>
      </c>
      <c r="E376" s="154">
        <f>IF((E372+E373+E374)=0,0,(E373*$B376)/(E372+E373+E374))</f>
        <v>4.270481387964329E-2</v>
      </c>
      <c r="F376" s="154">
        <f>IF((F372+F373+F374)=0,0,(F373*$B376)/(F372+F373+F374))</f>
        <v>6.1873451927892266E-2</v>
      </c>
      <c r="G376" s="154">
        <f t="shared" ref="G376:O376" si="1845">IF((G372+G373+G374)=0,0,(G373*$B376)/(G372+G373+G374))</f>
        <v>2.1492883301267841E-2</v>
      </c>
      <c r="H376" s="154">
        <f t="shared" si="1845"/>
        <v>3.989770865695122E-2</v>
      </c>
      <c r="I376" s="154">
        <f t="shared" si="1845"/>
        <v>5.1726205811717933E-2</v>
      </c>
      <c r="J376" s="154">
        <f t="shared" si="1845"/>
        <v>0</v>
      </c>
      <c r="K376" s="154">
        <f t="shared" si="1845"/>
        <v>3.781155395593417E-2</v>
      </c>
      <c r="L376" s="154">
        <f t="shared" si="1845"/>
        <v>6.1873451927892266E-2</v>
      </c>
      <c r="M376" s="154">
        <f t="shared" si="1845"/>
        <v>4.1714682106224144E-2</v>
      </c>
      <c r="N376" s="154">
        <f t="shared" si="1845"/>
        <v>0</v>
      </c>
      <c r="O376" s="154">
        <f t="shared" si="1845"/>
        <v>0</v>
      </c>
      <c r="P376" s="154">
        <f>IF((P372+P373+P374)=0,0,(P373*$B376)/(P372+P373+P374))</f>
        <v>0</v>
      </c>
      <c r="Q376" s="154">
        <f t="shared" ref="Q376:Y376" si="1846">IF((Q372+Q373+Q374)=0,0,(Q373*$B376)/(Q372+Q373+Q374))</f>
        <v>0</v>
      </c>
      <c r="R376" s="154">
        <f t="shared" si="1846"/>
        <v>0</v>
      </c>
      <c r="S376" s="154">
        <f t="shared" si="1846"/>
        <v>0</v>
      </c>
      <c r="T376" s="154">
        <f t="shared" si="1846"/>
        <v>0</v>
      </c>
      <c r="U376" s="154">
        <f t="shared" si="1846"/>
        <v>0</v>
      </c>
      <c r="V376" s="154">
        <f t="shared" si="1846"/>
        <v>0</v>
      </c>
      <c r="W376" s="154">
        <f t="shared" si="1846"/>
        <v>0</v>
      </c>
      <c r="X376" s="154">
        <f t="shared" si="1846"/>
        <v>0</v>
      </c>
      <c r="Y376" s="159">
        <f t="shared" si="1846"/>
        <v>0</v>
      </c>
    </row>
    <row r="377" spans="2:25" ht="15" customHeight="1" thickBot="1" x14ac:dyDescent="0.25">
      <c r="B377" s="253"/>
      <c r="C377" s="93">
        <f>E377/SUM(E375:E377)</f>
        <v>3.9215686274509803E-2</v>
      </c>
      <c r="D377" s="75" t="s">
        <v>2</v>
      </c>
      <c r="E377" s="155">
        <f>IF((E372+E373+E374)=0,0,(E374*$B376)/(E372+E373+E374))</f>
        <v>2.6690508674777056E-3</v>
      </c>
      <c r="F377" s="155">
        <f>IF((F372+F373+F374)=0,0,(F374*$B376)/(F372+F373+F374))</f>
        <v>0</v>
      </c>
      <c r="G377" s="155">
        <f t="shared" ref="G377:Y377" si="1847">IF((G372+G373+G374)=0,0,(G374*$B376)/(G372+G373+G374))</f>
        <v>0</v>
      </c>
      <c r="H377" s="155">
        <f t="shared" si="1847"/>
        <v>7.0407721159325689E-3</v>
      </c>
      <c r="I377" s="155">
        <f t="shared" si="1847"/>
        <v>5.4448637696545201E-3</v>
      </c>
      <c r="J377" s="155">
        <f t="shared" si="1847"/>
        <v>0</v>
      </c>
      <c r="K377" s="155">
        <f t="shared" si="1847"/>
        <v>2.5207702637289444E-3</v>
      </c>
      <c r="L377" s="155">
        <f t="shared" si="1847"/>
        <v>0</v>
      </c>
      <c r="M377" s="155">
        <f t="shared" si="1847"/>
        <v>0</v>
      </c>
      <c r="N377" s="155">
        <f t="shared" si="1847"/>
        <v>0</v>
      </c>
      <c r="O377" s="155">
        <f t="shared" si="1847"/>
        <v>0</v>
      </c>
      <c r="P377" s="155">
        <f t="shared" si="1847"/>
        <v>0</v>
      </c>
      <c r="Q377" s="155">
        <f t="shared" si="1847"/>
        <v>0</v>
      </c>
      <c r="R377" s="155">
        <f t="shared" si="1847"/>
        <v>0</v>
      </c>
      <c r="S377" s="155">
        <f t="shared" si="1847"/>
        <v>0</v>
      </c>
      <c r="T377" s="155">
        <f t="shared" si="1847"/>
        <v>0</v>
      </c>
      <c r="U377" s="155">
        <f t="shared" si="1847"/>
        <v>0</v>
      </c>
      <c r="V377" s="155">
        <f t="shared" si="1847"/>
        <v>0</v>
      </c>
      <c r="W377" s="155">
        <f t="shared" si="1847"/>
        <v>0</v>
      </c>
      <c r="X377" s="155">
        <f t="shared" si="1847"/>
        <v>0</v>
      </c>
      <c r="Y377" s="160">
        <f t="shared" si="1847"/>
        <v>0</v>
      </c>
    </row>
    <row r="378" spans="2:25" ht="15" customHeight="1" x14ac:dyDescent="0.2">
      <c r="B378" s="249" t="s">
        <v>85</v>
      </c>
      <c r="C378" s="91">
        <f>E378/SUM(E378:E380)</f>
        <v>0.45</v>
      </c>
      <c r="D378" s="67" t="s">
        <v>0</v>
      </c>
      <c r="E378" s="68">
        <f t="shared" si="1820"/>
        <v>9</v>
      </c>
      <c r="F378" s="68">
        <f>SUMIFS([0]!Chavez,[0]!Centro,$B380,[0]!Turno,F$341)</f>
        <v>0</v>
      </c>
      <c r="G378" s="68">
        <f>SUMIFS([0]!Chavez,[0]!Centro,$B380,[0]!Turno,G$341)</f>
        <v>0</v>
      </c>
      <c r="H378" s="68">
        <f>SUMIFS([0]!Chavez,[0]!Centro,$B380,[0]!Turno,H$341)</f>
        <v>0</v>
      </c>
      <c r="I378" s="68">
        <f>SUMIFS([0]!Chavez,[0]!Centro,$B380,[0]!Turno,I$341)</f>
        <v>0</v>
      </c>
      <c r="J378" s="68">
        <f>SUMIFS([0]!Chavez,[0]!Centro,$B380,[0]!Turno,J$341)</f>
        <v>9</v>
      </c>
      <c r="K378" s="68">
        <f>SUMIFS([0]!Chavez,[0]!Centro,$B380,[0]!Turno,K$341)</f>
        <v>0</v>
      </c>
      <c r="L378" s="68">
        <f>SUMIFS([0]!Chavez,[0]!Centro,$B380,[0]!Turno,L$341)</f>
        <v>0</v>
      </c>
      <c r="M378" s="68">
        <f>SUMIFS([0]!Chavez,[0]!Centro,$B380,[0]!Turno,M$341)</f>
        <v>0</v>
      </c>
      <c r="N378" s="68">
        <f>SUMIFS([0]!Chavez,[0]!Centro,$B380,[0]!Turno,N$341)</f>
        <v>0</v>
      </c>
      <c r="O378" s="68">
        <f>SUMIFS([0]!Chavez,[0]!Centro,$B380,[0]!Turno,O$341)</f>
        <v>0</v>
      </c>
      <c r="P378" s="68">
        <f>SUMIFS([0]!Chavez,[0]!Centro,$B380,[0]!Turno,P$341)</f>
        <v>0</v>
      </c>
      <c r="Q378" s="68">
        <f>SUMIFS([0]!Chavez,[0]!Centro,$B380,[0]!Turno,Q$341)</f>
        <v>0</v>
      </c>
      <c r="R378" s="68">
        <f>SUMIFS([0]!Chavez,[0]!Centro,$B380,[0]!Turno,R$341)</f>
        <v>0</v>
      </c>
      <c r="S378" s="68">
        <f>SUMIFS([0]!Chavez,[0]!Centro,$B380,[0]!Turno,S$341)</f>
        <v>0</v>
      </c>
      <c r="T378" s="68">
        <f>SUMIFS([0]!Chavez,[0]!Centro,$B380,[0]!Turno,T$341)</f>
        <v>0</v>
      </c>
      <c r="U378" s="68">
        <f>SUMIFS([0]!Chavez,[0]!Centro,$B380,[0]!Turno,U$341)</f>
        <v>0</v>
      </c>
      <c r="V378" s="68">
        <f>SUMIFS([0]!Chavez,[0]!Centro,$B380,[0]!Turno,V$341)</f>
        <v>0</v>
      </c>
      <c r="W378" s="68">
        <f>SUMIFS([0]!Chavez,[0]!Centro,$B380,[0]!Turno,W$341)</f>
        <v>0</v>
      </c>
      <c r="X378" s="68">
        <f>SUMIFS([0]!Chavez,[0]!Centro,$B380,[0]!Turno,X$341)</f>
        <v>0</v>
      </c>
      <c r="Y378" s="69">
        <f>SUMIFS([0]!Chavez,[0]!Centro,$B380,[0]!Turno,Y$341)</f>
        <v>0</v>
      </c>
    </row>
    <row r="379" spans="2:25" ht="15" customHeight="1" x14ac:dyDescent="0.2">
      <c r="B379" s="250"/>
      <c r="C379" s="92">
        <f>E379/SUM(E378:E380)</f>
        <v>0.55000000000000004</v>
      </c>
      <c r="D379" s="61" t="s">
        <v>1</v>
      </c>
      <c r="E379" s="62">
        <f t="shared" si="1820"/>
        <v>11</v>
      </c>
      <c r="F379" s="62">
        <f>SUMIFS([0]!Capriles,[0]!Centro,$B380,[0]!Turno,F$341)</f>
        <v>0</v>
      </c>
      <c r="G379" s="62">
        <f>SUMIFS([0]!Capriles,[0]!Centro,$B380,[0]!Turno,G$341)</f>
        <v>0</v>
      </c>
      <c r="H379" s="62">
        <f>SUMIFS([0]!Capriles,[0]!Centro,$B380,[0]!Turno,H$341)</f>
        <v>0</v>
      </c>
      <c r="I379" s="62">
        <f>SUMIFS([0]!Capriles,[0]!Centro,$B380,[0]!Turno,I$341)</f>
        <v>0</v>
      </c>
      <c r="J379" s="62">
        <f>SUMIFS([0]!Capriles,[0]!Centro,$B380,[0]!Turno,J$341)</f>
        <v>11</v>
      </c>
      <c r="K379" s="62">
        <f>SUMIFS([0]!Capriles,[0]!Centro,$B380,[0]!Turno,K$341)</f>
        <v>0</v>
      </c>
      <c r="L379" s="62">
        <f>SUMIFS([0]!Capriles,[0]!Centro,$B380,[0]!Turno,L$341)</f>
        <v>0</v>
      </c>
      <c r="M379" s="62">
        <f>SUMIFS([0]!Capriles,[0]!Centro,$B380,[0]!Turno,M$341)</f>
        <v>0</v>
      </c>
      <c r="N379" s="62">
        <f>SUMIFS([0]!Capriles,[0]!Centro,$B380,[0]!Turno,N$341)</f>
        <v>0</v>
      </c>
      <c r="O379" s="62">
        <f>SUMIFS([0]!Capriles,[0]!Centro,$B380,[0]!Turno,O$341)</f>
        <v>0</v>
      </c>
      <c r="P379" s="62">
        <f>SUMIFS([0]!Capriles,[0]!Centro,$B380,[0]!Turno,P$341)</f>
        <v>0</v>
      </c>
      <c r="Q379" s="62">
        <f>SUMIFS([0]!Capriles,[0]!Centro,$B380,[0]!Turno,Q$341)</f>
        <v>0</v>
      </c>
      <c r="R379" s="62">
        <f>SUMIFS([0]!Capriles,[0]!Centro,$B380,[0]!Turno,R$341)</f>
        <v>0</v>
      </c>
      <c r="S379" s="62">
        <f>SUMIFS([0]!Capriles,[0]!Centro,$B380,[0]!Turno,S$341)</f>
        <v>0</v>
      </c>
      <c r="T379" s="62">
        <f>SUMIFS([0]!Capriles,[0]!Centro,$B380,[0]!Turno,T$341)</f>
        <v>0</v>
      </c>
      <c r="U379" s="62">
        <f>SUMIFS([0]!Capriles,[0]!Centro,$B380,[0]!Turno,U$341)</f>
        <v>0</v>
      </c>
      <c r="V379" s="62">
        <f>SUMIFS([0]!Capriles,[0]!Centro,$B380,[0]!Turno,V$341)</f>
        <v>0</v>
      </c>
      <c r="W379" s="62">
        <f>SUMIFS([0]!Capriles,[0]!Centro,$B380,[0]!Turno,W$341)</f>
        <v>0</v>
      </c>
      <c r="X379" s="62">
        <f>SUMIFS([0]!Capriles,[0]!Centro,$B380,[0]!Turno,X$341)</f>
        <v>0</v>
      </c>
      <c r="Y379" s="70">
        <f>SUMIFS([0]!Capriles,[0]!Centro,$B380,[0]!Turno,Y$341)</f>
        <v>0</v>
      </c>
    </row>
    <row r="380" spans="2:25" ht="15" customHeight="1" thickBot="1" x14ac:dyDescent="0.25">
      <c r="B380" s="251">
        <v>17</v>
      </c>
      <c r="C380" s="100">
        <f>E380/SUM(E378:E380)</f>
        <v>0</v>
      </c>
      <c r="D380" s="71" t="s">
        <v>2</v>
      </c>
      <c r="E380" s="72">
        <f t="shared" si="1820"/>
        <v>0</v>
      </c>
      <c r="F380" s="72">
        <f>SUMIFS([0]!Otro,[0]!Centro,$B380,[0]!Turno,F$341)</f>
        <v>0</v>
      </c>
      <c r="G380" s="72">
        <f>SUMIFS([0]!Otro,[0]!Centro,$B380,[0]!Turno,G$341)</f>
        <v>0</v>
      </c>
      <c r="H380" s="72">
        <f>SUMIFS([0]!Otro,[0]!Centro,$B380,[0]!Turno,H$341)</f>
        <v>0</v>
      </c>
      <c r="I380" s="72">
        <f>SUMIFS([0]!Otro,[0]!Centro,$B380,[0]!Turno,I$341)</f>
        <v>0</v>
      </c>
      <c r="J380" s="72">
        <f>SUMIFS([0]!Otro,[0]!Centro,$B380,[0]!Turno,J$341)</f>
        <v>0</v>
      </c>
      <c r="K380" s="72">
        <f>SUMIFS([0]!Otro,[0]!Centro,$B380,[0]!Turno,K$341)</f>
        <v>0</v>
      </c>
      <c r="L380" s="72">
        <f>SUMIFS([0]!Otro,[0]!Centro,$B380,[0]!Turno,L$341)</f>
        <v>0</v>
      </c>
      <c r="M380" s="72">
        <f>SUMIFS([0]!Otro,[0]!Centro,$B380,[0]!Turno,M$341)</f>
        <v>0</v>
      </c>
      <c r="N380" s="72">
        <f>SUMIFS([0]!Otro,[0]!Centro,$B380,[0]!Turno,N$341)</f>
        <v>0</v>
      </c>
      <c r="O380" s="72">
        <f>SUMIFS([0]!Otro,[0]!Centro,$B380,[0]!Turno,O$341)</f>
        <v>0</v>
      </c>
      <c r="P380" s="72">
        <f>SUMIFS([0]!Otro,[0]!Centro,$B380,[0]!Turno,P$341)</f>
        <v>0</v>
      </c>
      <c r="Q380" s="72">
        <f>SUMIFS([0]!Otro,[0]!Centro,$B380,[0]!Turno,Q$341)</f>
        <v>0</v>
      </c>
      <c r="R380" s="72">
        <f>SUMIFS([0]!Otro,[0]!Centro,$B380,[0]!Turno,R$341)</f>
        <v>0</v>
      </c>
      <c r="S380" s="72">
        <f>SUMIFS([0]!Otro,[0]!Centro,$B380,[0]!Turno,S$341)</f>
        <v>0</v>
      </c>
      <c r="T380" s="72">
        <f>SUMIFS([0]!Otro,[0]!Centro,$B380,[0]!Turno,T$341)</f>
        <v>0</v>
      </c>
      <c r="U380" s="72">
        <f>SUMIFS([0]!Otro,[0]!Centro,$B380,[0]!Turno,U$341)</f>
        <v>0</v>
      </c>
      <c r="V380" s="72">
        <f>SUMIFS([0]!Otro,[0]!Centro,$B380,[0]!Turno,V$341)</f>
        <v>0</v>
      </c>
      <c r="W380" s="72">
        <f>SUMIFS([0]!Otro,[0]!Centro,$B380,[0]!Turno,W$341)</f>
        <v>0</v>
      </c>
      <c r="X380" s="72">
        <f>SUMIFS([0]!Otro,[0]!Centro,$B380,[0]!Turno,X$341)</f>
        <v>0</v>
      </c>
      <c r="Y380" s="73">
        <f>SUMIFS([0]!Otro,[0]!Centro,$B380,[0]!Turno,Y$341)</f>
        <v>0</v>
      </c>
    </row>
    <row r="381" spans="2:25" ht="15" customHeight="1" x14ac:dyDescent="0.2">
      <c r="B381" s="251"/>
      <c r="C381" s="94">
        <f>E381/SUM(E381:E383)</f>
        <v>0.44999999999999996</v>
      </c>
      <c r="D381" s="63" t="s">
        <v>0</v>
      </c>
      <c r="E381" s="150">
        <f>IF((E378+E379+E380)=0,0,(E378*$B382)/(E378+E379+E380))</f>
        <v>1.5437917931655016E-2</v>
      </c>
      <c r="F381" s="150">
        <f>IF((F378+F379+F380)=0,0,(F378*$B382)/(F378+F379+F380))</f>
        <v>0</v>
      </c>
      <c r="G381" s="150">
        <f t="shared" ref="G381:Y381" si="1848">IF((G378+G379+G380)=0,0,(G378*$B382)/(G378+G379+G380))</f>
        <v>0</v>
      </c>
      <c r="H381" s="150">
        <f t="shared" si="1848"/>
        <v>0</v>
      </c>
      <c r="I381" s="150">
        <f t="shared" si="1848"/>
        <v>0</v>
      </c>
      <c r="J381" s="150">
        <f t="shared" si="1848"/>
        <v>1.5437917931655016E-2</v>
      </c>
      <c r="K381" s="150">
        <f t="shared" si="1848"/>
        <v>0</v>
      </c>
      <c r="L381" s="150">
        <f t="shared" si="1848"/>
        <v>0</v>
      </c>
      <c r="M381" s="150">
        <f t="shared" si="1848"/>
        <v>0</v>
      </c>
      <c r="N381" s="150">
        <f t="shared" si="1848"/>
        <v>0</v>
      </c>
      <c r="O381" s="150">
        <f t="shared" si="1848"/>
        <v>0</v>
      </c>
      <c r="P381" s="150">
        <f t="shared" si="1848"/>
        <v>0</v>
      </c>
      <c r="Q381" s="150">
        <f t="shared" si="1848"/>
        <v>0</v>
      </c>
      <c r="R381" s="150">
        <f t="shared" si="1848"/>
        <v>0</v>
      </c>
      <c r="S381" s="150">
        <f t="shared" si="1848"/>
        <v>0</v>
      </c>
      <c r="T381" s="150">
        <f t="shared" si="1848"/>
        <v>0</v>
      </c>
      <c r="U381" s="150">
        <f t="shared" si="1848"/>
        <v>0</v>
      </c>
      <c r="V381" s="150">
        <f t="shared" si="1848"/>
        <v>0</v>
      </c>
      <c r="W381" s="150">
        <f t="shared" si="1848"/>
        <v>0</v>
      </c>
      <c r="X381" s="150">
        <f t="shared" si="1848"/>
        <v>0</v>
      </c>
      <c r="Y381" s="163">
        <f t="shared" si="1848"/>
        <v>0</v>
      </c>
    </row>
    <row r="382" spans="2:25" ht="15" customHeight="1" x14ac:dyDescent="0.2">
      <c r="B382" s="252">
        <v>3.4306484292566698E-2</v>
      </c>
      <c r="C382" s="92">
        <f>E382/SUM(E381:E383)</f>
        <v>0.54999999999999993</v>
      </c>
      <c r="D382" s="61" t="s">
        <v>1</v>
      </c>
      <c r="E382" s="154">
        <f>IF((E378+E379+E380)=0,0,(E379*$B382)/(E378+E379+E380))</f>
        <v>1.8868566360911686E-2</v>
      </c>
      <c r="F382" s="154">
        <f>IF((F378+F379+F380)=0,0,(F379*$B382)/(F378+F379+F380))</f>
        <v>0</v>
      </c>
      <c r="G382" s="154">
        <f t="shared" ref="G382:O382" si="1849">IF((G378+G379+G380)=0,0,(G379*$B382)/(G378+G379+G380))</f>
        <v>0</v>
      </c>
      <c r="H382" s="154">
        <f t="shared" si="1849"/>
        <v>0</v>
      </c>
      <c r="I382" s="154">
        <f t="shared" si="1849"/>
        <v>0</v>
      </c>
      <c r="J382" s="154">
        <f t="shared" si="1849"/>
        <v>1.8868566360911686E-2</v>
      </c>
      <c r="K382" s="154">
        <f t="shared" si="1849"/>
        <v>0</v>
      </c>
      <c r="L382" s="154">
        <f t="shared" si="1849"/>
        <v>0</v>
      </c>
      <c r="M382" s="154">
        <f t="shared" si="1849"/>
        <v>0</v>
      </c>
      <c r="N382" s="154">
        <f t="shared" si="1849"/>
        <v>0</v>
      </c>
      <c r="O382" s="154">
        <f t="shared" si="1849"/>
        <v>0</v>
      </c>
      <c r="P382" s="154">
        <f>IF((P378+P379+P380)=0,0,(P379*$B382)/(P378+P379+P380))</f>
        <v>0</v>
      </c>
      <c r="Q382" s="154">
        <f t="shared" ref="Q382:Y382" si="1850">IF((Q378+Q379+Q380)=0,0,(Q379*$B382)/(Q378+Q379+Q380))</f>
        <v>0</v>
      </c>
      <c r="R382" s="154">
        <f t="shared" si="1850"/>
        <v>0</v>
      </c>
      <c r="S382" s="154">
        <f t="shared" si="1850"/>
        <v>0</v>
      </c>
      <c r="T382" s="154">
        <f t="shared" si="1850"/>
        <v>0</v>
      </c>
      <c r="U382" s="154">
        <f t="shared" si="1850"/>
        <v>0</v>
      </c>
      <c r="V382" s="154">
        <f t="shared" si="1850"/>
        <v>0</v>
      </c>
      <c r="W382" s="154">
        <f t="shared" si="1850"/>
        <v>0</v>
      </c>
      <c r="X382" s="154">
        <f t="shared" si="1850"/>
        <v>0</v>
      </c>
      <c r="Y382" s="159">
        <f t="shared" si="1850"/>
        <v>0</v>
      </c>
    </row>
    <row r="383" spans="2:25" ht="15" customHeight="1" thickBot="1" x14ac:dyDescent="0.25">
      <c r="B383" s="253"/>
      <c r="C383" s="93">
        <f>E383/SUM(E381:E383)</f>
        <v>0</v>
      </c>
      <c r="D383" s="75" t="s">
        <v>2</v>
      </c>
      <c r="E383" s="155">
        <f>IF((E378+E379+E380)=0,0,(E380*$B382)/(E378+E379+E380))</f>
        <v>0</v>
      </c>
      <c r="F383" s="155">
        <f>IF((F378+F379+F380)=0,0,(F380*$B382)/(F378+F379+F380))</f>
        <v>0</v>
      </c>
      <c r="G383" s="155">
        <f t="shared" ref="G383:Y383" si="1851">IF((G378+G379+G380)=0,0,(G380*$B382)/(G378+G379+G380))</f>
        <v>0</v>
      </c>
      <c r="H383" s="155">
        <f t="shared" si="1851"/>
        <v>0</v>
      </c>
      <c r="I383" s="155">
        <f t="shared" si="1851"/>
        <v>0</v>
      </c>
      <c r="J383" s="155">
        <f t="shared" si="1851"/>
        <v>0</v>
      </c>
      <c r="K383" s="155">
        <f t="shared" si="1851"/>
        <v>0</v>
      </c>
      <c r="L383" s="155">
        <f t="shared" si="1851"/>
        <v>0</v>
      </c>
      <c r="M383" s="155">
        <f t="shared" si="1851"/>
        <v>0</v>
      </c>
      <c r="N383" s="155">
        <f t="shared" si="1851"/>
        <v>0</v>
      </c>
      <c r="O383" s="155">
        <f t="shared" si="1851"/>
        <v>0</v>
      </c>
      <c r="P383" s="155">
        <f t="shared" si="1851"/>
        <v>0</v>
      </c>
      <c r="Q383" s="155">
        <f t="shared" si="1851"/>
        <v>0</v>
      </c>
      <c r="R383" s="155">
        <f t="shared" si="1851"/>
        <v>0</v>
      </c>
      <c r="S383" s="155">
        <f t="shared" si="1851"/>
        <v>0</v>
      </c>
      <c r="T383" s="155">
        <f t="shared" si="1851"/>
        <v>0</v>
      </c>
      <c r="U383" s="155">
        <f t="shared" si="1851"/>
        <v>0</v>
      </c>
      <c r="V383" s="155">
        <f t="shared" si="1851"/>
        <v>0</v>
      </c>
      <c r="W383" s="155">
        <f t="shared" si="1851"/>
        <v>0</v>
      </c>
      <c r="X383" s="155">
        <f t="shared" si="1851"/>
        <v>0</v>
      </c>
      <c r="Y383" s="160">
        <f t="shared" si="1851"/>
        <v>0</v>
      </c>
    </row>
    <row r="384" spans="2:25" ht="15" customHeight="1" x14ac:dyDescent="0.2">
      <c r="B384" s="249" t="s">
        <v>86</v>
      </c>
      <c r="C384" s="91" t="e">
        <f>E384/SUM(E384:E386)</f>
        <v>#DIV/0!</v>
      </c>
      <c r="D384" s="67" t="s">
        <v>0</v>
      </c>
      <c r="E384" s="68">
        <f t="shared" si="1820"/>
        <v>0</v>
      </c>
      <c r="F384" s="68">
        <f>SUMIFS([0]!Chavez,[0]!Centro,$B386,[0]!Turno,F$341)</f>
        <v>0</v>
      </c>
      <c r="G384" s="68">
        <f>SUMIFS([0]!Chavez,[0]!Centro,$B386,[0]!Turno,G$341)</f>
        <v>0</v>
      </c>
      <c r="H384" s="68">
        <f>SUMIFS([0]!Chavez,[0]!Centro,$B386,[0]!Turno,H$341)</f>
        <v>0</v>
      </c>
      <c r="I384" s="68">
        <f>SUMIFS([0]!Chavez,[0]!Centro,$B386,[0]!Turno,I$341)</f>
        <v>0</v>
      </c>
      <c r="J384" s="68">
        <f>SUMIFS([0]!Chavez,[0]!Centro,$B386,[0]!Turno,J$341)</f>
        <v>0</v>
      </c>
      <c r="K384" s="68">
        <f>SUMIFS([0]!Chavez,[0]!Centro,$B386,[0]!Turno,K$341)</f>
        <v>0</v>
      </c>
      <c r="L384" s="68">
        <f>SUMIFS([0]!Chavez,[0]!Centro,$B386,[0]!Turno,L$341)</f>
        <v>0</v>
      </c>
      <c r="M384" s="68">
        <f>SUMIFS([0]!Chavez,[0]!Centro,$B386,[0]!Turno,M$341)</f>
        <v>0</v>
      </c>
      <c r="N384" s="68">
        <f>SUMIFS([0]!Chavez,[0]!Centro,$B386,[0]!Turno,N$341)</f>
        <v>0</v>
      </c>
      <c r="O384" s="68">
        <f>SUMIFS([0]!Chavez,[0]!Centro,$B386,[0]!Turno,O$341)</f>
        <v>0</v>
      </c>
      <c r="P384" s="68">
        <f>SUMIFS([0]!Chavez,[0]!Centro,$B386,[0]!Turno,P$341)</f>
        <v>0</v>
      </c>
      <c r="Q384" s="68">
        <f>SUMIFS([0]!Chavez,[0]!Centro,$B386,[0]!Turno,Q$341)</f>
        <v>0</v>
      </c>
      <c r="R384" s="68">
        <f>SUMIFS([0]!Chavez,[0]!Centro,$B386,[0]!Turno,R$341)</f>
        <v>0</v>
      </c>
      <c r="S384" s="68">
        <f>SUMIFS([0]!Chavez,[0]!Centro,$B386,[0]!Turno,S$341)</f>
        <v>0</v>
      </c>
      <c r="T384" s="68">
        <f>SUMIFS([0]!Chavez,[0]!Centro,$B386,[0]!Turno,T$341)</f>
        <v>0</v>
      </c>
      <c r="U384" s="68">
        <f>SUMIFS([0]!Chavez,[0]!Centro,$B386,[0]!Turno,U$341)</f>
        <v>0</v>
      </c>
      <c r="V384" s="68">
        <f>SUMIFS([0]!Chavez,[0]!Centro,$B386,[0]!Turno,V$341)</f>
        <v>0</v>
      </c>
      <c r="W384" s="68">
        <f>SUMIFS([0]!Chavez,[0]!Centro,$B386,[0]!Turno,W$341)</f>
        <v>0</v>
      </c>
      <c r="X384" s="68">
        <f>SUMIFS([0]!Chavez,[0]!Centro,$B386,[0]!Turno,X$341)</f>
        <v>0</v>
      </c>
      <c r="Y384" s="69">
        <f>SUMIFS([0]!Chavez,[0]!Centro,$B386,[0]!Turno,Y$341)</f>
        <v>0</v>
      </c>
    </row>
    <row r="385" spans="2:25" ht="15" customHeight="1" x14ac:dyDescent="0.2">
      <c r="B385" s="250"/>
      <c r="C385" s="92" t="e">
        <f>E385/SUM(E384:E386)</f>
        <v>#DIV/0!</v>
      </c>
      <c r="D385" s="61" t="s">
        <v>1</v>
      </c>
      <c r="E385" s="62">
        <f t="shared" si="1820"/>
        <v>0</v>
      </c>
      <c r="F385" s="62">
        <f>SUMIFS([0]!Capriles,[0]!Centro,$B386,[0]!Turno,F$341)</f>
        <v>0</v>
      </c>
      <c r="G385" s="62">
        <f>SUMIFS([0]!Capriles,[0]!Centro,$B386,[0]!Turno,G$341)</f>
        <v>0</v>
      </c>
      <c r="H385" s="62">
        <f>SUMIFS([0]!Capriles,[0]!Centro,$B386,[0]!Turno,H$341)</f>
        <v>0</v>
      </c>
      <c r="I385" s="62">
        <f>SUMIFS([0]!Capriles,[0]!Centro,$B386,[0]!Turno,I$341)</f>
        <v>0</v>
      </c>
      <c r="J385" s="62">
        <f>SUMIFS([0]!Capriles,[0]!Centro,$B386,[0]!Turno,J$341)</f>
        <v>0</v>
      </c>
      <c r="K385" s="62">
        <f>SUMIFS([0]!Capriles,[0]!Centro,$B386,[0]!Turno,K$341)</f>
        <v>0</v>
      </c>
      <c r="L385" s="62">
        <f>SUMIFS([0]!Capriles,[0]!Centro,$B386,[0]!Turno,L$341)</f>
        <v>0</v>
      </c>
      <c r="M385" s="62">
        <f>SUMIFS([0]!Capriles,[0]!Centro,$B386,[0]!Turno,M$341)</f>
        <v>0</v>
      </c>
      <c r="N385" s="62">
        <f>SUMIFS([0]!Capriles,[0]!Centro,$B386,[0]!Turno,N$341)</f>
        <v>0</v>
      </c>
      <c r="O385" s="62">
        <f>SUMIFS([0]!Capriles,[0]!Centro,$B386,[0]!Turno,O$341)</f>
        <v>0</v>
      </c>
      <c r="P385" s="62">
        <f>SUMIFS([0]!Capriles,[0]!Centro,$B386,[0]!Turno,P$341)</f>
        <v>0</v>
      </c>
      <c r="Q385" s="62">
        <f>SUMIFS([0]!Capriles,[0]!Centro,$B386,[0]!Turno,Q$341)</f>
        <v>0</v>
      </c>
      <c r="R385" s="62">
        <f>SUMIFS([0]!Capriles,[0]!Centro,$B386,[0]!Turno,R$341)</f>
        <v>0</v>
      </c>
      <c r="S385" s="62">
        <f>SUMIFS([0]!Capriles,[0]!Centro,$B386,[0]!Turno,S$341)</f>
        <v>0</v>
      </c>
      <c r="T385" s="62">
        <f>SUMIFS([0]!Capriles,[0]!Centro,$B386,[0]!Turno,T$341)</f>
        <v>0</v>
      </c>
      <c r="U385" s="62">
        <f>SUMIFS([0]!Capriles,[0]!Centro,$B386,[0]!Turno,U$341)</f>
        <v>0</v>
      </c>
      <c r="V385" s="62">
        <f>SUMIFS([0]!Capriles,[0]!Centro,$B386,[0]!Turno,V$341)</f>
        <v>0</v>
      </c>
      <c r="W385" s="62">
        <f>SUMIFS([0]!Capriles,[0]!Centro,$B386,[0]!Turno,W$341)</f>
        <v>0</v>
      </c>
      <c r="X385" s="62">
        <f>SUMIFS([0]!Capriles,[0]!Centro,$B386,[0]!Turno,X$341)</f>
        <v>0</v>
      </c>
      <c r="Y385" s="70">
        <f>SUMIFS([0]!Capriles,[0]!Centro,$B386,[0]!Turno,Y$341)</f>
        <v>0</v>
      </c>
    </row>
    <row r="386" spans="2:25" ht="15" customHeight="1" thickBot="1" x14ac:dyDescent="0.25">
      <c r="B386" s="251">
        <v>16</v>
      </c>
      <c r="C386" s="100" t="e">
        <f>E386/SUM(E384:E386)</f>
        <v>#DIV/0!</v>
      </c>
      <c r="D386" s="71" t="s">
        <v>2</v>
      </c>
      <c r="E386" s="72">
        <f t="shared" si="1820"/>
        <v>0</v>
      </c>
      <c r="F386" s="72">
        <f>SUMIFS([0]!Otro,[0]!Centro,$B386,[0]!Turno,F$341)</f>
        <v>0</v>
      </c>
      <c r="G386" s="72">
        <f>SUMIFS([0]!Otro,[0]!Centro,$B386,[0]!Turno,G$341)</f>
        <v>0</v>
      </c>
      <c r="H386" s="72">
        <f>SUMIFS([0]!Otro,[0]!Centro,$B386,[0]!Turno,H$341)</f>
        <v>0</v>
      </c>
      <c r="I386" s="72">
        <f>SUMIFS([0]!Otro,[0]!Centro,$B386,[0]!Turno,I$341)</f>
        <v>0</v>
      </c>
      <c r="J386" s="72">
        <f>SUMIFS([0]!Otro,[0]!Centro,$B386,[0]!Turno,J$341)</f>
        <v>0</v>
      </c>
      <c r="K386" s="72">
        <f>SUMIFS([0]!Otro,[0]!Centro,$B386,[0]!Turno,K$341)</f>
        <v>0</v>
      </c>
      <c r="L386" s="72">
        <f>SUMIFS([0]!Otro,[0]!Centro,$B386,[0]!Turno,L$341)</f>
        <v>0</v>
      </c>
      <c r="M386" s="72">
        <f>SUMIFS([0]!Otro,[0]!Centro,$B386,[0]!Turno,M$341)</f>
        <v>0</v>
      </c>
      <c r="N386" s="72">
        <f>SUMIFS([0]!Otro,[0]!Centro,$B386,[0]!Turno,N$341)</f>
        <v>0</v>
      </c>
      <c r="O386" s="72">
        <f>SUMIFS([0]!Otro,[0]!Centro,$B386,[0]!Turno,O$341)</f>
        <v>0</v>
      </c>
      <c r="P386" s="72">
        <f>SUMIFS([0]!Otro,[0]!Centro,$B386,[0]!Turno,P$341)</f>
        <v>0</v>
      </c>
      <c r="Q386" s="72">
        <f>SUMIFS([0]!Otro,[0]!Centro,$B386,[0]!Turno,Q$341)</f>
        <v>0</v>
      </c>
      <c r="R386" s="72">
        <f>SUMIFS([0]!Otro,[0]!Centro,$B386,[0]!Turno,R$341)</f>
        <v>0</v>
      </c>
      <c r="S386" s="72">
        <f>SUMIFS([0]!Otro,[0]!Centro,$B386,[0]!Turno,S$341)</f>
        <v>0</v>
      </c>
      <c r="T386" s="72">
        <f>SUMIFS([0]!Otro,[0]!Centro,$B386,[0]!Turno,T$341)</f>
        <v>0</v>
      </c>
      <c r="U386" s="72">
        <f>SUMIFS([0]!Otro,[0]!Centro,$B386,[0]!Turno,U$341)</f>
        <v>0</v>
      </c>
      <c r="V386" s="72">
        <f>SUMIFS([0]!Otro,[0]!Centro,$B386,[0]!Turno,V$341)</f>
        <v>0</v>
      </c>
      <c r="W386" s="72">
        <f>SUMIFS([0]!Otro,[0]!Centro,$B386,[0]!Turno,W$341)</f>
        <v>0</v>
      </c>
      <c r="X386" s="72">
        <f>SUMIFS([0]!Otro,[0]!Centro,$B386,[0]!Turno,X$341)</f>
        <v>0</v>
      </c>
      <c r="Y386" s="73">
        <f>SUMIFS([0]!Otro,[0]!Centro,$B386,[0]!Turno,Y$341)</f>
        <v>0</v>
      </c>
    </row>
    <row r="387" spans="2:25" ht="15" customHeight="1" x14ac:dyDescent="0.2">
      <c r="B387" s="251"/>
      <c r="C387" s="94" t="e">
        <f>E387/SUM(E387:E389)</f>
        <v>#DIV/0!</v>
      </c>
      <c r="D387" s="63" t="s">
        <v>0</v>
      </c>
      <c r="E387" s="150">
        <f>IF((E384+E385+E386)=0,0,(E384*$B388)/(E384+E385+E386))</f>
        <v>0</v>
      </c>
      <c r="F387" s="150">
        <f>IF((F384+F385+F386)=0,0,(F384*$B388)/(F384+F385+F386))</f>
        <v>0</v>
      </c>
      <c r="G387" s="150">
        <f t="shared" ref="G387:Y387" si="1852">IF((G384+G385+G386)=0,0,(G384*$B388)/(G384+G385+G386))</f>
        <v>0</v>
      </c>
      <c r="H387" s="150">
        <f t="shared" si="1852"/>
        <v>0</v>
      </c>
      <c r="I387" s="150">
        <f t="shared" si="1852"/>
        <v>0</v>
      </c>
      <c r="J387" s="150">
        <f t="shared" si="1852"/>
        <v>0</v>
      </c>
      <c r="K387" s="150">
        <f t="shared" si="1852"/>
        <v>0</v>
      </c>
      <c r="L387" s="150">
        <f t="shared" si="1852"/>
        <v>0</v>
      </c>
      <c r="M387" s="150">
        <f t="shared" si="1852"/>
        <v>0</v>
      </c>
      <c r="N387" s="150">
        <f t="shared" si="1852"/>
        <v>0</v>
      </c>
      <c r="O387" s="150">
        <f t="shared" si="1852"/>
        <v>0</v>
      </c>
      <c r="P387" s="150">
        <f t="shared" si="1852"/>
        <v>0</v>
      </c>
      <c r="Q387" s="150">
        <f t="shared" si="1852"/>
        <v>0</v>
      </c>
      <c r="R387" s="150">
        <f t="shared" si="1852"/>
        <v>0</v>
      </c>
      <c r="S387" s="150">
        <f t="shared" si="1852"/>
        <v>0</v>
      </c>
      <c r="T387" s="150">
        <f t="shared" si="1852"/>
        <v>0</v>
      </c>
      <c r="U387" s="150">
        <f t="shared" si="1852"/>
        <v>0</v>
      </c>
      <c r="V387" s="150">
        <f t="shared" si="1852"/>
        <v>0</v>
      </c>
      <c r="W387" s="150">
        <f t="shared" si="1852"/>
        <v>0</v>
      </c>
      <c r="X387" s="150">
        <f t="shared" si="1852"/>
        <v>0</v>
      </c>
      <c r="Y387" s="163">
        <f t="shared" si="1852"/>
        <v>0</v>
      </c>
    </row>
    <row r="388" spans="2:25" ht="15" customHeight="1" x14ac:dyDescent="0.2">
      <c r="B388" s="252">
        <v>2.7633171716910199E-2</v>
      </c>
      <c r="C388" s="92" t="e">
        <f>E388/SUM(E387:E389)</f>
        <v>#DIV/0!</v>
      </c>
      <c r="D388" s="61" t="s">
        <v>1</v>
      </c>
      <c r="E388" s="154">
        <f>IF((E384+E385+E386)=0,0,(E385*$B388)/(E384+E385+E386))</f>
        <v>0</v>
      </c>
      <c r="F388" s="154">
        <f>IF((F384+F385+F386)=0,0,(F385*$B388)/(F384+F385+F386))</f>
        <v>0</v>
      </c>
      <c r="G388" s="154">
        <f t="shared" ref="G388:O388" si="1853">IF((G384+G385+G386)=0,0,(G385*$B388)/(G384+G385+G386))</f>
        <v>0</v>
      </c>
      <c r="H388" s="154">
        <f t="shared" si="1853"/>
        <v>0</v>
      </c>
      <c r="I388" s="154">
        <f t="shared" si="1853"/>
        <v>0</v>
      </c>
      <c r="J388" s="154">
        <f t="shared" si="1853"/>
        <v>0</v>
      </c>
      <c r="K388" s="154">
        <f t="shared" si="1853"/>
        <v>0</v>
      </c>
      <c r="L388" s="154">
        <f t="shared" si="1853"/>
        <v>0</v>
      </c>
      <c r="M388" s="154">
        <f t="shared" si="1853"/>
        <v>0</v>
      </c>
      <c r="N388" s="154">
        <f t="shared" si="1853"/>
        <v>0</v>
      </c>
      <c r="O388" s="154">
        <f t="shared" si="1853"/>
        <v>0</v>
      </c>
      <c r="P388" s="154">
        <f>IF((P384+P385+P386)=0,0,(P385*$B388)/(P384+P385+P386))</f>
        <v>0</v>
      </c>
      <c r="Q388" s="154">
        <f t="shared" ref="Q388:Y388" si="1854">IF((Q384+Q385+Q386)=0,0,(Q385*$B388)/(Q384+Q385+Q386))</f>
        <v>0</v>
      </c>
      <c r="R388" s="154">
        <f t="shared" si="1854"/>
        <v>0</v>
      </c>
      <c r="S388" s="154">
        <f t="shared" si="1854"/>
        <v>0</v>
      </c>
      <c r="T388" s="154">
        <f t="shared" si="1854"/>
        <v>0</v>
      </c>
      <c r="U388" s="154">
        <f t="shared" si="1854"/>
        <v>0</v>
      </c>
      <c r="V388" s="154">
        <f t="shared" si="1854"/>
        <v>0</v>
      </c>
      <c r="W388" s="154">
        <f t="shared" si="1854"/>
        <v>0</v>
      </c>
      <c r="X388" s="154">
        <f t="shared" si="1854"/>
        <v>0</v>
      </c>
      <c r="Y388" s="159">
        <f t="shared" si="1854"/>
        <v>0</v>
      </c>
    </row>
    <row r="389" spans="2:25" ht="15" customHeight="1" thickBot="1" x14ac:dyDescent="0.25">
      <c r="B389" s="253"/>
      <c r="C389" s="93" t="e">
        <f>E389/SUM(E387:E389)</f>
        <v>#DIV/0!</v>
      </c>
      <c r="D389" s="75" t="s">
        <v>2</v>
      </c>
      <c r="E389" s="155">
        <f>IF((E384+E385+E386)=0,0,(E386*$B388)/(E384+E385+E386))</f>
        <v>0</v>
      </c>
      <c r="F389" s="155">
        <f>IF((F384+F385+F386)=0,0,(F386*$B388)/(F384+F385+F386))</f>
        <v>0</v>
      </c>
      <c r="G389" s="155">
        <f t="shared" ref="G389:Y389" si="1855">IF((G384+G385+G386)=0,0,(G386*$B388)/(G384+G385+G386))</f>
        <v>0</v>
      </c>
      <c r="H389" s="155">
        <f t="shared" si="1855"/>
        <v>0</v>
      </c>
      <c r="I389" s="155">
        <f t="shared" si="1855"/>
        <v>0</v>
      </c>
      <c r="J389" s="155">
        <f t="shared" si="1855"/>
        <v>0</v>
      </c>
      <c r="K389" s="155">
        <f t="shared" si="1855"/>
        <v>0</v>
      </c>
      <c r="L389" s="155">
        <f t="shared" si="1855"/>
        <v>0</v>
      </c>
      <c r="M389" s="155">
        <f t="shared" si="1855"/>
        <v>0</v>
      </c>
      <c r="N389" s="155">
        <f t="shared" si="1855"/>
        <v>0</v>
      </c>
      <c r="O389" s="155">
        <f t="shared" si="1855"/>
        <v>0</v>
      </c>
      <c r="P389" s="155">
        <f t="shared" si="1855"/>
        <v>0</v>
      </c>
      <c r="Q389" s="155">
        <f t="shared" si="1855"/>
        <v>0</v>
      </c>
      <c r="R389" s="155">
        <f t="shared" si="1855"/>
        <v>0</v>
      </c>
      <c r="S389" s="155">
        <f t="shared" si="1855"/>
        <v>0</v>
      </c>
      <c r="T389" s="155">
        <f t="shared" si="1855"/>
        <v>0</v>
      </c>
      <c r="U389" s="155">
        <f t="shared" si="1855"/>
        <v>0</v>
      </c>
      <c r="V389" s="155">
        <f t="shared" si="1855"/>
        <v>0</v>
      </c>
      <c r="W389" s="155">
        <f t="shared" si="1855"/>
        <v>0</v>
      </c>
      <c r="X389" s="155">
        <f t="shared" si="1855"/>
        <v>0</v>
      </c>
      <c r="Y389" s="160">
        <f t="shared" si="1855"/>
        <v>0</v>
      </c>
    </row>
    <row r="390" spans="2:25" ht="15" customHeight="1" x14ac:dyDescent="0.2">
      <c r="B390" s="249" t="s">
        <v>87</v>
      </c>
      <c r="C390" s="91">
        <f>E390/SUM(E390:E392)</f>
        <v>0.224</v>
      </c>
      <c r="D390" s="67" t="s">
        <v>0</v>
      </c>
      <c r="E390" s="68">
        <f t="shared" si="1820"/>
        <v>28</v>
      </c>
      <c r="F390" s="68">
        <f>SUMIFS([0]!Chavez,[0]!Centro,$B392,[0]!Turno,F$341)</f>
        <v>2</v>
      </c>
      <c r="G390" s="68">
        <f>SUMIFS([0]!Chavez,[0]!Centro,$B392,[0]!Turno,G$341)</f>
        <v>0</v>
      </c>
      <c r="H390" s="68">
        <f>SUMIFS([0]!Chavez,[0]!Centro,$B392,[0]!Turno,H$341)</f>
        <v>0</v>
      </c>
      <c r="I390" s="68">
        <f>SUMIFS([0]!Chavez,[0]!Centro,$B392,[0]!Turno,I$341)</f>
        <v>8</v>
      </c>
      <c r="J390" s="68">
        <f>SUMIFS([0]!Chavez,[0]!Centro,$B392,[0]!Turno,J$341)</f>
        <v>2</v>
      </c>
      <c r="K390" s="68">
        <f>SUMIFS([0]!Chavez,[0]!Centro,$B392,[0]!Turno,K$341)</f>
        <v>3</v>
      </c>
      <c r="L390" s="68">
        <f>SUMIFS([0]!Chavez,[0]!Centro,$B392,[0]!Turno,L$341)</f>
        <v>0</v>
      </c>
      <c r="M390" s="68">
        <f>SUMIFS([0]!Chavez,[0]!Centro,$B392,[0]!Turno,M$341)</f>
        <v>13</v>
      </c>
      <c r="N390" s="68">
        <f>SUMIFS([0]!Chavez,[0]!Centro,$B392,[0]!Turno,N$341)</f>
        <v>0</v>
      </c>
      <c r="O390" s="68">
        <f>SUMIFS([0]!Chavez,[0]!Centro,$B392,[0]!Turno,O$341)</f>
        <v>0</v>
      </c>
      <c r="P390" s="68">
        <f>SUMIFS([0]!Chavez,[0]!Centro,$B392,[0]!Turno,P$341)</f>
        <v>0</v>
      </c>
      <c r="Q390" s="68">
        <f>SUMIFS([0]!Chavez,[0]!Centro,$B392,[0]!Turno,Q$341)</f>
        <v>0</v>
      </c>
      <c r="R390" s="68">
        <f>SUMIFS([0]!Chavez,[0]!Centro,$B392,[0]!Turno,R$341)</f>
        <v>0</v>
      </c>
      <c r="S390" s="68">
        <f>SUMIFS([0]!Chavez,[0]!Centro,$B392,[0]!Turno,S$341)</f>
        <v>0</v>
      </c>
      <c r="T390" s="68">
        <f>SUMIFS([0]!Chavez,[0]!Centro,$B392,[0]!Turno,T$341)</f>
        <v>0</v>
      </c>
      <c r="U390" s="68">
        <f>SUMIFS([0]!Chavez,[0]!Centro,$B392,[0]!Turno,U$341)</f>
        <v>0</v>
      </c>
      <c r="V390" s="68">
        <f>SUMIFS([0]!Chavez,[0]!Centro,$B392,[0]!Turno,V$341)</f>
        <v>0</v>
      </c>
      <c r="W390" s="68">
        <f>SUMIFS([0]!Chavez,[0]!Centro,$B392,[0]!Turno,W$341)</f>
        <v>0</v>
      </c>
      <c r="X390" s="68">
        <f>SUMIFS([0]!Chavez,[0]!Centro,$B392,[0]!Turno,X$341)</f>
        <v>0</v>
      </c>
      <c r="Y390" s="69">
        <f>SUMIFS([0]!Chavez,[0]!Centro,$B392,[0]!Turno,Y$341)</f>
        <v>0</v>
      </c>
    </row>
    <row r="391" spans="2:25" ht="15" customHeight="1" x14ac:dyDescent="0.2">
      <c r="B391" s="250"/>
      <c r="C391" s="92">
        <f>E391/SUM(E390:E392)</f>
        <v>0.752</v>
      </c>
      <c r="D391" s="61" t="s">
        <v>1</v>
      </c>
      <c r="E391" s="62">
        <f t="shared" si="1820"/>
        <v>94</v>
      </c>
      <c r="F391" s="62">
        <f>SUMIFS([0]!Capriles,[0]!Centro,$B392,[0]!Turno,F$341)</f>
        <v>15</v>
      </c>
      <c r="G391" s="62">
        <f>SUMIFS([0]!Capriles,[0]!Centro,$B392,[0]!Turno,G$341)</f>
        <v>0</v>
      </c>
      <c r="H391" s="62">
        <f>SUMIFS([0]!Capriles,[0]!Centro,$B392,[0]!Turno,H$341)</f>
        <v>7</v>
      </c>
      <c r="I391" s="62">
        <f>SUMIFS([0]!Capriles,[0]!Centro,$B392,[0]!Turno,I$341)</f>
        <v>8</v>
      </c>
      <c r="J391" s="62">
        <f>SUMIFS([0]!Capriles,[0]!Centro,$B392,[0]!Turno,J$341)</f>
        <v>9</v>
      </c>
      <c r="K391" s="62">
        <f>SUMIFS([0]!Capriles,[0]!Centro,$B392,[0]!Turno,K$341)</f>
        <v>11</v>
      </c>
      <c r="L391" s="62">
        <f>SUMIFS([0]!Capriles,[0]!Centro,$B392,[0]!Turno,L$341)</f>
        <v>0</v>
      </c>
      <c r="M391" s="62">
        <f>SUMIFS([0]!Capriles,[0]!Centro,$B392,[0]!Turno,M$341)</f>
        <v>44</v>
      </c>
      <c r="N391" s="62">
        <f>SUMIFS([0]!Capriles,[0]!Centro,$B392,[0]!Turno,N$341)</f>
        <v>0</v>
      </c>
      <c r="O391" s="62">
        <f>SUMIFS([0]!Capriles,[0]!Centro,$B392,[0]!Turno,O$341)</f>
        <v>0</v>
      </c>
      <c r="P391" s="62">
        <f>SUMIFS([0]!Capriles,[0]!Centro,$B392,[0]!Turno,P$341)</f>
        <v>0</v>
      </c>
      <c r="Q391" s="62">
        <f>SUMIFS([0]!Capriles,[0]!Centro,$B392,[0]!Turno,Q$341)</f>
        <v>0</v>
      </c>
      <c r="R391" s="62">
        <f>SUMIFS([0]!Capriles,[0]!Centro,$B392,[0]!Turno,R$341)</f>
        <v>0</v>
      </c>
      <c r="S391" s="62">
        <f>SUMIFS([0]!Capriles,[0]!Centro,$B392,[0]!Turno,S$341)</f>
        <v>0</v>
      </c>
      <c r="T391" s="62">
        <f>SUMIFS([0]!Capriles,[0]!Centro,$B392,[0]!Turno,T$341)</f>
        <v>0</v>
      </c>
      <c r="U391" s="62">
        <f>SUMIFS([0]!Capriles,[0]!Centro,$B392,[0]!Turno,U$341)</f>
        <v>0</v>
      </c>
      <c r="V391" s="62">
        <f>SUMIFS([0]!Capriles,[0]!Centro,$B392,[0]!Turno,V$341)</f>
        <v>0</v>
      </c>
      <c r="W391" s="62">
        <f>SUMIFS([0]!Capriles,[0]!Centro,$B392,[0]!Turno,W$341)</f>
        <v>0</v>
      </c>
      <c r="X391" s="62">
        <f>SUMIFS([0]!Capriles,[0]!Centro,$B392,[0]!Turno,X$341)</f>
        <v>0</v>
      </c>
      <c r="Y391" s="70">
        <f>SUMIFS([0]!Capriles,[0]!Centro,$B392,[0]!Turno,Y$341)</f>
        <v>0</v>
      </c>
    </row>
    <row r="392" spans="2:25" ht="15" customHeight="1" thickBot="1" x14ac:dyDescent="0.25">
      <c r="B392" s="251">
        <v>19</v>
      </c>
      <c r="C392" s="100">
        <f>E392/SUM(E390:E392)</f>
        <v>2.4E-2</v>
      </c>
      <c r="D392" s="71" t="s">
        <v>2</v>
      </c>
      <c r="E392" s="72">
        <f t="shared" si="1820"/>
        <v>3</v>
      </c>
      <c r="F392" s="72">
        <f>SUMIFS([0]!Otro,[0]!Centro,$B392,[0]!Turno,F$341)</f>
        <v>1</v>
      </c>
      <c r="G392" s="72">
        <f>SUMIFS([0]!Otro,[0]!Centro,$B392,[0]!Turno,G$341)</f>
        <v>0</v>
      </c>
      <c r="H392" s="72">
        <f>SUMIFS([0]!Otro,[0]!Centro,$B392,[0]!Turno,H$341)</f>
        <v>0</v>
      </c>
      <c r="I392" s="72">
        <f>SUMIFS([0]!Otro,[0]!Centro,$B392,[0]!Turno,I$341)</f>
        <v>1</v>
      </c>
      <c r="J392" s="72">
        <f>SUMIFS([0]!Otro,[0]!Centro,$B392,[0]!Turno,J$341)</f>
        <v>1</v>
      </c>
      <c r="K392" s="72">
        <f>SUMIFS([0]!Otro,[0]!Centro,$B392,[0]!Turno,K$341)</f>
        <v>0</v>
      </c>
      <c r="L392" s="72">
        <f>SUMIFS([0]!Otro,[0]!Centro,$B392,[0]!Turno,L$341)</f>
        <v>0</v>
      </c>
      <c r="M392" s="72">
        <f>SUMIFS([0]!Otro,[0]!Centro,$B392,[0]!Turno,M$341)</f>
        <v>0</v>
      </c>
      <c r="N392" s="72">
        <f>SUMIFS([0]!Otro,[0]!Centro,$B392,[0]!Turno,N$341)</f>
        <v>0</v>
      </c>
      <c r="O392" s="72">
        <f>SUMIFS([0]!Otro,[0]!Centro,$B392,[0]!Turno,O$341)</f>
        <v>0</v>
      </c>
      <c r="P392" s="72">
        <f>SUMIFS([0]!Otro,[0]!Centro,$B392,[0]!Turno,P$341)</f>
        <v>0</v>
      </c>
      <c r="Q392" s="72">
        <f>SUMIFS([0]!Otro,[0]!Centro,$B392,[0]!Turno,Q$341)</f>
        <v>0</v>
      </c>
      <c r="R392" s="72">
        <f>SUMIFS([0]!Otro,[0]!Centro,$B392,[0]!Turno,R$341)</f>
        <v>0</v>
      </c>
      <c r="S392" s="72">
        <f>SUMIFS([0]!Otro,[0]!Centro,$B392,[0]!Turno,S$341)</f>
        <v>0</v>
      </c>
      <c r="T392" s="72">
        <f>SUMIFS([0]!Otro,[0]!Centro,$B392,[0]!Turno,T$341)</f>
        <v>0</v>
      </c>
      <c r="U392" s="72">
        <f>SUMIFS([0]!Otro,[0]!Centro,$B392,[0]!Turno,U$341)</f>
        <v>0</v>
      </c>
      <c r="V392" s="72">
        <f>SUMIFS([0]!Otro,[0]!Centro,$B392,[0]!Turno,V$341)</f>
        <v>0</v>
      </c>
      <c r="W392" s="72">
        <f>SUMIFS([0]!Otro,[0]!Centro,$B392,[0]!Turno,W$341)</f>
        <v>0</v>
      </c>
      <c r="X392" s="72">
        <f>SUMIFS([0]!Otro,[0]!Centro,$B392,[0]!Turno,X$341)</f>
        <v>0</v>
      </c>
      <c r="Y392" s="73">
        <f>SUMIFS([0]!Otro,[0]!Centro,$B392,[0]!Turno,Y$341)</f>
        <v>0</v>
      </c>
    </row>
    <row r="393" spans="2:25" ht="15" customHeight="1" x14ac:dyDescent="0.2">
      <c r="B393" s="251"/>
      <c r="C393" s="94">
        <f>E393/SUM(E393:E395)</f>
        <v>0.22399999999999998</v>
      </c>
      <c r="D393" s="63" t="s">
        <v>0</v>
      </c>
      <c r="E393" s="150">
        <f>IF((E390+E391+E392)=0,0,(E390*$B394)/(E390+E391+E392))</f>
        <v>1.308436895152155E-2</v>
      </c>
      <c r="F393" s="150">
        <f>IF((F390+F391+F392)=0,0,(F390*$B394)/(F390+F391+F392))</f>
        <v>6.4902623767468005E-3</v>
      </c>
      <c r="G393" s="150">
        <f t="shared" ref="G393:Y393" si="1856">IF((G390+G391+G392)=0,0,(G390*$B394)/(G390+G391+G392))</f>
        <v>0</v>
      </c>
      <c r="H393" s="150">
        <f t="shared" si="1856"/>
        <v>0</v>
      </c>
      <c r="I393" s="150">
        <f t="shared" si="1856"/>
        <v>2.7488170066221743E-2</v>
      </c>
      <c r="J393" s="150">
        <f t="shared" si="1856"/>
        <v>9.7353935651202008E-3</v>
      </c>
      <c r="K393" s="150">
        <f t="shared" si="1856"/>
        <v>1.2516934583725972E-2</v>
      </c>
      <c r="L393" s="150">
        <f t="shared" si="1856"/>
        <v>0</v>
      </c>
      <c r="M393" s="150">
        <f t="shared" si="1856"/>
        <v>1.3322117510164485E-2</v>
      </c>
      <c r="N393" s="150">
        <f t="shared" si="1856"/>
        <v>0</v>
      </c>
      <c r="O393" s="150">
        <f t="shared" si="1856"/>
        <v>0</v>
      </c>
      <c r="P393" s="150">
        <f t="shared" si="1856"/>
        <v>0</v>
      </c>
      <c r="Q393" s="150">
        <f t="shared" si="1856"/>
        <v>0</v>
      </c>
      <c r="R393" s="150">
        <f t="shared" si="1856"/>
        <v>0</v>
      </c>
      <c r="S393" s="150">
        <f t="shared" si="1856"/>
        <v>0</v>
      </c>
      <c r="T393" s="150">
        <f t="shared" si="1856"/>
        <v>0</v>
      </c>
      <c r="U393" s="150">
        <f t="shared" si="1856"/>
        <v>0</v>
      </c>
      <c r="V393" s="150">
        <f t="shared" si="1856"/>
        <v>0</v>
      </c>
      <c r="W393" s="150">
        <f t="shared" si="1856"/>
        <v>0</v>
      </c>
      <c r="X393" s="150">
        <f t="shared" si="1856"/>
        <v>0</v>
      </c>
      <c r="Y393" s="163">
        <f t="shared" si="1856"/>
        <v>0</v>
      </c>
    </row>
    <row r="394" spans="2:25" ht="15" customHeight="1" x14ac:dyDescent="0.2">
      <c r="B394" s="252">
        <v>5.8412361390721201E-2</v>
      </c>
      <c r="C394" s="92">
        <f>E394/SUM(E393:E395)</f>
        <v>0.752</v>
      </c>
      <c r="D394" s="61" t="s">
        <v>1</v>
      </c>
      <c r="E394" s="154">
        <f>IF((E390+E391+E392)=0,0,(E391*$B394)/(E390+E391+E392))</f>
        <v>4.3926095765822348E-2</v>
      </c>
      <c r="F394" s="154">
        <f>IF((F390+F391+F392)=0,0,(F391*$B394)/(F390+F391+F392))</f>
        <v>4.8676967825600999E-2</v>
      </c>
      <c r="G394" s="154">
        <f t="shared" ref="G394:O394" si="1857">IF((G390+G391+G392)=0,0,(G391*$B394)/(G390+G391+G392))</f>
        <v>0</v>
      </c>
      <c r="H394" s="154">
        <f t="shared" si="1857"/>
        <v>5.8412361390721201E-2</v>
      </c>
      <c r="I394" s="154">
        <f t="shared" si="1857"/>
        <v>2.7488170066221743E-2</v>
      </c>
      <c r="J394" s="154">
        <f t="shared" si="1857"/>
        <v>4.3809271043040908E-2</v>
      </c>
      <c r="K394" s="154">
        <f t="shared" si="1857"/>
        <v>4.5895426806995224E-2</v>
      </c>
      <c r="L394" s="154">
        <f t="shared" si="1857"/>
        <v>0</v>
      </c>
      <c r="M394" s="154">
        <f t="shared" si="1857"/>
        <v>4.5090243880556713E-2</v>
      </c>
      <c r="N394" s="154">
        <f t="shared" si="1857"/>
        <v>0</v>
      </c>
      <c r="O394" s="154">
        <f t="shared" si="1857"/>
        <v>0</v>
      </c>
      <c r="P394" s="154">
        <f>IF((P390+P391+P392)=0,0,(P391*$B394)/(P390+P391+P392))</f>
        <v>0</v>
      </c>
      <c r="Q394" s="154">
        <f t="shared" ref="Q394:Y394" si="1858">IF((Q390+Q391+Q392)=0,0,(Q391*$B394)/(Q390+Q391+Q392))</f>
        <v>0</v>
      </c>
      <c r="R394" s="154">
        <f t="shared" si="1858"/>
        <v>0</v>
      </c>
      <c r="S394" s="154">
        <f t="shared" si="1858"/>
        <v>0</v>
      </c>
      <c r="T394" s="154">
        <f t="shared" si="1858"/>
        <v>0</v>
      </c>
      <c r="U394" s="154">
        <f t="shared" si="1858"/>
        <v>0</v>
      </c>
      <c r="V394" s="154">
        <f t="shared" si="1858"/>
        <v>0</v>
      </c>
      <c r="W394" s="154">
        <f t="shared" si="1858"/>
        <v>0</v>
      </c>
      <c r="X394" s="154">
        <f t="shared" si="1858"/>
        <v>0</v>
      </c>
      <c r="Y394" s="159">
        <f t="shared" si="1858"/>
        <v>0</v>
      </c>
    </row>
    <row r="395" spans="2:25" ht="15" customHeight="1" thickBot="1" x14ac:dyDescent="0.25">
      <c r="B395" s="253"/>
      <c r="C395" s="93">
        <f>E395/SUM(E393:E395)</f>
        <v>2.3999999999999997E-2</v>
      </c>
      <c r="D395" s="75" t="s">
        <v>2</v>
      </c>
      <c r="E395" s="155">
        <f>IF((E390+E391+E392)=0,0,(E392*$B394)/(E390+E391+E392))</f>
        <v>1.4018966733773089E-3</v>
      </c>
      <c r="F395" s="155">
        <f>IF((F390+F391+F392)=0,0,(F392*$B394)/(F390+F391+F392))</f>
        <v>3.2451311883734003E-3</v>
      </c>
      <c r="G395" s="155">
        <f t="shared" ref="G395:Y395" si="1859">IF((G390+G391+G392)=0,0,(G392*$B394)/(G390+G391+G392))</f>
        <v>0</v>
      </c>
      <c r="H395" s="155">
        <f t="shared" si="1859"/>
        <v>0</v>
      </c>
      <c r="I395" s="155">
        <f t="shared" si="1859"/>
        <v>3.4360212582777178E-3</v>
      </c>
      <c r="J395" s="155">
        <f t="shared" si="1859"/>
        <v>4.8676967825601004E-3</v>
      </c>
      <c r="K395" s="155">
        <f t="shared" si="1859"/>
        <v>0</v>
      </c>
      <c r="L395" s="155">
        <f t="shared" si="1859"/>
        <v>0</v>
      </c>
      <c r="M395" s="155">
        <f t="shared" si="1859"/>
        <v>0</v>
      </c>
      <c r="N395" s="155">
        <f t="shared" si="1859"/>
        <v>0</v>
      </c>
      <c r="O395" s="155">
        <f t="shared" si="1859"/>
        <v>0</v>
      </c>
      <c r="P395" s="155">
        <f t="shared" si="1859"/>
        <v>0</v>
      </c>
      <c r="Q395" s="155">
        <f t="shared" si="1859"/>
        <v>0</v>
      </c>
      <c r="R395" s="155">
        <f t="shared" si="1859"/>
        <v>0</v>
      </c>
      <c r="S395" s="155">
        <f t="shared" si="1859"/>
        <v>0</v>
      </c>
      <c r="T395" s="155">
        <f t="shared" si="1859"/>
        <v>0</v>
      </c>
      <c r="U395" s="155">
        <f t="shared" si="1859"/>
        <v>0</v>
      </c>
      <c r="V395" s="155">
        <f t="shared" si="1859"/>
        <v>0</v>
      </c>
      <c r="W395" s="155">
        <f t="shared" si="1859"/>
        <v>0</v>
      </c>
      <c r="X395" s="155">
        <f t="shared" si="1859"/>
        <v>0</v>
      </c>
      <c r="Y395" s="160">
        <f t="shared" si="1859"/>
        <v>0</v>
      </c>
    </row>
    <row r="396" spans="2:25" ht="15" customHeight="1" x14ac:dyDescent="0.2">
      <c r="B396" s="249" t="s">
        <v>88</v>
      </c>
      <c r="C396" s="91">
        <f>E396/SUM(E396:E398)</f>
        <v>0.33658536585365856</v>
      </c>
      <c r="D396" s="67" t="s">
        <v>0</v>
      </c>
      <c r="E396" s="68">
        <f t="shared" si="1820"/>
        <v>69</v>
      </c>
      <c r="F396" s="68">
        <f>SUMIFS([0]!Chavez,[0]!Centro,$B398,[0]!Turno,F$341)</f>
        <v>9</v>
      </c>
      <c r="G396" s="68">
        <f>SUMIFS([0]!Chavez,[0]!Centro,$B398,[0]!Turno,G$341)</f>
        <v>9</v>
      </c>
      <c r="H396" s="68">
        <f>SUMIFS([0]!Chavez,[0]!Centro,$B398,[0]!Turno,H$341)</f>
        <v>6</v>
      </c>
      <c r="I396" s="68">
        <f>SUMIFS([0]!Chavez,[0]!Centro,$B398,[0]!Turno,I$341)</f>
        <v>2</v>
      </c>
      <c r="J396" s="68">
        <f>SUMIFS([0]!Chavez,[0]!Centro,$B398,[0]!Turno,J$341)</f>
        <v>10</v>
      </c>
      <c r="K396" s="68">
        <f>SUMIFS([0]!Chavez,[0]!Centro,$B398,[0]!Turno,K$341)</f>
        <v>6</v>
      </c>
      <c r="L396" s="68">
        <f>SUMIFS([0]!Chavez,[0]!Centro,$B398,[0]!Turno,L$341)</f>
        <v>7</v>
      </c>
      <c r="M396" s="68">
        <f>SUMIFS([0]!Chavez,[0]!Centro,$B398,[0]!Turno,M$341)</f>
        <v>10</v>
      </c>
      <c r="N396" s="68">
        <f>SUMIFS([0]!Chavez,[0]!Centro,$B398,[0]!Turno,N$341)</f>
        <v>8</v>
      </c>
      <c r="O396" s="68">
        <f>SUMIFS([0]!Chavez,[0]!Centro,$B398,[0]!Turno,O$341)</f>
        <v>2</v>
      </c>
      <c r="P396" s="68">
        <f>SUMIFS([0]!Chavez,[0]!Centro,$B398,[0]!Turno,P$341)</f>
        <v>0</v>
      </c>
      <c r="Q396" s="68">
        <f>SUMIFS([0]!Chavez,[0]!Centro,$B398,[0]!Turno,Q$341)</f>
        <v>0</v>
      </c>
      <c r="R396" s="68">
        <f>SUMIFS([0]!Chavez,[0]!Centro,$B398,[0]!Turno,R$341)</f>
        <v>0</v>
      </c>
      <c r="S396" s="68">
        <f>SUMIFS([0]!Chavez,[0]!Centro,$B398,[0]!Turno,S$341)</f>
        <v>0</v>
      </c>
      <c r="T396" s="68">
        <f>SUMIFS([0]!Chavez,[0]!Centro,$B398,[0]!Turno,T$341)</f>
        <v>0</v>
      </c>
      <c r="U396" s="68">
        <f>SUMIFS([0]!Chavez,[0]!Centro,$B398,[0]!Turno,U$341)</f>
        <v>0</v>
      </c>
      <c r="V396" s="68">
        <f>SUMIFS([0]!Chavez,[0]!Centro,$B398,[0]!Turno,V$341)</f>
        <v>0</v>
      </c>
      <c r="W396" s="68">
        <f>SUMIFS([0]!Chavez,[0]!Centro,$B398,[0]!Turno,W$341)</f>
        <v>0</v>
      </c>
      <c r="X396" s="68">
        <f>SUMIFS([0]!Chavez,[0]!Centro,$B398,[0]!Turno,X$341)</f>
        <v>0</v>
      </c>
      <c r="Y396" s="69">
        <f>SUMIFS([0]!Chavez,[0]!Centro,$B398,[0]!Turno,Y$341)</f>
        <v>0</v>
      </c>
    </row>
    <row r="397" spans="2:25" ht="15" customHeight="1" x14ac:dyDescent="0.2">
      <c r="B397" s="250"/>
      <c r="C397" s="92">
        <f>E397/SUM(E396:E398)</f>
        <v>0.61463414634146341</v>
      </c>
      <c r="D397" s="61" t="s">
        <v>1</v>
      </c>
      <c r="E397" s="62">
        <f t="shared" si="1820"/>
        <v>126</v>
      </c>
      <c r="F397" s="62">
        <f>SUMIFS([0]!Capriles,[0]!Centro,$B398,[0]!Turno,F$341)</f>
        <v>6</v>
      </c>
      <c r="G397" s="62">
        <f>SUMIFS([0]!Capriles,[0]!Centro,$B398,[0]!Turno,G$341)</f>
        <v>7</v>
      </c>
      <c r="H397" s="62">
        <f>SUMIFS([0]!Capriles,[0]!Centro,$B398,[0]!Turno,H$341)</f>
        <v>10</v>
      </c>
      <c r="I397" s="62">
        <f>SUMIFS([0]!Capriles,[0]!Centro,$B398,[0]!Turno,I$341)</f>
        <v>8</v>
      </c>
      <c r="J397" s="62">
        <f>SUMIFS([0]!Capriles,[0]!Centro,$B398,[0]!Turno,J$341)</f>
        <v>20</v>
      </c>
      <c r="K397" s="62">
        <f>SUMIFS([0]!Capriles,[0]!Centro,$B398,[0]!Turno,K$341)</f>
        <v>11</v>
      </c>
      <c r="L397" s="62">
        <f>SUMIFS([0]!Capriles,[0]!Centro,$B398,[0]!Turno,L$341)</f>
        <v>20</v>
      </c>
      <c r="M397" s="62">
        <f>SUMIFS([0]!Capriles,[0]!Centro,$B398,[0]!Turno,M$341)</f>
        <v>20</v>
      </c>
      <c r="N397" s="62">
        <f>SUMIFS([0]!Capriles,[0]!Centro,$B398,[0]!Turno,N$341)</f>
        <v>15</v>
      </c>
      <c r="O397" s="62">
        <f>SUMIFS([0]!Capriles,[0]!Centro,$B398,[0]!Turno,O$341)</f>
        <v>9</v>
      </c>
      <c r="P397" s="62">
        <f>SUMIFS([0]!Capriles,[0]!Centro,$B398,[0]!Turno,P$341)</f>
        <v>0</v>
      </c>
      <c r="Q397" s="62">
        <f>SUMIFS([0]!Capriles,[0]!Centro,$B398,[0]!Turno,Q$341)</f>
        <v>0</v>
      </c>
      <c r="R397" s="62">
        <f>SUMIFS([0]!Capriles,[0]!Centro,$B398,[0]!Turno,R$341)</f>
        <v>0</v>
      </c>
      <c r="S397" s="62">
        <f>SUMIFS([0]!Capriles,[0]!Centro,$B398,[0]!Turno,S$341)</f>
        <v>0</v>
      </c>
      <c r="T397" s="62">
        <f>SUMIFS([0]!Capriles,[0]!Centro,$B398,[0]!Turno,T$341)</f>
        <v>0</v>
      </c>
      <c r="U397" s="62">
        <f>SUMIFS([0]!Capriles,[0]!Centro,$B398,[0]!Turno,U$341)</f>
        <v>0</v>
      </c>
      <c r="V397" s="62">
        <f>SUMIFS([0]!Capriles,[0]!Centro,$B398,[0]!Turno,V$341)</f>
        <v>0</v>
      </c>
      <c r="W397" s="62">
        <f>SUMIFS([0]!Capriles,[0]!Centro,$B398,[0]!Turno,W$341)</f>
        <v>0</v>
      </c>
      <c r="X397" s="62">
        <f>SUMIFS([0]!Capriles,[0]!Centro,$B398,[0]!Turno,X$341)</f>
        <v>0</v>
      </c>
      <c r="Y397" s="70">
        <f>SUMIFS([0]!Capriles,[0]!Centro,$B398,[0]!Turno,Y$341)</f>
        <v>0</v>
      </c>
    </row>
    <row r="398" spans="2:25" ht="15" customHeight="1" thickBot="1" x14ac:dyDescent="0.25">
      <c r="B398" s="251">
        <v>11</v>
      </c>
      <c r="C398" s="100">
        <f>E398/SUM(E396:E398)</f>
        <v>4.878048780487805E-2</v>
      </c>
      <c r="D398" s="71" t="s">
        <v>2</v>
      </c>
      <c r="E398" s="72">
        <f t="shared" si="1820"/>
        <v>10</v>
      </c>
      <c r="F398" s="72">
        <f>SUMIFS([0]!Otro,[0]!Centro,$B398,[0]!Turno,F$341)</f>
        <v>0</v>
      </c>
      <c r="G398" s="72">
        <f>SUMIFS([0]!Otro,[0]!Centro,$B398,[0]!Turno,G$341)</f>
        <v>0</v>
      </c>
      <c r="H398" s="72">
        <f>SUMIFS([0]!Otro,[0]!Centro,$B398,[0]!Turno,H$341)</f>
        <v>0</v>
      </c>
      <c r="I398" s="72">
        <f>SUMIFS([0]!Otro,[0]!Centro,$B398,[0]!Turno,I$341)</f>
        <v>0</v>
      </c>
      <c r="J398" s="72">
        <f>SUMIFS([0]!Otro,[0]!Centro,$B398,[0]!Turno,J$341)</f>
        <v>1</v>
      </c>
      <c r="K398" s="72">
        <f>SUMIFS([0]!Otro,[0]!Centro,$B398,[0]!Turno,K$341)</f>
        <v>0</v>
      </c>
      <c r="L398" s="72">
        <f>SUMIFS([0]!Otro,[0]!Centro,$B398,[0]!Turno,L$341)</f>
        <v>1</v>
      </c>
      <c r="M398" s="72">
        <f>SUMIFS([0]!Otro,[0]!Centro,$B398,[0]!Turno,M$341)</f>
        <v>1</v>
      </c>
      <c r="N398" s="72">
        <f>SUMIFS([0]!Otro,[0]!Centro,$B398,[0]!Turno,N$341)</f>
        <v>6</v>
      </c>
      <c r="O398" s="72">
        <f>SUMIFS([0]!Otro,[0]!Centro,$B398,[0]!Turno,O$341)</f>
        <v>1</v>
      </c>
      <c r="P398" s="72">
        <f>SUMIFS([0]!Otro,[0]!Centro,$B398,[0]!Turno,P$341)</f>
        <v>0</v>
      </c>
      <c r="Q398" s="72">
        <f>SUMIFS([0]!Otro,[0]!Centro,$B398,[0]!Turno,Q$341)</f>
        <v>0</v>
      </c>
      <c r="R398" s="72">
        <f>SUMIFS([0]!Otro,[0]!Centro,$B398,[0]!Turno,R$341)</f>
        <v>0</v>
      </c>
      <c r="S398" s="72">
        <f>SUMIFS([0]!Otro,[0]!Centro,$B398,[0]!Turno,S$341)</f>
        <v>0</v>
      </c>
      <c r="T398" s="72">
        <f>SUMIFS([0]!Otro,[0]!Centro,$B398,[0]!Turno,T$341)</f>
        <v>0</v>
      </c>
      <c r="U398" s="72">
        <f>SUMIFS([0]!Otro,[0]!Centro,$B398,[0]!Turno,U$341)</f>
        <v>0</v>
      </c>
      <c r="V398" s="72">
        <f>SUMIFS([0]!Otro,[0]!Centro,$B398,[0]!Turno,V$341)</f>
        <v>0</v>
      </c>
      <c r="W398" s="72">
        <f>SUMIFS([0]!Otro,[0]!Centro,$B398,[0]!Turno,W$341)</f>
        <v>0</v>
      </c>
      <c r="X398" s="72">
        <f>SUMIFS([0]!Otro,[0]!Centro,$B398,[0]!Turno,X$341)</f>
        <v>0</v>
      </c>
      <c r="Y398" s="73">
        <f>SUMIFS([0]!Otro,[0]!Centro,$B398,[0]!Turno,Y$341)</f>
        <v>0</v>
      </c>
    </row>
    <row r="399" spans="2:25" ht="15" customHeight="1" x14ac:dyDescent="0.2">
      <c r="B399" s="251"/>
      <c r="C399" s="94">
        <f>E399/SUM(E399:E401)</f>
        <v>0.33658536585365856</v>
      </c>
      <c r="D399" s="63" t="s">
        <v>0</v>
      </c>
      <c r="E399" s="150">
        <f>IF((E396+E397+E398)=0,0,(E396*$B400)/(E396+E397+E398))</f>
        <v>2.0541422648708407E-2</v>
      </c>
      <c r="F399" s="150">
        <f>IF((F396+F397+F398)=0,0,(F396*$B400)/(F396+F397+F398))</f>
        <v>3.6617318634654117E-2</v>
      </c>
      <c r="G399" s="150">
        <f t="shared" ref="G399:Y399" si="1860">IF((G396+G397+G398)=0,0,(G396*$B400)/(G396+G397+G398))</f>
        <v>3.4328736219988235E-2</v>
      </c>
      <c r="H399" s="150">
        <f t="shared" si="1860"/>
        <v>2.2885824146658823E-2</v>
      </c>
      <c r="I399" s="150">
        <f t="shared" si="1860"/>
        <v>1.220577287821804E-2</v>
      </c>
      <c r="J399" s="150">
        <f t="shared" si="1860"/>
        <v>1.9686730448738775E-2</v>
      </c>
      <c r="K399" s="150">
        <f t="shared" si="1860"/>
        <v>2.1539599196855361E-2</v>
      </c>
      <c r="L399" s="150">
        <f t="shared" si="1860"/>
        <v>1.5257216097772549E-2</v>
      </c>
      <c r="M399" s="150">
        <f t="shared" si="1860"/>
        <v>1.9686730448738775E-2</v>
      </c>
      <c r="N399" s="150">
        <f t="shared" si="1860"/>
        <v>1.6835548797542125E-2</v>
      </c>
      <c r="O399" s="150">
        <f t="shared" si="1860"/>
        <v>1.0171477398515033E-2</v>
      </c>
      <c r="P399" s="150">
        <f t="shared" si="1860"/>
        <v>0</v>
      </c>
      <c r="Q399" s="150">
        <f t="shared" si="1860"/>
        <v>0</v>
      </c>
      <c r="R399" s="150">
        <f t="shared" si="1860"/>
        <v>0</v>
      </c>
      <c r="S399" s="150">
        <f t="shared" si="1860"/>
        <v>0</v>
      </c>
      <c r="T399" s="150">
        <f t="shared" si="1860"/>
        <v>0</v>
      </c>
      <c r="U399" s="150">
        <f t="shared" si="1860"/>
        <v>0</v>
      </c>
      <c r="V399" s="150">
        <f t="shared" si="1860"/>
        <v>0</v>
      </c>
      <c r="W399" s="150">
        <f t="shared" si="1860"/>
        <v>0</v>
      </c>
      <c r="X399" s="150">
        <f t="shared" si="1860"/>
        <v>0</v>
      </c>
      <c r="Y399" s="163">
        <f t="shared" si="1860"/>
        <v>0</v>
      </c>
    </row>
    <row r="400" spans="2:25" ht="15" customHeight="1" x14ac:dyDescent="0.2">
      <c r="B400" s="252">
        <v>6.1028864391090197E-2</v>
      </c>
      <c r="C400" s="92">
        <f>E400/SUM(E399:E401)</f>
        <v>0.61463414634146341</v>
      </c>
      <c r="D400" s="61" t="s">
        <v>1</v>
      </c>
      <c r="E400" s="154">
        <f>IF((E396+E397+E398)=0,0,(E397*$B400)/(E396+E397+E398))</f>
        <v>3.7510423967206656E-2</v>
      </c>
      <c r="F400" s="154">
        <f>IF((F396+F397+F398)=0,0,(F397*$B400)/(F396+F397+F398))</f>
        <v>2.4411545756436077E-2</v>
      </c>
      <c r="G400" s="154">
        <f t="shared" ref="G400:O400" si="1861">IF((G396+G397+G398)=0,0,(G397*$B400)/(G396+G397+G398))</f>
        <v>2.6700128171101963E-2</v>
      </c>
      <c r="H400" s="154">
        <f t="shared" si="1861"/>
        <v>3.8143040244431374E-2</v>
      </c>
      <c r="I400" s="154">
        <f t="shared" si="1861"/>
        <v>4.882309151287216E-2</v>
      </c>
      <c r="J400" s="154">
        <f t="shared" si="1861"/>
        <v>3.937346089747755E-2</v>
      </c>
      <c r="K400" s="154">
        <f t="shared" si="1861"/>
        <v>3.9489265194234839E-2</v>
      </c>
      <c r="L400" s="154">
        <f t="shared" si="1861"/>
        <v>4.3592045993635857E-2</v>
      </c>
      <c r="M400" s="154">
        <f t="shared" si="1861"/>
        <v>3.937346089747755E-2</v>
      </c>
      <c r="N400" s="154">
        <f t="shared" si="1861"/>
        <v>3.1566653995391478E-2</v>
      </c>
      <c r="O400" s="154">
        <f t="shared" si="1861"/>
        <v>4.5771648293317646E-2</v>
      </c>
      <c r="P400" s="154">
        <f>IF((P396+P397+P398)=0,0,(P397*$B400)/(P396+P397+P398))</f>
        <v>0</v>
      </c>
      <c r="Q400" s="154">
        <f t="shared" ref="Q400:Y400" si="1862">IF((Q396+Q397+Q398)=0,0,(Q397*$B400)/(Q396+Q397+Q398))</f>
        <v>0</v>
      </c>
      <c r="R400" s="154">
        <f t="shared" si="1862"/>
        <v>0</v>
      </c>
      <c r="S400" s="154">
        <f t="shared" si="1862"/>
        <v>0</v>
      </c>
      <c r="T400" s="154">
        <f t="shared" si="1862"/>
        <v>0</v>
      </c>
      <c r="U400" s="154">
        <f t="shared" si="1862"/>
        <v>0</v>
      </c>
      <c r="V400" s="154">
        <f t="shared" si="1862"/>
        <v>0</v>
      </c>
      <c r="W400" s="154">
        <f t="shared" si="1862"/>
        <v>0</v>
      </c>
      <c r="X400" s="154">
        <f t="shared" si="1862"/>
        <v>0</v>
      </c>
      <c r="Y400" s="159">
        <f t="shared" si="1862"/>
        <v>0</v>
      </c>
    </row>
    <row r="401" spans="2:25" ht="15" customHeight="1" thickBot="1" x14ac:dyDescent="0.25">
      <c r="B401" s="253"/>
      <c r="C401" s="93">
        <f>E401/SUM(E399:E401)</f>
        <v>4.8780487804878057E-2</v>
      </c>
      <c r="D401" s="75" t="s">
        <v>2</v>
      </c>
      <c r="E401" s="155">
        <f>IF((E396+E397+E398)=0,0,(E398*$B400)/(E396+E397+E398))</f>
        <v>2.9770177751751318E-3</v>
      </c>
      <c r="F401" s="155">
        <f>IF((F396+F397+F398)=0,0,(F398*$B400)/(F396+F397+F398))</f>
        <v>0</v>
      </c>
      <c r="G401" s="155">
        <f t="shared" ref="G401:Y401" si="1863">IF((G396+G397+G398)=0,0,(G398*$B400)/(G396+G397+G398))</f>
        <v>0</v>
      </c>
      <c r="H401" s="155">
        <f t="shared" si="1863"/>
        <v>0</v>
      </c>
      <c r="I401" s="155">
        <f t="shared" si="1863"/>
        <v>0</v>
      </c>
      <c r="J401" s="155">
        <f t="shared" si="1863"/>
        <v>1.9686730448738774E-3</v>
      </c>
      <c r="K401" s="155">
        <f t="shared" si="1863"/>
        <v>0</v>
      </c>
      <c r="L401" s="155">
        <f t="shared" si="1863"/>
        <v>2.1796022996817929E-3</v>
      </c>
      <c r="M401" s="155">
        <f t="shared" si="1863"/>
        <v>1.9686730448738774E-3</v>
      </c>
      <c r="N401" s="155">
        <f t="shared" si="1863"/>
        <v>1.2626661598156593E-2</v>
      </c>
      <c r="O401" s="155">
        <f t="shared" si="1863"/>
        <v>5.0857386992575167E-3</v>
      </c>
      <c r="P401" s="155">
        <f t="shared" si="1863"/>
        <v>0</v>
      </c>
      <c r="Q401" s="155">
        <f t="shared" si="1863"/>
        <v>0</v>
      </c>
      <c r="R401" s="155">
        <f t="shared" si="1863"/>
        <v>0</v>
      </c>
      <c r="S401" s="155">
        <f t="shared" si="1863"/>
        <v>0</v>
      </c>
      <c r="T401" s="155">
        <f t="shared" si="1863"/>
        <v>0</v>
      </c>
      <c r="U401" s="155">
        <f t="shared" si="1863"/>
        <v>0</v>
      </c>
      <c r="V401" s="155">
        <f t="shared" si="1863"/>
        <v>0</v>
      </c>
      <c r="W401" s="155">
        <f t="shared" si="1863"/>
        <v>0</v>
      </c>
      <c r="X401" s="155">
        <f t="shared" si="1863"/>
        <v>0</v>
      </c>
      <c r="Y401" s="160">
        <f t="shared" si="1863"/>
        <v>0</v>
      </c>
    </row>
    <row r="402" spans="2:25" ht="15" customHeight="1" x14ac:dyDescent="0.2">
      <c r="B402" s="249" t="s">
        <v>89</v>
      </c>
      <c r="C402" s="91">
        <f>E402/SUM(E402:E404)</f>
        <v>0.47286821705426357</v>
      </c>
      <c r="D402" s="67" t="s">
        <v>0</v>
      </c>
      <c r="E402" s="68">
        <f t="shared" si="1820"/>
        <v>122</v>
      </c>
      <c r="F402" s="68">
        <f>SUMIFS([0]!Chavez,[0]!Centro,$B404,[0]!Turno,F$341)</f>
        <v>14</v>
      </c>
      <c r="G402" s="68">
        <f>SUMIFS([0]!Chavez,[0]!Centro,$B404,[0]!Turno,G$341)</f>
        <v>20</v>
      </c>
      <c r="H402" s="68">
        <f>SUMIFS([0]!Chavez,[0]!Centro,$B404,[0]!Turno,H$341)</f>
        <v>20</v>
      </c>
      <c r="I402" s="68">
        <f>SUMIFS([0]!Chavez,[0]!Centro,$B404,[0]!Turno,I$341)</f>
        <v>19</v>
      </c>
      <c r="J402" s="68">
        <f>SUMIFS([0]!Chavez,[0]!Centro,$B404,[0]!Turno,J$341)</f>
        <v>10</v>
      </c>
      <c r="K402" s="68">
        <f>SUMIFS([0]!Chavez,[0]!Centro,$B404,[0]!Turno,K$341)</f>
        <v>9</v>
      </c>
      <c r="L402" s="68">
        <f>SUMIFS([0]!Chavez,[0]!Centro,$B404,[0]!Turno,L$341)</f>
        <v>5</v>
      </c>
      <c r="M402" s="68">
        <f>SUMIFS([0]!Chavez,[0]!Centro,$B404,[0]!Turno,M$341)</f>
        <v>12</v>
      </c>
      <c r="N402" s="68">
        <f>SUMIFS([0]!Chavez,[0]!Centro,$B404,[0]!Turno,N$341)</f>
        <v>8</v>
      </c>
      <c r="O402" s="68">
        <f>SUMIFS([0]!Chavez,[0]!Centro,$B404,[0]!Turno,O$341)</f>
        <v>5</v>
      </c>
      <c r="P402" s="68">
        <f>SUMIFS([0]!Chavez,[0]!Centro,$B404,[0]!Turno,P$341)</f>
        <v>0</v>
      </c>
      <c r="Q402" s="68">
        <f>SUMIFS([0]!Chavez,[0]!Centro,$B404,[0]!Turno,Q$341)</f>
        <v>0</v>
      </c>
      <c r="R402" s="68">
        <f>SUMIFS([0]!Chavez,[0]!Centro,$B404,[0]!Turno,R$341)</f>
        <v>0</v>
      </c>
      <c r="S402" s="68">
        <f>SUMIFS([0]!Chavez,[0]!Centro,$B404,[0]!Turno,S$341)</f>
        <v>0</v>
      </c>
      <c r="T402" s="68">
        <f>SUMIFS([0]!Chavez,[0]!Centro,$B404,[0]!Turno,T$341)</f>
        <v>0</v>
      </c>
      <c r="U402" s="68">
        <f>SUMIFS([0]!Chavez,[0]!Centro,$B404,[0]!Turno,U$341)</f>
        <v>0</v>
      </c>
      <c r="V402" s="68">
        <f>SUMIFS([0]!Chavez,[0]!Centro,$B404,[0]!Turno,V$341)</f>
        <v>0</v>
      </c>
      <c r="W402" s="68">
        <f>SUMIFS([0]!Chavez,[0]!Centro,$B404,[0]!Turno,W$341)</f>
        <v>0</v>
      </c>
      <c r="X402" s="68">
        <f>SUMIFS([0]!Chavez,[0]!Centro,$B404,[0]!Turno,X$341)</f>
        <v>0</v>
      </c>
      <c r="Y402" s="69">
        <f>SUMIFS([0]!Chavez,[0]!Centro,$B404,[0]!Turno,Y$341)</f>
        <v>0</v>
      </c>
    </row>
    <row r="403" spans="2:25" ht="15" customHeight="1" x14ac:dyDescent="0.2">
      <c r="B403" s="250"/>
      <c r="C403" s="92">
        <f>E403/SUM(E402:E404)</f>
        <v>0.51162790697674421</v>
      </c>
      <c r="D403" s="61" t="s">
        <v>1</v>
      </c>
      <c r="E403" s="62">
        <f t="shared" si="1820"/>
        <v>132</v>
      </c>
      <c r="F403" s="62">
        <f>SUMIFS([0]!Capriles,[0]!Centro,$B404,[0]!Turno,F$341)</f>
        <v>11</v>
      </c>
      <c r="G403" s="62">
        <f>SUMIFS([0]!Capriles,[0]!Centro,$B404,[0]!Turno,G$341)</f>
        <v>16</v>
      </c>
      <c r="H403" s="62">
        <f>SUMIFS([0]!Capriles,[0]!Centro,$B404,[0]!Turno,H$341)</f>
        <v>13</v>
      </c>
      <c r="I403" s="62">
        <f>SUMIFS([0]!Capriles,[0]!Centro,$B404,[0]!Turno,I$341)</f>
        <v>12</v>
      </c>
      <c r="J403" s="62">
        <f>SUMIFS([0]!Capriles,[0]!Centro,$B404,[0]!Turno,J$341)</f>
        <v>16</v>
      </c>
      <c r="K403" s="62">
        <f>SUMIFS([0]!Capriles,[0]!Centro,$B404,[0]!Turno,K$341)</f>
        <v>20</v>
      </c>
      <c r="L403" s="62">
        <f>SUMIFS([0]!Capriles,[0]!Centro,$B404,[0]!Turno,L$341)</f>
        <v>5</v>
      </c>
      <c r="M403" s="62">
        <f>SUMIFS([0]!Capriles,[0]!Centro,$B404,[0]!Turno,M$341)</f>
        <v>21</v>
      </c>
      <c r="N403" s="62">
        <f>SUMIFS([0]!Capriles,[0]!Centro,$B404,[0]!Turno,N$341)</f>
        <v>9</v>
      </c>
      <c r="O403" s="62">
        <f>SUMIFS([0]!Capriles,[0]!Centro,$B404,[0]!Turno,O$341)</f>
        <v>9</v>
      </c>
      <c r="P403" s="62">
        <f>SUMIFS([0]!Capriles,[0]!Centro,$B404,[0]!Turno,P$341)</f>
        <v>0</v>
      </c>
      <c r="Q403" s="62">
        <f>SUMIFS([0]!Capriles,[0]!Centro,$B404,[0]!Turno,Q$341)</f>
        <v>0</v>
      </c>
      <c r="R403" s="62">
        <f>SUMIFS([0]!Capriles,[0]!Centro,$B404,[0]!Turno,R$341)</f>
        <v>0</v>
      </c>
      <c r="S403" s="62">
        <f>SUMIFS([0]!Capriles,[0]!Centro,$B404,[0]!Turno,S$341)</f>
        <v>0</v>
      </c>
      <c r="T403" s="62">
        <f>SUMIFS([0]!Capriles,[0]!Centro,$B404,[0]!Turno,T$341)</f>
        <v>0</v>
      </c>
      <c r="U403" s="62">
        <f>SUMIFS([0]!Capriles,[0]!Centro,$B404,[0]!Turno,U$341)</f>
        <v>0</v>
      </c>
      <c r="V403" s="62">
        <f>SUMIFS([0]!Capriles,[0]!Centro,$B404,[0]!Turno,V$341)</f>
        <v>0</v>
      </c>
      <c r="W403" s="62">
        <f>SUMIFS([0]!Capriles,[0]!Centro,$B404,[0]!Turno,W$341)</f>
        <v>0</v>
      </c>
      <c r="X403" s="62">
        <f>SUMIFS([0]!Capriles,[0]!Centro,$B404,[0]!Turno,X$341)</f>
        <v>0</v>
      </c>
      <c r="Y403" s="70">
        <f>SUMIFS([0]!Capriles,[0]!Centro,$B404,[0]!Turno,Y$341)</f>
        <v>0</v>
      </c>
    </row>
    <row r="404" spans="2:25" ht="15" customHeight="1" thickBot="1" x14ac:dyDescent="0.25">
      <c r="B404" s="251">
        <v>12</v>
      </c>
      <c r="C404" s="100">
        <f>E404/SUM(E402:E404)</f>
        <v>1.5503875968992248E-2</v>
      </c>
      <c r="D404" s="71" t="s">
        <v>2</v>
      </c>
      <c r="E404" s="72">
        <f t="shared" si="1820"/>
        <v>4</v>
      </c>
      <c r="F404" s="72">
        <f>SUMIFS([0]!Otro,[0]!Centro,$B404,[0]!Turno,F$341)</f>
        <v>0</v>
      </c>
      <c r="G404" s="72">
        <f>SUMIFS([0]!Otro,[0]!Centro,$B404,[0]!Turno,G$341)</f>
        <v>0</v>
      </c>
      <c r="H404" s="72">
        <f>SUMIFS([0]!Otro,[0]!Centro,$B404,[0]!Turno,H$341)</f>
        <v>0</v>
      </c>
      <c r="I404" s="72">
        <f>SUMIFS([0]!Otro,[0]!Centro,$B404,[0]!Turno,I$341)</f>
        <v>0</v>
      </c>
      <c r="J404" s="72">
        <f>SUMIFS([0]!Otro,[0]!Centro,$B404,[0]!Turno,J$341)</f>
        <v>1</v>
      </c>
      <c r="K404" s="72">
        <f>SUMIFS([0]!Otro,[0]!Centro,$B404,[0]!Turno,K$341)</f>
        <v>2</v>
      </c>
      <c r="L404" s="72">
        <f>SUMIFS([0]!Otro,[0]!Centro,$B404,[0]!Turno,L$341)</f>
        <v>0</v>
      </c>
      <c r="M404" s="72">
        <f>SUMIFS([0]!Otro,[0]!Centro,$B404,[0]!Turno,M$341)</f>
        <v>0</v>
      </c>
      <c r="N404" s="72">
        <f>SUMIFS([0]!Otro,[0]!Centro,$B404,[0]!Turno,N$341)</f>
        <v>1</v>
      </c>
      <c r="O404" s="72">
        <f>SUMIFS([0]!Otro,[0]!Centro,$B404,[0]!Turno,O$341)</f>
        <v>0</v>
      </c>
      <c r="P404" s="72">
        <f>SUMIFS([0]!Otro,[0]!Centro,$B404,[0]!Turno,P$341)</f>
        <v>0</v>
      </c>
      <c r="Q404" s="72">
        <f>SUMIFS([0]!Otro,[0]!Centro,$B404,[0]!Turno,Q$341)</f>
        <v>0</v>
      </c>
      <c r="R404" s="72">
        <f>SUMIFS([0]!Otro,[0]!Centro,$B404,[0]!Turno,R$341)</f>
        <v>0</v>
      </c>
      <c r="S404" s="72">
        <f>SUMIFS([0]!Otro,[0]!Centro,$B404,[0]!Turno,S$341)</f>
        <v>0</v>
      </c>
      <c r="T404" s="72">
        <f>SUMIFS([0]!Otro,[0]!Centro,$B404,[0]!Turno,T$341)</f>
        <v>0</v>
      </c>
      <c r="U404" s="72">
        <f>SUMIFS([0]!Otro,[0]!Centro,$B404,[0]!Turno,U$341)</f>
        <v>0</v>
      </c>
      <c r="V404" s="72">
        <f>SUMIFS([0]!Otro,[0]!Centro,$B404,[0]!Turno,V$341)</f>
        <v>0</v>
      </c>
      <c r="W404" s="72">
        <f>SUMIFS([0]!Otro,[0]!Centro,$B404,[0]!Turno,W$341)</f>
        <v>0</v>
      </c>
      <c r="X404" s="72">
        <f>SUMIFS([0]!Otro,[0]!Centro,$B404,[0]!Turno,X$341)</f>
        <v>0</v>
      </c>
      <c r="Y404" s="73">
        <f>SUMIFS([0]!Otro,[0]!Centro,$B404,[0]!Turno,Y$341)</f>
        <v>0</v>
      </c>
    </row>
    <row r="405" spans="2:25" ht="15" customHeight="1" x14ac:dyDescent="0.2">
      <c r="B405" s="251"/>
      <c r="C405" s="94">
        <f>E405/SUM(E405:E407)</f>
        <v>0.47286821705426352</v>
      </c>
      <c r="D405" s="63" t="s">
        <v>0</v>
      </c>
      <c r="E405" s="150">
        <f>IF((E402+E403+E404)=0,0,(E402*$B406)/(E402+E403+E404))</f>
        <v>3.5099707954351203E-2</v>
      </c>
      <c r="F405" s="150">
        <f>IF((F402+F403+F404)=0,0,(F402*$B406)/(F402+F403+F404))</f>
        <v>4.1567260698726731E-2</v>
      </c>
      <c r="G405" s="150">
        <f t="shared" ref="G405:Y405" si="1864">IF((G402+G403+G404)=0,0,(G402*$B406)/(G402+G403+G404))</f>
        <v>4.1237361804292397E-2</v>
      </c>
      <c r="H405" s="150">
        <f t="shared" si="1864"/>
        <v>4.4986212877409885E-2</v>
      </c>
      <c r="I405" s="150">
        <f t="shared" si="1864"/>
        <v>4.5494121732477411E-2</v>
      </c>
      <c r="J405" s="150">
        <f t="shared" si="1864"/>
        <v>2.749157453619493E-2</v>
      </c>
      <c r="K405" s="150">
        <f t="shared" si="1864"/>
        <v>2.1549847136436671E-2</v>
      </c>
      <c r="L405" s="150">
        <f t="shared" si="1864"/>
        <v>3.7113625623863153E-2</v>
      </c>
      <c r="M405" s="150">
        <f t="shared" si="1864"/>
        <v>2.6991727726445928E-2</v>
      </c>
      <c r="N405" s="150">
        <f t="shared" si="1864"/>
        <v>3.2989889443433916E-2</v>
      </c>
      <c r="O405" s="150">
        <f t="shared" si="1864"/>
        <v>2.6509732588473684E-2</v>
      </c>
      <c r="P405" s="150">
        <f t="shared" si="1864"/>
        <v>0</v>
      </c>
      <c r="Q405" s="150">
        <f t="shared" si="1864"/>
        <v>0</v>
      </c>
      <c r="R405" s="150">
        <f t="shared" si="1864"/>
        <v>0</v>
      </c>
      <c r="S405" s="150">
        <f t="shared" si="1864"/>
        <v>0</v>
      </c>
      <c r="T405" s="150">
        <f t="shared" si="1864"/>
        <v>0</v>
      </c>
      <c r="U405" s="150">
        <f t="shared" si="1864"/>
        <v>0</v>
      </c>
      <c r="V405" s="150">
        <f t="shared" si="1864"/>
        <v>0</v>
      </c>
      <c r="W405" s="150">
        <f t="shared" si="1864"/>
        <v>0</v>
      </c>
      <c r="X405" s="150">
        <f t="shared" si="1864"/>
        <v>0</v>
      </c>
      <c r="Y405" s="163">
        <f t="shared" si="1864"/>
        <v>0</v>
      </c>
    </row>
    <row r="406" spans="2:25" ht="15" customHeight="1" x14ac:dyDescent="0.2">
      <c r="B406" s="252">
        <v>7.4227251247726306E-2</v>
      </c>
      <c r="C406" s="92">
        <f>E406/SUM(E405:E407)</f>
        <v>0.5116279069767441</v>
      </c>
      <c r="D406" s="61" t="s">
        <v>1</v>
      </c>
      <c r="E406" s="154">
        <f>IF((E402+E403+E404)=0,0,(E403*$B406)/(E402+E403+E404))</f>
        <v>3.7976733196511132E-2</v>
      </c>
      <c r="F406" s="154">
        <f>IF((F402+F403+F404)=0,0,(F403*$B406)/(F402+F403+F404))</f>
        <v>3.2659990548999575E-2</v>
      </c>
      <c r="G406" s="154">
        <f t="shared" ref="G406:O406" si="1865">IF((G402+G403+G404)=0,0,(G403*$B406)/(G402+G403+G404))</f>
        <v>3.2989889443433916E-2</v>
      </c>
      <c r="H406" s="154">
        <f t="shared" si="1865"/>
        <v>2.9241038370316424E-2</v>
      </c>
      <c r="I406" s="154">
        <f t="shared" si="1865"/>
        <v>2.8733129515248892E-2</v>
      </c>
      <c r="J406" s="154">
        <f t="shared" si="1865"/>
        <v>4.3986519257911888E-2</v>
      </c>
      <c r="K406" s="154">
        <f t="shared" si="1865"/>
        <v>4.7888549192081492E-2</v>
      </c>
      <c r="L406" s="154">
        <f t="shared" si="1865"/>
        <v>3.7113625623863153E-2</v>
      </c>
      <c r="M406" s="154">
        <f t="shared" si="1865"/>
        <v>4.7235523521280375E-2</v>
      </c>
      <c r="N406" s="154">
        <f t="shared" si="1865"/>
        <v>3.7113625623863153E-2</v>
      </c>
      <c r="O406" s="154">
        <f t="shared" si="1865"/>
        <v>4.7717518659252625E-2</v>
      </c>
      <c r="P406" s="154">
        <f>IF((P402+P403+P404)=0,0,(P403*$B406)/(P402+P403+P404))</f>
        <v>0</v>
      </c>
      <c r="Q406" s="154">
        <f t="shared" ref="Q406:Y406" si="1866">IF((Q402+Q403+Q404)=0,0,(Q403*$B406)/(Q402+Q403+Q404))</f>
        <v>0</v>
      </c>
      <c r="R406" s="154">
        <f t="shared" si="1866"/>
        <v>0</v>
      </c>
      <c r="S406" s="154">
        <f t="shared" si="1866"/>
        <v>0</v>
      </c>
      <c r="T406" s="154">
        <f t="shared" si="1866"/>
        <v>0</v>
      </c>
      <c r="U406" s="154">
        <f t="shared" si="1866"/>
        <v>0</v>
      </c>
      <c r="V406" s="154">
        <f t="shared" si="1866"/>
        <v>0</v>
      </c>
      <c r="W406" s="154">
        <f t="shared" si="1866"/>
        <v>0</v>
      </c>
      <c r="X406" s="154">
        <f t="shared" si="1866"/>
        <v>0</v>
      </c>
      <c r="Y406" s="159">
        <f t="shared" si="1866"/>
        <v>0</v>
      </c>
    </row>
    <row r="407" spans="2:25" ht="15" customHeight="1" thickBot="1" x14ac:dyDescent="0.25">
      <c r="B407" s="253"/>
      <c r="C407" s="93">
        <f>E407/SUM(E405:E407)</f>
        <v>1.5503875968992246E-2</v>
      </c>
      <c r="D407" s="75" t="s">
        <v>2</v>
      </c>
      <c r="E407" s="155">
        <f>IF((E402+E403+E404)=0,0,(E404*$B406)/(E402+E403+E404))</f>
        <v>1.1508100968639738E-3</v>
      </c>
      <c r="F407" s="155">
        <f>IF((F402+F403+F404)=0,0,(F404*$B406)/(F402+F403+F404))</f>
        <v>0</v>
      </c>
      <c r="G407" s="155">
        <f t="shared" ref="G407:Y407" si="1867">IF((G402+G403+G404)=0,0,(G404*$B406)/(G402+G403+G404))</f>
        <v>0</v>
      </c>
      <c r="H407" s="155">
        <f t="shared" si="1867"/>
        <v>0</v>
      </c>
      <c r="I407" s="155">
        <f t="shared" si="1867"/>
        <v>0</v>
      </c>
      <c r="J407" s="155">
        <f t="shared" si="1867"/>
        <v>2.749157453619493E-3</v>
      </c>
      <c r="K407" s="155">
        <f t="shared" si="1867"/>
        <v>4.7888549192081483E-3</v>
      </c>
      <c r="L407" s="155">
        <f t="shared" si="1867"/>
        <v>0</v>
      </c>
      <c r="M407" s="155">
        <f t="shared" si="1867"/>
        <v>0</v>
      </c>
      <c r="N407" s="155">
        <f t="shared" si="1867"/>
        <v>4.1237361804292395E-3</v>
      </c>
      <c r="O407" s="155">
        <f t="shared" si="1867"/>
        <v>0</v>
      </c>
      <c r="P407" s="155">
        <f t="shared" si="1867"/>
        <v>0</v>
      </c>
      <c r="Q407" s="155">
        <f t="shared" si="1867"/>
        <v>0</v>
      </c>
      <c r="R407" s="155">
        <f t="shared" si="1867"/>
        <v>0</v>
      </c>
      <c r="S407" s="155">
        <f t="shared" si="1867"/>
        <v>0</v>
      </c>
      <c r="T407" s="155">
        <f t="shared" si="1867"/>
        <v>0</v>
      </c>
      <c r="U407" s="155">
        <f t="shared" si="1867"/>
        <v>0</v>
      </c>
      <c r="V407" s="155">
        <f t="shared" si="1867"/>
        <v>0</v>
      </c>
      <c r="W407" s="155">
        <f t="shared" si="1867"/>
        <v>0</v>
      </c>
      <c r="X407" s="155">
        <f t="shared" si="1867"/>
        <v>0</v>
      </c>
      <c r="Y407" s="160">
        <f t="shared" si="1867"/>
        <v>0</v>
      </c>
    </row>
    <row r="408" spans="2:25" ht="15" customHeight="1" x14ac:dyDescent="0.2">
      <c r="B408" s="249" t="s">
        <v>90</v>
      </c>
      <c r="C408" s="91">
        <f>E408/SUM(E408:E410)</f>
        <v>0.50684931506849318</v>
      </c>
      <c r="D408" s="67" t="s">
        <v>0</v>
      </c>
      <c r="E408" s="68">
        <f t="shared" ref="E408:E458" si="1868">SUM(F408:Y408)</f>
        <v>111</v>
      </c>
      <c r="F408" s="68">
        <f>SUMIFS([0]!Chavez,[0]!Centro,$B410,[0]!Turno,F$341)</f>
        <v>4</v>
      </c>
      <c r="G408" s="68">
        <f>SUMIFS([0]!Chavez,[0]!Centro,$B410,[0]!Turno,G$341)</f>
        <v>8</v>
      </c>
      <c r="H408" s="68">
        <f>SUMIFS([0]!Chavez,[0]!Centro,$B410,[0]!Turno,H$341)</f>
        <v>16</v>
      </c>
      <c r="I408" s="68">
        <f>SUMIFS([0]!Chavez,[0]!Centro,$B410,[0]!Turno,I$341)</f>
        <v>20</v>
      </c>
      <c r="J408" s="68">
        <f>SUMIFS([0]!Chavez,[0]!Centro,$B410,[0]!Turno,J$341)</f>
        <v>35</v>
      </c>
      <c r="K408" s="68">
        <f>SUMIFS([0]!Chavez,[0]!Centro,$B410,[0]!Turno,K$341)</f>
        <v>28</v>
      </c>
      <c r="L408" s="68">
        <f>SUMIFS([0]!Chavez,[0]!Centro,$B410,[0]!Turno,L$341)</f>
        <v>0</v>
      </c>
      <c r="M408" s="68">
        <f>SUMIFS([0]!Chavez,[0]!Centro,$B410,[0]!Turno,M$341)</f>
        <v>0</v>
      </c>
      <c r="N408" s="68">
        <f>SUMIFS([0]!Chavez,[0]!Centro,$B410,[0]!Turno,N$341)</f>
        <v>0</v>
      </c>
      <c r="O408" s="68">
        <f>SUMIFS([0]!Chavez,[0]!Centro,$B410,[0]!Turno,O$341)</f>
        <v>0</v>
      </c>
      <c r="P408" s="68">
        <f>SUMIFS([0]!Chavez,[0]!Centro,$B410,[0]!Turno,P$341)</f>
        <v>0</v>
      </c>
      <c r="Q408" s="68">
        <f>SUMIFS([0]!Chavez,[0]!Centro,$B410,[0]!Turno,Q$341)</f>
        <v>0</v>
      </c>
      <c r="R408" s="68">
        <f>SUMIFS([0]!Chavez,[0]!Centro,$B410,[0]!Turno,R$341)</f>
        <v>0</v>
      </c>
      <c r="S408" s="68">
        <f>SUMIFS([0]!Chavez,[0]!Centro,$B410,[0]!Turno,S$341)</f>
        <v>0</v>
      </c>
      <c r="T408" s="68">
        <f>SUMIFS([0]!Chavez,[0]!Centro,$B410,[0]!Turno,T$341)</f>
        <v>0</v>
      </c>
      <c r="U408" s="68">
        <f>SUMIFS([0]!Chavez,[0]!Centro,$B410,[0]!Turno,U$341)</f>
        <v>0</v>
      </c>
      <c r="V408" s="68">
        <f>SUMIFS([0]!Chavez,[0]!Centro,$B410,[0]!Turno,V$341)</f>
        <v>0</v>
      </c>
      <c r="W408" s="68">
        <f>SUMIFS([0]!Chavez,[0]!Centro,$B410,[0]!Turno,W$341)</f>
        <v>0</v>
      </c>
      <c r="X408" s="68">
        <f>SUMIFS([0]!Chavez,[0]!Centro,$B410,[0]!Turno,X$341)</f>
        <v>0</v>
      </c>
      <c r="Y408" s="69">
        <f>SUMIFS([0]!Chavez,[0]!Centro,$B410,[0]!Turno,Y$341)</f>
        <v>0</v>
      </c>
    </row>
    <row r="409" spans="2:25" ht="15" customHeight="1" x14ac:dyDescent="0.2">
      <c r="B409" s="250"/>
      <c r="C409" s="92">
        <f>E409/SUM(E408:E410)</f>
        <v>0.46118721461187212</v>
      </c>
      <c r="D409" s="61" t="s">
        <v>1</v>
      </c>
      <c r="E409" s="62">
        <f t="shared" si="1868"/>
        <v>101</v>
      </c>
      <c r="F409" s="62">
        <f>SUMIFS([0]!Capriles,[0]!Centro,$B410,[0]!Turno,F$341)</f>
        <v>6</v>
      </c>
      <c r="G409" s="62">
        <f>SUMIFS([0]!Capriles,[0]!Centro,$B410,[0]!Turno,G$341)</f>
        <v>5</v>
      </c>
      <c r="H409" s="62">
        <f>SUMIFS([0]!Capriles,[0]!Centro,$B410,[0]!Turno,H$341)</f>
        <v>10</v>
      </c>
      <c r="I409" s="62">
        <f>SUMIFS([0]!Capriles,[0]!Centro,$B410,[0]!Turno,I$341)</f>
        <v>18</v>
      </c>
      <c r="J409" s="62">
        <f>SUMIFS([0]!Capriles,[0]!Centro,$B410,[0]!Turno,J$341)</f>
        <v>33</v>
      </c>
      <c r="K409" s="62">
        <f>SUMIFS([0]!Capriles,[0]!Centro,$B410,[0]!Turno,K$341)</f>
        <v>29</v>
      </c>
      <c r="L409" s="62">
        <f>SUMIFS([0]!Capriles,[0]!Centro,$B410,[0]!Turno,L$341)</f>
        <v>0</v>
      </c>
      <c r="M409" s="62">
        <f>SUMIFS([0]!Capriles,[0]!Centro,$B410,[0]!Turno,M$341)</f>
        <v>0</v>
      </c>
      <c r="N409" s="62">
        <f>SUMIFS([0]!Capriles,[0]!Centro,$B410,[0]!Turno,N$341)</f>
        <v>0</v>
      </c>
      <c r="O409" s="62">
        <f>SUMIFS([0]!Capriles,[0]!Centro,$B410,[0]!Turno,O$341)</f>
        <v>0</v>
      </c>
      <c r="P409" s="62">
        <f>SUMIFS([0]!Capriles,[0]!Centro,$B410,[0]!Turno,P$341)</f>
        <v>0</v>
      </c>
      <c r="Q409" s="62">
        <f>SUMIFS([0]!Capriles,[0]!Centro,$B410,[0]!Turno,Q$341)</f>
        <v>0</v>
      </c>
      <c r="R409" s="62">
        <f>SUMIFS([0]!Capriles,[0]!Centro,$B410,[0]!Turno,R$341)</f>
        <v>0</v>
      </c>
      <c r="S409" s="62">
        <f>SUMIFS([0]!Capriles,[0]!Centro,$B410,[0]!Turno,S$341)</f>
        <v>0</v>
      </c>
      <c r="T409" s="62">
        <f>SUMIFS([0]!Capriles,[0]!Centro,$B410,[0]!Turno,T$341)</f>
        <v>0</v>
      </c>
      <c r="U409" s="62">
        <f>SUMIFS([0]!Capriles,[0]!Centro,$B410,[0]!Turno,U$341)</f>
        <v>0</v>
      </c>
      <c r="V409" s="62">
        <f>SUMIFS([0]!Capriles,[0]!Centro,$B410,[0]!Turno,V$341)</f>
        <v>0</v>
      </c>
      <c r="W409" s="62">
        <f>SUMIFS([0]!Capriles,[0]!Centro,$B410,[0]!Turno,W$341)</f>
        <v>0</v>
      </c>
      <c r="X409" s="62">
        <f>SUMIFS([0]!Capriles,[0]!Centro,$B410,[0]!Turno,X$341)</f>
        <v>0</v>
      </c>
      <c r="Y409" s="70">
        <f>SUMIFS([0]!Capriles,[0]!Centro,$B410,[0]!Turno,Y$341)</f>
        <v>0</v>
      </c>
    </row>
    <row r="410" spans="2:25" ht="15" customHeight="1" thickBot="1" x14ac:dyDescent="0.25">
      <c r="B410" s="251">
        <v>3</v>
      </c>
      <c r="C410" s="100">
        <f>E410/SUM(E408:E410)</f>
        <v>3.1963470319634701E-2</v>
      </c>
      <c r="D410" s="71" t="s">
        <v>2</v>
      </c>
      <c r="E410" s="72">
        <f t="shared" si="1868"/>
        <v>7</v>
      </c>
      <c r="F410" s="72">
        <f>SUMIFS([0]!Otro,[0]!Centro,$B410,[0]!Turno,F$341)</f>
        <v>0</v>
      </c>
      <c r="G410" s="72">
        <f>SUMIFS([0]!Otro,[0]!Centro,$B410,[0]!Turno,G$341)</f>
        <v>0</v>
      </c>
      <c r="H410" s="72">
        <f>SUMIFS([0]!Otro,[0]!Centro,$B410,[0]!Turno,H$341)</f>
        <v>1</v>
      </c>
      <c r="I410" s="72">
        <f>SUMIFS([0]!Otro,[0]!Centro,$B410,[0]!Turno,I$341)</f>
        <v>6</v>
      </c>
      <c r="J410" s="72">
        <f>SUMIFS([0]!Otro,[0]!Centro,$B410,[0]!Turno,J$341)</f>
        <v>0</v>
      </c>
      <c r="K410" s="72">
        <f>SUMIFS([0]!Otro,[0]!Centro,$B410,[0]!Turno,K$341)</f>
        <v>0</v>
      </c>
      <c r="L410" s="72">
        <f>SUMIFS([0]!Otro,[0]!Centro,$B410,[0]!Turno,L$341)</f>
        <v>0</v>
      </c>
      <c r="M410" s="72">
        <f>SUMIFS([0]!Otro,[0]!Centro,$B410,[0]!Turno,M$341)</f>
        <v>0</v>
      </c>
      <c r="N410" s="72">
        <f>SUMIFS([0]!Otro,[0]!Centro,$B410,[0]!Turno,N$341)</f>
        <v>0</v>
      </c>
      <c r="O410" s="72">
        <f>SUMIFS([0]!Otro,[0]!Centro,$B410,[0]!Turno,O$341)</f>
        <v>0</v>
      </c>
      <c r="P410" s="72">
        <f>SUMIFS([0]!Otro,[0]!Centro,$B410,[0]!Turno,P$341)</f>
        <v>0</v>
      </c>
      <c r="Q410" s="72">
        <f>SUMIFS([0]!Otro,[0]!Centro,$B410,[0]!Turno,Q$341)</f>
        <v>0</v>
      </c>
      <c r="R410" s="72">
        <f>SUMIFS([0]!Otro,[0]!Centro,$B410,[0]!Turno,R$341)</f>
        <v>0</v>
      </c>
      <c r="S410" s="72">
        <f>SUMIFS([0]!Otro,[0]!Centro,$B410,[0]!Turno,S$341)</f>
        <v>0</v>
      </c>
      <c r="T410" s="72">
        <f>SUMIFS([0]!Otro,[0]!Centro,$B410,[0]!Turno,T$341)</f>
        <v>0</v>
      </c>
      <c r="U410" s="72">
        <f>SUMIFS([0]!Otro,[0]!Centro,$B410,[0]!Turno,U$341)</f>
        <v>0</v>
      </c>
      <c r="V410" s="72">
        <f>SUMIFS([0]!Otro,[0]!Centro,$B410,[0]!Turno,V$341)</f>
        <v>0</v>
      </c>
      <c r="W410" s="72">
        <f>SUMIFS([0]!Otro,[0]!Centro,$B410,[0]!Turno,W$341)</f>
        <v>0</v>
      </c>
      <c r="X410" s="72">
        <f>SUMIFS([0]!Otro,[0]!Centro,$B410,[0]!Turno,X$341)</f>
        <v>0</v>
      </c>
      <c r="Y410" s="73">
        <f>SUMIFS([0]!Otro,[0]!Centro,$B410,[0]!Turno,Y$341)</f>
        <v>0</v>
      </c>
    </row>
    <row r="411" spans="2:25" ht="15" customHeight="1" x14ac:dyDescent="0.2">
      <c r="B411" s="251"/>
      <c r="C411" s="94">
        <f>E411/SUM(E411:E413)</f>
        <v>0.50684931506849318</v>
      </c>
      <c r="D411" s="63" t="s">
        <v>0</v>
      </c>
      <c r="E411" s="150">
        <f>IF((E408+E409+E410)=0,0,(E408*$B412)/(E408+E409+E410))</f>
        <v>2.2995415581984507E-2</v>
      </c>
      <c r="F411" s="150">
        <f>IF((F408+F409+F410)=0,0,(F408*$B412)/(F408+F409+F410))</f>
        <v>1.8147733378214799E-2</v>
      </c>
      <c r="G411" s="150">
        <f t="shared" ref="G411:Y411" si="1869">IF((G408+G409+G410)=0,0,(G408*$B412)/(G408+G409+G410))</f>
        <v>2.7919589812638153E-2</v>
      </c>
      <c r="H411" s="150">
        <f t="shared" si="1869"/>
        <v>2.6885530930688593E-2</v>
      </c>
      <c r="I411" s="150">
        <f t="shared" si="1869"/>
        <v>2.0622424293425909E-2</v>
      </c>
      <c r="J411" s="150">
        <f t="shared" si="1869"/>
        <v>2.3351862802849926E-2</v>
      </c>
      <c r="K411" s="150">
        <f t="shared" si="1869"/>
        <v>2.2286690113597123E-2</v>
      </c>
      <c r="L411" s="150">
        <f t="shared" si="1869"/>
        <v>0</v>
      </c>
      <c r="M411" s="150">
        <f t="shared" si="1869"/>
        <v>0</v>
      </c>
      <c r="N411" s="150">
        <f t="shared" si="1869"/>
        <v>0</v>
      </c>
      <c r="O411" s="150">
        <f t="shared" si="1869"/>
        <v>0</v>
      </c>
      <c r="P411" s="150">
        <f t="shared" si="1869"/>
        <v>0</v>
      </c>
      <c r="Q411" s="150">
        <f t="shared" si="1869"/>
        <v>0</v>
      </c>
      <c r="R411" s="150">
        <f t="shared" si="1869"/>
        <v>0</v>
      </c>
      <c r="S411" s="150">
        <f t="shared" si="1869"/>
        <v>0</v>
      </c>
      <c r="T411" s="150">
        <f t="shared" si="1869"/>
        <v>0</v>
      </c>
      <c r="U411" s="150">
        <f t="shared" si="1869"/>
        <v>0</v>
      </c>
      <c r="V411" s="150">
        <f t="shared" si="1869"/>
        <v>0</v>
      </c>
      <c r="W411" s="150">
        <f t="shared" si="1869"/>
        <v>0</v>
      </c>
      <c r="X411" s="150">
        <f t="shared" si="1869"/>
        <v>0</v>
      </c>
      <c r="Y411" s="163">
        <f t="shared" si="1869"/>
        <v>0</v>
      </c>
    </row>
    <row r="412" spans="2:25" ht="15" customHeight="1" x14ac:dyDescent="0.2">
      <c r="B412" s="252">
        <v>4.5369333445537001E-2</v>
      </c>
      <c r="C412" s="92">
        <f>E412/SUM(E411:E413)</f>
        <v>0.46118721461187218</v>
      </c>
      <c r="D412" s="61" t="s">
        <v>1</v>
      </c>
      <c r="E412" s="154">
        <f>IF((E408+E409+E410)=0,0,(E409*$B412)/(E408+E409+E410))</f>
        <v>2.0923756520544463E-2</v>
      </c>
      <c r="F412" s="154">
        <f>IF((F408+F409+F410)=0,0,(F409*$B412)/(F408+F409+F410))</f>
        <v>2.7221600067322198E-2</v>
      </c>
      <c r="G412" s="154">
        <f t="shared" ref="G412:O412" si="1870">IF((G408+G409+G410)=0,0,(G409*$B412)/(G408+G409+G410))</f>
        <v>1.7449743632898848E-2</v>
      </c>
      <c r="H412" s="154">
        <f t="shared" si="1870"/>
        <v>1.6803456831680372E-2</v>
      </c>
      <c r="I412" s="154">
        <f t="shared" si="1870"/>
        <v>1.8560181864083317E-2</v>
      </c>
      <c r="J412" s="154">
        <f t="shared" si="1870"/>
        <v>2.2017470642687074E-2</v>
      </c>
      <c r="K412" s="154">
        <f t="shared" si="1870"/>
        <v>2.3082643331939875E-2</v>
      </c>
      <c r="L412" s="154">
        <f t="shared" si="1870"/>
        <v>0</v>
      </c>
      <c r="M412" s="154">
        <f t="shared" si="1870"/>
        <v>0</v>
      </c>
      <c r="N412" s="154">
        <f t="shared" si="1870"/>
        <v>0</v>
      </c>
      <c r="O412" s="154">
        <f t="shared" si="1870"/>
        <v>0</v>
      </c>
      <c r="P412" s="154">
        <f>IF((P408+P409+P410)=0,0,(P409*$B412)/(P408+P409+P410))</f>
        <v>0</v>
      </c>
      <c r="Q412" s="154">
        <f t="shared" ref="Q412:Y412" si="1871">IF((Q408+Q409+Q410)=0,0,(Q409*$B412)/(Q408+Q409+Q410))</f>
        <v>0</v>
      </c>
      <c r="R412" s="154">
        <f t="shared" si="1871"/>
        <v>0</v>
      </c>
      <c r="S412" s="154">
        <f t="shared" si="1871"/>
        <v>0</v>
      </c>
      <c r="T412" s="154">
        <f t="shared" si="1871"/>
        <v>0</v>
      </c>
      <c r="U412" s="154">
        <f t="shared" si="1871"/>
        <v>0</v>
      </c>
      <c r="V412" s="154">
        <f t="shared" si="1871"/>
        <v>0</v>
      </c>
      <c r="W412" s="154">
        <f t="shared" si="1871"/>
        <v>0</v>
      </c>
      <c r="X412" s="154">
        <f t="shared" si="1871"/>
        <v>0</v>
      </c>
      <c r="Y412" s="159">
        <f t="shared" si="1871"/>
        <v>0</v>
      </c>
    </row>
    <row r="413" spans="2:25" ht="15" customHeight="1" thickBot="1" x14ac:dyDescent="0.25">
      <c r="B413" s="253"/>
      <c r="C413" s="93">
        <f>E413/SUM(E411:E413)</f>
        <v>3.1963470319634701E-2</v>
      </c>
      <c r="D413" s="75" t="s">
        <v>2</v>
      </c>
      <c r="E413" s="155">
        <f>IF((E408+E409+E410)=0,0,(E410*$B412)/(E408+E409+E410))</f>
        <v>1.4501613430080319E-3</v>
      </c>
      <c r="F413" s="155">
        <f>IF((F408+F409+F410)=0,0,(F410*$B412)/(F408+F409+F410))</f>
        <v>0</v>
      </c>
      <c r="G413" s="155">
        <f t="shared" ref="G413:Y413" si="1872">IF((G408+G409+G410)=0,0,(G410*$B412)/(G408+G409+G410))</f>
        <v>0</v>
      </c>
      <c r="H413" s="155">
        <f t="shared" si="1872"/>
        <v>1.6803456831680371E-3</v>
      </c>
      <c r="I413" s="155">
        <f t="shared" si="1872"/>
        <v>6.1867272880277721E-3</v>
      </c>
      <c r="J413" s="155">
        <f t="shared" si="1872"/>
        <v>0</v>
      </c>
      <c r="K413" s="155">
        <f t="shared" si="1872"/>
        <v>0</v>
      </c>
      <c r="L413" s="155">
        <f t="shared" si="1872"/>
        <v>0</v>
      </c>
      <c r="M413" s="155">
        <f t="shared" si="1872"/>
        <v>0</v>
      </c>
      <c r="N413" s="155">
        <f t="shared" si="1872"/>
        <v>0</v>
      </c>
      <c r="O413" s="155">
        <f t="shared" si="1872"/>
        <v>0</v>
      </c>
      <c r="P413" s="155">
        <f t="shared" si="1872"/>
        <v>0</v>
      </c>
      <c r="Q413" s="155">
        <f t="shared" si="1872"/>
        <v>0</v>
      </c>
      <c r="R413" s="155">
        <f t="shared" si="1872"/>
        <v>0</v>
      </c>
      <c r="S413" s="155">
        <f t="shared" si="1872"/>
        <v>0</v>
      </c>
      <c r="T413" s="155">
        <f t="shared" si="1872"/>
        <v>0</v>
      </c>
      <c r="U413" s="155">
        <f t="shared" si="1872"/>
        <v>0</v>
      </c>
      <c r="V413" s="155">
        <f t="shared" si="1872"/>
        <v>0</v>
      </c>
      <c r="W413" s="155">
        <f t="shared" si="1872"/>
        <v>0</v>
      </c>
      <c r="X413" s="155">
        <f t="shared" si="1872"/>
        <v>0</v>
      </c>
      <c r="Y413" s="160">
        <f t="shared" si="1872"/>
        <v>0</v>
      </c>
    </row>
    <row r="414" spans="2:25" ht="15" customHeight="1" x14ac:dyDescent="0.2">
      <c r="B414" s="249" t="s">
        <v>91</v>
      </c>
      <c r="C414" s="91">
        <f>E414/SUM(E414:E416)</f>
        <v>2.1276595744680851E-2</v>
      </c>
      <c r="D414" s="67" t="s">
        <v>0</v>
      </c>
      <c r="E414" s="68">
        <f t="shared" si="1868"/>
        <v>2</v>
      </c>
      <c r="F414" s="68">
        <f>SUMIFS([0]!Chavez,[0]!Centro,$B416,[0]!Turno,F$341)</f>
        <v>0</v>
      </c>
      <c r="G414" s="68">
        <f>SUMIFS([0]!Chavez,[0]!Centro,$B416,[0]!Turno,G$341)</f>
        <v>0</v>
      </c>
      <c r="H414" s="68">
        <f>SUMIFS([0]!Chavez,[0]!Centro,$B416,[0]!Turno,H$341)</f>
        <v>0</v>
      </c>
      <c r="I414" s="68">
        <f>SUMIFS([0]!Chavez,[0]!Centro,$B416,[0]!Turno,I$341)</f>
        <v>0</v>
      </c>
      <c r="J414" s="68">
        <f>SUMIFS([0]!Chavez,[0]!Centro,$B416,[0]!Turno,J$341)</f>
        <v>0</v>
      </c>
      <c r="K414" s="68">
        <f>SUMIFS([0]!Chavez,[0]!Centro,$B416,[0]!Turno,K$341)</f>
        <v>0</v>
      </c>
      <c r="L414" s="68">
        <f>SUMIFS([0]!Chavez,[0]!Centro,$B416,[0]!Turno,L$341)</f>
        <v>2</v>
      </c>
      <c r="M414" s="68">
        <f>SUMIFS([0]!Chavez,[0]!Centro,$B416,[0]!Turno,M$341)</f>
        <v>0</v>
      </c>
      <c r="N414" s="68">
        <f>SUMIFS([0]!Chavez,[0]!Centro,$B416,[0]!Turno,N$341)</f>
        <v>0</v>
      </c>
      <c r="O414" s="68">
        <f>SUMIFS([0]!Chavez,[0]!Centro,$B416,[0]!Turno,O$341)</f>
        <v>0</v>
      </c>
      <c r="P414" s="68">
        <f>SUMIFS([0]!Chavez,[0]!Centro,$B416,[0]!Turno,P$341)</f>
        <v>0</v>
      </c>
      <c r="Q414" s="68">
        <f>SUMIFS([0]!Chavez,[0]!Centro,$B416,[0]!Turno,Q$341)</f>
        <v>0</v>
      </c>
      <c r="R414" s="68">
        <f>SUMIFS([0]!Chavez,[0]!Centro,$B416,[0]!Turno,R$341)</f>
        <v>0</v>
      </c>
      <c r="S414" s="68">
        <f>SUMIFS([0]!Chavez,[0]!Centro,$B416,[0]!Turno,S$341)</f>
        <v>0</v>
      </c>
      <c r="T414" s="68">
        <f>SUMIFS([0]!Chavez,[0]!Centro,$B416,[0]!Turno,T$341)</f>
        <v>0</v>
      </c>
      <c r="U414" s="68">
        <f>SUMIFS([0]!Chavez,[0]!Centro,$B416,[0]!Turno,U$341)</f>
        <v>0</v>
      </c>
      <c r="V414" s="68">
        <f>SUMIFS([0]!Chavez,[0]!Centro,$B416,[0]!Turno,V$341)</f>
        <v>0</v>
      </c>
      <c r="W414" s="68">
        <f>SUMIFS([0]!Chavez,[0]!Centro,$B416,[0]!Turno,W$341)</f>
        <v>0</v>
      </c>
      <c r="X414" s="68">
        <f>SUMIFS([0]!Chavez,[0]!Centro,$B416,[0]!Turno,X$341)</f>
        <v>0</v>
      </c>
      <c r="Y414" s="69">
        <f>SUMIFS([0]!Chavez,[0]!Centro,$B416,[0]!Turno,Y$341)</f>
        <v>0</v>
      </c>
    </row>
    <row r="415" spans="2:25" ht="15" customHeight="1" x14ac:dyDescent="0.2">
      <c r="B415" s="250"/>
      <c r="C415" s="92">
        <f>E415/SUM(E414:E416)</f>
        <v>0.94680851063829785</v>
      </c>
      <c r="D415" s="61" t="s">
        <v>1</v>
      </c>
      <c r="E415" s="62">
        <f t="shared" si="1868"/>
        <v>89</v>
      </c>
      <c r="F415" s="62">
        <f>SUMIFS([0]!Capriles,[0]!Centro,$B416,[0]!Turno,F$341)</f>
        <v>0</v>
      </c>
      <c r="G415" s="62">
        <f>SUMIFS([0]!Capriles,[0]!Centro,$B416,[0]!Turno,G$341)</f>
        <v>0</v>
      </c>
      <c r="H415" s="62">
        <f>SUMIFS([0]!Capriles,[0]!Centro,$B416,[0]!Turno,H$341)</f>
        <v>20</v>
      </c>
      <c r="I415" s="62">
        <f>SUMIFS([0]!Capriles,[0]!Centro,$B416,[0]!Turno,I$341)</f>
        <v>20</v>
      </c>
      <c r="J415" s="62">
        <f>SUMIFS([0]!Capriles,[0]!Centro,$B416,[0]!Turno,J$341)</f>
        <v>19</v>
      </c>
      <c r="K415" s="62">
        <f>SUMIFS([0]!Capriles,[0]!Centro,$B416,[0]!Turno,K$341)</f>
        <v>0</v>
      </c>
      <c r="L415" s="62">
        <f>SUMIFS([0]!Capriles,[0]!Centro,$B416,[0]!Turno,L$341)</f>
        <v>10</v>
      </c>
      <c r="M415" s="62">
        <f>SUMIFS([0]!Capriles,[0]!Centro,$B416,[0]!Turno,M$341)</f>
        <v>20</v>
      </c>
      <c r="N415" s="62">
        <f>SUMIFS([0]!Capriles,[0]!Centro,$B416,[0]!Turno,N$341)</f>
        <v>0</v>
      </c>
      <c r="O415" s="62">
        <f>SUMIFS([0]!Capriles,[0]!Centro,$B416,[0]!Turno,O$341)</f>
        <v>0</v>
      </c>
      <c r="P415" s="62">
        <f>SUMIFS([0]!Capriles,[0]!Centro,$B416,[0]!Turno,P$341)</f>
        <v>0</v>
      </c>
      <c r="Q415" s="62">
        <f>SUMIFS([0]!Capriles,[0]!Centro,$B416,[0]!Turno,Q$341)</f>
        <v>0</v>
      </c>
      <c r="R415" s="62">
        <f>SUMIFS([0]!Capriles,[0]!Centro,$B416,[0]!Turno,R$341)</f>
        <v>0</v>
      </c>
      <c r="S415" s="62">
        <f>SUMIFS([0]!Capriles,[0]!Centro,$B416,[0]!Turno,S$341)</f>
        <v>0</v>
      </c>
      <c r="T415" s="62">
        <f>SUMIFS([0]!Capriles,[0]!Centro,$B416,[0]!Turno,T$341)</f>
        <v>0</v>
      </c>
      <c r="U415" s="62">
        <f>SUMIFS([0]!Capriles,[0]!Centro,$B416,[0]!Turno,U$341)</f>
        <v>0</v>
      </c>
      <c r="V415" s="62">
        <f>SUMIFS([0]!Capriles,[0]!Centro,$B416,[0]!Turno,V$341)</f>
        <v>0</v>
      </c>
      <c r="W415" s="62">
        <f>SUMIFS([0]!Capriles,[0]!Centro,$B416,[0]!Turno,W$341)</f>
        <v>0</v>
      </c>
      <c r="X415" s="62">
        <f>SUMIFS([0]!Capriles,[0]!Centro,$B416,[0]!Turno,X$341)</f>
        <v>0</v>
      </c>
      <c r="Y415" s="70">
        <f>SUMIFS([0]!Capriles,[0]!Centro,$B416,[0]!Turno,Y$341)</f>
        <v>0</v>
      </c>
    </row>
    <row r="416" spans="2:25" ht="15" customHeight="1" thickBot="1" x14ac:dyDescent="0.25">
      <c r="B416" s="251">
        <v>13</v>
      </c>
      <c r="C416" s="100">
        <f>E416/SUM(E414:E416)</f>
        <v>3.1914893617021274E-2</v>
      </c>
      <c r="D416" s="71" t="s">
        <v>2</v>
      </c>
      <c r="E416" s="72">
        <f t="shared" si="1868"/>
        <v>3</v>
      </c>
      <c r="F416" s="72">
        <f>SUMIFS([0]!Otro,[0]!Centro,$B416,[0]!Turno,F$341)</f>
        <v>0</v>
      </c>
      <c r="G416" s="72">
        <f>SUMIFS([0]!Otro,[0]!Centro,$B416,[0]!Turno,G$341)</f>
        <v>0</v>
      </c>
      <c r="H416" s="72">
        <f>SUMIFS([0]!Otro,[0]!Centro,$B416,[0]!Turno,H$341)</f>
        <v>0</v>
      </c>
      <c r="I416" s="72">
        <f>SUMIFS([0]!Otro,[0]!Centro,$B416,[0]!Turno,I$341)</f>
        <v>0</v>
      </c>
      <c r="J416" s="72">
        <f>SUMIFS([0]!Otro,[0]!Centro,$B416,[0]!Turno,J$341)</f>
        <v>1</v>
      </c>
      <c r="K416" s="72">
        <f>SUMIFS([0]!Otro,[0]!Centro,$B416,[0]!Turno,K$341)</f>
        <v>0</v>
      </c>
      <c r="L416" s="72">
        <f>SUMIFS([0]!Otro,[0]!Centro,$B416,[0]!Turno,L$341)</f>
        <v>0</v>
      </c>
      <c r="M416" s="72">
        <f>SUMIFS([0]!Otro,[0]!Centro,$B416,[0]!Turno,M$341)</f>
        <v>2</v>
      </c>
      <c r="N416" s="72">
        <f>SUMIFS([0]!Otro,[0]!Centro,$B416,[0]!Turno,N$341)</f>
        <v>0</v>
      </c>
      <c r="O416" s="72">
        <f>SUMIFS([0]!Otro,[0]!Centro,$B416,[0]!Turno,O$341)</f>
        <v>0</v>
      </c>
      <c r="P416" s="72">
        <f>SUMIFS([0]!Otro,[0]!Centro,$B416,[0]!Turno,P$341)</f>
        <v>0</v>
      </c>
      <c r="Q416" s="72">
        <f>SUMIFS([0]!Otro,[0]!Centro,$B416,[0]!Turno,Q$341)</f>
        <v>0</v>
      </c>
      <c r="R416" s="72">
        <f>SUMIFS([0]!Otro,[0]!Centro,$B416,[0]!Turno,R$341)</f>
        <v>0</v>
      </c>
      <c r="S416" s="72">
        <f>SUMIFS([0]!Otro,[0]!Centro,$B416,[0]!Turno,S$341)</f>
        <v>0</v>
      </c>
      <c r="T416" s="72">
        <f>SUMIFS([0]!Otro,[0]!Centro,$B416,[0]!Turno,T$341)</f>
        <v>0</v>
      </c>
      <c r="U416" s="72">
        <f>SUMIFS([0]!Otro,[0]!Centro,$B416,[0]!Turno,U$341)</f>
        <v>0</v>
      </c>
      <c r="V416" s="72">
        <f>SUMIFS([0]!Otro,[0]!Centro,$B416,[0]!Turno,V$341)</f>
        <v>0</v>
      </c>
      <c r="W416" s="72">
        <f>SUMIFS([0]!Otro,[0]!Centro,$B416,[0]!Turno,W$341)</f>
        <v>0</v>
      </c>
      <c r="X416" s="72">
        <f>SUMIFS([0]!Otro,[0]!Centro,$B416,[0]!Turno,X$341)</f>
        <v>0</v>
      </c>
      <c r="Y416" s="73">
        <f>SUMIFS([0]!Otro,[0]!Centro,$B416,[0]!Turno,Y$341)</f>
        <v>0</v>
      </c>
    </row>
    <row r="417" spans="2:25" ht="15" customHeight="1" x14ac:dyDescent="0.2">
      <c r="B417" s="251"/>
      <c r="C417" s="94">
        <f>E417/SUM(E417:E419)</f>
        <v>2.1276595744680851E-2</v>
      </c>
      <c r="D417" s="63" t="s">
        <v>0</v>
      </c>
      <c r="E417" s="150">
        <f>IF((E414+E415+E416)=0,0,(E414*$B418)/(E414+E415+E416))</f>
        <v>1.3317757041525597E-3</v>
      </c>
      <c r="F417" s="150">
        <f>IF((F414+F415+F416)=0,0,(F414*$B418)/(F414+F415+F416))</f>
        <v>0</v>
      </c>
      <c r="G417" s="150">
        <f t="shared" ref="G417:Y417" si="1873">IF((G414+G415+G416)=0,0,(G414*$B418)/(G414+G415+G416))</f>
        <v>0</v>
      </c>
      <c r="H417" s="150">
        <f t="shared" si="1873"/>
        <v>0</v>
      </c>
      <c r="I417" s="150">
        <f t="shared" si="1873"/>
        <v>0</v>
      </c>
      <c r="J417" s="150">
        <f t="shared" si="1873"/>
        <v>0</v>
      </c>
      <c r="K417" s="150">
        <f t="shared" si="1873"/>
        <v>0</v>
      </c>
      <c r="L417" s="150">
        <f t="shared" si="1873"/>
        <v>1.0432243015861717E-2</v>
      </c>
      <c r="M417" s="150">
        <f t="shared" si="1873"/>
        <v>0</v>
      </c>
      <c r="N417" s="150">
        <f t="shared" si="1873"/>
        <v>0</v>
      </c>
      <c r="O417" s="150">
        <f t="shared" si="1873"/>
        <v>0</v>
      </c>
      <c r="P417" s="150">
        <f t="shared" si="1873"/>
        <v>0</v>
      </c>
      <c r="Q417" s="150">
        <f t="shared" si="1873"/>
        <v>0</v>
      </c>
      <c r="R417" s="150">
        <f t="shared" si="1873"/>
        <v>0</v>
      </c>
      <c r="S417" s="150">
        <f t="shared" si="1873"/>
        <v>0</v>
      </c>
      <c r="T417" s="150">
        <f t="shared" si="1873"/>
        <v>0</v>
      </c>
      <c r="U417" s="150">
        <f t="shared" si="1873"/>
        <v>0</v>
      </c>
      <c r="V417" s="150">
        <f t="shared" si="1873"/>
        <v>0</v>
      </c>
      <c r="W417" s="150">
        <f t="shared" si="1873"/>
        <v>0</v>
      </c>
      <c r="X417" s="150">
        <f t="shared" si="1873"/>
        <v>0</v>
      </c>
      <c r="Y417" s="163">
        <f t="shared" si="1873"/>
        <v>0</v>
      </c>
    </row>
    <row r="418" spans="2:25" ht="15" customHeight="1" x14ac:dyDescent="0.2">
      <c r="B418" s="252">
        <v>6.2593458095170307E-2</v>
      </c>
      <c r="C418" s="92">
        <f>E418/SUM(E417:E419)</f>
        <v>0.94680851063829785</v>
      </c>
      <c r="D418" s="61" t="s">
        <v>1</v>
      </c>
      <c r="E418" s="154">
        <f>IF((E414+E415+E416)=0,0,(E415*$B418)/(E414+E415+E416))</f>
        <v>5.9264018834788906E-2</v>
      </c>
      <c r="F418" s="154">
        <f>IF((F414+F415+F416)=0,0,(F415*$B418)/(F414+F415+F416))</f>
        <v>0</v>
      </c>
      <c r="G418" s="154">
        <f t="shared" ref="G418:O418" si="1874">IF((G414+G415+G416)=0,0,(G415*$B418)/(G414+G415+G416))</f>
        <v>0</v>
      </c>
      <c r="H418" s="154">
        <f t="shared" si="1874"/>
        <v>6.2593458095170307E-2</v>
      </c>
      <c r="I418" s="154">
        <f t="shared" si="1874"/>
        <v>6.2593458095170307E-2</v>
      </c>
      <c r="J418" s="154">
        <f t="shared" si="1874"/>
        <v>5.9463785190411789E-2</v>
      </c>
      <c r="K418" s="154">
        <f t="shared" si="1874"/>
        <v>0</v>
      </c>
      <c r="L418" s="154">
        <f t="shared" si="1874"/>
        <v>5.2161215079308591E-2</v>
      </c>
      <c r="M418" s="154">
        <f t="shared" si="1874"/>
        <v>5.6903143722882098E-2</v>
      </c>
      <c r="N418" s="154">
        <f t="shared" si="1874"/>
        <v>0</v>
      </c>
      <c r="O418" s="154">
        <f t="shared" si="1874"/>
        <v>0</v>
      </c>
      <c r="P418" s="154">
        <f>IF((P414+P415+P416)=0,0,(P415*$B418)/(P414+P415+P416))</f>
        <v>0</v>
      </c>
      <c r="Q418" s="154">
        <f t="shared" ref="Q418:Y418" si="1875">IF((Q414+Q415+Q416)=0,0,(Q415*$B418)/(Q414+Q415+Q416))</f>
        <v>0</v>
      </c>
      <c r="R418" s="154">
        <f t="shared" si="1875"/>
        <v>0</v>
      </c>
      <c r="S418" s="154">
        <f t="shared" si="1875"/>
        <v>0</v>
      </c>
      <c r="T418" s="154">
        <f t="shared" si="1875"/>
        <v>0</v>
      </c>
      <c r="U418" s="154">
        <f t="shared" si="1875"/>
        <v>0</v>
      </c>
      <c r="V418" s="154">
        <f t="shared" si="1875"/>
        <v>0</v>
      </c>
      <c r="W418" s="154">
        <f t="shared" si="1875"/>
        <v>0</v>
      </c>
      <c r="X418" s="154">
        <f t="shared" si="1875"/>
        <v>0</v>
      </c>
      <c r="Y418" s="159">
        <f t="shared" si="1875"/>
        <v>0</v>
      </c>
    </row>
    <row r="419" spans="2:25" ht="15" customHeight="1" thickBot="1" x14ac:dyDescent="0.25">
      <c r="B419" s="253"/>
      <c r="C419" s="93">
        <f>E419/SUM(E417:E419)</f>
        <v>3.1914893617021281E-2</v>
      </c>
      <c r="D419" s="75" t="s">
        <v>2</v>
      </c>
      <c r="E419" s="155">
        <f>IF((E414+E415+E416)=0,0,(E416*$B418)/(E414+E415+E416))</f>
        <v>1.9976635562288397E-3</v>
      </c>
      <c r="F419" s="155">
        <f>IF((F414+F415+F416)=0,0,(F416*$B418)/(F414+F415+F416))</f>
        <v>0</v>
      </c>
      <c r="G419" s="155">
        <f t="shared" ref="G419:Y419" si="1876">IF((G414+G415+G416)=0,0,(G416*$B418)/(G414+G415+G416))</f>
        <v>0</v>
      </c>
      <c r="H419" s="155">
        <f t="shared" si="1876"/>
        <v>0</v>
      </c>
      <c r="I419" s="155">
        <f t="shared" si="1876"/>
        <v>0</v>
      </c>
      <c r="J419" s="155">
        <f t="shared" si="1876"/>
        <v>3.1296729047585155E-3</v>
      </c>
      <c r="K419" s="155">
        <f t="shared" si="1876"/>
        <v>0</v>
      </c>
      <c r="L419" s="155">
        <f t="shared" si="1876"/>
        <v>0</v>
      </c>
      <c r="M419" s="155">
        <f t="shared" si="1876"/>
        <v>5.6903143722882099E-3</v>
      </c>
      <c r="N419" s="155">
        <f t="shared" si="1876"/>
        <v>0</v>
      </c>
      <c r="O419" s="155">
        <f t="shared" si="1876"/>
        <v>0</v>
      </c>
      <c r="P419" s="155">
        <f t="shared" si="1876"/>
        <v>0</v>
      </c>
      <c r="Q419" s="155">
        <f t="shared" si="1876"/>
        <v>0</v>
      </c>
      <c r="R419" s="155">
        <f t="shared" si="1876"/>
        <v>0</v>
      </c>
      <c r="S419" s="155">
        <f t="shared" si="1876"/>
        <v>0</v>
      </c>
      <c r="T419" s="155">
        <f t="shared" si="1876"/>
        <v>0</v>
      </c>
      <c r="U419" s="155">
        <f t="shared" si="1876"/>
        <v>0</v>
      </c>
      <c r="V419" s="155">
        <f t="shared" si="1876"/>
        <v>0</v>
      </c>
      <c r="W419" s="155">
        <f t="shared" si="1876"/>
        <v>0</v>
      </c>
      <c r="X419" s="155">
        <f t="shared" si="1876"/>
        <v>0</v>
      </c>
      <c r="Y419" s="160">
        <f t="shared" si="1876"/>
        <v>0</v>
      </c>
    </row>
    <row r="420" spans="2:25" ht="15" customHeight="1" x14ac:dyDescent="0.2">
      <c r="B420" s="249" t="s">
        <v>92</v>
      </c>
      <c r="C420" s="91">
        <f>E420/SUM(E420:E422)</f>
        <v>0.55555555555555558</v>
      </c>
      <c r="D420" s="67" t="s">
        <v>0</v>
      </c>
      <c r="E420" s="68">
        <f t="shared" si="1868"/>
        <v>30</v>
      </c>
      <c r="F420" s="68">
        <f>SUMIFS([0]!Chavez,[0]!Centro,$B422,[0]!Turno,F$341)</f>
        <v>1</v>
      </c>
      <c r="G420" s="68">
        <f>SUMIFS([0]!Chavez,[0]!Centro,$B422,[0]!Turno,G$341)</f>
        <v>11</v>
      </c>
      <c r="H420" s="68">
        <f>SUMIFS([0]!Chavez,[0]!Centro,$B422,[0]!Turno,H$341)</f>
        <v>1</v>
      </c>
      <c r="I420" s="68">
        <f>SUMIFS([0]!Chavez,[0]!Centro,$B422,[0]!Turno,I$341)</f>
        <v>6</v>
      </c>
      <c r="J420" s="68">
        <f>SUMIFS([0]!Chavez,[0]!Centro,$B422,[0]!Turno,J$341)</f>
        <v>3</v>
      </c>
      <c r="K420" s="68">
        <f>SUMIFS([0]!Chavez,[0]!Centro,$B422,[0]!Turno,K$341)</f>
        <v>7</v>
      </c>
      <c r="L420" s="68">
        <f>SUMIFS([0]!Chavez,[0]!Centro,$B422,[0]!Turno,L$341)</f>
        <v>1</v>
      </c>
      <c r="M420" s="68">
        <f>SUMIFS([0]!Chavez,[0]!Centro,$B422,[0]!Turno,M$341)</f>
        <v>0</v>
      </c>
      <c r="N420" s="68">
        <f>SUMIFS([0]!Chavez,[0]!Centro,$B422,[0]!Turno,N$341)</f>
        <v>0</v>
      </c>
      <c r="O420" s="68">
        <f>SUMIFS([0]!Chavez,[0]!Centro,$B422,[0]!Turno,O$341)</f>
        <v>0</v>
      </c>
      <c r="P420" s="68">
        <f>SUMIFS([0]!Chavez,[0]!Centro,$B422,[0]!Turno,P$341)</f>
        <v>0</v>
      </c>
      <c r="Q420" s="68">
        <f>SUMIFS([0]!Chavez,[0]!Centro,$B422,[0]!Turno,Q$341)</f>
        <v>0</v>
      </c>
      <c r="R420" s="68">
        <f>SUMIFS([0]!Chavez,[0]!Centro,$B422,[0]!Turno,R$341)</f>
        <v>0</v>
      </c>
      <c r="S420" s="68">
        <f>SUMIFS([0]!Chavez,[0]!Centro,$B422,[0]!Turno,S$341)</f>
        <v>0</v>
      </c>
      <c r="T420" s="68">
        <f>SUMIFS([0]!Chavez,[0]!Centro,$B422,[0]!Turno,T$341)</f>
        <v>0</v>
      </c>
      <c r="U420" s="68">
        <f>SUMIFS([0]!Chavez,[0]!Centro,$B422,[0]!Turno,U$341)</f>
        <v>0</v>
      </c>
      <c r="V420" s="68">
        <f>SUMIFS([0]!Chavez,[0]!Centro,$B422,[0]!Turno,V$341)</f>
        <v>0</v>
      </c>
      <c r="W420" s="68">
        <f>SUMIFS([0]!Chavez,[0]!Centro,$B422,[0]!Turno,W$341)</f>
        <v>0</v>
      </c>
      <c r="X420" s="68">
        <f>SUMIFS([0]!Chavez,[0]!Centro,$B422,[0]!Turno,X$341)</f>
        <v>0</v>
      </c>
      <c r="Y420" s="69">
        <f>SUMIFS([0]!Chavez,[0]!Centro,$B422,[0]!Turno,Y$341)</f>
        <v>0</v>
      </c>
    </row>
    <row r="421" spans="2:25" ht="15" customHeight="1" x14ac:dyDescent="0.2">
      <c r="B421" s="250"/>
      <c r="C421" s="92">
        <f>E421/SUM(E420:E422)</f>
        <v>0.44444444444444442</v>
      </c>
      <c r="D421" s="61" t="s">
        <v>1</v>
      </c>
      <c r="E421" s="62">
        <f t="shared" si="1868"/>
        <v>24</v>
      </c>
      <c r="F421" s="62">
        <f>SUMIFS([0]!Capriles,[0]!Centro,$B422,[0]!Turno,F$341)</f>
        <v>3</v>
      </c>
      <c r="G421" s="62">
        <f>SUMIFS([0]!Capriles,[0]!Centro,$B422,[0]!Turno,G$341)</f>
        <v>3</v>
      </c>
      <c r="H421" s="62">
        <f>SUMIFS([0]!Capriles,[0]!Centro,$B422,[0]!Turno,H$341)</f>
        <v>2</v>
      </c>
      <c r="I421" s="62">
        <f>SUMIFS([0]!Capriles,[0]!Centro,$B422,[0]!Turno,I$341)</f>
        <v>6</v>
      </c>
      <c r="J421" s="62">
        <f>SUMIFS([0]!Capriles,[0]!Centro,$B422,[0]!Turno,J$341)</f>
        <v>5</v>
      </c>
      <c r="K421" s="62">
        <f>SUMIFS([0]!Capriles,[0]!Centro,$B422,[0]!Turno,K$341)</f>
        <v>3</v>
      </c>
      <c r="L421" s="62">
        <f>SUMIFS([0]!Capriles,[0]!Centro,$B422,[0]!Turno,L$341)</f>
        <v>2</v>
      </c>
      <c r="M421" s="62">
        <f>SUMIFS([0]!Capriles,[0]!Centro,$B422,[0]!Turno,M$341)</f>
        <v>0</v>
      </c>
      <c r="N421" s="62">
        <f>SUMIFS([0]!Capriles,[0]!Centro,$B422,[0]!Turno,N$341)</f>
        <v>0</v>
      </c>
      <c r="O421" s="62">
        <f>SUMIFS([0]!Capriles,[0]!Centro,$B422,[0]!Turno,O$341)</f>
        <v>0</v>
      </c>
      <c r="P421" s="62">
        <f>SUMIFS([0]!Capriles,[0]!Centro,$B422,[0]!Turno,P$341)</f>
        <v>0</v>
      </c>
      <c r="Q421" s="62">
        <f>SUMIFS([0]!Capriles,[0]!Centro,$B422,[0]!Turno,Q$341)</f>
        <v>0</v>
      </c>
      <c r="R421" s="62">
        <f>SUMIFS([0]!Capriles,[0]!Centro,$B422,[0]!Turno,R$341)</f>
        <v>0</v>
      </c>
      <c r="S421" s="62">
        <f>SUMIFS([0]!Capriles,[0]!Centro,$B422,[0]!Turno,S$341)</f>
        <v>0</v>
      </c>
      <c r="T421" s="62">
        <f>SUMIFS([0]!Capriles,[0]!Centro,$B422,[0]!Turno,T$341)</f>
        <v>0</v>
      </c>
      <c r="U421" s="62">
        <f>SUMIFS([0]!Capriles,[0]!Centro,$B422,[0]!Turno,U$341)</f>
        <v>0</v>
      </c>
      <c r="V421" s="62">
        <f>SUMIFS([0]!Capriles,[0]!Centro,$B422,[0]!Turno,V$341)</f>
        <v>0</v>
      </c>
      <c r="W421" s="62">
        <f>SUMIFS([0]!Capriles,[0]!Centro,$B422,[0]!Turno,W$341)</f>
        <v>0</v>
      </c>
      <c r="X421" s="62">
        <f>SUMIFS([0]!Capriles,[0]!Centro,$B422,[0]!Turno,X$341)</f>
        <v>0</v>
      </c>
      <c r="Y421" s="70">
        <f>SUMIFS([0]!Capriles,[0]!Centro,$B422,[0]!Turno,Y$341)</f>
        <v>0</v>
      </c>
    </row>
    <row r="422" spans="2:25" ht="15" customHeight="1" thickBot="1" x14ac:dyDescent="0.25">
      <c r="B422" s="251">
        <v>14</v>
      </c>
      <c r="C422" s="100">
        <f>E422/SUM(E420:E422)</f>
        <v>0</v>
      </c>
      <c r="D422" s="71" t="s">
        <v>2</v>
      </c>
      <c r="E422" s="72">
        <f t="shared" si="1868"/>
        <v>0</v>
      </c>
      <c r="F422" s="72">
        <f>SUMIFS([0]!Otro,[0]!Centro,$B422,[0]!Turno,F$341)</f>
        <v>0</v>
      </c>
      <c r="G422" s="72">
        <f>SUMIFS([0]!Otro,[0]!Centro,$B422,[0]!Turno,G$341)</f>
        <v>0</v>
      </c>
      <c r="H422" s="72">
        <f>SUMIFS([0]!Otro,[0]!Centro,$B422,[0]!Turno,H$341)</f>
        <v>0</v>
      </c>
      <c r="I422" s="72">
        <f>SUMIFS([0]!Otro,[0]!Centro,$B422,[0]!Turno,I$341)</f>
        <v>0</v>
      </c>
      <c r="J422" s="72">
        <f>SUMIFS([0]!Otro,[0]!Centro,$B422,[0]!Turno,J$341)</f>
        <v>0</v>
      </c>
      <c r="K422" s="72">
        <f>SUMIFS([0]!Otro,[0]!Centro,$B422,[0]!Turno,K$341)</f>
        <v>0</v>
      </c>
      <c r="L422" s="72">
        <f>SUMIFS([0]!Otro,[0]!Centro,$B422,[0]!Turno,L$341)</f>
        <v>0</v>
      </c>
      <c r="M422" s="72">
        <f>SUMIFS([0]!Otro,[0]!Centro,$B422,[0]!Turno,M$341)</f>
        <v>0</v>
      </c>
      <c r="N422" s="72">
        <f>SUMIFS([0]!Otro,[0]!Centro,$B422,[0]!Turno,N$341)</f>
        <v>0</v>
      </c>
      <c r="O422" s="72">
        <f>SUMIFS([0]!Otro,[0]!Centro,$B422,[0]!Turno,O$341)</f>
        <v>0</v>
      </c>
      <c r="P422" s="72">
        <f>SUMIFS([0]!Otro,[0]!Centro,$B422,[0]!Turno,P$341)</f>
        <v>0</v>
      </c>
      <c r="Q422" s="72">
        <f>SUMIFS([0]!Otro,[0]!Centro,$B422,[0]!Turno,Q$341)</f>
        <v>0</v>
      </c>
      <c r="R422" s="72">
        <f>SUMIFS([0]!Otro,[0]!Centro,$B422,[0]!Turno,R$341)</f>
        <v>0</v>
      </c>
      <c r="S422" s="72">
        <f>SUMIFS([0]!Otro,[0]!Centro,$B422,[0]!Turno,S$341)</f>
        <v>0</v>
      </c>
      <c r="T422" s="72">
        <f>SUMIFS([0]!Otro,[0]!Centro,$B422,[0]!Turno,T$341)</f>
        <v>0</v>
      </c>
      <c r="U422" s="72">
        <f>SUMIFS([0]!Otro,[0]!Centro,$B422,[0]!Turno,U$341)</f>
        <v>0</v>
      </c>
      <c r="V422" s="72">
        <f>SUMIFS([0]!Otro,[0]!Centro,$B422,[0]!Turno,V$341)</f>
        <v>0</v>
      </c>
      <c r="W422" s="72">
        <f>SUMIFS([0]!Otro,[0]!Centro,$B422,[0]!Turno,W$341)</f>
        <v>0</v>
      </c>
      <c r="X422" s="72">
        <f>SUMIFS([0]!Otro,[0]!Centro,$B422,[0]!Turno,X$341)</f>
        <v>0</v>
      </c>
      <c r="Y422" s="73">
        <f>SUMIFS([0]!Otro,[0]!Centro,$B422,[0]!Turno,Y$341)</f>
        <v>0</v>
      </c>
    </row>
    <row r="423" spans="2:25" ht="15" customHeight="1" x14ac:dyDescent="0.2">
      <c r="B423" s="251"/>
      <c r="C423" s="94">
        <f>E423/SUM(E423:E425)</f>
        <v>0.55555555555555558</v>
      </c>
      <c r="D423" s="63" t="s">
        <v>0</v>
      </c>
      <c r="E423" s="150">
        <f>IF((E420+E421+E422)=0,0,(E420*$B424)/(E420+E421+E422))</f>
        <v>1.6504007324884998E-2</v>
      </c>
      <c r="F423" s="150">
        <f>IF((F420+F421+F422)=0,0,(F420*$B424)/(F420+F421+F422))</f>
        <v>7.42680329619825E-3</v>
      </c>
      <c r="G423" s="150">
        <f t="shared" ref="G423:Y423" si="1877">IF((G420+G421+G422)=0,0,(G420*$B424)/(G420+G421+G422))</f>
        <v>2.3341381788051643E-2</v>
      </c>
      <c r="H423" s="150">
        <f t="shared" si="1877"/>
        <v>9.9024043949309994E-3</v>
      </c>
      <c r="I423" s="150">
        <f t="shared" si="1877"/>
        <v>1.48536065923965E-2</v>
      </c>
      <c r="J423" s="150">
        <f t="shared" si="1877"/>
        <v>1.1140204944297375E-2</v>
      </c>
      <c r="K423" s="150">
        <f t="shared" si="1877"/>
        <v>2.07950492293551E-2</v>
      </c>
      <c r="L423" s="150">
        <f t="shared" si="1877"/>
        <v>9.9024043949309994E-3</v>
      </c>
      <c r="M423" s="150">
        <f t="shared" si="1877"/>
        <v>0</v>
      </c>
      <c r="N423" s="150">
        <f t="shared" si="1877"/>
        <v>0</v>
      </c>
      <c r="O423" s="150">
        <f t="shared" si="1877"/>
        <v>0</v>
      </c>
      <c r="P423" s="150">
        <f t="shared" si="1877"/>
        <v>0</v>
      </c>
      <c r="Q423" s="150">
        <f t="shared" si="1877"/>
        <v>0</v>
      </c>
      <c r="R423" s="150">
        <f t="shared" si="1877"/>
        <v>0</v>
      </c>
      <c r="S423" s="150">
        <f t="shared" si="1877"/>
        <v>0</v>
      </c>
      <c r="T423" s="150">
        <f t="shared" si="1877"/>
        <v>0</v>
      </c>
      <c r="U423" s="150">
        <f t="shared" si="1877"/>
        <v>0</v>
      </c>
      <c r="V423" s="150">
        <f t="shared" si="1877"/>
        <v>0</v>
      </c>
      <c r="W423" s="150">
        <f t="shared" si="1877"/>
        <v>0</v>
      </c>
      <c r="X423" s="150">
        <f t="shared" si="1877"/>
        <v>0</v>
      </c>
      <c r="Y423" s="163">
        <f t="shared" si="1877"/>
        <v>0</v>
      </c>
    </row>
    <row r="424" spans="2:25" ht="15" customHeight="1" x14ac:dyDescent="0.2">
      <c r="B424" s="252">
        <v>2.9707213184793E-2</v>
      </c>
      <c r="C424" s="92">
        <f>E424/SUM(E423:E425)</f>
        <v>0.44444444444444448</v>
      </c>
      <c r="D424" s="61" t="s">
        <v>1</v>
      </c>
      <c r="E424" s="154">
        <f>IF((E420+E421+E422)=0,0,(E421*$B424)/(E420+E421+E422))</f>
        <v>1.3203205859908E-2</v>
      </c>
      <c r="F424" s="154">
        <f>IF((F420+F421+F422)=0,0,(F421*$B424)/(F420+F421+F422))</f>
        <v>2.2280409888594751E-2</v>
      </c>
      <c r="G424" s="154">
        <f t="shared" ref="G424:O424" si="1878">IF((G420+G421+G422)=0,0,(G421*$B424)/(G420+G421+G422))</f>
        <v>6.3658313967413574E-3</v>
      </c>
      <c r="H424" s="154">
        <f t="shared" si="1878"/>
        <v>1.9804808789861999E-2</v>
      </c>
      <c r="I424" s="154">
        <f t="shared" si="1878"/>
        <v>1.48536065923965E-2</v>
      </c>
      <c r="J424" s="154">
        <f t="shared" si="1878"/>
        <v>1.8567008240495626E-2</v>
      </c>
      <c r="K424" s="154">
        <f t="shared" si="1878"/>
        <v>8.9121639554378997E-3</v>
      </c>
      <c r="L424" s="154">
        <f t="shared" si="1878"/>
        <v>1.9804808789861999E-2</v>
      </c>
      <c r="M424" s="154">
        <f t="shared" si="1878"/>
        <v>0</v>
      </c>
      <c r="N424" s="154">
        <f t="shared" si="1878"/>
        <v>0</v>
      </c>
      <c r="O424" s="154">
        <f t="shared" si="1878"/>
        <v>0</v>
      </c>
      <c r="P424" s="154">
        <f>IF((P420+P421+P422)=0,0,(P421*$B424)/(P420+P421+P422))</f>
        <v>0</v>
      </c>
      <c r="Q424" s="154">
        <f t="shared" ref="Q424:Y424" si="1879">IF((Q420+Q421+Q422)=0,0,(Q421*$B424)/(Q420+Q421+Q422))</f>
        <v>0</v>
      </c>
      <c r="R424" s="154">
        <f t="shared" si="1879"/>
        <v>0</v>
      </c>
      <c r="S424" s="154">
        <f t="shared" si="1879"/>
        <v>0</v>
      </c>
      <c r="T424" s="154">
        <f t="shared" si="1879"/>
        <v>0</v>
      </c>
      <c r="U424" s="154">
        <f t="shared" si="1879"/>
        <v>0</v>
      </c>
      <c r="V424" s="154">
        <f t="shared" si="1879"/>
        <v>0</v>
      </c>
      <c r="W424" s="154">
        <f t="shared" si="1879"/>
        <v>0</v>
      </c>
      <c r="X424" s="154">
        <f t="shared" si="1879"/>
        <v>0</v>
      </c>
      <c r="Y424" s="159">
        <f t="shared" si="1879"/>
        <v>0</v>
      </c>
    </row>
    <row r="425" spans="2:25" ht="15" customHeight="1" thickBot="1" x14ac:dyDescent="0.25">
      <c r="B425" s="253"/>
      <c r="C425" s="93">
        <f>E425/SUM(E423:E425)</f>
        <v>0</v>
      </c>
      <c r="D425" s="75" t="s">
        <v>2</v>
      </c>
      <c r="E425" s="155">
        <f>IF((E420+E421+E422)=0,0,(E422*$B424)/(E420+E421+E422))</f>
        <v>0</v>
      </c>
      <c r="F425" s="155">
        <f>IF((F420+F421+F422)=0,0,(F422*$B424)/(F420+F421+F422))</f>
        <v>0</v>
      </c>
      <c r="G425" s="155">
        <f t="shared" ref="G425:Y425" si="1880">IF((G420+G421+G422)=0,0,(G422*$B424)/(G420+G421+G422))</f>
        <v>0</v>
      </c>
      <c r="H425" s="155">
        <f t="shared" si="1880"/>
        <v>0</v>
      </c>
      <c r="I425" s="155">
        <f t="shared" si="1880"/>
        <v>0</v>
      </c>
      <c r="J425" s="155">
        <f t="shared" si="1880"/>
        <v>0</v>
      </c>
      <c r="K425" s="155">
        <f t="shared" si="1880"/>
        <v>0</v>
      </c>
      <c r="L425" s="155">
        <f t="shared" si="1880"/>
        <v>0</v>
      </c>
      <c r="M425" s="155">
        <f t="shared" si="1880"/>
        <v>0</v>
      </c>
      <c r="N425" s="155">
        <f t="shared" si="1880"/>
        <v>0</v>
      </c>
      <c r="O425" s="155">
        <f t="shared" si="1880"/>
        <v>0</v>
      </c>
      <c r="P425" s="155">
        <f t="shared" si="1880"/>
        <v>0</v>
      </c>
      <c r="Q425" s="155">
        <f t="shared" si="1880"/>
        <v>0</v>
      </c>
      <c r="R425" s="155">
        <f t="shared" si="1880"/>
        <v>0</v>
      </c>
      <c r="S425" s="155">
        <f t="shared" si="1880"/>
        <v>0</v>
      </c>
      <c r="T425" s="155">
        <f t="shared" si="1880"/>
        <v>0</v>
      </c>
      <c r="U425" s="155">
        <f t="shared" si="1880"/>
        <v>0</v>
      </c>
      <c r="V425" s="155">
        <f t="shared" si="1880"/>
        <v>0</v>
      </c>
      <c r="W425" s="155">
        <f t="shared" si="1880"/>
        <v>0</v>
      </c>
      <c r="X425" s="155">
        <f t="shared" si="1880"/>
        <v>0</v>
      </c>
      <c r="Y425" s="160">
        <f t="shared" si="1880"/>
        <v>0</v>
      </c>
    </row>
    <row r="426" spans="2:25" ht="15" customHeight="1" x14ac:dyDescent="0.2">
      <c r="B426" s="249" t="s">
        <v>93</v>
      </c>
      <c r="C426" s="91">
        <f>E426/SUM(E426:E428)</f>
        <v>0.53020134228187921</v>
      </c>
      <c r="D426" s="67" t="s">
        <v>0</v>
      </c>
      <c r="E426" s="68">
        <f t="shared" si="1868"/>
        <v>79</v>
      </c>
      <c r="F426" s="68">
        <f>SUMIFS([0]!Chavez,[0]!Centro,$B428,[0]!Turno,F$341)</f>
        <v>0</v>
      </c>
      <c r="G426" s="68">
        <f>SUMIFS([0]!Chavez,[0]!Centro,$B428,[0]!Turno,G$341)</f>
        <v>8</v>
      </c>
      <c r="H426" s="68">
        <f>SUMIFS([0]!Chavez,[0]!Centro,$B428,[0]!Turno,H$341)</f>
        <v>15</v>
      </c>
      <c r="I426" s="68">
        <f>SUMIFS([0]!Chavez,[0]!Centro,$B428,[0]!Turno,I$341)</f>
        <v>16</v>
      </c>
      <c r="J426" s="68">
        <f>SUMIFS([0]!Chavez,[0]!Centro,$B428,[0]!Turno,J$341)</f>
        <v>11</v>
      </c>
      <c r="K426" s="68">
        <f>SUMIFS([0]!Chavez,[0]!Centro,$B428,[0]!Turno,K$341)</f>
        <v>0</v>
      </c>
      <c r="L426" s="68">
        <f>SUMIFS([0]!Chavez,[0]!Centro,$B428,[0]!Turno,L$341)</f>
        <v>4</v>
      </c>
      <c r="M426" s="68">
        <f>SUMIFS([0]!Chavez,[0]!Centro,$B428,[0]!Turno,M$341)</f>
        <v>18</v>
      </c>
      <c r="N426" s="68">
        <f>SUMIFS([0]!Chavez,[0]!Centro,$B428,[0]!Turno,N$341)</f>
        <v>7</v>
      </c>
      <c r="O426" s="68">
        <f>SUMIFS([0]!Chavez,[0]!Centro,$B428,[0]!Turno,O$341)</f>
        <v>0</v>
      </c>
      <c r="P426" s="68">
        <f>SUMIFS([0]!Chavez,[0]!Centro,$B428,[0]!Turno,P$341)</f>
        <v>0</v>
      </c>
      <c r="Q426" s="68">
        <f>SUMIFS([0]!Chavez,[0]!Centro,$B428,[0]!Turno,Q$341)</f>
        <v>0</v>
      </c>
      <c r="R426" s="68">
        <f>SUMIFS([0]!Chavez,[0]!Centro,$B428,[0]!Turno,R$341)</f>
        <v>0</v>
      </c>
      <c r="S426" s="68">
        <f>SUMIFS([0]!Chavez,[0]!Centro,$B428,[0]!Turno,S$341)</f>
        <v>0</v>
      </c>
      <c r="T426" s="68">
        <f>SUMIFS([0]!Chavez,[0]!Centro,$B428,[0]!Turno,T$341)</f>
        <v>0</v>
      </c>
      <c r="U426" s="68">
        <f>SUMIFS([0]!Chavez,[0]!Centro,$B428,[0]!Turno,U$341)</f>
        <v>0</v>
      </c>
      <c r="V426" s="68">
        <f>SUMIFS([0]!Chavez,[0]!Centro,$B428,[0]!Turno,V$341)</f>
        <v>0</v>
      </c>
      <c r="W426" s="68">
        <f>SUMIFS([0]!Chavez,[0]!Centro,$B428,[0]!Turno,W$341)</f>
        <v>0</v>
      </c>
      <c r="X426" s="68">
        <f>SUMIFS([0]!Chavez,[0]!Centro,$B428,[0]!Turno,X$341)</f>
        <v>0</v>
      </c>
      <c r="Y426" s="69">
        <f>SUMIFS([0]!Chavez,[0]!Centro,$B428,[0]!Turno,Y$341)</f>
        <v>0</v>
      </c>
    </row>
    <row r="427" spans="2:25" ht="15" customHeight="1" x14ac:dyDescent="0.2">
      <c r="B427" s="250"/>
      <c r="C427" s="92">
        <f>E427/SUM(E426:E428)</f>
        <v>0.46979865771812079</v>
      </c>
      <c r="D427" s="61" t="s">
        <v>1</v>
      </c>
      <c r="E427" s="62">
        <f t="shared" si="1868"/>
        <v>70</v>
      </c>
      <c r="F427" s="62">
        <f>SUMIFS([0]!Capriles,[0]!Centro,$B428,[0]!Turno,F$341)</f>
        <v>0</v>
      </c>
      <c r="G427" s="62">
        <f>SUMIFS([0]!Capriles,[0]!Centro,$B428,[0]!Turno,G$341)</f>
        <v>10</v>
      </c>
      <c r="H427" s="62">
        <f>SUMIFS([0]!Capriles,[0]!Centro,$B428,[0]!Turno,H$341)</f>
        <v>7</v>
      </c>
      <c r="I427" s="62">
        <f>SUMIFS([0]!Capriles,[0]!Centro,$B428,[0]!Turno,I$341)</f>
        <v>13</v>
      </c>
      <c r="J427" s="62">
        <f>SUMIFS([0]!Capriles,[0]!Centro,$B428,[0]!Turno,J$341)</f>
        <v>9</v>
      </c>
      <c r="K427" s="62">
        <f>SUMIFS([0]!Capriles,[0]!Centro,$B428,[0]!Turno,K$341)</f>
        <v>0</v>
      </c>
      <c r="L427" s="62">
        <f>SUMIFS([0]!Capriles,[0]!Centro,$B428,[0]!Turno,L$341)</f>
        <v>6</v>
      </c>
      <c r="M427" s="62">
        <f>SUMIFS([0]!Capriles,[0]!Centro,$B428,[0]!Turno,M$341)</f>
        <v>10</v>
      </c>
      <c r="N427" s="62">
        <f>SUMIFS([0]!Capriles,[0]!Centro,$B428,[0]!Turno,N$341)</f>
        <v>15</v>
      </c>
      <c r="O427" s="62">
        <f>SUMIFS([0]!Capriles,[0]!Centro,$B428,[0]!Turno,O$341)</f>
        <v>0</v>
      </c>
      <c r="P427" s="62">
        <f>SUMIFS([0]!Capriles,[0]!Centro,$B428,[0]!Turno,P$341)</f>
        <v>0</v>
      </c>
      <c r="Q427" s="62">
        <f>SUMIFS([0]!Capriles,[0]!Centro,$B428,[0]!Turno,Q$341)</f>
        <v>0</v>
      </c>
      <c r="R427" s="62">
        <f>SUMIFS([0]!Capriles,[0]!Centro,$B428,[0]!Turno,R$341)</f>
        <v>0</v>
      </c>
      <c r="S427" s="62">
        <f>SUMIFS([0]!Capriles,[0]!Centro,$B428,[0]!Turno,S$341)</f>
        <v>0</v>
      </c>
      <c r="T427" s="62">
        <f>SUMIFS([0]!Capriles,[0]!Centro,$B428,[0]!Turno,T$341)</f>
        <v>0</v>
      </c>
      <c r="U427" s="62">
        <f>SUMIFS([0]!Capriles,[0]!Centro,$B428,[0]!Turno,U$341)</f>
        <v>0</v>
      </c>
      <c r="V427" s="62">
        <f>SUMIFS([0]!Capriles,[0]!Centro,$B428,[0]!Turno,V$341)</f>
        <v>0</v>
      </c>
      <c r="W427" s="62">
        <f>SUMIFS([0]!Capriles,[0]!Centro,$B428,[0]!Turno,W$341)</f>
        <v>0</v>
      </c>
      <c r="X427" s="62">
        <f>SUMIFS([0]!Capriles,[0]!Centro,$B428,[0]!Turno,X$341)</f>
        <v>0</v>
      </c>
      <c r="Y427" s="70">
        <f>SUMIFS([0]!Capriles,[0]!Centro,$B428,[0]!Turno,Y$341)</f>
        <v>0</v>
      </c>
    </row>
    <row r="428" spans="2:25" ht="15" customHeight="1" thickBot="1" x14ac:dyDescent="0.25">
      <c r="B428" s="251">
        <v>4</v>
      </c>
      <c r="C428" s="100">
        <f>E428/SUM(E426:E428)</f>
        <v>0</v>
      </c>
      <c r="D428" s="71" t="s">
        <v>2</v>
      </c>
      <c r="E428" s="72">
        <f t="shared" si="1868"/>
        <v>0</v>
      </c>
      <c r="F428" s="72">
        <f>SUMIFS([0]!Otro,[0]!Centro,$B428,[0]!Turno,F$341)</f>
        <v>0</v>
      </c>
      <c r="G428" s="72">
        <f>SUMIFS([0]!Otro,[0]!Centro,$B428,[0]!Turno,G$341)</f>
        <v>0</v>
      </c>
      <c r="H428" s="72">
        <f>SUMIFS([0]!Otro,[0]!Centro,$B428,[0]!Turno,H$341)</f>
        <v>0</v>
      </c>
      <c r="I428" s="72">
        <f>SUMIFS([0]!Otro,[0]!Centro,$B428,[0]!Turno,I$341)</f>
        <v>0</v>
      </c>
      <c r="J428" s="72">
        <f>SUMIFS([0]!Otro,[0]!Centro,$B428,[0]!Turno,J$341)</f>
        <v>0</v>
      </c>
      <c r="K428" s="72">
        <f>SUMIFS([0]!Otro,[0]!Centro,$B428,[0]!Turno,K$341)</f>
        <v>0</v>
      </c>
      <c r="L428" s="72">
        <f>SUMIFS([0]!Otro,[0]!Centro,$B428,[0]!Turno,L$341)</f>
        <v>0</v>
      </c>
      <c r="M428" s="72">
        <f>SUMIFS([0]!Otro,[0]!Centro,$B428,[0]!Turno,M$341)</f>
        <v>0</v>
      </c>
      <c r="N428" s="72">
        <f>SUMIFS([0]!Otro,[0]!Centro,$B428,[0]!Turno,N$341)</f>
        <v>0</v>
      </c>
      <c r="O428" s="72">
        <f>SUMIFS([0]!Otro,[0]!Centro,$B428,[0]!Turno,O$341)</f>
        <v>0</v>
      </c>
      <c r="P428" s="72">
        <f>SUMIFS([0]!Otro,[0]!Centro,$B428,[0]!Turno,P$341)</f>
        <v>0</v>
      </c>
      <c r="Q428" s="72">
        <f>SUMIFS([0]!Otro,[0]!Centro,$B428,[0]!Turno,Q$341)</f>
        <v>0</v>
      </c>
      <c r="R428" s="72">
        <f>SUMIFS([0]!Otro,[0]!Centro,$B428,[0]!Turno,R$341)</f>
        <v>0</v>
      </c>
      <c r="S428" s="72">
        <f>SUMIFS([0]!Otro,[0]!Centro,$B428,[0]!Turno,S$341)</f>
        <v>0</v>
      </c>
      <c r="T428" s="72">
        <f>SUMIFS([0]!Otro,[0]!Centro,$B428,[0]!Turno,T$341)</f>
        <v>0</v>
      </c>
      <c r="U428" s="72">
        <f>SUMIFS([0]!Otro,[0]!Centro,$B428,[0]!Turno,U$341)</f>
        <v>0</v>
      </c>
      <c r="V428" s="72">
        <f>SUMIFS([0]!Otro,[0]!Centro,$B428,[0]!Turno,V$341)</f>
        <v>0</v>
      </c>
      <c r="W428" s="72">
        <f>SUMIFS([0]!Otro,[0]!Centro,$B428,[0]!Turno,W$341)</f>
        <v>0</v>
      </c>
      <c r="X428" s="72">
        <f>SUMIFS([0]!Otro,[0]!Centro,$B428,[0]!Turno,X$341)</f>
        <v>0</v>
      </c>
      <c r="Y428" s="73">
        <f>SUMIFS([0]!Otro,[0]!Centro,$B428,[0]!Turno,Y$341)</f>
        <v>0</v>
      </c>
    </row>
    <row r="429" spans="2:25" ht="15" customHeight="1" x14ac:dyDescent="0.2">
      <c r="B429" s="251"/>
      <c r="C429" s="94">
        <f>E429/SUM(E429:E431)</f>
        <v>0.5302013422818791</v>
      </c>
      <c r="D429" s="63" t="s">
        <v>0</v>
      </c>
      <c r="E429" s="150">
        <f>IF((E426+E427+E428)=0,0,(E426*$B430)/(E426+E427+E428))</f>
        <v>1.1320247067589677E-2</v>
      </c>
      <c r="F429" s="150">
        <f>IF((F426+F427+F428)=0,0,(F426*$B430)/(F426+F427+F428))</f>
        <v>0</v>
      </c>
      <c r="G429" s="150">
        <f t="shared" ref="G429:Y429" si="1881">IF((G426+G427+G428)=0,0,(G426*$B430)/(G426+G427+G428))</f>
        <v>9.4892647711440885E-3</v>
      </c>
      <c r="H429" s="150">
        <f t="shared" si="1881"/>
        <v>1.4557394819368774E-2</v>
      </c>
      <c r="I429" s="150">
        <f t="shared" si="1881"/>
        <v>1.1779776957282316E-2</v>
      </c>
      <c r="J429" s="150">
        <f t="shared" si="1881"/>
        <v>1.174296515429081E-2</v>
      </c>
      <c r="K429" s="150">
        <f t="shared" si="1881"/>
        <v>0</v>
      </c>
      <c r="L429" s="150">
        <f t="shared" si="1881"/>
        <v>8.5403382940296806E-3</v>
      </c>
      <c r="M429" s="150">
        <f t="shared" si="1881"/>
        <v>1.3725543686833415E-2</v>
      </c>
      <c r="N429" s="150">
        <f t="shared" si="1881"/>
        <v>6.7934509157054268E-3</v>
      </c>
      <c r="O429" s="150">
        <f t="shared" si="1881"/>
        <v>0</v>
      </c>
      <c r="P429" s="150">
        <f t="shared" si="1881"/>
        <v>0</v>
      </c>
      <c r="Q429" s="150">
        <f t="shared" si="1881"/>
        <v>0</v>
      </c>
      <c r="R429" s="150">
        <f t="shared" si="1881"/>
        <v>0</v>
      </c>
      <c r="S429" s="150">
        <f t="shared" si="1881"/>
        <v>0</v>
      </c>
      <c r="T429" s="150">
        <f t="shared" si="1881"/>
        <v>0</v>
      </c>
      <c r="U429" s="150">
        <f t="shared" si="1881"/>
        <v>0</v>
      </c>
      <c r="V429" s="150">
        <f t="shared" si="1881"/>
        <v>0</v>
      </c>
      <c r="W429" s="150">
        <f t="shared" si="1881"/>
        <v>0</v>
      </c>
      <c r="X429" s="150">
        <f t="shared" si="1881"/>
        <v>0</v>
      </c>
      <c r="Y429" s="163">
        <f t="shared" si="1881"/>
        <v>0</v>
      </c>
    </row>
    <row r="430" spans="2:25" ht="15" customHeight="1" x14ac:dyDescent="0.2">
      <c r="B430" s="252">
        <v>2.13508457350742E-2</v>
      </c>
      <c r="C430" s="92">
        <f>E430/SUM(E429:E431)</f>
        <v>0.46979865771812079</v>
      </c>
      <c r="D430" s="61" t="s">
        <v>1</v>
      </c>
      <c r="E430" s="154">
        <f>IF((E426+E427+E428)=0,0,(E427*$B430)/(E426+E427+E428))</f>
        <v>1.0030598667484524E-2</v>
      </c>
      <c r="F430" s="154">
        <f>IF((F426+F427+F428)=0,0,(F427*$B430)/(F426+F427+F428))</f>
        <v>0</v>
      </c>
      <c r="G430" s="154">
        <f t="shared" ref="G430:O430" si="1882">IF((G426+G427+G428)=0,0,(G427*$B430)/(G426+G427+G428))</f>
        <v>1.1861580963930111E-2</v>
      </c>
      <c r="H430" s="154">
        <f t="shared" si="1882"/>
        <v>6.7934509157054268E-3</v>
      </c>
      <c r="I430" s="154">
        <f t="shared" si="1882"/>
        <v>9.5710687777918833E-3</v>
      </c>
      <c r="J430" s="154">
        <f t="shared" si="1882"/>
        <v>9.6078805807833893E-3</v>
      </c>
      <c r="K430" s="154">
        <f t="shared" si="1882"/>
        <v>0</v>
      </c>
      <c r="L430" s="154">
        <f t="shared" si="1882"/>
        <v>1.2810507441044519E-2</v>
      </c>
      <c r="M430" s="154">
        <f t="shared" si="1882"/>
        <v>7.625302048240786E-3</v>
      </c>
      <c r="N430" s="154">
        <f t="shared" si="1882"/>
        <v>1.4557394819368774E-2</v>
      </c>
      <c r="O430" s="154">
        <f t="shared" si="1882"/>
        <v>0</v>
      </c>
      <c r="P430" s="154">
        <f>IF((P426+P427+P428)=0,0,(P427*$B430)/(P426+P427+P428))</f>
        <v>0</v>
      </c>
      <c r="Q430" s="154">
        <f t="shared" ref="Q430:Y430" si="1883">IF((Q426+Q427+Q428)=0,0,(Q427*$B430)/(Q426+Q427+Q428))</f>
        <v>0</v>
      </c>
      <c r="R430" s="154">
        <f t="shared" si="1883"/>
        <v>0</v>
      </c>
      <c r="S430" s="154">
        <f t="shared" si="1883"/>
        <v>0</v>
      </c>
      <c r="T430" s="154">
        <f t="shared" si="1883"/>
        <v>0</v>
      </c>
      <c r="U430" s="154">
        <f t="shared" si="1883"/>
        <v>0</v>
      </c>
      <c r="V430" s="154">
        <f t="shared" si="1883"/>
        <v>0</v>
      </c>
      <c r="W430" s="154">
        <f t="shared" si="1883"/>
        <v>0</v>
      </c>
      <c r="X430" s="154">
        <f t="shared" si="1883"/>
        <v>0</v>
      </c>
      <c r="Y430" s="159">
        <f t="shared" si="1883"/>
        <v>0</v>
      </c>
    </row>
    <row r="431" spans="2:25" ht="15" customHeight="1" thickBot="1" x14ac:dyDescent="0.25">
      <c r="B431" s="253"/>
      <c r="C431" s="93">
        <f>E431/SUM(E429:E431)</f>
        <v>0</v>
      </c>
      <c r="D431" s="75" t="s">
        <v>2</v>
      </c>
      <c r="E431" s="155">
        <f>IF((E426+E427+E428)=0,0,(E428*$B430)/(E426+E427+E428))</f>
        <v>0</v>
      </c>
      <c r="F431" s="155">
        <f>IF((F426+F427+F428)=0,0,(F428*$B430)/(F426+F427+F428))</f>
        <v>0</v>
      </c>
      <c r="G431" s="155">
        <f t="shared" ref="G431:Y431" si="1884">IF((G426+G427+G428)=0,0,(G428*$B430)/(G426+G427+G428))</f>
        <v>0</v>
      </c>
      <c r="H431" s="155">
        <f t="shared" si="1884"/>
        <v>0</v>
      </c>
      <c r="I431" s="155">
        <f t="shared" si="1884"/>
        <v>0</v>
      </c>
      <c r="J431" s="155">
        <f t="shared" si="1884"/>
        <v>0</v>
      </c>
      <c r="K431" s="155">
        <f t="shared" si="1884"/>
        <v>0</v>
      </c>
      <c r="L431" s="155">
        <f t="shared" si="1884"/>
        <v>0</v>
      </c>
      <c r="M431" s="155">
        <f t="shared" si="1884"/>
        <v>0</v>
      </c>
      <c r="N431" s="155">
        <f t="shared" si="1884"/>
        <v>0</v>
      </c>
      <c r="O431" s="155">
        <f t="shared" si="1884"/>
        <v>0</v>
      </c>
      <c r="P431" s="155">
        <f t="shared" si="1884"/>
        <v>0</v>
      </c>
      <c r="Q431" s="155">
        <f t="shared" si="1884"/>
        <v>0</v>
      </c>
      <c r="R431" s="155">
        <f t="shared" si="1884"/>
        <v>0</v>
      </c>
      <c r="S431" s="155">
        <f t="shared" si="1884"/>
        <v>0</v>
      </c>
      <c r="T431" s="155">
        <f t="shared" si="1884"/>
        <v>0</v>
      </c>
      <c r="U431" s="155">
        <f t="shared" si="1884"/>
        <v>0</v>
      </c>
      <c r="V431" s="155">
        <f t="shared" si="1884"/>
        <v>0</v>
      </c>
      <c r="W431" s="155">
        <f t="shared" si="1884"/>
        <v>0</v>
      </c>
      <c r="X431" s="155">
        <f t="shared" si="1884"/>
        <v>0</v>
      </c>
      <c r="Y431" s="160">
        <f t="shared" si="1884"/>
        <v>0</v>
      </c>
    </row>
    <row r="432" spans="2:25" ht="15" customHeight="1" x14ac:dyDescent="0.2">
      <c r="B432" s="249" t="s">
        <v>94</v>
      </c>
      <c r="C432" s="91">
        <f>E432/SUM(E432:E434)</f>
        <v>0.12903225806451613</v>
      </c>
      <c r="D432" s="67" t="s">
        <v>0</v>
      </c>
      <c r="E432" s="68">
        <f t="shared" si="1868"/>
        <v>4</v>
      </c>
      <c r="F432" s="68">
        <f>SUMIFS([0]!Chavez,[0]!Centro,$B434,[0]!Turno,F$341)</f>
        <v>0</v>
      </c>
      <c r="G432" s="68">
        <f>SUMIFS([0]!Chavez,[0]!Centro,$B434,[0]!Turno,G$341)</f>
        <v>0</v>
      </c>
      <c r="H432" s="68">
        <f>SUMIFS([0]!Chavez,[0]!Centro,$B434,[0]!Turno,H$341)</f>
        <v>0</v>
      </c>
      <c r="I432" s="68">
        <f>SUMIFS([0]!Chavez,[0]!Centro,$B434,[0]!Turno,I$341)</f>
        <v>0</v>
      </c>
      <c r="J432" s="68">
        <f>SUMIFS([0]!Chavez,[0]!Centro,$B434,[0]!Turno,J$341)</f>
        <v>0</v>
      </c>
      <c r="K432" s="68">
        <f>SUMIFS([0]!Chavez,[0]!Centro,$B434,[0]!Turno,K$341)</f>
        <v>4</v>
      </c>
      <c r="L432" s="68">
        <f>SUMIFS([0]!Chavez,[0]!Centro,$B434,[0]!Turno,L$341)</f>
        <v>0</v>
      </c>
      <c r="M432" s="68">
        <f>SUMIFS([0]!Chavez,[0]!Centro,$B434,[0]!Turno,M$341)</f>
        <v>0</v>
      </c>
      <c r="N432" s="68">
        <f>SUMIFS([0]!Chavez,[0]!Centro,$B434,[0]!Turno,N$341)</f>
        <v>0</v>
      </c>
      <c r="O432" s="68">
        <f>SUMIFS([0]!Chavez,[0]!Centro,$B434,[0]!Turno,O$341)</f>
        <v>0</v>
      </c>
      <c r="P432" s="68">
        <f>SUMIFS([0]!Chavez,[0]!Centro,$B434,[0]!Turno,P$341)</f>
        <v>0</v>
      </c>
      <c r="Q432" s="68">
        <f>SUMIFS([0]!Chavez,[0]!Centro,$B434,[0]!Turno,Q$341)</f>
        <v>0</v>
      </c>
      <c r="R432" s="68">
        <f>SUMIFS([0]!Chavez,[0]!Centro,$B434,[0]!Turno,R$341)</f>
        <v>0</v>
      </c>
      <c r="S432" s="68">
        <f>SUMIFS([0]!Chavez,[0]!Centro,$B434,[0]!Turno,S$341)</f>
        <v>0</v>
      </c>
      <c r="T432" s="68">
        <f>SUMIFS([0]!Chavez,[0]!Centro,$B434,[0]!Turno,T$341)</f>
        <v>0</v>
      </c>
      <c r="U432" s="68">
        <f>SUMIFS([0]!Chavez,[0]!Centro,$B434,[0]!Turno,U$341)</f>
        <v>0</v>
      </c>
      <c r="V432" s="68">
        <f>SUMIFS([0]!Chavez,[0]!Centro,$B434,[0]!Turno,V$341)</f>
        <v>0</v>
      </c>
      <c r="W432" s="68">
        <f>SUMIFS([0]!Chavez,[0]!Centro,$B434,[0]!Turno,W$341)</f>
        <v>0</v>
      </c>
      <c r="X432" s="68">
        <f>SUMIFS([0]!Chavez,[0]!Centro,$B434,[0]!Turno,X$341)</f>
        <v>0</v>
      </c>
      <c r="Y432" s="69">
        <f>SUMIFS([0]!Chavez,[0]!Centro,$B434,[0]!Turno,Y$341)</f>
        <v>0</v>
      </c>
    </row>
    <row r="433" spans="2:25" ht="15" customHeight="1" x14ac:dyDescent="0.2">
      <c r="B433" s="250"/>
      <c r="C433" s="92">
        <f>E433/SUM(E432:E434)</f>
        <v>0.87096774193548387</v>
      </c>
      <c r="D433" s="61" t="s">
        <v>1</v>
      </c>
      <c r="E433" s="62">
        <f t="shared" si="1868"/>
        <v>27</v>
      </c>
      <c r="F433" s="62">
        <f>SUMIFS([0]!Capriles,[0]!Centro,$B434,[0]!Turno,F$341)</f>
        <v>0</v>
      </c>
      <c r="G433" s="62">
        <f>SUMIFS([0]!Capriles,[0]!Centro,$B434,[0]!Turno,G$341)</f>
        <v>0</v>
      </c>
      <c r="H433" s="62">
        <f>SUMIFS([0]!Capriles,[0]!Centro,$B434,[0]!Turno,H$341)</f>
        <v>0</v>
      </c>
      <c r="I433" s="62">
        <f>SUMIFS([0]!Capriles,[0]!Centro,$B434,[0]!Turno,I$341)</f>
        <v>0</v>
      </c>
      <c r="J433" s="62">
        <f>SUMIFS([0]!Capriles,[0]!Centro,$B434,[0]!Turno,J$341)</f>
        <v>0</v>
      </c>
      <c r="K433" s="62">
        <f>SUMIFS([0]!Capriles,[0]!Centro,$B434,[0]!Turno,K$341)</f>
        <v>27</v>
      </c>
      <c r="L433" s="62">
        <f>SUMIFS([0]!Capriles,[0]!Centro,$B434,[0]!Turno,L$341)</f>
        <v>0</v>
      </c>
      <c r="M433" s="62">
        <f>SUMIFS([0]!Capriles,[0]!Centro,$B434,[0]!Turno,M$341)</f>
        <v>0</v>
      </c>
      <c r="N433" s="62">
        <f>SUMIFS([0]!Capriles,[0]!Centro,$B434,[0]!Turno,N$341)</f>
        <v>0</v>
      </c>
      <c r="O433" s="62">
        <f>SUMIFS([0]!Capriles,[0]!Centro,$B434,[0]!Turno,O$341)</f>
        <v>0</v>
      </c>
      <c r="P433" s="62">
        <f>SUMIFS([0]!Capriles,[0]!Centro,$B434,[0]!Turno,P$341)</f>
        <v>0</v>
      </c>
      <c r="Q433" s="62">
        <f>SUMIFS([0]!Capriles,[0]!Centro,$B434,[0]!Turno,Q$341)</f>
        <v>0</v>
      </c>
      <c r="R433" s="62">
        <f>SUMIFS([0]!Capriles,[0]!Centro,$B434,[0]!Turno,R$341)</f>
        <v>0</v>
      </c>
      <c r="S433" s="62">
        <f>SUMIFS([0]!Capriles,[0]!Centro,$B434,[0]!Turno,S$341)</f>
        <v>0</v>
      </c>
      <c r="T433" s="62">
        <f>SUMIFS([0]!Capriles,[0]!Centro,$B434,[0]!Turno,T$341)</f>
        <v>0</v>
      </c>
      <c r="U433" s="62">
        <f>SUMIFS([0]!Capriles,[0]!Centro,$B434,[0]!Turno,U$341)</f>
        <v>0</v>
      </c>
      <c r="V433" s="62">
        <f>SUMIFS([0]!Capriles,[0]!Centro,$B434,[0]!Turno,V$341)</f>
        <v>0</v>
      </c>
      <c r="W433" s="62">
        <f>SUMIFS([0]!Capriles,[0]!Centro,$B434,[0]!Turno,W$341)</f>
        <v>0</v>
      </c>
      <c r="X433" s="62">
        <f>SUMIFS([0]!Capriles,[0]!Centro,$B434,[0]!Turno,X$341)</f>
        <v>0</v>
      </c>
      <c r="Y433" s="70">
        <f>SUMIFS([0]!Capriles,[0]!Centro,$B434,[0]!Turno,Y$341)</f>
        <v>0</v>
      </c>
    </row>
    <row r="434" spans="2:25" ht="15" customHeight="1" thickBot="1" x14ac:dyDescent="0.25">
      <c r="B434" s="251">
        <v>5</v>
      </c>
      <c r="C434" s="100">
        <f>E434/SUM(E432:E434)</f>
        <v>0</v>
      </c>
      <c r="D434" s="71" t="s">
        <v>2</v>
      </c>
      <c r="E434" s="72">
        <f t="shared" si="1868"/>
        <v>0</v>
      </c>
      <c r="F434" s="72">
        <f>SUMIFS([0]!Otro,[0]!Centro,$B434,[0]!Turno,F$341)</f>
        <v>0</v>
      </c>
      <c r="G434" s="72">
        <f>SUMIFS([0]!Otro,[0]!Centro,$B434,[0]!Turno,G$341)</f>
        <v>0</v>
      </c>
      <c r="H434" s="72">
        <f>SUMIFS([0]!Otro,[0]!Centro,$B434,[0]!Turno,H$341)</f>
        <v>0</v>
      </c>
      <c r="I434" s="72">
        <f>SUMIFS([0]!Otro,[0]!Centro,$B434,[0]!Turno,I$341)</f>
        <v>0</v>
      </c>
      <c r="J434" s="72">
        <f>SUMIFS([0]!Otro,[0]!Centro,$B434,[0]!Turno,J$341)</f>
        <v>0</v>
      </c>
      <c r="K434" s="72">
        <f>SUMIFS([0]!Otro,[0]!Centro,$B434,[0]!Turno,K$341)</f>
        <v>0</v>
      </c>
      <c r="L434" s="72">
        <f>SUMIFS([0]!Otro,[0]!Centro,$B434,[0]!Turno,L$341)</f>
        <v>0</v>
      </c>
      <c r="M434" s="72">
        <f>SUMIFS([0]!Otro,[0]!Centro,$B434,[0]!Turno,M$341)</f>
        <v>0</v>
      </c>
      <c r="N434" s="72">
        <f>SUMIFS([0]!Otro,[0]!Centro,$B434,[0]!Turno,N$341)</f>
        <v>0</v>
      </c>
      <c r="O434" s="72">
        <f>SUMIFS([0]!Otro,[0]!Centro,$B434,[0]!Turno,O$341)</f>
        <v>0</v>
      </c>
      <c r="P434" s="72">
        <f>SUMIFS([0]!Otro,[0]!Centro,$B434,[0]!Turno,P$341)</f>
        <v>0</v>
      </c>
      <c r="Q434" s="72">
        <f>SUMIFS([0]!Otro,[0]!Centro,$B434,[0]!Turno,Q$341)</f>
        <v>0</v>
      </c>
      <c r="R434" s="72">
        <f>SUMIFS([0]!Otro,[0]!Centro,$B434,[0]!Turno,R$341)</f>
        <v>0</v>
      </c>
      <c r="S434" s="72">
        <f>SUMIFS([0]!Otro,[0]!Centro,$B434,[0]!Turno,S$341)</f>
        <v>0</v>
      </c>
      <c r="T434" s="72">
        <f>SUMIFS([0]!Otro,[0]!Centro,$B434,[0]!Turno,T$341)</f>
        <v>0</v>
      </c>
      <c r="U434" s="72">
        <f>SUMIFS([0]!Otro,[0]!Centro,$B434,[0]!Turno,U$341)</f>
        <v>0</v>
      </c>
      <c r="V434" s="72">
        <f>SUMIFS([0]!Otro,[0]!Centro,$B434,[0]!Turno,V$341)</f>
        <v>0</v>
      </c>
      <c r="W434" s="72">
        <f>SUMIFS([0]!Otro,[0]!Centro,$B434,[0]!Turno,W$341)</f>
        <v>0</v>
      </c>
      <c r="X434" s="72">
        <f>SUMIFS([0]!Otro,[0]!Centro,$B434,[0]!Turno,X$341)</f>
        <v>0</v>
      </c>
      <c r="Y434" s="73">
        <f>SUMIFS([0]!Otro,[0]!Centro,$B434,[0]!Turno,Y$341)</f>
        <v>0</v>
      </c>
    </row>
    <row r="435" spans="2:25" ht="15" customHeight="1" x14ac:dyDescent="0.2">
      <c r="B435" s="251"/>
      <c r="C435" s="94">
        <f>E435/SUM(E435:E437)</f>
        <v>0.12903225806451613</v>
      </c>
      <c r="D435" s="63" t="s">
        <v>0</v>
      </c>
      <c r="E435" s="150">
        <f>IF((E432+E433+E434)=0,0,(E432*$B436)/(E432+E433+E434))</f>
        <v>2.7734071483057421E-3</v>
      </c>
      <c r="F435" s="150">
        <f>IF((F432+F433+F434)=0,0,(F432*$B436)/(F432+F433+F434))</f>
        <v>0</v>
      </c>
      <c r="G435" s="150">
        <f t="shared" ref="G435:Y435" si="1885">IF((G432+G433+G434)=0,0,(G432*$B436)/(G432+G433+G434))</f>
        <v>0</v>
      </c>
      <c r="H435" s="150">
        <f t="shared" si="1885"/>
        <v>0</v>
      </c>
      <c r="I435" s="150">
        <f t="shared" si="1885"/>
        <v>0</v>
      </c>
      <c r="J435" s="150">
        <f t="shared" si="1885"/>
        <v>0</v>
      </c>
      <c r="K435" s="150">
        <f t="shared" si="1885"/>
        <v>2.7734071483057421E-3</v>
      </c>
      <c r="L435" s="150">
        <f t="shared" si="1885"/>
        <v>0</v>
      </c>
      <c r="M435" s="150">
        <f t="shared" si="1885"/>
        <v>0</v>
      </c>
      <c r="N435" s="150">
        <f t="shared" si="1885"/>
        <v>0</v>
      </c>
      <c r="O435" s="150">
        <f t="shared" si="1885"/>
        <v>0</v>
      </c>
      <c r="P435" s="150">
        <f t="shared" si="1885"/>
        <v>0</v>
      </c>
      <c r="Q435" s="150">
        <f t="shared" si="1885"/>
        <v>0</v>
      </c>
      <c r="R435" s="150">
        <f t="shared" si="1885"/>
        <v>0</v>
      </c>
      <c r="S435" s="150">
        <f t="shared" si="1885"/>
        <v>0</v>
      </c>
      <c r="T435" s="150">
        <f t="shared" si="1885"/>
        <v>0</v>
      </c>
      <c r="U435" s="150">
        <f t="shared" si="1885"/>
        <v>0</v>
      </c>
      <c r="V435" s="150">
        <f t="shared" si="1885"/>
        <v>0</v>
      </c>
      <c r="W435" s="150">
        <f t="shared" si="1885"/>
        <v>0</v>
      </c>
      <c r="X435" s="150">
        <f t="shared" si="1885"/>
        <v>0</v>
      </c>
      <c r="Y435" s="163">
        <f t="shared" si="1885"/>
        <v>0</v>
      </c>
    </row>
    <row r="436" spans="2:25" ht="15" customHeight="1" x14ac:dyDescent="0.2">
      <c r="B436" s="252">
        <v>2.14939053993695E-2</v>
      </c>
      <c r="C436" s="92">
        <f>E436/SUM(E435:E437)</f>
        <v>0.87096774193548387</v>
      </c>
      <c r="D436" s="61" t="s">
        <v>1</v>
      </c>
      <c r="E436" s="154">
        <f>IF((E432+E433+E434)=0,0,(E433*$B436)/(E432+E433+E434))</f>
        <v>1.8720498251063759E-2</v>
      </c>
      <c r="F436" s="154">
        <f>IF((F432+F433+F434)=0,0,(F433*$B436)/(F432+F433+F434))</f>
        <v>0</v>
      </c>
      <c r="G436" s="154">
        <f t="shared" ref="G436:O436" si="1886">IF((G432+G433+G434)=0,0,(G433*$B436)/(G432+G433+G434))</f>
        <v>0</v>
      </c>
      <c r="H436" s="154">
        <f t="shared" si="1886"/>
        <v>0</v>
      </c>
      <c r="I436" s="154">
        <f t="shared" si="1886"/>
        <v>0</v>
      </c>
      <c r="J436" s="154">
        <f t="shared" si="1886"/>
        <v>0</v>
      </c>
      <c r="K436" s="154">
        <f t="shared" si="1886"/>
        <v>1.8720498251063759E-2</v>
      </c>
      <c r="L436" s="154">
        <f t="shared" si="1886"/>
        <v>0</v>
      </c>
      <c r="M436" s="154">
        <f t="shared" si="1886"/>
        <v>0</v>
      </c>
      <c r="N436" s="154">
        <f t="shared" si="1886"/>
        <v>0</v>
      </c>
      <c r="O436" s="154">
        <f t="shared" si="1886"/>
        <v>0</v>
      </c>
      <c r="P436" s="154">
        <f>IF((P432+P433+P434)=0,0,(P433*$B436)/(P432+P433+P434))</f>
        <v>0</v>
      </c>
      <c r="Q436" s="154">
        <f t="shared" ref="Q436:Y436" si="1887">IF((Q432+Q433+Q434)=0,0,(Q433*$B436)/(Q432+Q433+Q434))</f>
        <v>0</v>
      </c>
      <c r="R436" s="154">
        <f t="shared" si="1887"/>
        <v>0</v>
      </c>
      <c r="S436" s="154">
        <f t="shared" si="1887"/>
        <v>0</v>
      </c>
      <c r="T436" s="154">
        <f t="shared" si="1887"/>
        <v>0</v>
      </c>
      <c r="U436" s="154">
        <f t="shared" si="1887"/>
        <v>0</v>
      </c>
      <c r="V436" s="154">
        <f t="shared" si="1887"/>
        <v>0</v>
      </c>
      <c r="W436" s="154">
        <f t="shared" si="1887"/>
        <v>0</v>
      </c>
      <c r="X436" s="154">
        <f t="shared" si="1887"/>
        <v>0</v>
      </c>
      <c r="Y436" s="159">
        <f t="shared" si="1887"/>
        <v>0</v>
      </c>
    </row>
    <row r="437" spans="2:25" ht="15" customHeight="1" thickBot="1" x14ac:dyDescent="0.25">
      <c r="B437" s="253"/>
      <c r="C437" s="93">
        <f>E437/SUM(E435:E437)</f>
        <v>0</v>
      </c>
      <c r="D437" s="75" t="s">
        <v>2</v>
      </c>
      <c r="E437" s="155">
        <f>IF((E432+E433+E434)=0,0,(E434*$B436)/(E432+E433+E434))</f>
        <v>0</v>
      </c>
      <c r="F437" s="155">
        <f>IF((F432+F433+F434)=0,0,(F434*$B436)/(F432+F433+F434))</f>
        <v>0</v>
      </c>
      <c r="G437" s="155">
        <f t="shared" ref="G437:Y437" si="1888">IF((G432+G433+G434)=0,0,(G434*$B436)/(G432+G433+G434))</f>
        <v>0</v>
      </c>
      <c r="H437" s="155">
        <f t="shared" si="1888"/>
        <v>0</v>
      </c>
      <c r="I437" s="155">
        <f t="shared" si="1888"/>
        <v>0</v>
      </c>
      <c r="J437" s="155">
        <f t="shared" si="1888"/>
        <v>0</v>
      </c>
      <c r="K437" s="155">
        <f t="shared" si="1888"/>
        <v>0</v>
      </c>
      <c r="L437" s="155">
        <f t="shared" si="1888"/>
        <v>0</v>
      </c>
      <c r="M437" s="155">
        <f t="shared" si="1888"/>
        <v>0</v>
      </c>
      <c r="N437" s="155">
        <f t="shared" si="1888"/>
        <v>0</v>
      </c>
      <c r="O437" s="155">
        <f t="shared" si="1888"/>
        <v>0</v>
      </c>
      <c r="P437" s="155">
        <f t="shared" si="1888"/>
        <v>0</v>
      </c>
      <c r="Q437" s="155">
        <f t="shared" si="1888"/>
        <v>0</v>
      </c>
      <c r="R437" s="155">
        <f t="shared" si="1888"/>
        <v>0</v>
      </c>
      <c r="S437" s="155">
        <f t="shared" si="1888"/>
        <v>0</v>
      </c>
      <c r="T437" s="155">
        <f t="shared" si="1888"/>
        <v>0</v>
      </c>
      <c r="U437" s="155">
        <f t="shared" si="1888"/>
        <v>0</v>
      </c>
      <c r="V437" s="155">
        <f t="shared" si="1888"/>
        <v>0</v>
      </c>
      <c r="W437" s="155">
        <f t="shared" si="1888"/>
        <v>0</v>
      </c>
      <c r="X437" s="155">
        <f t="shared" si="1888"/>
        <v>0</v>
      </c>
      <c r="Y437" s="160">
        <f t="shared" si="1888"/>
        <v>0</v>
      </c>
    </row>
    <row r="438" spans="2:25" ht="15" customHeight="1" x14ac:dyDescent="0.2">
      <c r="B438" s="249" t="s">
        <v>95</v>
      </c>
      <c r="C438" s="91">
        <f>E438/SUM(E438:E440)</f>
        <v>0.46153846153846156</v>
      </c>
      <c r="D438" s="67" t="s">
        <v>0</v>
      </c>
      <c r="E438" s="68">
        <f t="shared" si="1868"/>
        <v>42</v>
      </c>
      <c r="F438" s="68">
        <f>SUMIFS([0]!Chavez,[0]!Centro,$B440,[0]!Turno,F$341)</f>
        <v>0</v>
      </c>
      <c r="G438" s="68">
        <f>SUMIFS([0]!Chavez,[0]!Centro,$B440,[0]!Turno,G$341)</f>
        <v>0</v>
      </c>
      <c r="H438" s="68">
        <f>SUMIFS([0]!Chavez,[0]!Centro,$B440,[0]!Turno,H$341)</f>
        <v>2</v>
      </c>
      <c r="I438" s="68">
        <f>SUMIFS([0]!Chavez,[0]!Centro,$B440,[0]!Turno,I$341)</f>
        <v>5</v>
      </c>
      <c r="J438" s="68">
        <f>SUMIFS([0]!Chavez,[0]!Centro,$B440,[0]!Turno,J$341)</f>
        <v>3</v>
      </c>
      <c r="K438" s="68">
        <f>SUMIFS([0]!Chavez,[0]!Centro,$B440,[0]!Turno,K$341)</f>
        <v>11</v>
      </c>
      <c r="L438" s="68">
        <f>SUMIFS([0]!Chavez,[0]!Centro,$B440,[0]!Turno,L$341)</f>
        <v>13</v>
      </c>
      <c r="M438" s="68">
        <f>SUMIFS([0]!Chavez,[0]!Centro,$B440,[0]!Turno,M$341)</f>
        <v>8</v>
      </c>
      <c r="N438" s="68">
        <f>SUMIFS([0]!Chavez,[0]!Centro,$B440,[0]!Turno,N$341)</f>
        <v>0</v>
      </c>
      <c r="O438" s="68">
        <f>SUMIFS([0]!Chavez,[0]!Centro,$B440,[0]!Turno,O$341)</f>
        <v>0</v>
      </c>
      <c r="P438" s="68">
        <f>SUMIFS([0]!Chavez,[0]!Centro,$B440,[0]!Turno,P$341)</f>
        <v>0</v>
      </c>
      <c r="Q438" s="68">
        <f>SUMIFS([0]!Chavez,[0]!Centro,$B440,[0]!Turno,Q$341)</f>
        <v>0</v>
      </c>
      <c r="R438" s="68">
        <f>SUMIFS([0]!Chavez,[0]!Centro,$B440,[0]!Turno,R$341)</f>
        <v>0</v>
      </c>
      <c r="S438" s="68">
        <f>SUMIFS([0]!Chavez,[0]!Centro,$B440,[0]!Turno,S$341)</f>
        <v>0</v>
      </c>
      <c r="T438" s="68">
        <f>SUMIFS([0]!Chavez,[0]!Centro,$B440,[0]!Turno,T$341)</f>
        <v>0</v>
      </c>
      <c r="U438" s="68">
        <f>SUMIFS([0]!Chavez,[0]!Centro,$B440,[0]!Turno,U$341)</f>
        <v>0</v>
      </c>
      <c r="V438" s="68">
        <f>SUMIFS([0]!Chavez,[0]!Centro,$B440,[0]!Turno,V$341)</f>
        <v>0</v>
      </c>
      <c r="W438" s="68">
        <f>SUMIFS([0]!Chavez,[0]!Centro,$B440,[0]!Turno,W$341)</f>
        <v>0</v>
      </c>
      <c r="X438" s="68">
        <f>SUMIFS([0]!Chavez,[0]!Centro,$B440,[0]!Turno,X$341)</f>
        <v>0</v>
      </c>
      <c r="Y438" s="69">
        <f>SUMIFS([0]!Chavez,[0]!Centro,$B440,[0]!Turno,Y$341)</f>
        <v>0</v>
      </c>
    </row>
    <row r="439" spans="2:25" ht="15" customHeight="1" x14ac:dyDescent="0.2">
      <c r="B439" s="250"/>
      <c r="C439" s="92">
        <f>E439/SUM(E438:E440)</f>
        <v>0.52747252747252749</v>
      </c>
      <c r="D439" s="61" t="s">
        <v>1</v>
      </c>
      <c r="E439" s="62">
        <f t="shared" si="1868"/>
        <v>48</v>
      </c>
      <c r="F439" s="62">
        <f>SUMIFS([0]!Capriles,[0]!Centro,$B440,[0]!Turno,F$341)</f>
        <v>0</v>
      </c>
      <c r="G439" s="62">
        <f>SUMIFS([0]!Capriles,[0]!Centro,$B440,[0]!Turno,G$341)</f>
        <v>0</v>
      </c>
      <c r="H439" s="62">
        <f>SUMIFS([0]!Capriles,[0]!Centro,$B440,[0]!Turno,H$341)</f>
        <v>0</v>
      </c>
      <c r="I439" s="62">
        <f>SUMIFS([0]!Capriles,[0]!Centro,$B440,[0]!Turno,I$341)</f>
        <v>0</v>
      </c>
      <c r="J439" s="62">
        <f>SUMIFS([0]!Capriles,[0]!Centro,$B440,[0]!Turno,J$341)</f>
        <v>17</v>
      </c>
      <c r="K439" s="62">
        <f>SUMIFS([0]!Capriles,[0]!Centro,$B440,[0]!Turno,K$341)</f>
        <v>24</v>
      </c>
      <c r="L439" s="62">
        <f>SUMIFS([0]!Capriles,[0]!Centro,$B440,[0]!Turno,L$341)</f>
        <v>7</v>
      </c>
      <c r="M439" s="62">
        <f>SUMIFS([0]!Capriles,[0]!Centro,$B440,[0]!Turno,M$341)</f>
        <v>0</v>
      </c>
      <c r="N439" s="62">
        <f>SUMIFS([0]!Capriles,[0]!Centro,$B440,[0]!Turno,N$341)</f>
        <v>0</v>
      </c>
      <c r="O439" s="62">
        <f>SUMIFS([0]!Capriles,[0]!Centro,$B440,[0]!Turno,O$341)</f>
        <v>0</v>
      </c>
      <c r="P439" s="62">
        <f>SUMIFS([0]!Capriles,[0]!Centro,$B440,[0]!Turno,P$341)</f>
        <v>0</v>
      </c>
      <c r="Q439" s="62">
        <f>SUMIFS([0]!Capriles,[0]!Centro,$B440,[0]!Turno,Q$341)</f>
        <v>0</v>
      </c>
      <c r="R439" s="62">
        <f>SUMIFS([0]!Capriles,[0]!Centro,$B440,[0]!Turno,R$341)</f>
        <v>0</v>
      </c>
      <c r="S439" s="62">
        <f>SUMIFS([0]!Capriles,[0]!Centro,$B440,[0]!Turno,S$341)</f>
        <v>0</v>
      </c>
      <c r="T439" s="62">
        <f>SUMIFS([0]!Capriles,[0]!Centro,$B440,[0]!Turno,T$341)</f>
        <v>0</v>
      </c>
      <c r="U439" s="62">
        <f>SUMIFS([0]!Capriles,[0]!Centro,$B440,[0]!Turno,U$341)</f>
        <v>0</v>
      </c>
      <c r="V439" s="62">
        <f>SUMIFS([0]!Capriles,[0]!Centro,$B440,[0]!Turno,V$341)</f>
        <v>0</v>
      </c>
      <c r="W439" s="62">
        <f>SUMIFS([0]!Capriles,[0]!Centro,$B440,[0]!Turno,W$341)</f>
        <v>0</v>
      </c>
      <c r="X439" s="62">
        <f>SUMIFS([0]!Capriles,[0]!Centro,$B440,[0]!Turno,X$341)</f>
        <v>0</v>
      </c>
      <c r="Y439" s="70">
        <f>SUMIFS([0]!Capriles,[0]!Centro,$B440,[0]!Turno,Y$341)</f>
        <v>0</v>
      </c>
    </row>
    <row r="440" spans="2:25" ht="15" customHeight="1" thickBot="1" x14ac:dyDescent="0.25">
      <c r="B440" s="251">
        <v>6</v>
      </c>
      <c r="C440" s="100">
        <f>E440/SUM(E438:E440)</f>
        <v>1.098901098901099E-2</v>
      </c>
      <c r="D440" s="71" t="s">
        <v>2</v>
      </c>
      <c r="E440" s="72">
        <f t="shared" si="1868"/>
        <v>1</v>
      </c>
      <c r="F440" s="72">
        <f>SUMIFS([0]!Otro,[0]!Centro,$B440,[0]!Turno,F$341)</f>
        <v>0</v>
      </c>
      <c r="G440" s="72">
        <f>SUMIFS([0]!Otro,[0]!Centro,$B440,[0]!Turno,G$341)</f>
        <v>0</v>
      </c>
      <c r="H440" s="72">
        <f>SUMIFS([0]!Otro,[0]!Centro,$B440,[0]!Turno,H$341)</f>
        <v>0</v>
      </c>
      <c r="I440" s="72">
        <f>SUMIFS([0]!Otro,[0]!Centro,$B440,[0]!Turno,I$341)</f>
        <v>0</v>
      </c>
      <c r="J440" s="72">
        <f>SUMIFS([0]!Otro,[0]!Centro,$B440,[0]!Turno,J$341)</f>
        <v>0</v>
      </c>
      <c r="K440" s="72">
        <f>SUMIFS([0]!Otro,[0]!Centro,$B440,[0]!Turno,K$341)</f>
        <v>1</v>
      </c>
      <c r="L440" s="72">
        <f>SUMIFS([0]!Otro,[0]!Centro,$B440,[0]!Turno,L$341)</f>
        <v>0</v>
      </c>
      <c r="M440" s="72">
        <f>SUMIFS([0]!Otro,[0]!Centro,$B440,[0]!Turno,M$341)</f>
        <v>0</v>
      </c>
      <c r="N440" s="72">
        <f>SUMIFS([0]!Otro,[0]!Centro,$B440,[0]!Turno,N$341)</f>
        <v>0</v>
      </c>
      <c r="O440" s="72">
        <f>SUMIFS([0]!Otro,[0]!Centro,$B440,[0]!Turno,O$341)</f>
        <v>0</v>
      </c>
      <c r="P440" s="72">
        <f>SUMIFS([0]!Otro,[0]!Centro,$B440,[0]!Turno,P$341)</f>
        <v>0</v>
      </c>
      <c r="Q440" s="72">
        <f>SUMIFS([0]!Otro,[0]!Centro,$B440,[0]!Turno,Q$341)</f>
        <v>0</v>
      </c>
      <c r="R440" s="72">
        <f>SUMIFS([0]!Otro,[0]!Centro,$B440,[0]!Turno,R$341)</f>
        <v>0</v>
      </c>
      <c r="S440" s="72">
        <f>SUMIFS([0]!Otro,[0]!Centro,$B440,[0]!Turno,S$341)</f>
        <v>0</v>
      </c>
      <c r="T440" s="72">
        <f>SUMIFS([0]!Otro,[0]!Centro,$B440,[0]!Turno,T$341)</f>
        <v>0</v>
      </c>
      <c r="U440" s="72">
        <f>SUMIFS([0]!Otro,[0]!Centro,$B440,[0]!Turno,U$341)</f>
        <v>0</v>
      </c>
      <c r="V440" s="72">
        <f>SUMIFS([0]!Otro,[0]!Centro,$B440,[0]!Turno,V$341)</f>
        <v>0</v>
      </c>
      <c r="W440" s="72">
        <f>SUMIFS([0]!Otro,[0]!Centro,$B440,[0]!Turno,W$341)</f>
        <v>0</v>
      </c>
      <c r="X440" s="72">
        <f>SUMIFS([0]!Otro,[0]!Centro,$B440,[0]!Turno,X$341)</f>
        <v>0</v>
      </c>
      <c r="Y440" s="73">
        <f>SUMIFS([0]!Otro,[0]!Centro,$B440,[0]!Turno,Y$341)</f>
        <v>0</v>
      </c>
    </row>
    <row r="441" spans="2:25" ht="15" customHeight="1" x14ac:dyDescent="0.2">
      <c r="B441" s="251"/>
      <c r="C441" s="94">
        <f>E441/SUM(E441:E443)</f>
        <v>0.46153846153846156</v>
      </c>
      <c r="D441" s="63" t="s">
        <v>0</v>
      </c>
      <c r="E441" s="150">
        <f>IF((E438+E439+E440)=0,0,(E438*$B442)/(E438+E439+E440))</f>
        <v>2.3277843976829631E-2</v>
      </c>
      <c r="F441" s="150">
        <f>IF((F438+F439+F440)=0,0,(F438*$B442)/(F438+F439+F440))</f>
        <v>0</v>
      </c>
      <c r="G441" s="150">
        <f t="shared" ref="G441:Y441" si="1889">IF((G438+G439+G440)=0,0,(G438*$B442)/(G438+G439+G440))</f>
        <v>0</v>
      </c>
      <c r="H441" s="150">
        <f t="shared" si="1889"/>
        <v>5.0435328616464201E-2</v>
      </c>
      <c r="I441" s="150">
        <f t="shared" si="1889"/>
        <v>5.0435328616464201E-2</v>
      </c>
      <c r="J441" s="150">
        <f t="shared" si="1889"/>
        <v>7.5652992924696294E-3</v>
      </c>
      <c r="K441" s="150">
        <f t="shared" si="1889"/>
        <v>1.5410794855030727E-2</v>
      </c>
      <c r="L441" s="150">
        <f t="shared" si="1889"/>
        <v>3.278296360070173E-2</v>
      </c>
      <c r="M441" s="150">
        <f t="shared" si="1889"/>
        <v>5.0435328616464201E-2</v>
      </c>
      <c r="N441" s="150">
        <f t="shared" si="1889"/>
        <v>0</v>
      </c>
      <c r="O441" s="150">
        <f t="shared" si="1889"/>
        <v>0</v>
      </c>
      <c r="P441" s="150">
        <f t="shared" si="1889"/>
        <v>0</v>
      </c>
      <c r="Q441" s="150">
        <f t="shared" si="1889"/>
        <v>0</v>
      </c>
      <c r="R441" s="150">
        <f t="shared" si="1889"/>
        <v>0</v>
      </c>
      <c r="S441" s="150">
        <f t="shared" si="1889"/>
        <v>0</v>
      </c>
      <c r="T441" s="150">
        <f t="shared" si="1889"/>
        <v>0</v>
      </c>
      <c r="U441" s="150">
        <f t="shared" si="1889"/>
        <v>0</v>
      </c>
      <c r="V441" s="150">
        <f t="shared" si="1889"/>
        <v>0</v>
      </c>
      <c r="W441" s="150">
        <f t="shared" si="1889"/>
        <v>0</v>
      </c>
      <c r="X441" s="150">
        <f t="shared" si="1889"/>
        <v>0</v>
      </c>
      <c r="Y441" s="163">
        <f t="shared" si="1889"/>
        <v>0</v>
      </c>
    </row>
    <row r="442" spans="2:25" ht="15" customHeight="1" x14ac:dyDescent="0.2">
      <c r="B442" s="252">
        <v>5.0435328616464201E-2</v>
      </c>
      <c r="C442" s="92">
        <f>E442/SUM(E441:E443)</f>
        <v>0.52747252747252749</v>
      </c>
      <c r="D442" s="61" t="s">
        <v>1</v>
      </c>
      <c r="E442" s="154">
        <f>IF((E438+E439+E440)=0,0,(E439*$B442)/(E438+E439+E440))</f>
        <v>2.6603250259233862E-2</v>
      </c>
      <c r="F442" s="154">
        <f>IF((F438+F439+F440)=0,0,(F439*$B442)/(F438+F439+F440))</f>
        <v>0</v>
      </c>
      <c r="G442" s="154">
        <f t="shared" ref="G442:O442" si="1890">IF((G438+G439+G440)=0,0,(G439*$B442)/(G438+G439+G440))</f>
        <v>0</v>
      </c>
      <c r="H442" s="154">
        <f t="shared" si="1890"/>
        <v>0</v>
      </c>
      <c r="I442" s="154">
        <f t="shared" si="1890"/>
        <v>0</v>
      </c>
      <c r="J442" s="154">
        <f t="shared" si="1890"/>
        <v>4.2870029323994571E-2</v>
      </c>
      <c r="K442" s="154">
        <f t="shared" si="1890"/>
        <v>3.3623552410976129E-2</v>
      </c>
      <c r="L442" s="154">
        <f t="shared" si="1890"/>
        <v>1.7652365015762471E-2</v>
      </c>
      <c r="M442" s="154">
        <f t="shared" si="1890"/>
        <v>0</v>
      </c>
      <c r="N442" s="154">
        <f t="shared" si="1890"/>
        <v>0</v>
      </c>
      <c r="O442" s="154">
        <f t="shared" si="1890"/>
        <v>0</v>
      </c>
      <c r="P442" s="154">
        <f>IF((P438+P439+P440)=0,0,(P439*$B442)/(P438+P439+P440))</f>
        <v>0</v>
      </c>
      <c r="Q442" s="154">
        <f t="shared" ref="Q442:Y442" si="1891">IF((Q438+Q439+Q440)=0,0,(Q439*$B442)/(Q438+Q439+Q440))</f>
        <v>0</v>
      </c>
      <c r="R442" s="154">
        <f t="shared" si="1891"/>
        <v>0</v>
      </c>
      <c r="S442" s="154">
        <f t="shared" si="1891"/>
        <v>0</v>
      </c>
      <c r="T442" s="154">
        <f t="shared" si="1891"/>
        <v>0</v>
      </c>
      <c r="U442" s="154">
        <f t="shared" si="1891"/>
        <v>0</v>
      </c>
      <c r="V442" s="154">
        <f t="shared" si="1891"/>
        <v>0</v>
      </c>
      <c r="W442" s="154">
        <f t="shared" si="1891"/>
        <v>0</v>
      </c>
      <c r="X442" s="154">
        <f t="shared" si="1891"/>
        <v>0</v>
      </c>
      <c r="Y442" s="159">
        <f t="shared" si="1891"/>
        <v>0</v>
      </c>
    </row>
    <row r="443" spans="2:25" ht="15" customHeight="1" thickBot="1" x14ac:dyDescent="0.25">
      <c r="B443" s="253"/>
      <c r="C443" s="93">
        <f>E443/SUM(E441:E443)</f>
        <v>1.0989010989010992E-2</v>
      </c>
      <c r="D443" s="75" t="s">
        <v>2</v>
      </c>
      <c r="E443" s="155">
        <f>IF((E438+E439+E440)=0,0,(E440*$B442)/(E438+E439+E440))</f>
        <v>5.5423438040070553E-4</v>
      </c>
      <c r="F443" s="155">
        <f>IF((F438+F439+F440)=0,0,(F440*$B442)/(F438+F439+F440))</f>
        <v>0</v>
      </c>
      <c r="G443" s="155">
        <f t="shared" ref="G443:Y443" si="1892">IF((G438+G439+G440)=0,0,(G440*$B442)/(G438+G439+G440))</f>
        <v>0</v>
      </c>
      <c r="H443" s="155">
        <f t="shared" si="1892"/>
        <v>0</v>
      </c>
      <c r="I443" s="155">
        <f t="shared" si="1892"/>
        <v>0</v>
      </c>
      <c r="J443" s="155">
        <f t="shared" si="1892"/>
        <v>0</v>
      </c>
      <c r="K443" s="155">
        <f t="shared" si="1892"/>
        <v>1.4009813504573389E-3</v>
      </c>
      <c r="L443" s="155">
        <f t="shared" si="1892"/>
        <v>0</v>
      </c>
      <c r="M443" s="155">
        <f t="shared" si="1892"/>
        <v>0</v>
      </c>
      <c r="N443" s="155">
        <f t="shared" si="1892"/>
        <v>0</v>
      </c>
      <c r="O443" s="155">
        <f t="shared" si="1892"/>
        <v>0</v>
      </c>
      <c r="P443" s="155">
        <f t="shared" si="1892"/>
        <v>0</v>
      </c>
      <c r="Q443" s="155">
        <f t="shared" si="1892"/>
        <v>0</v>
      </c>
      <c r="R443" s="155">
        <f t="shared" si="1892"/>
        <v>0</v>
      </c>
      <c r="S443" s="155">
        <f t="shared" si="1892"/>
        <v>0</v>
      </c>
      <c r="T443" s="155">
        <f t="shared" si="1892"/>
        <v>0</v>
      </c>
      <c r="U443" s="155">
        <f t="shared" si="1892"/>
        <v>0</v>
      </c>
      <c r="V443" s="155">
        <f t="shared" si="1892"/>
        <v>0</v>
      </c>
      <c r="W443" s="155">
        <f t="shared" si="1892"/>
        <v>0</v>
      </c>
      <c r="X443" s="155">
        <f t="shared" si="1892"/>
        <v>0</v>
      </c>
      <c r="Y443" s="160">
        <f t="shared" si="1892"/>
        <v>0</v>
      </c>
    </row>
    <row r="444" spans="2:25" ht="15" customHeight="1" x14ac:dyDescent="0.2">
      <c r="B444" s="249" t="s">
        <v>96</v>
      </c>
      <c r="C444" s="91">
        <f>E444/SUM(E444:E446)</f>
        <v>0.25</v>
      </c>
      <c r="D444" s="67" t="s">
        <v>0</v>
      </c>
      <c r="E444" s="68">
        <f t="shared" si="1868"/>
        <v>8</v>
      </c>
      <c r="F444" s="68">
        <f>SUMIFS([0]!Chavez,[0]!Centro,$B446,[0]!Turno,F$341)</f>
        <v>0</v>
      </c>
      <c r="G444" s="68">
        <f>SUMIFS([0]!Chavez,[0]!Centro,$B446,[0]!Turno,G$341)</f>
        <v>0</v>
      </c>
      <c r="H444" s="68">
        <f>SUMIFS([0]!Chavez,[0]!Centro,$B446,[0]!Turno,H$341)</f>
        <v>0</v>
      </c>
      <c r="I444" s="68">
        <f>SUMIFS([0]!Chavez,[0]!Centro,$B446,[0]!Turno,I$341)</f>
        <v>7</v>
      </c>
      <c r="J444" s="68">
        <f>SUMIFS([0]!Chavez,[0]!Centro,$B446,[0]!Turno,J$341)</f>
        <v>0</v>
      </c>
      <c r="K444" s="68">
        <f>SUMIFS([0]!Chavez,[0]!Centro,$B446,[0]!Turno,K$341)</f>
        <v>1</v>
      </c>
      <c r="L444" s="68">
        <f>SUMIFS([0]!Chavez,[0]!Centro,$B446,[0]!Turno,L$341)</f>
        <v>0</v>
      </c>
      <c r="M444" s="68">
        <f>SUMIFS([0]!Chavez,[0]!Centro,$B446,[0]!Turno,M$341)</f>
        <v>0</v>
      </c>
      <c r="N444" s="68">
        <f>SUMIFS([0]!Chavez,[0]!Centro,$B446,[0]!Turno,N$341)</f>
        <v>0</v>
      </c>
      <c r="O444" s="68">
        <f>SUMIFS([0]!Chavez,[0]!Centro,$B446,[0]!Turno,O$341)</f>
        <v>0</v>
      </c>
      <c r="P444" s="68">
        <f>SUMIFS([0]!Chavez,[0]!Centro,$B446,[0]!Turno,P$341)</f>
        <v>0</v>
      </c>
      <c r="Q444" s="68">
        <f>SUMIFS([0]!Chavez,[0]!Centro,$B446,[0]!Turno,Q$341)</f>
        <v>0</v>
      </c>
      <c r="R444" s="68">
        <f>SUMIFS([0]!Chavez,[0]!Centro,$B446,[0]!Turno,R$341)</f>
        <v>0</v>
      </c>
      <c r="S444" s="68">
        <f>SUMIFS([0]!Chavez,[0]!Centro,$B446,[0]!Turno,S$341)</f>
        <v>0</v>
      </c>
      <c r="T444" s="68">
        <f>SUMIFS([0]!Chavez,[0]!Centro,$B446,[0]!Turno,T$341)</f>
        <v>0</v>
      </c>
      <c r="U444" s="68">
        <f>SUMIFS([0]!Chavez,[0]!Centro,$B446,[0]!Turno,U$341)</f>
        <v>0</v>
      </c>
      <c r="V444" s="68">
        <f>SUMIFS([0]!Chavez,[0]!Centro,$B446,[0]!Turno,V$341)</f>
        <v>0</v>
      </c>
      <c r="W444" s="68">
        <f>SUMIFS([0]!Chavez,[0]!Centro,$B446,[0]!Turno,W$341)</f>
        <v>0</v>
      </c>
      <c r="X444" s="68">
        <f>SUMIFS([0]!Chavez,[0]!Centro,$B446,[0]!Turno,X$341)</f>
        <v>0</v>
      </c>
      <c r="Y444" s="69">
        <f>SUMIFS([0]!Chavez,[0]!Centro,$B446,[0]!Turno,Y$341)</f>
        <v>0</v>
      </c>
    </row>
    <row r="445" spans="2:25" ht="15" customHeight="1" x14ac:dyDescent="0.2">
      <c r="B445" s="250"/>
      <c r="C445" s="92">
        <f>E445/SUM(E444:E446)</f>
        <v>0.75</v>
      </c>
      <c r="D445" s="61" t="s">
        <v>1</v>
      </c>
      <c r="E445" s="62">
        <f t="shared" si="1868"/>
        <v>24</v>
      </c>
      <c r="F445" s="62">
        <f>SUMIFS([0]!Capriles,[0]!Centro,$B446,[0]!Turno,F$341)</f>
        <v>0</v>
      </c>
      <c r="G445" s="62">
        <f>SUMIFS([0]!Capriles,[0]!Centro,$B446,[0]!Turno,G$341)</f>
        <v>0</v>
      </c>
      <c r="H445" s="62">
        <f>SUMIFS([0]!Capriles,[0]!Centro,$B446,[0]!Turno,H$341)</f>
        <v>0</v>
      </c>
      <c r="I445" s="62">
        <f>SUMIFS([0]!Capriles,[0]!Centro,$B446,[0]!Turno,I$341)</f>
        <v>10</v>
      </c>
      <c r="J445" s="62">
        <f>SUMIFS([0]!Capriles,[0]!Centro,$B446,[0]!Turno,J$341)</f>
        <v>0</v>
      </c>
      <c r="K445" s="62">
        <f>SUMIFS([0]!Capriles,[0]!Centro,$B446,[0]!Turno,K$341)</f>
        <v>14</v>
      </c>
      <c r="L445" s="62">
        <f>SUMIFS([0]!Capriles,[0]!Centro,$B446,[0]!Turno,L$341)</f>
        <v>0</v>
      </c>
      <c r="M445" s="62">
        <f>SUMIFS([0]!Capriles,[0]!Centro,$B446,[0]!Turno,M$341)</f>
        <v>0</v>
      </c>
      <c r="N445" s="62">
        <f>SUMIFS([0]!Capriles,[0]!Centro,$B446,[0]!Turno,N$341)</f>
        <v>0</v>
      </c>
      <c r="O445" s="62">
        <f>SUMIFS([0]!Capriles,[0]!Centro,$B446,[0]!Turno,O$341)</f>
        <v>0</v>
      </c>
      <c r="P445" s="62">
        <f>SUMIFS([0]!Capriles,[0]!Centro,$B446,[0]!Turno,P$341)</f>
        <v>0</v>
      </c>
      <c r="Q445" s="62">
        <f>SUMIFS([0]!Capriles,[0]!Centro,$B446,[0]!Turno,Q$341)</f>
        <v>0</v>
      </c>
      <c r="R445" s="62">
        <f>SUMIFS([0]!Capriles,[0]!Centro,$B446,[0]!Turno,R$341)</f>
        <v>0</v>
      </c>
      <c r="S445" s="62">
        <f>SUMIFS([0]!Capriles,[0]!Centro,$B446,[0]!Turno,S$341)</f>
        <v>0</v>
      </c>
      <c r="T445" s="62">
        <f>SUMIFS([0]!Capriles,[0]!Centro,$B446,[0]!Turno,T$341)</f>
        <v>0</v>
      </c>
      <c r="U445" s="62">
        <f>SUMIFS([0]!Capriles,[0]!Centro,$B446,[0]!Turno,U$341)</f>
        <v>0</v>
      </c>
      <c r="V445" s="62">
        <f>SUMIFS([0]!Capriles,[0]!Centro,$B446,[0]!Turno,V$341)</f>
        <v>0</v>
      </c>
      <c r="W445" s="62">
        <f>SUMIFS([0]!Capriles,[0]!Centro,$B446,[0]!Turno,W$341)</f>
        <v>0</v>
      </c>
      <c r="X445" s="62">
        <f>SUMIFS([0]!Capriles,[0]!Centro,$B446,[0]!Turno,X$341)</f>
        <v>0</v>
      </c>
      <c r="Y445" s="70">
        <f>SUMIFS([0]!Capriles,[0]!Centro,$B446,[0]!Turno,Y$341)</f>
        <v>0</v>
      </c>
    </row>
    <row r="446" spans="2:25" ht="15" customHeight="1" thickBot="1" x14ac:dyDescent="0.25">
      <c r="B446" s="251">
        <v>18</v>
      </c>
      <c r="C446" s="100">
        <f>E446/SUM(E444:E446)</f>
        <v>0</v>
      </c>
      <c r="D446" s="71" t="s">
        <v>2</v>
      </c>
      <c r="E446" s="72">
        <f t="shared" si="1868"/>
        <v>0</v>
      </c>
      <c r="F446" s="72">
        <f>SUMIFS([0]!Otro,[0]!Centro,$B446,[0]!Turno,F$341)</f>
        <v>0</v>
      </c>
      <c r="G446" s="72">
        <f>SUMIFS([0]!Otro,[0]!Centro,$B446,[0]!Turno,G$341)</f>
        <v>0</v>
      </c>
      <c r="H446" s="72">
        <f>SUMIFS([0]!Otro,[0]!Centro,$B446,[0]!Turno,H$341)</f>
        <v>0</v>
      </c>
      <c r="I446" s="72">
        <f>SUMIFS([0]!Otro,[0]!Centro,$B446,[0]!Turno,I$341)</f>
        <v>0</v>
      </c>
      <c r="J446" s="72">
        <f>SUMIFS([0]!Otro,[0]!Centro,$B446,[0]!Turno,J$341)</f>
        <v>0</v>
      </c>
      <c r="K446" s="72">
        <f>SUMIFS([0]!Otro,[0]!Centro,$B446,[0]!Turno,K$341)</f>
        <v>0</v>
      </c>
      <c r="L446" s="72">
        <f>SUMIFS([0]!Otro,[0]!Centro,$B446,[0]!Turno,L$341)</f>
        <v>0</v>
      </c>
      <c r="M446" s="72">
        <f>SUMIFS([0]!Otro,[0]!Centro,$B446,[0]!Turno,M$341)</f>
        <v>0</v>
      </c>
      <c r="N446" s="72">
        <f>SUMIFS([0]!Otro,[0]!Centro,$B446,[0]!Turno,N$341)</f>
        <v>0</v>
      </c>
      <c r="O446" s="72">
        <f>SUMIFS([0]!Otro,[0]!Centro,$B446,[0]!Turno,O$341)</f>
        <v>0</v>
      </c>
      <c r="P446" s="72">
        <f>SUMIFS([0]!Otro,[0]!Centro,$B446,[0]!Turno,P$341)</f>
        <v>0</v>
      </c>
      <c r="Q446" s="72">
        <f>SUMIFS([0]!Otro,[0]!Centro,$B446,[0]!Turno,Q$341)</f>
        <v>0</v>
      </c>
      <c r="R446" s="72">
        <f>SUMIFS([0]!Otro,[0]!Centro,$B446,[0]!Turno,R$341)</f>
        <v>0</v>
      </c>
      <c r="S446" s="72">
        <f>SUMIFS([0]!Otro,[0]!Centro,$B446,[0]!Turno,S$341)</f>
        <v>0</v>
      </c>
      <c r="T446" s="72">
        <f>SUMIFS([0]!Otro,[0]!Centro,$B446,[0]!Turno,T$341)</f>
        <v>0</v>
      </c>
      <c r="U446" s="72">
        <f>SUMIFS([0]!Otro,[0]!Centro,$B446,[0]!Turno,U$341)</f>
        <v>0</v>
      </c>
      <c r="V446" s="72">
        <f>SUMIFS([0]!Otro,[0]!Centro,$B446,[0]!Turno,V$341)</f>
        <v>0</v>
      </c>
      <c r="W446" s="72">
        <f>SUMIFS([0]!Otro,[0]!Centro,$B446,[0]!Turno,W$341)</f>
        <v>0</v>
      </c>
      <c r="X446" s="72">
        <f>SUMIFS([0]!Otro,[0]!Centro,$B446,[0]!Turno,X$341)</f>
        <v>0</v>
      </c>
      <c r="Y446" s="73">
        <f>SUMIFS([0]!Otro,[0]!Centro,$B446,[0]!Turno,Y$341)</f>
        <v>0</v>
      </c>
    </row>
    <row r="447" spans="2:25" ht="15" customHeight="1" x14ac:dyDescent="0.2">
      <c r="B447" s="251"/>
      <c r="C447" s="94">
        <f>E447/SUM(E447:E449)</f>
        <v>0.25</v>
      </c>
      <c r="D447" s="63" t="s">
        <v>0</v>
      </c>
      <c r="E447" s="150">
        <f>IF((E444+E445+E446)=0,0,(E444*$B448)/(E444+E445+E446))</f>
        <v>9.4822340611466754E-3</v>
      </c>
      <c r="F447" s="150">
        <f>IF((F444+F445+F446)=0,0,(F444*$B448)/(F444+F445+F446))</f>
        <v>0</v>
      </c>
      <c r="G447" s="150">
        <f t="shared" ref="G447:Y447" si="1893">IF((G444+G445+G446)=0,0,(G444*$B448)/(G444+G445+G446))</f>
        <v>0</v>
      </c>
      <c r="H447" s="150">
        <f t="shared" si="1893"/>
        <v>0</v>
      </c>
      <c r="I447" s="150">
        <f t="shared" si="1893"/>
        <v>1.5617797277182759E-2</v>
      </c>
      <c r="J447" s="150">
        <f t="shared" si="1893"/>
        <v>0</v>
      </c>
      <c r="K447" s="150">
        <f t="shared" si="1893"/>
        <v>2.5285957496391136E-3</v>
      </c>
      <c r="L447" s="150">
        <f t="shared" si="1893"/>
        <v>0</v>
      </c>
      <c r="M447" s="150">
        <f t="shared" si="1893"/>
        <v>0</v>
      </c>
      <c r="N447" s="150">
        <f t="shared" si="1893"/>
        <v>0</v>
      </c>
      <c r="O447" s="150">
        <f t="shared" si="1893"/>
        <v>0</v>
      </c>
      <c r="P447" s="150">
        <f t="shared" si="1893"/>
        <v>0</v>
      </c>
      <c r="Q447" s="150">
        <f t="shared" si="1893"/>
        <v>0</v>
      </c>
      <c r="R447" s="150">
        <f t="shared" si="1893"/>
        <v>0</v>
      </c>
      <c r="S447" s="150">
        <f t="shared" si="1893"/>
        <v>0</v>
      </c>
      <c r="T447" s="150">
        <f t="shared" si="1893"/>
        <v>0</v>
      </c>
      <c r="U447" s="150">
        <f t="shared" si="1893"/>
        <v>0</v>
      </c>
      <c r="V447" s="150">
        <f t="shared" si="1893"/>
        <v>0</v>
      </c>
      <c r="W447" s="150">
        <f t="shared" si="1893"/>
        <v>0</v>
      </c>
      <c r="X447" s="150">
        <f t="shared" si="1893"/>
        <v>0</v>
      </c>
      <c r="Y447" s="163">
        <f t="shared" si="1893"/>
        <v>0</v>
      </c>
    </row>
    <row r="448" spans="2:25" ht="15" customHeight="1" x14ac:dyDescent="0.2">
      <c r="B448" s="252">
        <v>3.7928936244586701E-2</v>
      </c>
      <c r="C448" s="92">
        <f>E448/SUM(E447:E449)</f>
        <v>0.75</v>
      </c>
      <c r="D448" s="61" t="s">
        <v>1</v>
      </c>
      <c r="E448" s="154">
        <f>IF((E444+E445+E446)=0,0,(E445*$B448)/(E444+E445+E446))</f>
        <v>2.8446702183440024E-2</v>
      </c>
      <c r="F448" s="154">
        <f>IF((F444+F445+F446)=0,0,(F445*$B448)/(F444+F445+F446))</f>
        <v>0</v>
      </c>
      <c r="G448" s="154">
        <f t="shared" ref="G448:O448" si="1894">IF((G444+G445+G446)=0,0,(G445*$B448)/(G444+G445+G446))</f>
        <v>0</v>
      </c>
      <c r="H448" s="154">
        <f t="shared" si="1894"/>
        <v>0</v>
      </c>
      <c r="I448" s="154">
        <f t="shared" si="1894"/>
        <v>2.2311138967403943E-2</v>
      </c>
      <c r="J448" s="154">
        <f t="shared" si="1894"/>
        <v>0</v>
      </c>
      <c r="K448" s="154">
        <f t="shared" si="1894"/>
        <v>3.5400340494947585E-2</v>
      </c>
      <c r="L448" s="154">
        <f t="shared" si="1894"/>
        <v>0</v>
      </c>
      <c r="M448" s="154">
        <f t="shared" si="1894"/>
        <v>0</v>
      </c>
      <c r="N448" s="154">
        <f t="shared" si="1894"/>
        <v>0</v>
      </c>
      <c r="O448" s="154">
        <f t="shared" si="1894"/>
        <v>0</v>
      </c>
      <c r="P448" s="154">
        <f>IF((P444+P445+P446)=0,0,(P445*$B448)/(P444+P445+P446))</f>
        <v>0</v>
      </c>
      <c r="Q448" s="154">
        <f t="shared" ref="Q448:Y448" si="1895">IF((Q444+Q445+Q446)=0,0,(Q445*$B448)/(Q444+Q445+Q446))</f>
        <v>0</v>
      </c>
      <c r="R448" s="154">
        <f t="shared" si="1895"/>
        <v>0</v>
      </c>
      <c r="S448" s="154">
        <f t="shared" si="1895"/>
        <v>0</v>
      </c>
      <c r="T448" s="154">
        <f t="shared" si="1895"/>
        <v>0</v>
      </c>
      <c r="U448" s="154">
        <f t="shared" si="1895"/>
        <v>0</v>
      </c>
      <c r="V448" s="154">
        <f t="shared" si="1895"/>
        <v>0</v>
      </c>
      <c r="W448" s="154">
        <f t="shared" si="1895"/>
        <v>0</v>
      </c>
      <c r="X448" s="154">
        <f t="shared" si="1895"/>
        <v>0</v>
      </c>
      <c r="Y448" s="159">
        <f t="shared" si="1895"/>
        <v>0</v>
      </c>
    </row>
    <row r="449" spans="2:25" ht="15" customHeight="1" thickBot="1" x14ac:dyDescent="0.25">
      <c r="B449" s="253"/>
      <c r="C449" s="93">
        <f>E449/SUM(E447:E449)</f>
        <v>0</v>
      </c>
      <c r="D449" s="75" t="s">
        <v>2</v>
      </c>
      <c r="E449" s="155">
        <f>IF((E444+E445+E446)=0,0,(E446*$B448)/(E444+E445+E446))</f>
        <v>0</v>
      </c>
      <c r="F449" s="155">
        <f>IF((F444+F445+F446)=0,0,(F446*$B448)/(F444+F445+F446))</f>
        <v>0</v>
      </c>
      <c r="G449" s="155">
        <f t="shared" ref="G449:Y449" si="1896">IF((G444+G445+G446)=0,0,(G446*$B448)/(G444+G445+G446))</f>
        <v>0</v>
      </c>
      <c r="H449" s="155">
        <f t="shared" si="1896"/>
        <v>0</v>
      </c>
      <c r="I449" s="155">
        <f t="shared" si="1896"/>
        <v>0</v>
      </c>
      <c r="J449" s="155">
        <f t="shared" si="1896"/>
        <v>0</v>
      </c>
      <c r="K449" s="155">
        <f t="shared" si="1896"/>
        <v>0</v>
      </c>
      <c r="L449" s="155">
        <f t="shared" si="1896"/>
        <v>0</v>
      </c>
      <c r="M449" s="155">
        <f t="shared" si="1896"/>
        <v>0</v>
      </c>
      <c r="N449" s="155">
        <f t="shared" si="1896"/>
        <v>0</v>
      </c>
      <c r="O449" s="155">
        <f t="shared" si="1896"/>
        <v>0</v>
      </c>
      <c r="P449" s="155">
        <f t="shared" si="1896"/>
        <v>0</v>
      </c>
      <c r="Q449" s="155">
        <f t="shared" si="1896"/>
        <v>0</v>
      </c>
      <c r="R449" s="155">
        <f t="shared" si="1896"/>
        <v>0</v>
      </c>
      <c r="S449" s="155">
        <f t="shared" si="1896"/>
        <v>0</v>
      </c>
      <c r="T449" s="155">
        <f t="shared" si="1896"/>
        <v>0</v>
      </c>
      <c r="U449" s="155">
        <f t="shared" si="1896"/>
        <v>0</v>
      </c>
      <c r="V449" s="155">
        <f t="shared" si="1896"/>
        <v>0</v>
      </c>
      <c r="W449" s="155">
        <f t="shared" si="1896"/>
        <v>0</v>
      </c>
      <c r="X449" s="155">
        <f t="shared" si="1896"/>
        <v>0</v>
      </c>
      <c r="Y449" s="160">
        <f t="shared" si="1896"/>
        <v>0</v>
      </c>
    </row>
    <row r="450" spans="2:25" ht="15" customHeight="1" x14ac:dyDescent="0.2">
      <c r="B450" s="249" t="s">
        <v>97</v>
      </c>
      <c r="C450" s="91">
        <f>E450/SUM(E450:E452)</f>
        <v>0.39799331103678931</v>
      </c>
      <c r="D450" s="67" t="s">
        <v>0</v>
      </c>
      <c r="E450" s="68">
        <f t="shared" si="1868"/>
        <v>119</v>
      </c>
      <c r="F450" s="68">
        <f>SUMIFS([0]!Chavez,[0]!Centro,$B452,[0]!Turno,F$341)</f>
        <v>15</v>
      </c>
      <c r="G450" s="68">
        <f>SUMIFS([0]!Chavez,[0]!Centro,$B452,[0]!Turno,G$341)</f>
        <v>1</v>
      </c>
      <c r="H450" s="68">
        <f>SUMIFS([0]!Chavez,[0]!Centro,$B452,[0]!Turno,H$341)</f>
        <v>13</v>
      </c>
      <c r="I450" s="68">
        <f>SUMIFS([0]!Chavez,[0]!Centro,$B452,[0]!Turno,I$341)</f>
        <v>18</v>
      </c>
      <c r="J450" s="68">
        <f>SUMIFS([0]!Chavez,[0]!Centro,$B452,[0]!Turno,J$341)</f>
        <v>12</v>
      </c>
      <c r="K450" s="68">
        <f>SUMIFS([0]!Chavez,[0]!Centro,$B452,[0]!Turno,K$341)</f>
        <v>18</v>
      </c>
      <c r="L450" s="68">
        <f>SUMIFS([0]!Chavez,[0]!Centro,$B452,[0]!Turno,L$341)</f>
        <v>11</v>
      </c>
      <c r="M450" s="68">
        <f>SUMIFS([0]!Chavez,[0]!Centro,$B452,[0]!Turno,M$341)</f>
        <v>2</v>
      </c>
      <c r="N450" s="68">
        <f>SUMIFS([0]!Chavez,[0]!Centro,$B452,[0]!Turno,N$341)</f>
        <v>5</v>
      </c>
      <c r="O450" s="68">
        <f>SUMIFS([0]!Chavez,[0]!Centro,$B452,[0]!Turno,O$341)</f>
        <v>24</v>
      </c>
      <c r="P450" s="68">
        <f>SUMIFS([0]!Chavez,[0]!Centro,$B452,[0]!Turno,P$341)</f>
        <v>0</v>
      </c>
      <c r="Q450" s="68">
        <f>SUMIFS([0]!Chavez,[0]!Centro,$B452,[0]!Turno,Q$341)</f>
        <v>0</v>
      </c>
      <c r="R450" s="68">
        <f>SUMIFS([0]!Chavez,[0]!Centro,$B452,[0]!Turno,R$341)</f>
        <v>0</v>
      </c>
      <c r="S450" s="68">
        <f>SUMIFS([0]!Chavez,[0]!Centro,$B452,[0]!Turno,S$341)</f>
        <v>0</v>
      </c>
      <c r="T450" s="68">
        <f>SUMIFS([0]!Chavez,[0]!Centro,$B452,[0]!Turno,T$341)</f>
        <v>0</v>
      </c>
      <c r="U450" s="68">
        <f>SUMIFS([0]!Chavez,[0]!Centro,$B452,[0]!Turno,U$341)</f>
        <v>0</v>
      </c>
      <c r="V450" s="68">
        <f>SUMIFS([0]!Chavez,[0]!Centro,$B452,[0]!Turno,V$341)</f>
        <v>0</v>
      </c>
      <c r="W450" s="68">
        <f>SUMIFS([0]!Chavez,[0]!Centro,$B452,[0]!Turno,W$341)</f>
        <v>0</v>
      </c>
      <c r="X450" s="68">
        <f>SUMIFS([0]!Chavez,[0]!Centro,$B452,[0]!Turno,X$341)</f>
        <v>0</v>
      </c>
      <c r="Y450" s="69">
        <f>SUMIFS([0]!Chavez,[0]!Centro,$B452,[0]!Turno,Y$341)</f>
        <v>0</v>
      </c>
    </row>
    <row r="451" spans="2:25" ht="15" customHeight="1" x14ac:dyDescent="0.2">
      <c r="B451" s="250"/>
      <c r="C451" s="92">
        <f>E451/SUM(E450:E452)</f>
        <v>0.51505016722408026</v>
      </c>
      <c r="D451" s="61" t="s">
        <v>1</v>
      </c>
      <c r="E451" s="62">
        <f t="shared" si="1868"/>
        <v>154</v>
      </c>
      <c r="F451" s="62">
        <f>SUMIFS([0]!Capriles,[0]!Centro,$B452,[0]!Turno,F$341)</f>
        <v>13</v>
      </c>
      <c r="G451" s="62">
        <f>SUMIFS([0]!Capriles,[0]!Centro,$B452,[0]!Turno,G$341)</f>
        <v>4</v>
      </c>
      <c r="H451" s="62">
        <f>SUMIFS([0]!Capriles,[0]!Centro,$B452,[0]!Turno,H$341)</f>
        <v>7</v>
      </c>
      <c r="I451" s="62">
        <f>SUMIFS([0]!Capriles,[0]!Centro,$B452,[0]!Turno,I$341)</f>
        <v>12</v>
      </c>
      <c r="J451" s="62">
        <f>SUMIFS([0]!Capriles,[0]!Centro,$B452,[0]!Turno,J$341)</f>
        <v>13</v>
      </c>
      <c r="K451" s="62">
        <f>SUMIFS([0]!Capriles,[0]!Centro,$B452,[0]!Turno,K$341)</f>
        <v>25</v>
      </c>
      <c r="L451" s="62">
        <f>SUMIFS([0]!Capriles,[0]!Centro,$B452,[0]!Turno,L$341)</f>
        <v>20</v>
      </c>
      <c r="M451" s="62">
        <f>SUMIFS([0]!Capriles,[0]!Centro,$B452,[0]!Turno,M$341)</f>
        <v>12</v>
      </c>
      <c r="N451" s="62">
        <f>SUMIFS([0]!Capriles,[0]!Centro,$B452,[0]!Turno,N$341)</f>
        <v>20</v>
      </c>
      <c r="O451" s="62">
        <f>SUMIFS([0]!Capriles,[0]!Centro,$B452,[0]!Turno,O$341)</f>
        <v>28</v>
      </c>
      <c r="P451" s="62">
        <f>SUMIFS([0]!Capriles,[0]!Centro,$B452,[0]!Turno,P$341)</f>
        <v>0</v>
      </c>
      <c r="Q451" s="62">
        <f>SUMIFS([0]!Capriles,[0]!Centro,$B452,[0]!Turno,Q$341)</f>
        <v>0</v>
      </c>
      <c r="R451" s="62">
        <f>SUMIFS([0]!Capriles,[0]!Centro,$B452,[0]!Turno,R$341)</f>
        <v>0</v>
      </c>
      <c r="S451" s="62">
        <f>SUMIFS([0]!Capriles,[0]!Centro,$B452,[0]!Turno,S$341)</f>
        <v>0</v>
      </c>
      <c r="T451" s="62">
        <f>SUMIFS([0]!Capriles,[0]!Centro,$B452,[0]!Turno,T$341)</f>
        <v>0</v>
      </c>
      <c r="U451" s="62">
        <f>SUMIFS([0]!Capriles,[0]!Centro,$B452,[0]!Turno,U$341)</f>
        <v>0</v>
      </c>
      <c r="V451" s="62">
        <f>SUMIFS([0]!Capriles,[0]!Centro,$B452,[0]!Turno,V$341)</f>
        <v>0</v>
      </c>
      <c r="W451" s="62">
        <f>SUMIFS([0]!Capriles,[0]!Centro,$B452,[0]!Turno,W$341)</f>
        <v>0</v>
      </c>
      <c r="X451" s="62">
        <f>SUMIFS([0]!Capriles,[0]!Centro,$B452,[0]!Turno,X$341)</f>
        <v>0</v>
      </c>
      <c r="Y451" s="70">
        <f>SUMIFS([0]!Capriles,[0]!Centro,$B452,[0]!Turno,Y$341)</f>
        <v>0</v>
      </c>
    </row>
    <row r="452" spans="2:25" ht="15" customHeight="1" thickBot="1" x14ac:dyDescent="0.25">
      <c r="B452" s="251">
        <v>7</v>
      </c>
      <c r="C452" s="100">
        <f>E452/SUM(E450:E452)</f>
        <v>8.6956521739130432E-2</v>
      </c>
      <c r="D452" s="71" t="s">
        <v>2</v>
      </c>
      <c r="E452" s="72">
        <f t="shared" si="1868"/>
        <v>26</v>
      </c>
      <c r="F452" s="72">
        <f>SUMIFS([0]!Otro,[0]!Centro,$B452,[0]!Turno,F$341)</f>
        <v>2</v>
      </c>
      <c r="G452" s="72">
        <f>SUMIFS([0]!Otro,[0]!Centro,$B452,[0]!Turno,G$341)</f>
        <v>1</v>
      </c>
      <c r="H452" s="72">
        <f>SUMIFS([0]!Otro,[0]!Centro,$B452,[0]!Turno,H$341)</f>
        <v>0</v>
      </c>
      <c r="I452" s="72">
        <f>SUMIFS([0]!Otro,[0]!Centro,$B452,[0]!Turno,I$341)</f>
        <v>5</v>
      </c>
      <c r="J452" s="72">
        <f>SUMIFS([0]!Otro,[0]!Centro,$B452,[0]!Turno,J$341)</f>
        <v>4</v>
      </c>
      <c r="K452" s="72">
        <f>SUMIFS([0]!Otro,[0]!Centro,$B452,[0]!Turno,K$341)</f>
        <v>1</v>
      </c>
      <c r="L452" s="72">
        <f>SUMIFS([0]!Otro,[0]!Centro,$B452,[0]!Turno,L$341)</f>
        <v>1</v>
      </c>
      <c r="M452" s="72">
        <f>SUMIFS([0]!Otro,[0]!Centro,$B452,[0]!Turno,M$341)</f>
        <v>2</v>
      </c>
      <c r="N452" s="72">
        <f>SUMIFS([0]!Otro,[0]!Centro,$B452,[0]!Turno,N$341)</f>
        <v>2</v>
      </c>
      <c r="O452" s="72">
        <f>SUMIFS([0]!Otro,[0]!Centro,$B452,[0]!Turno,O$341)</f>
        <v>8</v>
      </c>
      <c r="P452" s="72">
        <f>SUMIFS([0]!Otro,[0]!Centro,$B452,[0]!Turno,P$341)</f>
        <v>0</v>
      </c>
      <c r="Q452" s="72">
        <f>SUMIFS([0]!Otro,[0]!Centro,$B452,[0]!Turno,Q$341)</f>
        <v>0</v>
      </c>
      <c r="R452" s="72">
        <f>SUMIFS([0]!Otro,[0]!Centro,$B452,[0]!Turno,R$341)</f>
        <v>0</v>
      </c>
      <c r="S452" s="72">
        <f>SUMIFS([0]!Otro,[0]!Centro,$B452,[0]!Turno,S$341)</f>
        <v>0</v>
      </c>
      <c r="T452" s="72">
        <f>SUMIFS([0]!Otro,[0]!Centro,$B452,[0]!Turno,T$341)</f>
        <v>0</v>
      </c>
      <c r="U452" s="72">
        <f>SUMIFS([0]!Otro,[0]!Centro,$B452,[0]!Turno,U$341)</f>
        <v>0</v>
      </c>
      <c r="V452" s="72">
        <f>SUMIFS([0]!Otro,[0]!Centro,$B452,[0]!Turno,V$341)</f>
        <v>0</v>
      </c>
      <c r="W452" s="72">
        <f>SUMIFS([0]!Otro,[0]!Centro,$B452,[0]!Turno,W$341)</f>
        <v>0</v>
      </c>
      <c r="X452" s="72">
        <f>SUMIFS([0]!Otro,[0]!Centro,$B452,[0]!Turno,X$341)</f>
        <v>0</v>
      </c>
      <c r="Y452" s="73">
        <f>SUMIFS([0]!Otro,[0]!Centro,$B452,[0]!Turno,Y$341)</f>
        <v>0</v>
      </c>
    </row>
    <row r="453" spans="2:25" ht="15" customHeight="1" x14ac:dyDescent="0.2">
      <c r="B453" s="251"/>
      <c r="C453" s="94">
        <f>E453/SUM(E453:E455)</f>
        <v>0.39799331103678931</v>
      </c>
      <c r="D453" s="63" t="s">
        <v>0</v>
      </c>
      <c r="E453" s="150">
        <f>IF((E450+E451+E452)=0,0,(E450*$B454)/(E450+E451+E452))</f>
        <v>2.1926331861140232E-2</v>
      </c>
      <c r="F453" s="150">
        <f>IF((F450+F451+F452)=0,0,(F450*$B454)/(F450+F451+F452))</f>
        <v>2.7546105993617349E-2</v>
      </c>
      <c r="G453" s="150">
        <f t="shared" ref="G453:Y453" si="1897">IF((G450+G451+G452)=0,0,(G450*$B454)/(G450+G451+G452))</f>
        <v>9.1820353312057831E-3</v>
      </c>
      <c r="H453" s="150">
        <f t="shared" si="1897"/>
        <v>3.5809937791702558E-2</v>
      </c>
      <c r="I453" s="150">
        <f t="shared" si="1897"/>
        <v>2.8333137593434986E-2</v>
      </c>
      <c r="J453" s="150">
        <f t="shared" si="1897"/>
        <v>2.2796777374028153E-2</v>
      </c>
      <c r="K453" s="150">
        <f t="shared" si="1897"/>
        <v>2.2537723085686922E-2</v>
      </c>
      <c r="L453" s="150">
        <f t="shared" si="1897"/>
        <v>1.8937947870611926E-2</v>
      </c>
      <c r="M453" s="150">
        <f t="shared" si="1897"/>
        <v>6.8865264984043374E-3</v>
      </c>
      <c r="N453" s="150">
        <f t="shared" si="1897"/>
        <v>1.0202261479117536E-2</v>
      </c>
      <c r="O453" s="150">
        <f t="shared" si="1897"/>
        <v>2.2036884794893883E-2</v>
      </c>
      <c r="P453" s="150">
        <f t="shared" si="1897"/>
        <v>0</v>
      </c>
      <c r="Q453" s="150">
        <f t="shared" si="1897"/>
        <v>0</v>
      </c>
      <c r="R453" s="150">
        <f t="shared" si="1897"/>
        <v>0</v>
      </c>
      <c r="S453" s="150">
        <f t="shared" si="1897"/>
        <v>0</v>
      </c>
      <c r="T453" s="150">
        <f t="shared" si="1897"/>
        <v>0</v>
      </c>
      <c r="U453" s="150">
        <f t="shared" si="1897"/>
        <v>0</v>
      </c>
      <c r="V453" s="150">
        <f t="shared" si="1897"/>
        <v>0</v>
      </c>
      <c r="W453" s="150">
        <f t="shared" si="1897"/>
        <v>0</v>
      </c>
      <c r="X453" s="150">
        <f t="shared" si="1897"/>
        <v>0</v>
      </c>
      <c r="Y453" s="163">
        <f t="shared" si="1897"/>
        <v>0</v>
      </c>
    </row>
    <row r="454" spans="2:25" ht="15" customHeight="1" x14ac:dyDescent="0.2">
      <c r="B454" s="252">
        <v>5.5092211987234699E-2</v>
      </c>
      <c r="C454" s="92">
        <f>E454/SUM(E453:E455)</f>
        <v>0.51505016722408026</v>
      </c>
      <c r="D454" s="61" t="s">
        <v>1</v>
      </c>
      <c r="E454" s="154">
        <f>IF((E450+E451+E452)=0,0,(E451*$B454)/(E450+E451+E452))</f>
        <v>2.8375252996769709E-2</v>
      </c>
      <c r="F454" s="154">
        <f>IF((F450+F451+F452)=0,0,(F451*$B454)/(F450+F451+F452))</f>
        <v>2.3873291861135036E-2</v>
      </c>
      <c r="G454" s="154">
        <f t="shared" ref="G454:O454" si="1898">IF((G450+G451+G452)=0,0,(G451*$B454)/(G450+G451+G452))</f>
        <v>3.6728141324823133E-2</v>
      </c>
      <c r="H454" s="154">
        <f t="shared" si="1898"/>
        <v>1.9282274195532145E-2</v>
      </c>
      <c r="I454" s="154">
        <f t="shared" si="1898"/>
        <v>1.8888758395623328E-2</v>
      </c>
      <c r="J454" s="154">
        <f t="shared" si="1898"/>
        <v>2.4696508821863833E-2</v>
      </c>
      <c r="K454" s="154">
        <f t="shared" si="1898"/>
        <v>3.1302393174565173E-2</v>
      </c>
      <c r="L454" s="154">
        <f t="shared" si="1898"/>
        <v>3.4432632492021685E-2</v>
      </c>
      <c r="M454" s="154">
        <f t="shared" si="1898"/>
        <v>4.1319158990426028E-2</v>
      </c>
      <c r="N454" s="154">
        <f t="shared" si="1898"/>
        <v>4.0809045916470145E-2</v>
      </c>
      <c r="O454" s="154">
        <f t="shared" si="1898"/>
        <v>2.5709698927376193E-2</v>
      </c>
      <c r="P454" s="154">
        <f>IF((P450+P451+P452)=0,0,(P451*$B454)/(P450+P451+P452))</f>
        <v>0</v>
      </c>
      <c r="Q454" s="154">
        <f t="shared" ref="Q454:Y454" si="1899">IF((Q450+Q451+Q452)=0,0,(Q451*$B454)/(Q450+Q451+Q452))</f>
        <v>0</v>
      </c>
      <c r="R454" s="154">
        <f t="shared" si="1899"/>
        <v>0</v>
      </c>
      <c r="S454" s="154">
        <f t="shared" si="1899"/>
        <v>0</v>
      </c>
      <c r="T454" s="154">
        <f t="shared" si="1899"/>
        <v>0</v>
      </c>
      <c r="U454" s="154">
        <f t="shared" si="1899"/>
        <v>0</v>
      </c>
      <c r="V454" s="154">
        <f t="shared" si="1899"/>
        <v>0</v>
      </c>
      <c r="W454" s="154">
        <f t="shared" si="1899"/>
        <v>0</v>
      </c>
      <c r="X454" s="154">
        <f t="shared" si="1899"/>
        <v>0</v>
      </c>
      <c r="Y454" s="159">
        <f t="shared" si="1899"/>
        <v>0</v>
      </c>
    </row>
    <row r="455" spans="2:25" ht="15" customHeight="1" thickBot="1" x14ac:dyDescent="0.25">
      <c r="B455" s="253"/>
      <c r="C455" s="93">
        <f>E455/SUM(E453:E455)</f>
        <v>8.6956521739130446E-2</v>
      </c>
      <c r="D455" s="75" t="s">
        <v>2</v>
      </c>
      <c r="E455" s="155">
        <f>IF((E450+E451+E452)=0,0,(E452*$B454)/(E450+E451+E452))</f>
        <v>4.7906271293247571E-3</v>
      </c>
      <c r="F455" s="155">
        <f>IF((F450+F451+F452)=0,0,(F452*$B454)/(F450+F451+F452))</f>
        <v>3.6728141324823133E-3</v>
      </c>
      <c r="G455" s="155">
        <f t="shared" ref="G455:Y455" si="1900">IF((G450+G451+G452)=0,0,(G452*$B454)/(G450+G451+G452))</f>
        <v>9.1820353312057831E-3</v>
      </c>
      <c r="H455" s="155">
        <f t="shared" si="1900"/>
        <v>0</v>
      </c>
      <c r="I455" s="155">
        <f t="shared" si="1900"/>
        <v>7.8703159981763846E-3</v>
      </c>
      <c r="J455" s="155">
        <f t="shared" si="1900"/>
        <v>7.5989257913427173E-3</v>
      </c>
      <c r="K455" s="155">
        <f t="shared" si="1900"/>
        <v>1.2520957269826069E-3</v>
      </c>
      <c r="L455" s="155">
        <f t="shared" si="1900"/>
        <v>1.7216316246010843E-3</v>
      </c>
      <c r="M455" s="155">
        <f t="shared" si="1900"/>
        <v>6.8865264984043374E-3</v>
      </c>
      <c r="N455" s="155">
        <f t="shared" si="1900"/>
        <v>4.080904591647015E-3</v>
      </c>
      <c r="O455" s="155">
        <f t="shared" si="1900"/>
        <v>7.3456282649646265E-3</v>
      </c>
      <c r="P455" s="155">
        <f t="shared" si="1900"/>
        <v>0</v>
      </c>
      <c r="Q455" s="155">
        <f t="shared" si="1900"/>
        <v>0</v>
      </c>
      <c r="R455" s="155">
        <f t="shared" si="1900"/>
        <v>0</v>
      </c>
      <c r="S455" s="155">
        <f t="shared" si="1900"/>
        <v>0</v>
      </c>
      <c r="T455" s="155">
        <f t="shared" si="1900"/>
        <v>0</v>
      </c>
      <c r="U455" s="155">
        <f t="shared" si="1900"/>
        <v>0</v>
      </c>
      <c r="V455" s="155">
        <f t="shared" si="1900"/>
        <v>0</v>
      </c>
      <c r="W455" s="155">
        <f t="shared" si="1900"/>
        <v>0</v>
      </c>
      <c r="X455" s="155">
        <f t="shared" si="1900"/>
        <v>0</v>
      </c>
      <c r="Y455" s="160">
        <f t="shared" si="1900"/>
        <v>0</v>
      </c>
    </row>
    <row r="456" spans="2:25" ht="15" customHeight="1" x14ac:dyDescent="0.2">
      <c r="B456" s="249" t="s">
        <v>55</v>
      </c>
      <c r="C456" s="91">
        <f>E456/SUM(E456:E458)</f>
        <v>0.37484885126964934</v>
      </c>
      <c r="D456" s="67" t="s">
        <v>0</v>
      </c>
      <c r="E456" s="68">
        <f t="shared" si="1868"/>
        <v>310</v>
      </c>
      <c r="F456" s="68">
        <f>SUMIFS([0]!Chavez,[0]!Centro,$B458,[0]!Turno,F$341)</f>
        <v>48</v>
      </c>
      <c r="G456" s="68">
        <f>SUMIFS([0]!Chavez,[0]!Centro,$B458,[0]!Turno,G$341)</f>
        <v>29</v>
      </c>
      <c r="H456" s="68">
        <f>SUMIFS([0]!Chavez,[0]!Centro,$B458,[0]!Turno,H$341)</f>
        <v>32</v>
      </c>
      <c r="I456" s="68">
        <f>SUMIFS([0]!Chavez,[0]!Centro,$B458,[0]!Turno,I$341)</f>
        <v>36</v>
      </c>
      <c r="J456" s="68">
        <f>SUMIFS([0]!Chavez,[0]!Centro,$B458,[0]!Turno,J$341)</f>
        <v>40</v>
      </c>
      <c r="K456" s="68">
        <f>SUMIFS([0]!Chavez,[0]!Centro,$B458,[0]!Turno,K$341)</f>
        <v>23</v>
      </c>
      <c r="L456" s="68">
        <f>SUMIFS([0]!Chavez,[0]!Centro,$B458,[0]!Turno,L$341)</f>
        <v>19</v>
      </c>
      <c r="M456" s="68">
        <f>SUMIFS([0]!Chavez,[0]!Centro,$B458,[0]!Turno,M$341)</f>
        <v>30</v>
      </c>
      <c r="N456" s="68">
        <f>SUMIFS([0]!Chavez,[0]!Centro,$B458,[0]!Turno,N$341)</f>
        <v>26</v>
      </c>
      <c r="O456" s="68">
        <f>SUMIFS([0]!Chavez,[0]!Centro,$B458,[0]!Turno,O$341)</f>
        <v>18</v>
      </c>
      <c r="P456" s="68">
        <f>SUMIFS([0]!Chavez,[0]!Centro,$B458,[0]!Turno,P$341)</f>
        <v>9</v>
      </c>
      <c r="Q456" s="68">
        <f>SUMIFS([0]!Chavez,[0]!Centro,$B458,[0]!Turno,Q$341)</f>
        <v>0</v>
      </c>
      <c r="R456" s="68">
        <f>SUMIFS([0]!Chavez,[0]!Centro,$B458,[0]!Turno,R$341)</f>
        <v>0</v>
      </c>
      <c r="S456" s="68">
        <f>SUMIFS([0]!Chavez,[0]!Centro,$B458,[0]!Turno,S$341)</f>
        <v>0</v>
      </c>
      <c r="T456" s="68">
        <f>SUMIFS([0]!Chavez,[0]!Centro,$B458,[0]!Turno,T$341)</f>
        <v>0</v>
      </c>
      <c r="U456" s="68">
        <f>SUMIFS([0]!Chavez,[0]!Centro,$B458,[0]!Turno,U$341)</f>
        <v>0</v>
      </c>
      <c r="V456" s="68">
        <f>SUMIFS([0]!Chavez,[0]!Centro,$B458,[0]!Turno,V$341)</f>
        <v>0</v>
      </c>
      <c r="W456" s="68">
        <f>SUMIFS([0]!Chavez,[0]!Centro,$B458,[0]!Turno,W$341)</f>
        <v>0</v>
      </c>
      <c r="X456" s="68">
        <f>SUMIFS([0]!Chavez,[0]!Centro,$B458,[0]!Turno,X$341)</f>
        <v>0</v>
      </c>
      <c r="Y456" s="69">
        <f>SUMIFS([0]!Chavez,[0]!Centro,$B458,[0]!Turno,Y$341)</f>
        <v>0</v>
      </c>
    </row>
    <row r="457" spans="2:25" ht="15" customHeight="1" x14ac:dyDescent="0.2">
      <c r="B457" s="250"/>
      <c r="C457" s="92">
        <f>E457/SUM(E456:E458)</f>
        <v>0.57678355501813783</v>
      </c>
      <c r="D457" s="61" t="s">
        <v>1</v>
      </c>
      <c r="E457" s="62">
        <f t="shared" si="1868"/>
        <v>477</v>
      </c>
      <c r="F457" s="62">
        <f>SUMIFS([0]!Capriles,[0]!Centro,$B458,[0]!Turno,F$341)</f>
        <v>64</v>
      </c>
      <c r="G457" s="62">
        <f>SUMIFS([0]!Capriles,[0]!Centro,$B458,[0]!Turno,G$341)</f>
        <v>40</v>
      </c>
      <c r="H457" s="62">
        <f>SUMIFS([0]!Capriles,[0]!Centro,$B458,[0]!Turno,H$341)</f>
        <v>43</v>
      </c>
      <c r="I457" s="62">
        <f>SUMIFS([0]!Capriles,[0]!Centro,$B458,[0]!Turno,I$341)</f>
        <v>48</v>
      </c>
      <c r="J457" s="62">
        <f>SUMIFS([0]!Capriles,[0]!Centro,$B458,[0]!Turno,J$341)</f>
        <v>40</v>
      </c>
      <c r="K457" s="62">
        <f>SUMIFS([0]!Capriles,[0]!Centro,$B458,[0]!Turno,K$341)</f>
        <v>49</v>
      </c>
      <c r="L457" s="62">
        <f>SUMIFS([0]!Capriles,[0]!Centro,$B458,[0]!Turno,L$341)</f>
        <v>37</v>
      </c>
      <c r="M457" s="62">
        <f>SUMIFS([0]!Capriles,[0]!Centro,$B458,[0]!Turno,M$341)</f>
        <v>57</v>
      </c>
      <c r="N457" s="62">
        <f>SUMIFS([0]!Capriles,[0]!Centro,$B458,[0]!Turno,N$341)</f>
        <v>47</v>
      </c>
      <c r="O457" s="62">
        <f>SUMIFS([0]!Capriles,[0]!Centro,$B458,[0]!Turno,O$341)</f>
        <v>41</v>
      </c>
      <c r="P457" s="62">
        <f>SUMIFS([0]!Capriles,[0]!Centro,$B458,[0]!Turno,P$341)</f>
        <v>11</v>
      </c>
      <c r="Q457" s="62">
        <f>SUMIFS([0]!Capriles,[0]!Centro,$B458,[0]!Turno,Q$341)</f>
        <v>0</v>
      </c>
      <c r="R457" s="62">
        <f>SUMIFS([0]!Capriles,[0]!Centro,$B458,[0]!Turno,R$341)</f>
        <v>0</v>
      </c>
      <c r="S457" s="62">
        <f>SUMIFS([0]!Capriles,[0]!Centro,$B458,[0]!Turno,S$341)</f>
        <v>0</v>
      </c>
      <c r="T457" s="62">
        <f>SUMIFS([0]!Capriles,[0]!Centro,$B458,[0]!Turno,T$341)</f>
        <v>0</v>
      </c>
      <c r="U457" s="62">
        <f>SUMIFS([0]!Capriles,[0]!Centro,$B458,[0]!Turno,U$341)</f>
        <v>0</v>
      </c>
      <c r="V457" s="62">
        <f>SUMIFS([0]!Capriles,[0]!Centro,$B458,[0]!Turno,V$341)</f>
        <v>0</v>
      </c>
      <c r="W457" s="62">
        <f>SUMIFS([0]!Capriles,[0]!Centro,$B458,[0]!Turno,W$341)</f>
        <v>0</v>
      </c>
      <c r="X457" s="62">
        <f>SUMIFS([0]!Capriles,[0]!Centro,$B458,[0]!Turno,X$341)</f>
        <v>0</v>
      </c>
      <c r="Y457" s="70">
        <f>SUMIFS([0]!Capriles,[0]!Centro,$B458,[0]!Turno,Y$341)</f>
        <v>0</v>
      </c>
    </row>
    <row r="458" spans="2:25" ht="15" customHeight="1" thickBot="1" x14ac:dyDescent="0.25">
      <c r="B458" s="251">
        <v>8</v>
      </c>
      <c r="C458" s="100">
        <f>E458/SUM(E456:E458)</f>
        <v>4.8367593712212817E-2</v>
      </c>
      <c r="D458" s="71" t="s">
        <v>2</v>
      </c>
      <c r="E458" s="72">
        <f t="shared" si="1868"/>
        <v>40</v>
      </c>
      <c r="F458" s="72">
        <f>SUMIFS([0]!Otro,[0]!Centro,$B458,[0]!Turno,F$341)</f>
        <v>10</v>
      </c>
      <c r="G458" s="72">
        <f>SUMIFS([0]!Otro,[0]!Centro,$B458,[0]!Turno,G$341)</f>
        <v>4</v>
      </c>
      <c r="H458" s="72">
        <f>SUMIFS([0]!Otro,[0]!Centro,$B458,[0]!Turno,H$341)</f>
        <v>1</v>
      </c>
      <c r="I458" s="72">
        <f>SUMIFS([0]!Otro,[0]!Centro,$B458,[0]!Turno,I$341)</f>
        <v>5</v>
      </c>
      <c r="J458" s="72">
        <f>SUMIFS([0]!Otro,[0]!Centro,$B458,[0]!Turno,J$341)</f>
        <v>4</v>
      </c>
      <c r="K458" s="72">
        <f>SUMIFS([0]!Otro,[0]!Centro,$B458,[0]!Turno,K$341)</f>
        <v>2</v>
      </c>
      <c r="L458" s="72">
        <f>SUMIFS([0]!Otro,[0]!Centro,$B458,[0]!Turno,L$341)</f>
        <v>3</v>
      </c>
      <c r="M458" s="72">
        <f>SUMIFS([0]!Otro,[0]!Centro,$B458,[0]!Turno,M$341)</f>
        <v>3</v>
      </c>
      <c r="N458" s="72">
        <f>SUMIFS([0]!Otro,[0]!Centro,$B458,[0]!Turno,N$341)</f>
        <v>4</v>
      </c>
      <c r="O458" s="72">
        <f>SUMIFS([0]!Otro,[0]!Centro,$B458,[0]!Turno,O$341)</f>
        <v>4</v>
      </c>
      <c r="P458" s="72">
        <f>SUMIFS([0]!Otro,[0]!Centro,$B458,[0]!Turno,P$341)</f>
        <v>0</v>
      </c>
      <c r="Q458" s="72">
        <f>SUMIFS([0]!Otro,[0]!Centro,$B458,[0]!Turno,Q$341)</f>
        <v>0</v>
      </c>
      <c r="R458" s="72">
        <f>SUMIFS([0]!Otro,[0]!Centro,$B458,[0]!Turno,R$341)</f>
        <v>0</v>
      </c>
      <c r="S458" s="72">
        <f>SUMIFS([0]!Otro,[0]!Centro,$B458,[0]!Turno,S$341)</f>
        <v>0</v>
      </c>
      <c r="T458" s="72">
        <f>SUMIFS([0]!Otro,[0]!Centro,$B458,[0]!Turno,T$341)</f>
        <v>0</v>
      </c>
      <c r="U458" s="72">
        <f>SUMIFS([0]!Otro,[0]!Centro,$B458,[0]!Turno,U$341)</f>
        <v>0</v>
      </c>
      <c r="V458" s="72">
        <f>SUMIFS([0]!Otro,[0]!Centro,$B458,[0]!Turno,V$341)</f>
        <v>0</v>
      </c>
      <c r="W458" s="72">
        <f>SUMIFS([0]!Otro,[0]!Centro,$B458,[0]!Turno,W$341)</f>
        <v>0</v>
      </c>
      <c r="X458" s="72">
        <f>SUMIFS([0]!Otro,[0]!Centro,$B458,[0]!Turno,X$341)</f>
        <v>0</v>
      </c>
      <c r="Y458" s="73">
        <f>SUMIFS([0]!Otro,[0]!Centro,$B458,[0]!Turno,Y$341)</f>
        <v>0</v>
      </c>
    </row>
    <row r="459" spans="2:25" ht="15" customHeight="1" x14ac:dyDescent="0.2">
      <c r="B459" s="251"/>
      <c r="C459" s="94">
        <f>E459/SUM(E459:E461)</f>
        <v>0.37484885126964934</v>
      </c>
      <c r="D459" s="63" t="s">
        <v>0</v>
      </c>
      <c r="E459" s="150">
        <f>IF((E456+E457+E458)=0,0,(E456*$B460)/(E456+E457+E458))</f>
        <v>7.070664438864141E-2</v>
      </c>
      <c r="F459" s="150">
        <f>IF((F456+F457+F458)=0,0,(F456*$B460)/(F456+F457+F458))</f>
        <v>7.4213933253609449E-2</v>
      </c>
      <c r="G459" s="150">
        <f t="shared" ref="G459:Y459" si="1901">IF((G456+G457+G458)=0,0,(G456*$B460)/(G456+G457+G458))</f>
        <v>7.4934045619654735E-2</v>
      </c>
      <c r="H459" s="150">
        <f t="shared" si="1901"/>
        <v>7.9421928569652203E-2</v>
      </c>
      <c r="I459" s="150">
        <f t="shared" si="1901"/>
        <v>7.6298594300059142E-2</v>
      </c>
      <c r="J459" s="150">
        <f t="shared" si="1901"/>
        <v>8.9822419215678087E-2</v>
      </c>
      <c r="K459" s="150">
        <f t="shared" si="1901"/>
        <v>5.8627335785368266E-2</v>
      </c>
      <c r="L459" s="150">
        <f t="shared" si="1901"/>
        <v>6.0744314011958581E-2</v>
      </c>
      <c r="M459" s="150">
        <f t="shared" si="1901"/>
        <v>6.2875693450974657E-2</v>
      </c>
      <c r="N459" s="150">
        <f t="shared" si="1901"/>
        <v>6.3692260898389919E-2</v>
      </c>
      <c r="O459" s="150">
        <f t="shared" si="1901"/>
        <v>5.3893451529406854E-2</v>
      </c>
      <c r="P459" s="150">
        <f t="shared" si="1901"/>
        <v>8.4882186158815792E-2</v>
      </c>
      <c r="Q459" s="150">
        <f t="shared" si="1901"/>
        <v>0</v>
      </c>
      <c r="R459" s="150">
        <f t="shared" si="1901"/>
        <v>0</v>
      </c>
      <c r="S459" s="150">
        <f t="shared" si="1901"/>
        <v>0</v>
      </c>
      <c r="T459" s="150">
        <f t="shared" si="1901"/>
        <v>0</v>
      </c>
      <c r="U459" s="150">
        <f t="shared" si="1901"/>
        <v>0</v>
      </c>
      <c r="V459" s="150">
        <f t="shared" si="1901"/>
        <v>0</v>
      </c>
      <c r="W459" s="150">
        <f t="shared" si="1901"/>
        <v>0</v>
      </c>
      <c r="X459" s="150">
        <f t="shared" si="1901"/>
        <v>0</v>
      </c>
      <c r="Y459" s="163">
        <f t="shared" si="1901"/>
        <v>0</v>
      </c>
    </row>
    <row r="460" spans="2:25" ht="15" customHeight="1" x14ac:dyDescent="0.2">
      <c r="B460" s="252">
        <v>0.188627080352924</v>
      </c>
      <c r="C460" s="92">
        <f>E460/SUM(E459:E461)</f>
        <v>0.57678355501813783</v>
      </c>
      <c r="D460" s="61" t="s">
        <v>1</v>
      </c>
      <c r="E460" s="154">
        <f>IF((E456+E457+E458)=0,0,(E457*$B460)/(E456+E457+E458))</f>
        <v>0.10879699797865146</v>
      </c>
      <c r="F460" s="154">
        <f>IF((F456+F457+F458)=0,0,(F457*$B460)/(F456+F457+F458))</f>
        <v>9.8951911004812584E-2</v>
      </c>
      <c r="G460" s="154">
        <f t="shared" ref="G460:O460" si="1902">IF((G456+G457+G458)=0,0,(G457*$B460)/(G456+G457+G458))</f>
        <v>0.10335730430297205</v>
      </c>
      <c r="H460" s="154">
        <f t="shared" si="1902"/>
        <v>0.10672321651547016</v>
      </c>
      <c r="I460" s="154">
        <f t="shared" si="1902"/>
        <v>0.10173145906674554</v>
      </c>
      <c r="J460" s="154">
        <f t="shared" si="1902"/>
        <v>8.9822419215678087E-2</v>
      </c>
      <c r="K460" s="154">
        <f t="shared" si="1902"/>
        <v>0.12490171536882805</v>
      </c>
      <c r="L460" s="154">
        <f t="shared" si="1902"/>
        <v>0.11829155886539301</v>
      </c>
      <c r="M460" s="154">
        <f t="shared" si="1902"/>
        <v>0.11946381755685187</v>
      </c>
      <c r="N460" s="154">
        <f t="shared" si="1902"/>
        <v>0.11513601008555101</v>
      </c>
      <c r="O460" s="154">
        <f t="shared" si="1902"/>
        <v>0.12275730626142674</v>
      </c>
      <c r="P460" s="154">
        <f>IF((P456+P457+P458)=0,0,(P457*$B460)/(P456+P457+P458))</f>
        <v>0.10374489419410819</v>
      </c>
      <c r="Q460" s="154">
        <f t="shared" ref="Q460:Y460" si="1903">IF((Q456+Q457+Q458)=0,0,(Q457*$B460)/(Q456+Q457+Q458))</f>
        <v>0</v>
      </c>
      <c r="R460" s="154">
        <f t="shared" si="1903"/>
        <v>0</v>
      </c>
      <c r="S460" s="154">
        <f t="shared" si="1903"/>
        <v>0</v>
      </c>
      <c r="T460" s="154">
        <f t="shared" si="1903"/>
        <v>0</v>
      </c>
      <c r="U460" s="154">
        <f t="shared" si="1903"/>
        <v>0</v>
      </c>
      <c r="V460" s="154">
        <f t="shared" si="1903"/>
        <v>0</v>
      </c>
      <c r="W460" s="154">
        <f t="shared" si="1903"/>
        <v>0</v>
      </c>
      <c r="X460" s="154">
        <f t="shared" si="1903"/>
        <v>0</v>
      </c>
      <c r="Y460" s="159">
        <f t="shared" si="1903"/>
        <v>0</v>
      </c>
    </row>
    <row r="461" spans="2:25" ht="15" customHeight="1" thickBot="1" x14ac:dyDescent="0.25">
      <c r="B461" s="253"/>
      <c r="C461" s="93">
        <f>E461/SUM(E459:E461)</f>
        <v>4.8367593712212803E-2</v>
      </c>
      <c r="D461" s="75" t="s">
        <v>2</v>
      </c>
      <c r="E461" s="155">
        <f>IF((E456+E457+E458)=0,0,(E458*$B460)/(E456+E457+E458))</f>
        <v>9.1234379856311477E-3</v>
      </c>
      <c r="F461" s="155">
        <f>IF((F456+F457+F458)=0,0,(F458*$B460)/(F456+F457+F458))</f>
        <v>1.5461236094501967E-2</v>
      </c>
      <c r="G461" s="155">
        <f t="shared" ref="G461:Y461" si="1904">IF((G456+G457+G458)=0,0,(G458*$B460)/(G456+G457+G458))</f>
        <v>1.0335730430297205E-2</v>
      </c>
      <c r="H461" s="155">
        <f t="shared" si="1904"/>
        <v>2.4819352678016313E-3</v>
      </c>
      <c r="I461" s="155">
        <f t="shared" si="1904"/>
        <v>1.0597026986119326E-2</v>
      </c>
      <c r="J461" s="155">
        <f t="shared" si="1904"/>
        <v>8.9822419215678101E-3</v>
      </c>
      <c r="K461" s="155">
        <f t="shared" si="1904"/>
        <v>5.0980291987276754E-3</v>
      </c>
      <c r="L461" s="155">
        <f t="shared" si="1904"/>
        <v>9.591207475572407E-3</v>
      </c>
      <c r="M461" s="155">
        <f t="shared" si="1904"/>
        <v>6.2875693450974669E-3</v>
      </c>
      <c r="N461" s="155">
        <f t="shared" si="1904"/>
        <v>9.7988093689830649E-3</v>
      </c>
      <c r="O461" s="155">
        <f t="shared" si="1904"/>
        <v>1.1976322562090412E-2</v>
      </c>
      <c r="P461" s="155">
        <f t="shared" si="1904"/>
        <v>0</v>
      </c>
      <c r="Q461" s="155">
        <f t="shared" si="1904"/>
        <v>0</v>
      </c>
      <c r="R461" s="155">
        <f t="shared" si="1904"/>
        <v>0</v>
      </c>
      <c r="S461" s="155">
        <f t="shared" si="1904"/>
        <v>0</v>
      </c>
      <c r="T461" s="155">
        <f t="shared" si="1904"/>
        <v>0</v>
      </c>
      <c r="U461" s="155">
        <f t="shared" si="1904"/>
        <v>0</v>
      </c>
      <c r="V461" s="155">
        <f t="shared" si="1904"/>
        <v>0</v>
      </c>
      <c r="W461" s="155">
        <f t="shared" si="1904"/>
        <v>0</v>
      </c>
      <c r="X461" s="155">
        <f t="shared" si="1904"/>
        <v>0</v>
      </c>
      <c r="Y461" s="160">
        <f t="shared" si="1904"/>
        <v>0</v>
      </c>
    </row>
    <row r="462" spans="2:25" ht="15" customHeight="1" thickBot="1" x14ac:dyDescent="0.25">
      <c r="B462" s="18" t="s">
        <v>3</v>
      </c>
      <c r="C462" s="24" t="s">
        <v>226</v>
      </c>
      <c r="D462" s="25" t="s">
        <v>4</v>
      </c>
      <c r="E462" s="18" t="s">
        <v>225</v>
      </c>
      <c r="F462" s="19">
        <v>1</v>
      </c>
      <c r="G462" s="19">
        <v>2</v>
      </c>
      <c r="H462" s="19">
        <v>3</v>
      </c>
      <c r="I462" s="19">
        <v>4</v>
      </c>
      <c r="J462" s="19">
        <v>5</v>
      </c>
      <c r="K462" s="19">
        <v>6</v>
      </c>
      <c r="L462" s="19">
        <v>7</v>
      </c>
      <c r="M462" s="19">
        <v>8</v>
      </c>
      <c r="N462" s="19">
        <v>9</v>
      </c>
      <c r="O462" s="19">
        <v>10</v>
      </c>
      <c r="P462" s="19">
        <v>11</v>
      </c>
      <c r="Q462" s="19">
        <v>12</v>
      </c>
      <c r="R462" s="19">
        <v>13</v>
      </c>
      <c r="S462" s="19">
        <v>14</v>
      </c>
      <c r="T462" s="19">
        <v>15</v>
      </c>
      <c r="U462" s="19">
        <v>16</v>
      </c>
      <c r="V462" s="19">
        <v>17</v>
      </c>
      <c r="W462" s="19">
        <v>18</v>
      </c>
      <c r="X462" s="19">
        <v>19</v>
      </c>
      <c r="Y462" s="19">
        <v>20</v>
      </c>
    </row>
    <row r="463" spans="2:25" ht="15" customHeight="1" x14ac:dyDescent="0.2">
      <c r="B463" s="246" t="s">
        <v>78</v>
      </c>
      <c r="C463" s="95">
        <f>E463/SUM(E463:E465)</f>
        <v>0.62518968133535657</v>
      </c>
      <c r="D463" s="81" t="s">
        <v>0</v>
      </c>
      <c r="E463" s="82">
        <f>SUM(F463:Y463)</f>
        <v>824</v>
      </c>
      <c r="F463" s="82">
        <f t="shared" ref="E463:F468" si="1905">SUM(F469,F475,F481,F487)</f>
        <v>88</v>
      </c>
      <c r="G463" s="82">
        <f t="shared" ref="G463:Y463" si="1906">SUM(G469,G475,G481,G487)</f>
        <v>48</v>
      </c>
      <c r="H463" s="82">
        <f t="shared" si="1906"/>
        <v>86</v>
      </c>
      <c r="I463" s="82">
        <f t="shared" si="1906"/>
        <v>111</v>
      </c>
      <c r="J463" s="82">
        <f t="shared" si="1906"/>
        <v>39</v>
      </c>
      <c r="K463" s="82">
        <f t="shared" si="1906"/>
        <v>100</v>
      </c>
      <c r="L463" s="82">
        <f t="shared" si="1906"/>
        <v>90</v>
      </c>
      <c r="M463" s="82">
        <f t="shared" si="1906"/>
        <v>83</v>
      </c>
      <c r="N463" s="82">
        <f t="shared" si="1906"/>
        <v>114</v>
      </c>
      <c r="O463" s="82">
        <f t="shared" si="1906"/>
        <v>65</v>
      </c>
      <c r="P463" s="82">
        <f t="shared" si="1906"/>
        <v>0</v>
      </c>
      <c r="Q463" s="82">
        <f t="shared" ref="Q463:Q468" si="1907">SUM(Q469,Q475,Q481,Q487)</f>
        <v>0</v>
      </c>
      <c r="R463" s="82">
        <f t="shared" si="1906"/>
        <v>0</v>
      </c>
      <c r="S463" s="82">
        <f t="shared" si="1906"/>
        <v>0</v>
      </c>
      <c r="T463" s="82">
        <f t="shared" si="1906"/>
        <v>0</v>
      </c>
      <c r="U463" s="82">
        <f t="shared" si="1906"/>
        <v>0</v>
      </c>
      <c r="V463" s="82">
        <f t="shared" si="1906"/>
        <v>0</v>
      </c>
      <c r="W463" s="82">
        <f t="shared" si="1906"/>
        <v>0</v>
      </c>
      <c r="X463" s="82">
        <f t="shared" si="1906"/>
        <v>0</v>
      </c>
      <c r="Y463" s="83">
        <f t="shared" si="1906"/>
        <v>0</v>
      </c>
    </row>
    <row r="464" spans="2:25" ht="15" customHeight="1" x14ac:dyDescent="0.2">
      <c r="B464" s="247"/>
      <c r="C464" s="96">
        <f>E464/SUM(E463:E465)</f>
        <v>0.37025796661608495</v>
      </c>
      <c r="D464" s="79" t="s">
        <v>1</v>
      </c>
      <c r="E464" s="80">
        <f t="shared" ref="E464:E489" si="1908">SUM(F464:Y464)</f>
        <v>488</v>
      </c>
      <c r="F464" s="80">
        <f t="shared" si="1905"/>
        <v>23</v>
      </c>
      <c r="G464" s="80">
        <f t="shared" ref="G464:Y464" si="1909">SUM(G470,G476,G482,G488)</f>
        <v>17</v>
      </c>
      <c r="H464" s="80">
        <f t="shared" si="1909"/>
        <v>30</v>
      </c>
      <c r="I464" s="80">
        <f t="shared" si="1909"/>
        <v>40</v>
      </c>
      <c r="J464" s="80">
        <f t="shared" si="1909"/>
        <v>23</v>
      </c>
      <c r="K464" s="80">
        <f t="shared" si="1909"/>
        <v>95</v>
      </c>
      <c r="L464" s="80">
        <f t="shared" si="1909"/>
        <v>88</v>
      </c>
      <c r="M464" s="80">
        <f t="shared" si="1909"/>
        <v>54</v>
      </c>
      <c r="N464" s="80">
        <f t="shared" si="1909"/>
        <v>66</v>
      </c>
      <c r="O464" s="80">
        <f t="shared" si="1909"/>
        <v>52</v>
      </c>
      <c r="P464" s="80">
        <f t="shared" si="1909"/>
        <v>0</v>
      </c>
      <c r="Q464" s="80">
        <f t="shared" si="1907"/>
        <v>0</v>
      </c>
      <c r="R464" s="80">
        <f t="shared" si="1909"/>
        <v>0</v>
      </c>
      <c r="S464" s="80">
        <f t="shared" si="1909"/>
        <v>0</v>
      </c>
      <c r="T464" s="80">
        <f t="shared" si="1909"/>
        <v>0</v>
      </c>
      <c r="U464" s="80">
        <f t="shared" si="1909"/>
        <v>0</v>
      </c>
      <c r="V464" s="80">
        <f t="shared" si="1909"/>
        <v>0</v>
      </c>
      <c r="W464" s="80">
        <f t="shared" si="1909"/>
        <v>0</v>
      </c>
      <c r="X464" s="80">
        <f t="shared" si="1909"/>
        <v>0</v>
      </c>
      <c r="Y464" s="84">
        <f t="shared" si="1909"/>
        <v>0</v>
      </c>
    </row>
    <row r="465" spans="2:25" ht="15" customHeight="1" thickBot="1" x14ac:dyDescent="0.25">
      <c r="B465" s="247"/>
      <c r="C465" s="97">
        <f>E465/SUM(E463:E465)</f>
        <v>4.552352048558422E-3</v>
      </c>
      <c r="D465" s="86" t="s">
        <v>2</v>
      </c>
      <c r="E465" s="87">
        <f t="shared" si="1908"/>
        <v>6</v>
      </c>
      <c r="F465" s="87">
        <f t="shared" si="1905"/>
        <v>0</v>
      </c>
      <c r="G465" s="87">
        <f t="shared" ref="G465:Y465" si="1910">SUM(G471,G477,G483,G489)</f>
        <v>0</v>
      </c>
      <c r="H465" s="87">
        <f t="shared" si="1910"/>
        <v>0</v>
      </c>
      <c r="I465" s="87">
        <f t="shared" si="1910"/>
        <v>3</v>
      </c>
      <c r="J465" s="87">
        <f t="shared" si="1910"/>
        <v>1</v>
      </c>
      <c r="K465" s="87">
        <f t="shared" si="1910"/>
        <v>0</v>
      </c>
      <c r="L465" s="87">
        <f t="shared" si="1910"/>
        <v>0</v>
      </c>
      <c r="M465" s="87">
        <f t="shared" si="1910"/>
        <v>1</v>
      </c>
      <c r="N465" s="87">
        <f t="shared" si="1910"/>
        <v>0</v>
      </c>
      <c r="O465" s="87">
        <f t="shared" si="1910"/>
        <v>1</v>
      </c>
      <c r="P465" s="87">
        <f t="shared" si="1910"/>
        <v>0</v>
      </c>
      <c r="Q465" s="87">
        <f t="shared" si="1907"/>
        <v>0</v>
      </c>
      <c r="R465" s="87">
        <f t="shared" si="1910"/>
        <v>0</v>
      </c>
      <c r="S465" s="87">
        <f t="shared" si="1910"/>
        <v>0</v>
      </c>
      <c r="T465" s="87">
        <f t="shared" si="1910"/>
        <v>0</v>
      </c>
      <c r="U465" s="87">
        <f t="shared" si="1910"/>
        <v>0</v>
      </c>
      <c r="V465" s="87">
        <f t="shared" si="1910"/>
        <v>0</v>
      </c>
      <c r="W465" s="87">
        <f t="shared" si="1910"/>
        <v>0</v>
      </c>
      <c r="X465" s="87">
        <f t="shared" si="1910"/>
        <v>0</v>
      </c>
      <c r="Y465" s="88">
        <f t="shared" si="1910"/>
        <v>0</v>
      </c>
    </row>
    <row r="466" spans="2:25" ht="15" customHeight="1" x14ac:dyDescent="0.2">
      <c r="B466" s="247"/>
      <c r="C466" s="98">
        <f>E466/SUM(E466:E468)</f>
        <v>0.65489934957579332</v>
      </c>
      <c r="D466" s="85" t="s">
        <v>0</v>
      </c>
      <c r="E466" s="151">
        <f t="shared" si="1905"/>
        <v>0.65489934957579388</v>
      </c>
      <c r="F466" s="151">
        <f t="shared" si="1905"/>
        <v>0.88318573874163431</v>
      </c>
      <c r="G466" s="151">
        <f t="shared" ref="G466:Y466" si="1911">SUM(G472,G478,G484,G490)</f>
        <v>0.35286956162319505</v>
      </c>
      <c r="H466" s="151">
        <f t="shared" si="1911"/>
        <v>0.71171434360868524</v>
      </c>
      <c r="I466" s="151">
        <f t="shared" si="1911"/>
        <v>0.7771216383586026</v>
      </c>
      <c r="J466" s="151">
        <f t="shared" si="1911"/>
        <v>0.53424236782112933</v>
      </c>
      <c r="K466" s="151">
        <f t="shared" si="1911"/>
        <v>0.60163762539115551</v>
      </c>
      <c r="L466" s="151">
        <f t="shared" si="1911"/>
        <v>0.56153564552416335</v>
      </c>
      <c r="M466" s="151">
        <f t="shared" si="1911"/>
        <v>0.6135669488484724</v>
      </c>
      <c r="N466" s="151">
        <f t="shared" si="1911"/>
        <v>0.64334714574845209</v>
      </c>
      <c r="O466" s="151">
        <f t="shared" si="1911"/>
        <v>0.53415100125648984</v>
      </c>
      <c r="P466" s="151">
        <f t="shared" si="1911"/>
        <v>0</v>
      </c>
      <c r="Q466" s="151">
        <f t="shared" si="1907"/>
        <v>0</v>
      </c>
      <c r="R466" s="151">
        <f t="shared" si="1911"/>
        <v>0</v>
      </c>
      <c r="S466" s="151">
        <f t="shared" si="1911"/>
        <v>0</v>
      </c>
      <c r="T466" s="151">
        <f t="shared" si="1911"/>
        <v>0</v>
      </c>
      <c r="U466" s="151">
        <f t="shared" si="1911"/>
        <v>0</v>
      </c>
      <c r="V466" s="151">
        <f t="shared" si="1911"/>
        <v>0</v>
      </c>
      <c r="W466" s="151">
        <f t="shared" si="1911"/>
        <v>0</v>
      </c>
      <c r="X466" s="151">
        <f t="shared" si="1911"/>
        <v>0</v>
      </c>
      <c r="Y466" s="156">
        <f t="shared" si="1911"/>
        <v>0</v>
      </c>
    </row>
    <row r="467" spans="2:25" ht="15" customHeight="1" x14ac:dyDescent="0.2">
      <c r="B467" s="247"/>
      <c r="C467" s="96">
        <f>E467/SUM(E466:E468)</f>
        <v>0.33993725753857545</v>
      </c>
      <c r="D467" s="79" t="s">
        <v>1</v>
      </c>
      <c r="E467" s="152">
        <f t="shared" si="1905"/>
        <v>0.33993725753857573</v>
      </c>
      <c r="F467" s="152">
        <f t="shared" si="1905"/>
        <v>0.11681426125836664</v>
      </c>
      <c r="G467" s="152">
        <f t="shared" ref="G467:Y467" si="1912">SUM(G473,G479,G485,G491)</f>
        <v>0.12313366237113892</v>
      </c>
      <c r="H467" s="152">
        <f t="shared" si="1912"/>
        <v>0.19949283602044782</v>
      </c>
      <c r="I467" s="152">
        <f t="shared" si="1912"/>
        <v>0.19863215834444151</v>
      </c>
      <c r="J467" s="152">
        <f t="shared" si="1912"/>
        <v>0.36022622944281812</v>
      </c>
      <c r="K467" s="152">
        <f t="shared" si="1912"/>
        <v>0.39836237460884544</v>
      </c>
      <c r="L467" s="152">
        <f t="shared" si="1912"/>
        <v>0.43846435447583759</v>
      </c>
      <c r="M467" s="152">
        <f t="shared" si="1912"/>
        <v>0.3763120289274634</v>
      </c>
      <c r="N467" s="152">
        <f t="shared" si="1912"/>
        <v>0.35665285425154875</v>
      </c>
      <c r="O467" s="152">
        <f t="shared" si="1912"/>
        <v>0.45496889985264116</v>
      </c>
      <c r="P467" s="152">
        <f t="shared" si="1912"/>
        <v>0</v>
      </c>
      <c r="Q467" s="152">
        <f t="shared" si="1907"/>
        <v>0</v>
      </c>
      <c r="R467" s="152">
        <f t="shared" si="1912"/>
        <v>0</v>
      </c>
      <c r="S467" s="152">
        <f t="shared" si="1912"/>
        <v>0</v>
      </c>
      <c r="T467" s="152">
        <f t="shared" si="1912"/>
        <v>0</v>
      </c>
      <c r="U467" s="152">
        <f t="shared" si="1912"/>
        <v>0</v>
      </c>
      <c r="V467" s="152">
        <f t="shared" si="1912"/>
        <v>0</v>
      </c>
      <c r="W467" s="152">
        <f t="shared" si="1912"/>
        <v>0</v>
      </c>
      <c r="X467" s="152">
        <f t="shared" si="1912"/>
        <v>0</v>
      </c>
      <c r="Y467" s="157">
        <f t="shared" si="1912"/>
        <v>0</v>
      </c>
    </row>
    <row r="468" spans="2:25" ht="15" customHeight="1" thickBot="1" x14ac:dyDescent="0.25">
      <c r="B468" s="248"/>
      <c r="C468" s="99">
        <f>E468/SUM(E466:E468)</f>
        <v>5.1633928856312924E-3</v>
      </c>
      <c r="D468" s="89" t="s">
        <v>2</v>
      </c>
      <c r="E468" s="153">
        <f t="shared" si="1905"/>
        <v>5.1633928856312968E-3</v>
      </c>
      <c r="F468" s="153">
        <f t="shared" si="1905"/>
        <v>0</v>
      </c>
      <c r="G468" s="153">
        <f t="shared" ref="G468:Y468" si="1913">SUM(G474,G480,G486,G492)</f>
        <v>0</v>
      </c>
      <c r="H468" s="153">
        <f t="shared" si="1913"/>
        <v>0</v>
      </c>
      <c r="I468" s="153">
        <f t="shared" si="1913"/>
        <v>2.42462032969568E-2</v>
      </c>
      <c r="J468" s="153">
        <f t="shared" si="1913"/>
        <v>4.4396410185433954E-3</v>
      </c>
      <c r="K468" s="153">
        <f t="shared" si="1913"/>
        <v>0</v>
      </c>
      <c r="L468" s="153">
        <f t="shared" si="1913"/>
        <v>0</v>
      </c>
      <c r="M468" s="153">
        <f t="shared" si="1913"/>
        <v>1.0121022224065093E-2</v>
      </c>
      <c r="N468" s="153">
        <f t="shared" si="1913"/>
        <v>0</v>
      </c>
      <c r="O468" s="153">
        <f t="shared" si="1913"/>
        <v>1.0880098890869976E-2</v>
      </c>
      <c r="P468" s="153">
        <f t="shared" si="1913"/>
        <v>0</v>
      </c>
      <c r="Q468" s="153">
        <f t="shared" si="1907"/>
        <v>0</v>
      </c>
      <c r="R468" s="153">
        <f t="shared" si="1913"/>
        <v>0</v>
      </c>
      <c r="S468" s="153">
        <f t="shared" si="1913"/>
        <v>0</v>
      </c>
      <c r="T468" s="153">
        <f t="shared" si="1913"/>
        <v>0</v>
      </c>
      <c r="U468" s="153">
        <f t="shared" si="1913"/>
        <v>0</v>
      </c>
      <c r="V468" s="153">
        <f t="shared" si="1913"/>
        <v>0</v>
      </c>
      <c r="W468" s="153">
        <f t="shared" si="1913"/>
        <v>0</v>
      </c>
      <c r="X468" s="153">
        <f t="shared" si="1913"/>
        <v>0</v>
      </c>
      <c r="Y468" s="158">
        <f t="shared" si="1913"/>
        <v>0</v>
      </c>
    </row>
    <row r="469" spans="2:25" ht="15" customHeight="1" x14ac:dyDescent="0.2">
      <c r="B469" s="249" t="s">
        <v>98</v>
      </c>
      <c r="C469" s="91">
        <f>E469/SUM(E469:E471)</f>
        <v>0.71614583333333337</v>
      </c>
      <c r="D469" s="67" t="s">
        <v>0</v>
      </c>
      <c r="E469" s="68">
        <f t="shared" si="1908"/>
        <v>275</v>
      </c>
      <c r="F469" s="68">
        <f>SUMIFS([0]!Chavez,[0]!Centro,B471,[0]!Turno,F$462)</f>
        <v>19</v>
      </c>
      <c r="G469" s="68">
        <f>SUMIFS([0]!Chavez,[0]!Centro,B471,[0]!Turno,G$462)</f>
        <v>0</v>
      </c>
      <c r="H469" s="68">
        <f>SUMIFS([0]!Chavez,[0]!Centro,B471,[0]!Turno,H$462)</f>
        <v>52</v>
      </c>
      <c r="I469" s="68">
        <f>SUMIFS([0]!Chavez,[0]!Centro,B471,[0]!Turno,I$462)</f>
        <v>31</v>
      </c>
      <c r="J469" s="68">
        <f>SUMIFS([0]!Chavez,[0]!Centro,B471,[0]!Turno,J$462)</f>
        <v>14</v>
      </c>
      <c r="K469" s="68">
        <f>SUMIFS([0]!Chavez,[0]!Centro,B471,[0]!Turno,K$462)</f>
        <v>44</v>
      </c>
      <c r="L469" s="68">
        <f>SUMIFS([0]!Chavez,[0]!Centro,B471,[0]!Turno,L$462)</f>
        <v>26</v>
      </c>
      <c r="M469" s="68">
        <f>SUMIFS([0]!Chavez,[0]!Centro,B471,[0]!Turno,M$462)</f>
        <v>31</v>
      </c>
      <c r="N469" s="68">
        <f>SUMIFS([0]!Chavez,[0]!Centro,B471,[0]!Turno,N$462)</f>
        <v>38</v>
      </c>
      <c r="O469" s="68">
        <f>SUMIFS([0]!Chavez,[0]!Centro,B471,[0]!Turno,O$462)</f>
        <v>20</v>
      </c>
      <c r="P469" s="68">
        <f>SUMIFS([0]!Chavez,[0]!Centro,B471,[0]!Turno,P$462)</f>
        <v>0</v>
      </c>
      <c r="Q469" s="68">
        <f>SUMIFS([0]!Chavez,[0]!Centro,B471,[0]!Turno,Q$462)</f>
        <v>0</v>
      </c>
      <c r="R469" s="68">
        <f>SUMIFS([0]!Chavez,[0]!Centro,B471,[0]!Turno,R$462)</f>
        <v>0</v>
      </c>
      <c r="S469" s="68">
        <f>SUMIFS([0]!Chavez,[0]!Centro,B471,[0]!Turno,S$462)</f>
        <v>0</v>
      </c>
      <c r="T469" s="68">
        <f>SUMIFS([0]!Chavez,[0]!Centro,B471,[0]!Turno,T$462)</f>
        <v>0</v>
      </c>
      <c r="U469" s="68">
        <f>SUMIFS([0]!Chavez,[0]!Centro,B471,[0]!Turno,U$462)</f>
        <v>0</v>
      </c>
      <c r="V469" s="68">
        <f>SUMIFS([0]!Chavez,[0]!Centro,B471,[0]!Turno,V$462)</f>
        <v>0</v>
      </c>
      <c r="W469" s="68">
        <f>SUMIFS([0]!Chavez,[0]!Centro,B471,[0]!Turno,W$462)</f>
        <v>0</v>
      </c>
      <c r="X469" s="68">
        <f>SUMIFS([0]!Chavez,[0]!Centro,B471,[0]!Turno,X$462)</f>
        <v>0</v>
      </c>
      <c r="Y469" s="69">
        <f>SUMIFS([0]!Chavez,[0]!Centro,B471,[0]!Turno,Y$462)</f>
        <v>0</v>
      </c>
    </row>
    <row r="470" spans="2:25" ht="15" customHeight="1" x14ac:dyDescent="0.2">
      <c r="B470" s="250"/>
      <c r="C470" s="92">
        <f>E470/SUM(E469:E471)</f>
        <v>0.27604166666666669</v>
      </c>
      <c r="D470" s="61" t="s">
        <v>1</v>
      </c>
      <c r="E470" s="62">
        <f t="shared" si="1908"/>
        <v>106</v>
      </c>
      <c r="F470" s="62">
        <f>SUMIFS([0]!Capriles,[0]!Centro,B471,[0]!Turno,F$462)</f>
        <v>1</v>
      </c>
      <c r="G470" s="62">
        <f>SUMIFS([0]!Capriles,[0]!Centro,B471,[0]!Turno,G$462)</f>
        <v>0</v>
      </c>
      <c r="H470" s="62">
        <f>SUMIFS([0]!Capriles,[0]!Centro,B471,[0]!Turno,H$462)</f>
        <v>8</v>
      </c>
      <c r="I470" s="62">
        <f>SUMIFS([0]!Capriles,[0]!Centro,B471,[0]!Turno,I$462)</f>
        <v>8</v>
      </c>
      <c r="J470" s="62">
        <f>SUMIFS([0]!Capriles,[0]!Centro,B471,[0]!Turno,J$462)</f>
        <v>6</v>
      </c>
      <c r="K470" s="62">
        <f>SUMIFS([0]!Capriles,[0]!Centro,B471,[0]!Turno,K$462)</f>
        <v>14</v>
      </c>
      <c r="L470" s="62">
        <f>SUMIFS([0]!Capriles,[0]!Centro,B471,[0]!Turno,L$462)</f>
        <v>14</v>
      </c>
      <c r="M470" s="62">
        <f>SUMIFS([0]!Capriles,[0]!Centro,B471,[0]!Turno,M$462)</f>
        <v>11</v>
      </c>
      <c r="N470" s="62">
        <f>SUMIFS([0]!Capriles,[0]!Centro,B471,[0]!Turno,N$462)</f>
        <v>25</v>
      </c>
      <c r="O470" s="62">
        <f>SUMIFS([0]!Capriles,[0]!Centro,B471,[0]!Turno,O$462)</f>
        <v>19</v>
      </c>
      <c r="P470" s="62">
        <f>SUMIFS([0]!Capriles,[0]!Centro,B471,[0]!Turno,P$462)</f>
        <v>0</v>
      </c>
      <c r="Q470" s="62">
        <f>SUMIFS([0]!Capriles,[0]!Centro,B471,[0]!Turno,Q$462)</f>
        <v>0</v>
      </c>
      <c r="R470" s="62">
        <f>SUMIFS([0]!Capriles,[0]!Centro,B471,[0]!Turno,R$462)</f>
        <v>0</v>
      </c>
      <c r="S470" s="62">
        <f>SUMIFS([0]!Capriles,[0]!Centro,B471,[0]!Turno,S$462)</f>
        <v>0</v>
      </c>
      <c r="T470" s="62">
        <f>SUMIFS([0]!Capriles,[0]!Centro,B471,[0]!Turno,T$462)</f>
        <v>0</v>
      </c>
      <c r="U470" s="62">
        <f>SUMIFS([0]!Capriles,[0]!Centro,B471,[0]!Turno,U$462)</f>
        <v>0</v>
      </c>
      <c r="V470" s="62">
        <f>SUMIFS([0]!Capriles,[0]!Centro,B471,[0]!Turno,V$462)</f>
        <v>0</v>
      </c>
      <c r="W470" s="62">
        <f>SUMIFS([0]!Capriles,[0]!Centro,B471,[0]!Turno,W$462)</f>
        <v>0</v>
      </c>
      <c r="X470" s="62">
        <f>SUMIFS([0]!Capriles,[0]!Centro,B471,[0]!Turno,X$462)</f>
        <v>0</v>
      </c>
      <c r="Y470" s="70">
        <f>SUMIFS([0]!Capriles,[0]!Centro,B471,[0]!Turno,Y$462)</f>
        <v>0</v>
      </c>
    </row>
    <row r="471" spans="2:25" ht="15" customHeight="1" thickBot="1" x14ac:dyDescent="0.25">
      <c r="B471" s="251">
        <v>64</v>
      </c>
      <c r="C471" s="100">
        <f>E471/SUM(E469:E471)</f>
        <v>7.8125E-3</v>
      </c>
      <c r="D471" s="71" t="s">
        <v>2</v>
      </c>
      <c r="E471" s="72">
        <f t="shared" si="1908"/>
        <v>3</v>
      </c>
      <c r="F471" s="72">
        <f>SUMIFS([0]!Otro,[0]!Centro,B471,[0]!Turno,F$462)</f>
        <v>0</v>
      </c>
      <c r="G471" s="72">
        <f>SUMIFS([0]!Otro,[0]!Centro,B471,[0]!Turno,G$462)</f>
        <v>0</v>
      </c>
      <c r="H471" s="72">
        <f>SUMIFS([0]!Otro,[0]!Centro,B471,[0]!Turno,H$462)</f>
        <v>0</v>
      </c>
      <c r="I471" s="72">
        <f>SUMIFS([0]!Otro,[0]!Centro,B471,[0]!Turno,I$462)</f>
        <v>1</v>
      </c>
      <c r="J471" s="72">
        <f>SUMIFS([0]!Otro,[0]!Centro,B471,[0]!Turno,J$462)</f>
        <v>0</v>
      </c>
      <c r="K471" s="72">
        <f>SUMIFS([0]!Otro,[0]!Centro,B471,[0]!Turno,K$462)</f>
        <v>0</v>
      </c>
      <c r="L471" s="72">
        <f>SUMIFS([0]!Otro,[0]!Centro,B471,[0]!Turno,L$462)</f>
        <v>0</v>
      </c>
      <c r="M471" s="72">
        <f>SUMIFS([0]!Otro,[0]!Centro,B471,[0]!Turno,M$462)</f>
        <v>1</v>
      </c>
      <c r="N471" s="72">
        <f>SUMIFS([0]!Otro,[0]!Centro,B471,[0]!Turno,N$462)</f>
        <v>0</v>
      </c>
      <c r="O471" s="72">
        <f>SUMIFS([0]!Otro,[0]!Centro,B471,[0]!Turno,O$462)</f>
        <v>1</v>
      </c>
      <c r="P471" s="72">
        <f>SUMIFS([0]!Otro,[0]!Centro,B471,[0]!Turno,P$462)</f>
        <v>0</v>
      </c>
      <c r="Q471" s="72">
        <f>SUMIFS([0]!Otro,[0]!Centro,B471,[0]!Turno,Q$462)</f>
        <v>0</v>
      </c>
      <c r="R471" s="72">
        <f>SUMIFS([0]!Otro,[0]!Centro,B471,[0]!Turno,R$462)</f>
        <v>0</v>
      </c>
      <c r="S471" s="72">
        <f>SUMIFS([0]!Otro,[0]!Centro,B471,[0]!Turno,S$462)</f>
        <v>0</v>
      </c>
      <c r="T471" s="72">
        <f>SUMIFS([0]!Otro,[0]!Centro,B471,[0]!Turno,T$462)</f>
        <v>0</v>
      </c>
      <c r="U471" s="72">
        <f>SUMIFS([0]!Otro,[0]!Centro,B471,[0]!Turno,U$462)</f>
        <v>0</v>
      </c>
      <c r="V471" s="72">
        <f>SUMIFS([0]!Otro,[0]!Centro,B471,[0]!Turno,V$462)</f>
        <v>0</v>
      </c>
      <c r="W471" s="72">
        <f>SUMIFS([0]!Otro,[0]!Centro,B471,[0]!Turno,W$462)</f>
        <v>0</v>
      </c>
      <c r="X471" s="72">
        <f>SUMIFS([0]!Otro,[0]!Centro,B471,[0]!Turno,X$462)</f>
        <v>0</v>
      </c>
      <c r="Y471" s="73">
        <f>SUMIFS([0]!Otro,[0]!Centro,B471,[0]!Turno,Y$462)</f>
        <v>0</v>
      </c>
    </row>
    <row r="472" spans="2:25" ht="15" customHeight="1" x14ac:dyDescent="0.2">
      <c r="B472" s="251"/>
      <c r="C472" s="94">
        <f>E472/SUM(E472:E474)</f>
        <v>0.71614583333333337</v>
      </c>
      <c r="D472" s="63" t="s">
        <v>0</v>
      </c>
      <c r="E472" s="150">
        <f>IF((E469+E470+E471)=0,0,(E469*$B473)/(E469+E470+E471))</f>
        <v>0.31166949947804617</v>
      </c>
      <c r="F472" s="150">
        <f>IF((F469+F470+F471)=0,0,(F469*$B473)/(F469+F470+F471))</f>
        <v>0.41344375785305909</v>
      </c>
      <c r="G472" s="150">
        <f t="shared" ref="G472:Y472" si="1914">IF((G469+G470+G471)=0,0,(G469*$B473)/(G469+G470+G471))</f>
        <v>0</v>
      </c>
      <c r="H472" s="150">
        <f t="shared" si="1914"/>
        <v>0.37717676155015917</v>
      </c>
      <c r="I472" s="150">
        <f t="shared" si="1914"/>
        <v>0.33728306561696925</v>
      </c>
      <c r="J472" s="150">
        <f t="shared" si="1914"/>
        <v>0.30464276894435932</v>
      </c>
      <c r="K472" s="150">
        <f t="shared" si="1914"/>
        <v>0.33015472496433029</v>
      </c>
      <c r="L472" s="150">
        <f t="shared" si="1914"/>
        <v>0.28288257116261939</v>
      </c>
      <c r="M472" s="150">
        <f t="shared" si="1914"/>
        <v>0.3137516889460179</v>
      </c>
      <c r="N472" s="150">
        <f t="shared" si="1914"/>
        <v>0.26250397324003749</v>
      </c>
      <c r="O472" s="150">
        <f t="shared" si="1914"/>
        <v>0.21760197781739951</v>
      </c>
      <c r="P472" s="150">
        <f t="shared" si="1914"/>
        <v>0</v>
      </c>
      <c r="Q472" s="150">
        <f t="shared" si="1914"/>
        <v>0</v>
      </c>
      <c r="R472" s="150">
        <f t="shared" si="1914"/>
        <v>0</v>
      </c>
      <c r="S472" s="150">
        <f t="shared" si="1914"/>
        <v>0</v>
      </c>
      <c r="T472" s="150">
        <f t="shared" si="1914"/>
        <v>0</v>
      </c>
      <c r="U472" s="150">
        <f t="shared" si="1914"/>
        <v>0</v>
      </c>
      <c r="V472" s="150">
        <f t="shared" si="1914"/>
        <v>0</v>
      </c>
      <c r="W472" s="150">
        <f t="shared" si="1914"/>
        <v>0</v>
      </c>
      <c r="X472" s="150">
        <f t="shared" si="1914"/>
        <v>0</v>
      </c>
      <c r="Y472" s="163">
        <f t="shared" si="1914"/>
        <v>0</v>
      </c>
    </row>
    <row r="473" spans="2:25" ht="15" customHeight="1" x14ac:dyDescent="0.2">
      <c r="B473" s="252">
        <v>0.43520395563479902</v>
      </c>
      <c r="C473" s="92">
        <f>E473/SUM(E472:E474)</f>
        <v>0.27604166666666669</v>
      </c>
      <c r="D473" s="61" t="s">
        <v>1</v>
      </c>
      <c r="E473" s="154">
        <f>IF((E469+E470+E471)=0,0,(E470*$B473)/(E469+E470+E471))</f>
        <v>0.12013442525335598</v>
      </c>
      <c r="F473" s="154">
        <f>IF((F469+F470+F471)=0,0,(F470*$B473)/(F469+F470+F471))</f>
        <v>2.1760197781739953E-2</v>
      </c>
      <c r="G473" s="154">
        <f t="shared" ref="G473:O473" si="1915">IF((G469+G470+G471)=0,0,(G470*$B473)/(G469+G470+G471))</f>
        <v>0</v>
      </c>
      <c r="H473" s="154">
        <f t="shared" si="1915"/>
        <v>5.8027194084639869E-2</v>
      </c>
      <c r="I473" s="154">
        <f t="shared" si="1915"/>
        <v>8.704079112695981E-2</v>
      </c>
      <c r="J473" s="154">
        <f t="shared" si="1915"/>
        <v>0.1305611866904397</v>
      </c>
      <c r="K473" s="154">
        <f t="shared" si="1915"/>
        <v>0.10504923067046873</v>
      </c>
      <c r="L473" s="154">
        <f t="shared" si="1915"/>
        <v>0.15232138447217966</v>
      </c>
      <c r="M473" s="154">
        <f t="shared" si="1915"/>
        <v>0.11133124446471604</v>
      </c>
      <c r="N473" s="154">
        <f t="shared" si="1915"/>
        <v>0.1726999823947615</v>
      </c>
      <c r="O473" s="154">
        <f t="shared" si="1915"/>
        <v>0.20672187892652955</v>
      </c>
      <c r="P473" s="154">
        <f>IF((P469+P470+P471)=0,0,(P470*$B473)/(P469+P470+P471))</f>
        <v>0</v>
      </c>
      <c r="Q473" s="154">
        <f t="shared" ref="Q473:Y473" si="1916">IF((Q469+Q470+Q471)=0,0,(Q470*$B473)/(Q469+Q470+Q471))</f>
        <v>0</v>
      </c>
      <c r="R473" s="154">
        <f t="shared" si="1916"/>
        <v>0</v>
      </c>
      <c r="S473" s="154">
        <f t="shared" si="1916"/>
        <v>0</v>
      </c>
      <c r="T473" s="154">
        <f t="shared" si="1916"/>
        <v>0</v>
      </c>
      <c r="U473" s="154">
        <f t="shared" si="1916"/>
        <v>0</v>
      </c>
      <c r="V473" s="154">
        <f t="shared" si="1916"/>
        <v>0</v>
      </c>
      <c r="W473" s="154">
        <f t="shared" si="1916"/>
        <v>0</v>
      </c>
      <c r="X473" s="154">
        <f t="shared" si="1916"/>
        <v>0</v>
      </c>
      <c r="Y473" s="159">
        <f t="shared" si="1916"/>
        <v>0</v>
      </c>
    </row>
    <row r="474" spans="2:25" ht="15" customHeight="1" thickBot="1" x14ac:dyDescent="0.25">
      <c r="B474" s="253"/>
      <c r="C474" s="93">
        <f>E474/SUM(E472:E474)</f>
        <v>7.8125E-3</v>
      </c>
      <c r="D474" s="75" t="s">
        <v>2</v>
      </c>
      <c r="E474" s="155">
        <f>IF((E469+E470+E471)=0,0,(E471*$B473)/(E469+E470+E471))</f>
        <v>3.4000309033968674E-3</v>
      </c>
      <c r="F474" s="155">
        <f>IF((F469+F470+F471)=0,0,(F471*$B473)/(F469+F470+F471))</f>
        <v>0</v>
      </c>
      <c r="G474" s="155">
        <f t="shared" ref="G474:Y474" si="1917">IF((G469+G470+G471)=0,0,(G471*$B473)/(G469+G470+G471))</f>
        <v>0</v>
      </c>
      <c r="H474" s="155">
        <f t="shared" si="1917"/>
        <v>0</v>
      </c>
      <c r="I474" s="155">
        <f t="shared" si="1917"/>
        <v>1.0880098890869976E-2</v>
      </c>
      <c r="J474" s="155">
        <f t="shared" si="1917"/>
        <v>0</v>
      </c>
      <c r="K474" s="155">
        <f t="shared" si="1917"/>
        <v>0</v>
      </c>
      <c r="L474" s="155">
        <f t="shared" si="1917"/>
        <v>0</v>
      </c>
      <c r="M474" s="155">
        <f t="shared" si="1917"/>
        <v>1.0121022224065093E-2</v>
      </c>
      <c r="N474" s="155">
        <f t="shared" si="1917"/>
        <v>0</v>
      </c>
      <c r="O474" s="155">
        <f t="shared" si="1917"/>
        <v>1.0880098890869976E-2</v>
      </c>
      <c r="P474" s="155">
        <f t="shared" si="1917"/>
        <v>0</v>
      </c>
      <c r="Q474" s="155">
        <f t="shared" si="1917"/>
        <v>0</v>
      </c>
      <c r="R474" s="155">
        <f t="shared" si="1917"/>
        <v>0</v>
      </c>
      <c r="S474" s="155">
        <f t="shared" si="1917"/>
        <v>0</v>
      </c>
      <c r="T474" s="155">
        <f t="shared" si="1917"/>
        <v>0</v>
      </c>
      <c r="U474" s="155">
        <f t="shared" si="1917"/>
        <v>0</v>
      </c>
      <c r="V474" s="155">
        <f t="shared" si="1917"/>
        <v>0</v>
      </c>
      <c r="W474" s="155">
        <f t="shared" si="1917"/>
        <v>0</v>
      </c>
      <c r="X474" s="155">
        <f t="shared" si="1917"/>
        <v>0</v>
      </c>
      <c r="Y474" s="160">
        <f t="shared" si="1917"/>
        <v>0</v>
      </c>
    </row>
    <row r="475" spans="2:25" ht="15" customHeight="1" x14ac:dyDescent="0.2">
      <c r="B475" s="249" t="s">
        <v>78</v>
      </c>
      <c r="C475" s="91">
        <f>E475/SUM(E475:E477)</f>
        <v>0.54220779220779225</v>
      </c>
      <c r="D475" s="67" t="s">
        <v>0</v>
      </c>
      <c r="E475" s="68">
        <f t="shared" si="1908"/>
        <v>167</v>
      </c>
      <c r="F475" s="68">
        <f>SUMIFS([0]!Chavez,[0]!Centro,B477,[0]!Turno,F$462)</f>
        <v>26</v>
      </c>
      <c r="G475" s="68">
        <f>SUMIFS([0]!Chavez,[0]!Centro,B477,[0]!Turno,G$462)</f>
        <v>12</v>
      </c>
      <c r="H475" s="68">
        <f>SUMIFS([0]!Chavez,[0]!Centro,B477,[0]!Turno,H$462)</f>
        <v>19</v>
      </c>
      <c r="I475" s="68">
        <f>SUMIFS([0]!Chavez,[0]!Centro,B477,[0]!Turno,I$462)</f>
        <v>29</v>
      </c>
      <c r="J475" s="68">
        <f>SUMIFS([0]!Chavez,[0]!Centro,B477,[0]!Turno,J$462)</f>
        <v>0</v>
      </c>
      <c r="K475" s="68">
        <f>SUMIFS([0]!Chavez,[0]!Centro,B477,[0]!Turno,K$462)</f>
        <v>11</v>
      </c>
      <c r="L475" s="68">
        <f>SUMIFS([0]!Chavez,[0]!Centro,B477,[0]!Turno,L$462)</f>
        <v>25</v>
      </c>
      <c r="M475" s="68">
        <f>SUMIFS([0]!Chavez,[0]!Centro,B477,[0]!Turno,M$462)</f>
        <v>20</v>
      </c>
      <c r="N475" s="68">
        <f>SUMIFS([0]!Chavez,[0]!Centro,B477,[0]!Turno,N$462)</f>
        <v>18</v>
      </c>
      <c r="O475" s="68">
        <f>SUMIFS([0]!Chavez,[0]!Centro,B477,[0]!Turno,O$462)</f>
        <v>7</v>
      </c>
      <c r="P475" s="68">
        <f>SUMIFS([0]!Chavez,[0]!Centro,B477,[0]!Turno,P$462)</f>
        <v>0</v>
      </c>
      <c r="Q475" s="68">
        <f>SUMIFS([0]!Chavez,[0]!Centro,B477,[0]!Turno,Q$462)</f>
        <v>0</v>
      </c>
      <c r="R475" s="68">
        <f>SUMIFS([0]!Chavez,[0]!Centro,B477,[0]!Turno,R$462)</f>
        <v>0</v>
      </c>
      <c r="S475" s="68">
        <f>SUMIFS([0]!Chavez,[0]!Centro,B477,[0]!Turno,S$462)</f>
        <v>0</v>
      </c>
      <c r="T475" s="68">
        <f>SUMIFS([0]!Chavez,[0]!Centro,B477,[0]!Turno,T$462)</f>
        <v>0</v>
      </c>
      <c r="U475" s="68">
        <f>SUMIFS([0]!Chavez,[0]!Centro,B477,[0]!Turno,U$462)</f>
        <v>0</v>
      </c>
      <c r="V475" s="68">
        <f>SUMIFS([0]!Chavez,[0]!Centro,B477,[0]!Turno,V$462)</f>
        <v>0</v>
      </c>
      <c r="W475" s="68">
        <f>SUMIFS([0]!Chavez,[0]!Centro,B477,[0]!Turno,W$462)</f>
        <v>0</v>
      </c>
      <c r="X475" s="68">
        <f>SUMIFS([0]!Chavez,[0]!Centro,B477,[0]!Turno,X$462)</f>
        <v>0</v>
      </c>
      <c r="Y475" s="69">
        <f>SUMIFS([0]!Chavez,[0]!Centro,B477,[0]!Turno,Y$462)</f>
        <v>0</v>
      </c>
    </row>
    <row r="476" spans="2:25" ht="15" customHeight="1" x14ac:dyDescent="0.2">
      <c r="B476" s="250"/>
      <c r="C476" s="92">
        <f>E476/SUM(E475:E477)</f>
        <v>0.45779220779220781</v>
      </c>
      <c r="D476" s="61" t="s">
        <v>1</v>
      </c>
      <c r="E476" s="62">
        <f t="shared" si="1908"/>
        <v>141</v>
      </c>
      <c r="F476" s="62">
        <f>SUMIFS([0]!Capriles,[0]!Centro,B477,[0]!Turno,F$462)</f>
        <v>16</v>
      </c>
      <c r="G476" s="62">
        <f>SUMIFS([0]!Capriles,[0]!Centro,B477,[0]!Turno,G$462)</f>
        <v>1</v>
      </c>
      <c r="H476" s="62">
        <f>SUMIFS([0]!Capriles,[0]!Centro,B477,[0]!Turno,H$462)</f>
        <v>17</v>
      </c>
      <c r="I476" s="62">
        <f>SUMIFS([0]!Capriles,[0]!Centro,B477,[0]!Turno,I$462)</f>
        <v>23</v>
      </c>
      <c r="J476" s="62">
        <f>SUMIFS([0]!Capriles,[0]!Centro,B477,[0]!Turno,J$462)</f>
        <v>0</v>
      </c>
      <c r="K476" s="62">
        <f>SUMIFS([0]!Capriles,[0]!Centro,B477,[0]!Turno,K$462)</f>
        <v>19</v>
      </c>
      <c r="L476" s="62">
        <f>SUMIFS([0]!Capriles,[0]!Centro,B477,[0]!Turno,L$462)</f>
        <v>18</v>
      </c>
      <c r="M476" s="62">
        <f>SUMIFS([0]!Capriles,[0]!Centro,B477,[0]!Turno,M$462)</f>
        <v>17</v>
      </c>
      <c r="N476" s="62">
        <f>SUMIFS([0]!Capriles,[0]!Centro,B477,[0]!Turno,N$462)</f>
        <v>19</v>
      </c>
      <c r="O476" s="62">
        <f>SUMIFS([0]!Capriles,[0]!Centro,B477,[0]!Turno,O$462)</f>
        <v>11</v>
      </c>
      <c r="P476" s="62">
        <f>SUMIFS([0]!Capriles,[0]!Centro,B477,[0]!Turno,P$462)</f>
        <v>0</v>
      </c>
      <c r="Q476" s="62">
        <f>SUMIFS([0]!Capriles,[0]!Centro,B477,[0]!Turno,Q$462)</f>
        <v>0</v>
      </c>
      <c r="R476" s="62">
        <f>SUMIFS([0]!Capriles,[0]!Centro,B477,[0]!Turno,R$462)</f>
        <v>0</v>
      </c>
      <c r="S476" s="62">
        <f>SUMIFS([0]!Capriles,[0]!Centro,B477,[0]!Turno,S$462)</f>
        <v>0</v>
      </c>
      <c r="T476" s="62">
        <f>SUMIFS([0]!Capriles,[0]!Centro,B477,[0]!Turno,T$462)</f>
        <v>0</v>
      </c>
      <c r="U476" s="62">
        <f>SUMIFS([0]!Capriles,[0]!Centro,B477,[0]!Turno,U$462)</f>
        <v>0</v>
      </c>
      <c r="V476" s="62">
        <f>SUMIFS([0]!Capriles,[0]!Centro,B477,[0]!Turno,V$462)</f>
        <v>0</v>
      </c>
      <c r="W476" s="62">
        <f>SUMIFS([0]!Capriles,[0]!Centro,B477,[0]!Turno,W$462)</f>
        <v>0</v>
      </c>
      <c r="X476" s="62">
        <f>SUMIFS([0]!Capriles,[0]!Centro,B477,[0]!Turno,X$462)</f>
        <v>0</v>
      </c>
      <c r="Y476" s="70">
        <f>SUMIFS([0]!Capriles,[0]!Centro,B477,[0]!Turno,Y$462)</f>
        <v>0</v>
      </c>
    </row>
    <row r="477" spans="2:25" ht="15" customHeight="1" thickBot="1" x14ac:dyDescent="0.25">
      <c r="B477" s="251">
        <v>65</v>
      </c>
      <c r="C477" s="100">
        <f>E477/SUM(E475:E477)</f>
        <v>0</v>
      </c>
      <c r="D477" s="71" t="s">
        <v>2</v>
      </c>
      <c r="E477" s="72">
        <f t="shared" si="1908"/>
        <v>0</v>
      </c>
      <c r="F477" s="72">
        <f>SUMIFS([0]!Otro,[0]!Centro,B477,[0]!Turno,F$462)</f>
        <v>0</v>
      </c>
      <c r="G477" s="72">
        <f>SUMIFS([0]!Otro,[0]!Centro,B477,[0]!Turno,G$462)</f>
        <v>0</v>
      </c>
      <c r="H477" s="72">
        <f>SUMIFS([0]!Otro,[0]!Centro,B477,[0]!Turno,H$462)</f>
        <v>0</v>
      </c>
      <c r="I477" s="72">
        <f>SUMIFS([0]!Otro,[0]!Centro,B477,[0]!Turno,I$462)</f>
        <v>0</v>
      </c>
      <c r="J477" s="72">
        <f>SUMIFS([0]!Otro,[0]!Centro,B477,[0]!Turno,J$462)</f>
        <v>0</v>
      </c>
      <c r="K477" s="72">
        <f>SUMIFS([0]!Otro,[0]!Centro,B477,[0]!Turno,K$462)</f>
        <v>0</v>
      </c>
      <c r="L477" s="72">
        <f>SUMIFS([0]!Otro,[0]!Centro,B477,[0]!Turno,L$462)</f>
        <v>0</v>
      </c>
      <c r="M477" s="72">
        <f>SUMIFS([0]!Otro,[0]!Centro,B477,[0]!Turno,M$462)</f>
        <v>0</v>
      </c>
      <c r="N477" s="72">
        <f>SUMIFS([0]!Otro,[0]!Centro,B477,[0]!Turno,N$462)</f>
        <v>0</v>
      </c>
      <c r="O477" s="72">
        <f>SUMIFS([0]!Otro,[0]!Centro,B477,[0]!Turno,O$462)</f>
        <v>0</v>
      </c>
      <c r="P477" s="72">
        <f>SUMIFS([0]!Otro,[0]!Centro,B477,[0]!Turno,P$462)</f>
        <v>0</v>
      </c>
      <c r="Q477" s="72">
        <f>SUMIFS([0]!Otro,[0]!Centro,B477,[0]!Turno,Q$462)</f>
        <v>0</v>
      </c>
      <c r="R477" s="72">
        <f>SUMIFS([0]!Otro,[0]!Centro,B477,[0]!Turno,R$462)</f>
        <v>0</v>
      </c>
      <c r="S477" s="72">
        <f>SUMIFS([0]!Otro,[0]!Centro,B477,[0]!Turno,S$462)</f>
        <v>0</v>
      </c>
      <c r="T477" s="72">
        <f>SUMIFS([0]!Otro,[0]!Centro,B477,[0]!Turno,T$462)</f>
        <v>0</v>
      </c>
      <c r="U477" s="72">
        <f>SUMIFS([0]!Otro,[0]!Centro,B477,[0]!Turno,U$462)</f>
        <v>0</v>
      </c>
      <c r="V477" s="72">
        <f>SUMIFS([0]!Otro,[0]!Centro,B477,[0]!Turno,V$462)</f>
        <v>0</v>
      </c>
      <c r="W477" s="72">
        <f>SUMIFS([0]!Otro,[0]!Centro,B477,[0]!Turno,W$462)</f>
        <v>0</v>
      </c>
      <c r="X477" s="72">
        <f>SUMIFS([0]!Otro,[0]!Centro,B477,[0]!Turno,X$462)</f>
        <v>0</v>
      </c>
      <c r="Y477" s="73">
        <f>SUMIFS([0]!Otro,[0]!Centro,B477,[0]!Turno,Y$462)</f>
        <v>0</v>
      </c>
    </row>
    <row r="478" spans="2:25" ht="15" customHeight="1" x14ac:dyDescent="0.2">
      <c r="B478" s="251"/>
      <c r="C478" s="94">
        <f>E478/SUM(E478:E480)</f>
        <v>0.54220779220779214</v>
      </c>
      <c r="D478" s="63" t="s">
        <v>0</v>
      </c>
      <c r="E478" s="150">
        <f>IF((E475+E476+E477)=0,0,(E475*$B479)/(E475+E476+E477))</f>
        <v>5.48127409312473E-2</v>
      </c>
      <c r="F478" s="150">
        <f>IF((F475+F476+F477)=0,0,(F475*$B479)/(F475+F476+F477))</f>
        <v>6.258061439655381E-2</v>
      </c>
      <c r="G478" s="150">
        <f t="shared" ref="G478:Y478" si="1918">IF((G475+G476+G477)=0,0,(G475*$B479)/(G475+G476+G477))</f>
        <v>9.3315472354624618E-2</v>
      </c>
      <c r="H478" s="150">
        <f t="shared" si="1918"/>
        <v>5.3353985350908052E-2</v>
      </c>
      <c r="I478" s="150">
        <f t="shared" si="1918"/>
        <v>5.6378097880919034E-2</v>
      </c>
      <c r="J478" s="150">
        <f t="shared" si="1918"/>
        <v>0</v>
      </c>
      <c r="K478" s="150">
        <f t="shared" si="1918"/>
        <v>3.7066979296420333E-2</v>
      </c>
      <c r="L478" s="150">
        <f t="shared" si="1918"/>
        <v>5.8774280068319758E-2</v>
      </c>
      <c r="M478" s="150">
        <f t="shared" si="1918"/>
        <v>5.4644195522978375E-2</v>
      </c>
      <c r="N478" s="150">
        <f t="shared" si="1918"/>
        <v>4.9179775970680538E-2</v>
      </c>
      <c r="O478" s="150">
        <f t="shared" si="1918"/>
        <v>3.9313462890142779E-2</v>
      </c>
      <c r="P478" s="150">
        <f t="shared" si="1918"/>
        <v>0</v>
      </c>
      <c r="Q478" s="150">
        <f t="shared" si="1918"/>
        <v>0</v>
      </c>
      <c r="R478" s="150">
        <f t="shared" si="1918"/>
        <v>0</v>
      </c>
      <c r="S478" s="150">
        <f t="shared" si="1918"/>
        <v>0</v>
      </c>
      <c r="T478" s="150">
        <f t="shared" si="1918"/>
        <v>0</v>
      </c>
      <c r="U478" s="150">
        <f t="shared" si="1918"/>
        <v>0</v>
      </c>
      <c r="V478" s="150">
        <f t="shared" si="1918"/>
        <v>0</v>
      </c>
      <c r="W478" s="150">
        <f t="shared" si="1918"/>
        <v>0</v>
      </c>
      <c r="X478" s="150">
        <f t="shared" si="1918"/>
        <v>0</v>
      </c>
      <c r="Y478" s="163">
        <f t="shared" si="1918"/>
        <v>0</v>
      </c>
    </row>
    <row r="479" spans="2:25" ht="15" customHeight="1" x14ac:dyDescent="0.2">
      <c r="B479" s="252">
        <v>0.10109176171751</v>
      </c>
      <c r="C479" s="92">
        <f>E479/SUM(E478:E480)</f>
        <v>0.45779220779220775</v>
      </c>
      <c r="D479" s="61" t="s">
        <v>1</v>
      </c>
      <c r="E479" s="154">
        <f>IF((E475+E476+E477)=0,0,(E476*$B479)/(E475+E476+E477))</f>
        <v>4.6279020786262691E-2</v>
      </c>
      <c r="F479" s="154">
        <f>IF((F475+F476+F477)=0,0,(F476*$B479)/(F475+F476+F477))</f>
        <v>3.8511147320956188E-2</v>
      </c>
      <c r="G479" s="154">
        <f t="shared" ref="G479:O479" si="1919">IF((G475+G476+G477)=0,0,(G476*$B479)/(G475+G476+G477))</f>
        <v>7.7762893628853845E-3</v>
      </c>
      <c r="H479" s="154">
        <f t="shared" si="1919"/>
        <v>4.7737776366601946E-2</v>
      </c>
      <c r="I479" s="154">
        <f t="shared" si="1919"/>
        <v>4.4713663836590964E-2</v>
      </c>
      <c r="J479" s="154">
        <f t="shared" si="1919"/>
        <v>0</v>
      </c>
      <c r="K479" s="154">
        <f t="shared" si="1919"/>
        <v>6.4024782421089665E-2</v>
      </c>
      <c r="L479" s="154">
        <f t="shared" si="1919"/>
        <v>4.2317481649190233E-2</v>
      </c>
      <c r="M479" s="154">
        <f t="shared" si="1919"/>
        <v>4.6447566194531623E-2</v>
      </c>
      <c r="N479" s="154">
        <f t="shared" si="1919"/>
        <v>5.191198574682946E-2</v>
      </c>
      <c r="O479" s="154">
        <f t="shared" si="1919"/>
        <v>6.1778298827367219E-2</v>
      </c>
      <c r="P479" s="154">
        <f>IF((P475+P476+P477)=0,0,(P476*$B479)/(P475+P476+P477))</f>
        <v>0</v>
      </c>
      <c r="Q479" s="154">
        <f t="shared" ref="Q479:Y479" si="1920">IF((Q475+Q476+Q477)=0,0,(Q476*$B479)/(Q475+Q476+Q477))</f>
        <v>0</v>
      </c>
      <c r="R479" s="154">
        <f t="shared" si="1920"/>
        <v>0</v>
      </c>
      <c r="S479" s="154">
        <f t="shared" si="1920"/>
        <v>0</v>
      </c>
      <c r="T479" s="154">
        <f t="shared" si="1920"/>
        <v>0</v>
      </c>
      <c r="U479" s="154">
        <f t="shared" si="1920"/>
        <v>0</v>
      </c>
      <c r="V479" s="154">
        <f t="shared" si="1920"/>
        <v>0</v>
      </c>
      <c r="W479" s="154">
        <f t="shared" si="1920"/>
        <v>0</v>
      </c>
      <c r="X479" s="154">
        <f t="shared" si="1920"/>
        <v>0</v>
      </c>
      <c r="Y479" s="159">
        <f t="shared" si="1920"/>
        <v>0</v>
      </c>
    </row>
    <row r="480" spans="2:25" ht="15" customHeight="1" thickBot="1" x14ac:dyDescent="0.25">
      <c r="B480" s="253"/>
      <c r="C480" s="93">
        <f>E480/SUM(E478:E480)</f>
        <v>0</v>
      </c>
      <c r="D480" s="75" t="s">
        <v>2</v>
      </c>
      <c r="E480" s="155">
        <f>IF((E475+E476+E477)=0,0,(E477*$B479)/(E475+E476+E477))</f>
        <v>0</v>
      </c>
      <c r="F480" s="155">
        <f>IF((F475+F476+F477)=0,0,(F477*$B479)/(F475+F476+F477))</f>
        <v>0</v>
      </c>
      <c r="G480" s="155">
        <f t="shared" ref="G480:Y480" si="1921">IF((G475+G476+G477)=0,0,(G477*$B479)/(G475+G476+G477))</f>
        <v>0</v>
      </c>
      <c r="H480" s="155">
        <f t="shared" si="1921"/>
        <v>0</v>
      </c>
      <c r="I480" s="155">
        <f t="shared" si="1921"/>
        <v>0</v>
      </c>
      <c r="J480" s="155">
        <f t="shared" si="1921"/>
        <v>0</v>
      </c>
      <c r="K480" s="155">
        <f t="shared" si="1921"/>
        <v>0</v>
      </c>
      <c r="L480" s="155">
        <f t="shared" si="1921"/>
        <v>0</v>
      </c>
      <c r="M480" s="155">
        <f t="shared" si="1921"/>
        <v>0</v>
      </c>
      <c r="N480" s="155">
        <f t="shared" si="1921"/>
        <v>0</v>
      </c>
      <c r="O480" s="155">
        <f t="shared" si="1921"/>
        <v>0</v>
      </c>
      <c r="P480" s="155">
        <f t="shared" si="1921"/>
        <v>0</v>
      </c>
      <c r="Q480" s="155">
        <f t="shared" si="1921"/>
        <v>0</v>
      </c>
      <c r="R480" s="155">
        <f t="shared" si="1921"/>
        <v>0</v>
      </c>
      <c r="S480" s="155">
        <f t="shared" si="1921"/>
        <v>0</v>
      </c>
      <c r="T480" s="155">
        <f t="shared" si="1921"/>
        <v>0</v>
      </c>
      <c r="U480" s="155">
        <f t="shared" si="1921"/>
        <v>0</v>
      </c>
      <c r="V480" s="155">
        <f t="shared" si="1921"/>
        <v>0</v>
      </c>
      <c r="W480" s="155">
        <f t="shared" si="1921"/>
        <v>0</v>
      </c>
      <c r="X480" s="155">
        <f t="shared" si="1921"/>
        <v>0</v>
      </c>
      <c r="Y480" s="160">
        <f t="shared" si="1921"/>
        <v>0</v>
      </c>
    </row>
    <row r="481" spans="2:25" ht="15" customHeight="1" x14ac:dyDescent="0.2">
      <c r="B481" s="249" t="s">
        <v>99</v>
      </c>
      <c r="C481" s="91">
        <f>E481/SUM(E481:E483)</f>
        <v>0.54950495049504955</v>
      </c>
      <c r="D481" s="67" t="s">
        <v>0</v>
      </c>
      <c r="E481" s="68">
        <f t="shared" si="1908"/>
        <v>111</v>
      </c>
      <c r="F481" s="68">
        <f>SUMIFS([0]!Chavez,[0]!Centro,B483,[0]!Turno,F$462)</f>
        <v>14</v>
      </c>
      <c r="G481" s="68">
        <f>SUMIFS([0]!Chavez,[0]!Centro,B483,[0]!Turno,G$462)</f>
        <v>0</v>
      </c>
      <c r="H481" s="68">
        <f>SUMIFS([0]!Chavez,[0]!Centro,B483,[0]!Turno,H$462)</f>
        <v>0</v>
      </c>
      <c r="I481" s="68">
        <f>SUMIFS([0]!Chavez,[0]!Centro,B483,[0]!Turno,I$462)</f>
        <v>16</v>
      </c>
      <c r="J481" s="68">
        <f>SUMIFS([0]!Chavez,[0]!Centro,B483,[0]!Turno,J$462)</f>
        <v>15</v>
      </c>
      <c r="K481" s="68">
        <f>SUMIFS([0]!Chavez,[0]!Centro,B483,[0]!Turno,K$462)</f>
        <v>10</v>
      </c>
      <c r="L481" s="68">
        <f>SUMIFS([0]!Chavez,[0]!Centro,B483,[0]!Turno,L$462)</f>
        <v>10</v>
      </c>
      <c r="M481" s="68">
        <f>SUMIFS([0]!Chavez,[0]!Centro,B483,[0]!Turno,M$462)</f>
        <v>13</v>
      </c>
      <c r="N481" s="68">
        <f>SUMIFS([0]!Chavez,[0]!Centro,B483,[0]!Turno,N$462)</f>
        <v>17</v>
      </c>
      <c r="O481" s="68">
        <f>SUMIFS([0]!Chavez,[0]!Centro,B483,[0]!Turno,O$462)</f>
        <v>16</v>
      </c>
      <c r="P481" s="68">
        <f>SUMIFS([0]!Chavez,[0]!Centro,B483,[0]!Turno,P$462)</f>
        <v>0</v>
      </c>
      <c r="Q481" s="68">
        <f>SUMIFS([0]!Chavez,[0]!Centro,B483,[0]!Turno,Q$462)</f>
        <v>0</v>
      </c>
      <c r="R481" s="68">
        <f>SUMIFS([0]!Chavez,[0]!Centro,B483,[0]!Turno,R$462)</f>
        <v>0</v>
      </c>
      <c r="S481" s="68">
        <f>SUMIFS([0]!Chavez,[0]!Centro,B483,[0]!Turno,S$462)</f>
        <v>0</v>
      </c>
      <c r="T481" s="68">
        <f>SUMIFS([0]!Chavez,[0]!Centro,B483,[0]!Turno,T$462)</f>
        <v>0</v>
      </c>
      <c r="U481" s="68">
        <f>SUMIFS([0]!Chavez,[0]!Centro,B483,[0]!Turno,U$462)</f>
        <v>0</v>
      </c>
      <c r="V481" s="68">
        <f>SUMIFS([0]!Chavez,[0]!Centro,B483,[0]!Turno,V$462)</f>
        <v>0</v>
      </c>
      <c r="W481" s="68">
        <f>SUMIFS([0]!Chavez,[0]!Centro,B483,[0]!Turno,W$462)</f>
        <v>0</v>
      </c>
      <c r="X481" s="68">
        <f>SUMIFS([0]!Chavez,[0]!Centro,B483,[0]!Turno,X$462)</f>
        <v>0</v>
      </c>
      <c r="Y481" s="69">
        <f>SUMIFS([0]!Chavez,[0]!Centro,B483,[0]!Turno,Y$462)</f>
        <v>0</v>
      </c>
    </row>
    <row r="482" spans="2:25" ht="15" customHeight="1" x14ac:dyDescent="0.2">
      <c r="B482" s="250"/>
      <c r="C482" s="92">
        <f>E482/SUM(E481:E483)</f>
        <v>0.4405940594059406</v>
      </c>
      <c r="D482" s="61" t="s">
        <v>1</v>
      </c>
      <c r="E482" s="62">
        <f t="shared" si="1908"/>
        <v>89</v>
      </c>
      <c r="F482" s="62">
        <f>SUMIFS([0]!Capriles,[0]!Centro,B483,[0]!Turno,F$462)</f>
        <v>2</v>
      </c>
      <c r="G482" s="62">
        <f>SUMIFS([0]!Capriles,[0]!Centro,B483,[0]!Turno,G$462)</f>
        <v>0</v>
      </c>
      <c r="H482" s="62">
        <f>SUMIFS([0]!Capriles,[0]!Centro,B483,[0]!Turno,H$462)</f>
        <v>0</v>
      </c>
      <c r="I482" s="62">
        <f>SUMIFS([0]!Capriles,[0]!Centro,B483,[0]!Turno,I$462)</f>
        <v>3</v>
      </c>
      <c r="J482" s="62">
        <f>SUMIFS([0]!Capriles,[0]!Centro,B483,[0]!Turno,J$462)</f>
        <v>4</v>
      </c>
      <c r="K482" s="62">
        <f>SUMIFS([0]!Capriles,[0]!Centro,B483,[0]!Turno,K$462)</f>
        <v>36</v>
      </c>
      <c r="L482" s="62">
        <f>SUMIFS([0]!Capriles,[0]!Centro,B483,[0]!Turno,L$462)</f>
        <v>30</v>
      </c>
      <c r="M482" s="62">
        <f>SUMIFS([0]!Capriles,[0]!Centro,B483,[0]!Turno,M$462)</f>
        <v>7</v>
      </c>
      <c r="N482" s="62">
        <f>SUMIFS([0]!Capriles,[0]!Centro,B483,[0]!Turno,N$462)</f>
        <v>3</v>
      </c>
      <c r="O482" s="62">
        <f>SUMIFS([0]!Capriles,[0]!Centro,B483,[0]!Turno,O$462)</f>
        <v>4</v>
      </c>
      <c r="P482" s="62">
        <f>SUMIFS([0]!Capriles,[0]!Centro,B483,[0]!Turno,P$462)</f>
        <v>0</v>
      </c>
      <c r="Q482" s="62">
        <f>SUMIFS([0]!Capriles,[0]!Centro,B483,[0]!Turno,Q$462)</f>
        <v>0</v>
      </c>
      <c r="R482" s="62">
        <f>SUMIFS([0]!Capriles,[0]!Centro,B483,[0]!Turno,R$462)</f>
        <v>0</v>
      </c>
      <c r="S482" s="62">
        <f>SUMIFS([0]!Capriles,[0]!Centro,B483,[0]!Turno,S$462)</f>
        <v>0</v>
      </c>
      <c r="T482" s="62">
        <f>SUMIFS([0]!Capriles,[0]!Centro,B483,[0]!Turno,T$462)</f>
        <v>0</v>
      </c>
      <c r="U482" s="62">
        <f>SUMIFS([0]!Capriles,[0]!Centro,B483,[0]!Turno,U$462)</f>
        <v>0</v>
      </c>
      <c r="V482" s="62">
        <f>SUMIFS([0]!Capriles,[0]!Centro,B483,[0]!Turno,V$462)</f>
        <v>0</v>
      </c>
      <c r="W482" s="62">
        <f>SUMIFS([0]!Capriles,[0]!Centro,B483,[0]!Turno,W$462)</f>
        <v>0</v>
      </c>
      <c r="X482" s="62">
        <f>SUMIFS([0]!Capriles,[0]!Centro,B483,[0]!Turno,X$462)</f>
        <v>0</v>
      </c>
      <c r="Y482" s="70">
        <f>SUMIFS([0]!Capriles,[0]!Centro,B483,[0]!Turno,Y$462)</f>
        <v>0</v>
      </c>
    </row>
    <row r="483" spans="2:25" ht="15" customHeight="1" thickBot="1" x14ac:dyDescent="0.25">
      <c r="B483" s="251">
        <v>66</v>
      </c>
      <c r="C483" s="100">
        <f>E483/SUM(E481:E483)</f>
        <v>9.9009900990099011E-3</v>
      </c>
      <c r="D483" s="71" t="s">
        <v>2</v>
      </c>
      <c r="E483" s="72">
        <f t="shared" si="1908"/>
        <v>2</v>
      </c>
      <c r="F483" s="72">
        <f>SUMIFS([0]!Otro,[0]!Centro,B483,[0]!Turno,F$462)</f>
        <v>0</v>
      </c>
      <c r="G483" s="72">
        <f>SUMIFS([0]!Otro,[0]!Centro,B483,[0]!Turno,G$462)</f>
        <v>0</v>
      </c>
      <c r="H483" s="72">
        <f>SUMIFS([0]!Otro,[0]!Centro,B483,[0]!Turno,H$462)</f>
        <v>0</v>
      </c>
      <c r="I483" s="72">
        <f>SUMIFS([0]!Otro,[0]!Centro,B483,[0]!Turno,I$462)</f>
        <v>1</v>
      </c>
      <c r="J483" s="72">
        <f>SUMIFS([0]!Otro,[0]!Centro,B483,[0]!Turno,J$462)</f>
        <v>1</v>
      </c>
      <c r="K483" s="72">
        <f>SUMIFS([0]!Otro,[0]!Centro,B483,[0]!Turno,K$462)</f>
        <v>0</v>
      </c>
      <c r="L483" s="72">
        <f>SUMIFS([0]!Otro,[0]!Centro,B483,[0]!Turno,L$462)</f>
        <v>0</v>
      </c>
      <c r="M483" s="72">
        <f>SUMIFS([0]!Otro,[0]!Centro,B483,[0]!Turno,M$462)</f>
        <v>0</v>
      </c>
      <c r="N483" s="72">
        <f>SUMIFS([0]!Otro,[0]!Centro,B483,[0]!Turno,N$462)</f>
        <v>0</v>
      </c>
      <c r="O483" s="72">
        <f>SUMIFS([0]!Otro,[0]!Centro,B483,[0]!Turno,O$462)</f>
        <v>0</v>
      </c>
      <c r="P483" s="72">
        <f>SUMIFS([0]!Otro,[0]!Centro,B483,[0]!Turno,P$462)</f>
        <v>0</v>
      </c>
      <c r="Q483" s="72">
        <f>SUMIFS([0]!Otro,[0]!Centro,B483,[0]!Turno,Q$462)</f>
        <v>0</v>
      </c>
      <c r="R483" s="72">
        <f>SUMIFS([0]!Otro,[0]!Centro,B483,[0]!Turno,R$462)</f>
        <v>0</v>
      </c>
      <c r="S483" s="72">
        <f>SUMIFS([0]!Otro,[0]!Centro,B483,[0]!Turno,S$462)</f>
        <v>0</v>
      </c>
      <c r="T483" s="72">
        <f>SUMIFS([0]!Otro,[0]!Centro,B483,[0]!Turno,T$462)</f>
        <v>0</v>
      </c>
      <c r="U483" s="72">
        <f>SUMIFS([0]!Otro,[0]!Centro,B483,[0]!Turno,U$462)</f>
        <v>0</v>
      </c>
      <c r="V483" s="72">
        <f>SUMIFS([0]!Otro,[0]!Centro,B483,[0]!Turno,V$462)</f>
        <v>0</v>
      </c>
      <c r="W483" s="72">
        <f>SUMIFS([0]!Otro,[0]!Centro,B483,[0]!Turno,W$462)</f>
        <v>0</v>
      </c>
      <c r="X483" s="72">
        <f>SUMIFS([0]!Otro,[0]!Centro,B483,[0]!Turno,X$462)</f>
        <v>0</v>
      </c>
      <c r="Y483" s="73">
        <f>SUMIFS([0]!Otro,[0]!Centro,B483,[0]!Turno,Y$462)</f>
        <v>0</v>
      </c>
    </row>
    <row r="484" spans="2:25" ht="15" customHeight="1" x14ac:dyDescent="0.2">
      <c r="B484" s="251"/>
      <c r="C484" s="94">
        <f>E484/SUM(E484:E486)</f>
        <v>0.54950495049504955</v>
      </c>
      <c r="D484" s="63" t="s">
        <v>0</v>
      </c>
      <c r="E484" s="150">
        <f>IF((E481+E482+E483)=0,0,(E481*$B485)/(E481+E482+E483))</f>
        <v>4.879209436220959E-2</v>
      </c>
      <c r="F484" s="150">
        <f>IF((F481+F482+F483)=0,0,(F481*$B485)/(F481+F482+F483))</f>
        <v>7.7693717824509415E-2</v>
      </c>
      <c r="G484" s="150">
        <f t="shared" ref="G484:Y484" si="1922">IF((G481+G482+G483)=0,0,(G481*$B485)/(G481+G482+G483))</f>
        <v>0</v>
      </c>
      <c r="H484" s="150">
        <f t="shared" si="1922"/>
        <v>0</v>
      </c>
      <c r="I484" s="150">
        <f t="shared" si="1922"/>
        <v>7.1034256296694326E-2</v>
      </c>
      <c r="J484" s="150">
        <f t="shared" si="1922"/>
        <v>6.6594615278150929E-2</v>
      </c>
      <c r="K484" s="150">
        <f t="shared" si="1922"/>
        <v>1.9302787037145195E-2</v>
      </c>
      <c r="L484" s="150">
        <f t="shared" si="1922"/>
        <v>2.2198205092716975E-2</v>
      </c>
      <c r="M484" s="150">
        <f t="shared" si="1922"/>
        <v>5.7715333241064135E-2</v>
      </c>
      <c r="N484" s="150">
        <f t="shared" si="1922"/>
        <v>7.5473897315237709E-2</v>
      </c>
      <c r="O484" s="150">
        <f t="shared" si="1922"/>
        <v>7.1034256296694326E-2</v>
      </c>
      <c r="P484" s="150">
        <f t="shared" si="1922"/>
        <v>0</v>
      </c>
      <c r="Q484" s="150">
        <f t="shared" si="1922"/>
        <v>0</v>
      </c>
      <c r="R484" s="150">
        <f t="shared" si="1922"/>
        <v>0</v>
      </c>
      <c r="S484" s="150">
        <f t="shared" si="1922"/>
        <v>0</v>
      </c>
      <c r="T484" s="150">
        <f t="shared" si="1922"/>
        <v>0</v>
      </c>
      <c r="U484" s="150">
        <f t="shared" si="1922"/>
        <v>0</v>
      </c>
      <c r="V484" s="150">
        <f t="shared" si="1922"/>
        <v>0</v>
      </c>
      <c r="W484" s="150">
        <f t="shared" si="1922"/>
        <v>0</v>
      </c>
      <c r="X484" s="150">
        <f t="shared" si="1922"/>
        <v>0</v>
      </c>
      <c r="Y484" s="163">
        <f t="shared" si="1922"/>
        <v>0</v>
      </c>
    </row>
    <row r="485" spans="2:25" ht="15" customHeight="1" x14ac:dyDescent="0.2">
      <c r="B485" s="252">
        <v>8.87928203708679E-2</v>
      </c>
      <c r="C485" s="92">
        <f>E485/SUM(E484:E486)</f>
        <v>0.44059405940594065</v>
      </c>
      <c r="D485" s="61" t="s">
        <v>1</v>
      </c>
      <c r="E485" s="154">
        <f>IF((E481+E482+E483)=0,0,(E482*$B485)/(E481+E482+E483))</f>
        <v>3.9121589173303183E-2</v>
      </c>
      <c r="F485" s="154">
        <f>IF((F481+F482+F483)=0,0,(F482*$B485)/(F481+F482+F483))</f>
        <v>1.1099102546358488E-2</v>
      </c>
      <c r="G485" s="154">
        <f t="shared" ref="G485:O485" si="1923">IF((G481+G482+G483)=0,0,(G482*$B485)/(G481+G482+G483))</f>
        <v>0</v>
      </c>
      <c r="H485" s="154">
        <f t="shared" si="1923"/>
        <v>0</v>
      </c>
      <c r="I485" s="154">
        <f t="shared" si="1923"/>
        <v>1.3318923055630186E-2</v>
      </c>
      <c r="J485" s="154">
        <f t="shared" si="1923"/>
        <v>1.7758564074173581E-2</v>
      </c>
      <c r="K485" s="154">
        <f t="shared" si="1923"/>
        <v>6.9490033333722709E-2</v>
      </c>
      <c r="L485" s="154">
        <f t="shared" si="1923"/>
        <v>6.6594615278150929E-2</v>
      </c>
      <c r="M485" s="154">
        <f t="shared" si="1923"/>
        <v>3.1077487129803766E-2</v>
      </c>
      <c r="N485" s="154">
        <f t="shared" si="1923"/>
        <v>1.3318923055630186E-2</v>
      </c>
      <c r="O485" s="154">
        <f t="shared" si="1923"/>
        <v>1.7758564074173581E-2</v>
      </c>
      <c r="P485" s="154">
        <f>IF((P481+P482+P483)=0,0,(P482*$B485)/(P481+P482+P483))</f>
        <v>0</v>
      </c>
      <c r="Q485" s="154">
        <f t="shared" ref="Q485:Y485" si="1924">IF((Q481+Q482+Q483)=0,0,(Q482*$B485)/(Q481+Q482+Q483))</f>
        <v>0</v>
      </c>
      <c r="R485" s="154">
        <f t="shared" si="1924"/>
        <v>0</v>
      </c>
      <c r="S485" s="154">
        <f t="shared" si="1924"/>
        <v>0</v>
      </c>
      <c r="T485" s="154">
        <f t="shared" si="1924"/>
        <v>0</v>
      </c>
      <c r="U485" s="154">
        <f t="shared" si="1924"/>
        <v>0</v>
      </c>
      <c r="V485" s="154">
        <f t="shared" si="1924"/>
        <v>0</v>
      </c>
      <c r="W485" s="154">
        <f t="shared" si="1924"/>
        <v>0</v>
      </c>
      <c r="X485" s="154">
        <f t="shared" si="1924"/>
        <v>0</v>
      </c>
      <c r="Y485" s="159">
        <f t="shared" si="1924"/>
        <v>0</v>
      </c>
    </row>
    <row r="486" spans="2:25" ht="15" customHeight="1" thickBot="1" x14ac:dyDescent="0.25">
      <c r="B486" s="253"/>
      <c r="C486" s="93">
        <f>E486/SUM(E484:E486)</f>
        <v>9.9009900990099028E-3</v>
      </c>
      <c r="D486" s="75" t="s">
        <v>2</v>
      </c>
      <c r="E486" s="155">
        <f>IF((E481+E482+E483)=0,0,(E483*$B485)/(E481+E482+E483))</f>
        <v>8.7913683535512772E-4</v>
      </c>
      <c r="F486" s="155">
        <f>IF((F481+F482+F483)=0,0,(F483*$B485)/(F481+F482+F483))</f>
        <v>0</v>
      </c>
      <c r="G486" s="155">
        <f t="shared" ref="G486:Y486" si="1925">IF((G481+G482+G483)=0,0,(G483*$B485)/(G481+G482+G483))</f>
        <v>0</v>
      </c>
      <c r="H486" s="155">
        <f t="shared" si="1925"/>
        <v>0</v>
      </c>
      <c r="I486" s="155">
        <f t="shared" si="1925"/>
        <v>4.4396410185433954E-3</v>
      </c>
      <c r="J486" s="155">
        <f t="shared" si="1925"/>
        <v>4.4396410185433954E-3</v>
      </c>
      <c r="K486" s="155">
        <f t="shared" si="1925"/>
        <v>0</v>
      </c>
      <c r="L486" s="155">
        <f t="shared" si="1925"/>
        <v>0</v>
      </c>
      <c r="M486" s="155">
        <f t="shared" si="1925"/>
        <v>0</v>
      </c>
      <c r="N486" s="155">
        <f t="shared" si="1925"/>
        <v>0</v>
      </c>
      <c r="O486" s="155">
        <f t="shared" si="1925"/>
        <v>0</v>
      </c>
      <c r="P486" s="155">
        <f t="shared" si="1925"/>
        <v>0</v>
      </c>
      <c r="Q486" s="155">
        <f t="shared" si="1925"/>
        <v>0</v>
      </c>
      <c r="R486" s="155">
        <f t="shared" si="1925"/>
        <v>0</v>
      </c>
      <c r="S486" s="155">
        <f t="shared" si="1925"/>
        <v>0</v>
      </c>
      <c r="T486" s="155">
        <f t="shared" si="1925"/>
        <v>0</v>
      </c>
      <c r="U486" s="155">
        <f t="shared" si="1925"/>
        <v>0</v>
      </c>
      <c r="V486" s="155">
        <f t="shared" si="1925"/>
        <v>0</v>
      </c>
      <c r="W486" s="155">
        <f t="shared" si="1925"/>
        <v>0</v>
      </c>
      <c r="X486" s="155">
        <f t="shared" si="1925"/>
        <v>0</v>
      </c>
      <c r="Y486" s="160">
        <f t="shared" si="1925"/>
        <v>0</v>
      </c>
    </row>
    <row r="487" spans="2:25" ht="15" customHeight="1" x14ac:dyDescent="0.2">
      <c r="B487" s="249" t="s">
        <v>39</v>
      </c>
      <c r="C487" s="91">
        <f>E487/SUM(E487:E489)</f>
        <v>0.63915094339622647</v>
      </c>
      <c r="D487" s="67" t="s">
        <v>0</v>
      </c>
      <c r="E487" s="68">
        <f t="shared" si="1908"/>
        <v>271</v>
      </c>
      <c r="F487" s="68">
        <f>SUMIFS([0]!Chavez,[0]!Centro,B489,[0]!Turno,F$462)</f>
        <v>29</v>
      </c>
      <c r="G487" s="68">
        <f>SUMIFS([0]!Chavez,[0]!Centro,B489,[0]!Turno,G$462)</f>
        <v>36</v>
      </c>
      <c r="H487" s="68">
        <f>SUMIFS([0]!Chavez,[0]!Centro,B489,[0]!Turno,H$462)</f>
        <v>15</v>
      </c>
      <c r="I487" s="68">
        <f>SUMIFS([0]!Chavez,[0]!Centro,B489,[0]!Turno,I$462)</f>
        <v>35</v>
      </c>
      <c r="J487" s="68">
        <f>SUMIFS([0]!Chavez,[0]!Centro,B489,[0]!Turno,J$462)</f>
        <v>10</v>
      </c>
      <c r="K487" s="68">
        <f>SUMIFS([0]!Chavez,[0]!Centro,B489,[0]!Turno,K$462)</f>
        <v>35</v>
      </c>
      <c r="L487" s="68">
        <f>SUMIFS([0]!Chavez,[0]!Centro,B489,[0]!Turno,L$462)</f>
        <v>29</v>
      </c>
      <c r="M487" s="68">
        <f>SUMIFS([0]!Chavez,[0]!Centro,B489,[0]!Turno,M$462)</f>
        <v>19</v>
      </c>
      <c r="N487" s="68">
        <f>SUMIFS([0]!Chavez,[0]!Centro,B489,[0]!Turno,N$462)</f>
        <v>41</v>
      </c>
      <c r="O487" s="68">
        <f>SUMIFS([0]!Chavez,[0]!Centro,B489,[0]!Turno,O$462)</f>
        <v>22</v>
      </c>
      <c r="P487" s="68">
        <f>SUMIFS([0]!Chavez,[0]!Centro,B489,[0]!Turno,P$462)</f>
        <v>0</v>
      </c>
      <c r="Q487" s="68">
        <f>SUMIFS([0]!Chavez,[0]!Centro,B489,[0]!Turno,Q$462)</f>
        <v>0</v>
      </c>
      <c r="R487" s="68">
        <f>SUMIFS([0]!Chavez,[0]!Centro,B489,[0]!Turno,R$462)</f>
        <v>0</v>
      </c>
      <c r="S487" s="68">
        <f>SUMIFS([0]!Chavez,[0]!Centro,B489,[0]!Turno,S$462)</f>
        <v>0</v>
      </c>
      <c r="T487" s="68">
        <f>SUMIFS([0]!Chavez,[0]!Centro,B489,[0]!Turno,T$462)</f>
        <v>0</v>
      </c>
      <c r="U487" s="68">
        <f>SUMIFS([0]!Chavez,[0]!Centro,B489,[0]!Turno,U$462)</f>
        <v>0</v>
      </c>
      <c r="V487" s="68">
        <f>SUMIFS([0]!Chavez,[0]!Centro,B489,[0]!Turno,V$462)</f>
        <v>0</v>
      </c>
      <c r="W487" s="68">
        <f>SUMIFS([0]!Chavez,[0]!Centro,B489,[0]!Turno,W$462)</f>
        <v>0</v>
      </c>
      <c r="X487" s="68">
        <f>SUMIFS([0]!Chavez,[0]!Centro,B489,[0]!Turno,X$462)</f>
        <v>0</v>
      </c>
      <c r="Y487" s="69">
        <f>SUMIFS([0]!Chavez,[0]!Centro,B489,[0]!Turno,Y$462)</f>
        <v>0</v>
      </c>
    </row>
    <row r="488" spans="2:25" ht="15" customHeight="1" x14ac:dyDescent="0.2">
      <c r="B488" s="250"/>
      <c r="C488" s="92">
        <f>E488/SUM(E487:E489)</f>
        <v>0.35849056603773582</v>
      </c>
      <c r="D488" s="61" t="s">
        <v>1</v>
      </c>
      <c r="E488" s="62">
        <f t="shared" si="1908"/>
        <v>152</v>
      </c>
      <c r="F488" s="62">
        <f>SUMIFS([0]!Capriles,[0]!Centro,B489,[0]!Turno,F$462)</f>
        <v>4</v>
      </c>
      <c r="G488" s="62">
        <f>SUMIFS([0]!Capriles,[0]!Centro,B489,[0]!Turno,G$462)</f>
        <v>16</v>
      </c>
      <c r="H488" s="62">
        <f>SUMIFS([0]!Capriles,[0]!Centro,B489,[0]!Turno,H$462)</f>
        <v>5</v>
      </c>
      <c r="I488" s="62">
        <f>SUMIFS([0]!Capriles,[0]!Centro,B489,[0]!Turno,I$462)</f>
        <v>6</v>
      </c>
      <c r="J488" s="62">
        <f>SUMIFS([0]!Capriles,[0]!Centro,B489,[0]!Turno,J$462)</f>
        <v>13</v>
      </c>
      <c r="K488" s="62">
        <f>SUMIFS([0]!Capriles,[0]!Centro,B489,[0]!Turno,K$462)</f>
        <v>26</v>
      </c>
      <c r="L488" s="62">
        <f>SUMIFS([0]!Capriles,[0]!Centro,B489,[0]!Turno,L$462)</f>
        <v>26</v>
      </c>
      <c r="M488" s="62">
        <f>SUMIFS([0]!Capriles,[0]!Centro,B489,[0]!Turno,M$462)</f>
        <v>19</v>
      </c>
      <c r="N488" s="62">
        <f>SUMIFS([0]!Capriles,[0]!Centro,B489,[0]!Turno,N$462)</f>
        <v>19</v>
      </c>
      <c r="O488" s="62">
        <f>SUMIFS([0]!Capriles,[0]!Centro,B489,[0]!Turno,O$462)</f>
        <v>18</v>
      </c>
      <c r="P488" s="62">
        <f>SUMIFS([0]!Capriles,[0]!Centro,B489,[0]!Turno,P$462)</f>
        <v>0</v>
      </c>
      <c r="Q488" s="62">
        <f>SUMIFS([0]!Capriles,[0]!Centro,B489,[0]!Turno,Q$462)</f>
        <v>0</v>
      </c>
      <c r="R488" s="62">
        <f>SUMIFS([0]!Capriles,[0]!Centro,B489,[0]!Turno,R$462)</f>
        <v>0</v>
      </c>
      <c r="S488" s="62">
        <f>SUMIFS([0]!Capriles,[0]!Centro,B489,[0]!Turno,S$462)</f>
        <v>0</v>
      </c>
      <c r="T488" s="62">
        <f>SUMIFS([0]!Capriles,[0]!Centro,B489,[0]!Turno,T$462)</f>
        <v>0</v>
      </c>
      <c r="U488" s="62">
        <f>SUMIFS([0]!Capriles,[0]!Centro,B489,[0]!Turno,U$462)</f>
        <v>0</v>
      </c>
      <c r="V488" s="62">
        <f>SUMIFS([0]!Capriles,[0]!Centro,B489,[0]!Turno,V$462)</f>
        <v>0</v>
      </c>
      <c r="W488" s="62">
        <f>SUMIFS([0]!Capriles,[0]!Centro,B489,[0]!Turno,W$462)</f>
        <v>0</v>
      </c>
      <c r="X488" s="62">
        <f>SUMIFS([0]!Capriles,[0]!Centro,B489,[0]!Turno,X$462)</f>
        <v>0</v>
      </c>
      <c r="Y488" s="70">
        <f>SUMIFS([0]!Capriles,[0]!Centro,B489,[0]!Turno,Y$462)</f>
        <v>0</v>
      </c>
    </row>
    <row r="489" spans="2:25" ht="15" customHeight="1" thickBot="1" x14ac:dyDescent="0.25">
      <c r="B489" s="251">
        <v>67</v>
      </c>
      <c r="C489" s="100">
        <f>E489/SUM(E487:E489)</f>
        <v>2.3584905660377358E-3</v>
      </c>
      <c r="D489" s="71" t="s">
        <v>2</v>
      </c>
      <c r="E489" s="72">
        <f t="shared" si="1908"/>
        <v>1</v>
      </c>
      <c r="F489" s="72">
        <f>SUMIFS([0]!Otro,[0]!Centro,B489,[0]!Turno,F$462)</f>
        <v>0</v>
      </c>
      <c r="G489" s="72">
        <f>SUMIFS([0]!Otro,[0]!Centro,B489,[0]!Turno,G$462)</f>
        <v>0</v>
      </c>
      <c r="H489" s="72">
        <f>SUMIFS([0]!Otro,[0]!Centro,B489,[0]!Turno,H$462)</f>
        <v>0</v>
      </c>
      <c r="I489" s="72">
        <f>SUMIFS([0]!Otro,[0]!Centro,B489,[0]!Turno,I$462)</f>
        <v>1</v>
      </c>
      <c r="J489" s="72">
        <f>SUMIFS([0]!Otro,[0]!Centro,B489,[0]!Turno,J$462)</f>
        <v>0</v>
      </c>
      <c r="K489" s="72">
        <f>SUMIFS([0]!Otro,[0]!Centro,B489,[0]!Turno,K$462)</f>
        <v>0</v>
      </c>
      <c r="L489" s="72">
        <f>SUMIFS([0]!Otro,[0]!Centro,B489,[0]!Turno,L$462)</f>
        <v>0</v>
      </c>
      <c r="M489" s="72">
        <f>SUMIFS([0]!Otro,[0]!Centro,B489,[0]!Turno,M$462)</f>
        <v>0</v>
      </c>
      <c r="N489" s="72">
        <f>SUMIFS([0]!Otro,[0]!Centro,B489,[0]!Turno,N$462)</f>
        <v>0</v>
      </c>
      <c r="O489" s="72">
        <f>SUMIFS([0]!Otro,[0]!Centro,B489,[0]!Turno,O$462)</f>
        <v>0</v>
      </c>
      <c r="P489" s="72">
        <f>SUMIFS([0]!Otro,[0]!Centro,B489,[0]!Turno,P$462)</f>
        <v>0</v>
      </c>
      <c r="Q489" s="72">
        <f>SUMIFS([0]!Otro,[0]!Centro,B489,[0]!Turno,Q$462)</f>
        <v>0</v>
      </c>
      <c r="R489" s="72">
        <f>SUMIFS([0]!Otro,[0]!Centro,B489,[0]!Turno,R$462)</f>
        <v>0</v>
      </c>
      <c r="S489" s="72">
        <f>SUMIFS([0]!Otro,[0]!Centro,B489,[0]!Turno,S$462)</f>
        <v>0</v>
      </c>
      <c r="T489" s="72">
        <f>SUMIFS([0]!Otro,[0]!Centro,B489,[0]!Turno,T$462)</f>
        <v>0</v>
      </c>
      <c r="U489" s="72">
        <f>SUMIFS([0]!Otro,[0]!Centro,B489,[0]!Turno,U$462)</f>
        <v>0</v>
      </c>
      <c r="V489" s="72">
        <f>SUMIFS([0]!Otro,[0]!Centro,B489,[0]!Turno,V$462)</f>
        <v>0</v>
      </c>
      <c r="W489" s="72">
        <f>SUMIFS([0]!Otro,[0]!Centro,B489,[0]!Turno,W$462)</f>
        <v>0</v>
      </c>
      <c r="X489" s="72">
        <f>SUMIFS([0]!Otro,[0]!Centro,B489,[0]!Turno,X$462)</f>
        <v>0</v>
      </c>
      <c r="Y489" s="73">
        <f>SUMIFS([0]!Otro,[0]!Centro,B489,[0]!Turno,Y$462)</f>
        <v>0</v>
      </c>
    </row>
    <row r="490" spans="2:25" ht="15" customHeight="1" x14ac:dyDescent="0.2">
      <c r="B490" s="251"/>
      <c r="C490" s="94">
        <f>E490/SUM(E490:E492)</f>
        <v>0.63915094339622636</v>
      </c>
      <c r="D490" s="63" t="s">
        <v>0</v>
      </c>
      <c r="E490" s="150">
        <f>IF((E487+E488+E489)=0,0,(E487*$B491)/(E487+E488+E489))</f>
        <v>0.2396250148042908</v>
      </c>
      <c r="F490" s="150">
        <f>IF((F487+F488+F489)=0,0,(F487*$B491)/(F487+F488+F489))</f>
        <v>0.32946764866751199</v>
      </c>
      <c r="G490" s="150">
        <f t="shared" ref="G490:Y490" si="1926">IF((G487+G488+G489)=0,0,(G487*$B491)/(G487+G488+G489))</f>
        <v>0.25955408926857043</v>
      </c>
      <c r="H490" s="150">
        <f t="shared" si="1926"/>
        <v>0.281183596707618</v>
      </c>
      <c r="I490" s="150">
        <f t="shared" si="1926"/>
        <v>0.31242621856401998</v>
      </c>
      <c r="J490" s="150">
        <f t="shared" si="1926"/>
        <v>0.16300498359861912</v>
      </c>
      <c r="K490" s="150">
        <f t="shared" si="1926"/>
        <v>0.21511313409325966</v>
      </c>
      <c r="L490" s="150">
        <f t="shared" si="1926"/>
        <v>0.19768058920050718</v>
      </c>
      <c r="M490" s="150">
        <f t="shared" si="1926"/>
        <v>0.18745573113841199</v>
      </c>
      <c r="N490" s="150">
        <f t="shared" si="1926"/>
        <v>0.2561894992224964</v>
      </c>
      <c r="O490" s="150">
        <f t="shared" si="1926"/>
        <v>0.20620130425225319</v>
      </c>
      <c r="P490" s="150">
        <f t="shared" si="1926"/>
        <v>0</v>
      </c>
      <c r="Q490" s="150">
        <f t="shared" si="1926"/>
        <v>0</v>
      </c>
      <c r="R490" s="150">
        <f t="shared" si="1926"/>
        <v>0</v>
      </c>
      <c r="S490" s="150">
        <f t="shared" si="1926"/>
        <v>0</v>
      </c>
      <c r="T490" s="150">
        <f t="shared" si="1926"/>
        <v>0</v>
      </c>
      <c r="U490" s="150">
        <f t="shared" si="1926"/>
        <v>0</v>
      </c>
      <c r="V490" s="150">
        <f t="shared" si="1926"/>
        <v>0</v>
      </c>
      <c r="W490" s="150">
        <f t="shared" si="1926"/>
        <v>0</v>
      </c>
      <c r="X490" s="150">
        <f t="shared" si="1926"/>
        <v>0</v>
      </c>
      <c r="Y490" s="163">
        <f t="shared" si="1926"/>
        <v>0</v>
      </c>
    </row>
    <row r="491" spans="2:25" ht="15" customHeight="1" x14ac:dyDescent="0.2">
      <c r="B491" s="252">
        <v>0.37491146227682398</v>
      </c>
      <c r="C491" s="92">
        <f>E491/SUM(E490:E492)</f>
        <v>0.35849056603773582</v>
      </c>
      <c r="D491" s="61" t="s">
        <v>1</v>
      </c>
      <c r="E491" s="154">
        <f>IF((E487+E488+E489)=0,0,(E488*$B491)/(E487+E488+E489))</f>
        <v>0.13440222232565388</v>
      </c>
      <c r="F491" s="154">
        <f>IF((F487+F488+F489)=0,0,(F488*$B491)/(F487+F488+F489))</f>
        <v>4.5443813609311996E-2</v>
      </c>
      <c r="G491" s="154">
        <f t="shared" ref="G491:O491" si="1927">IF((G487+G488+G489)=0,0,(G488*$B491)/(G487+G488+G489))</f>
        <v>0.11535737300825354</v>
      </c>
      <c r="H491" s="154">
        <f t="shared" si="1927"/>
        <v>9.3727865569205995E-2</v>
      </c>
      <c r="I491" s="154">
        <f t="shared" si="1927"/>
        <v>5.3558780325260569E-2</v>
      </c>
      <c r="J491" s="154">
        <f t="shared" si="1927"/>
        <v>0.21190647867820486</v>
      </c>
      <c r="K491" s="154">
        <f t="shared" si="1927"/>
        <v>0.15979832818356432</v>
      </c>
      <c r="L491" s="154">
        <f t="shared" si="1927"/>
        <v>0.1772308730763168</v>
      </c>
      <c r="M491" s="154">
        <f t="shared" si="1927"/>
        <v>0.18745573113841199</v>
      </c>
      <c r="N491" s="154">
        <f t="shared" si="1927"/>
        <v>0.1187219630543276</v>
      </c>
      <c r="O491" s="154">
        <f t="shared" si="1927"/>
        <v>0.16871015802457079</v>
      </c>
      <c r="P491" s="154">
        <f>IF((P487+P488+P489)=0,0,(P488*$B491)/(P487+P488+P489))</f>
        <v>0</v>
      </c>
      <c r="Q491" s="154">
        <f t="shared" ref="Q491:Y491" si="1928">IF((Q487+Q488+Q489)=0,0,(Q488*$B491)/(Q487+Q488+Q489))</f>
        <v>0</v>
      </c>
      <c r="R491" s="154">
        <f t="shared" si="1928"/>
        <v>0</v>
      </c>
      <c r="S491" s="154">
        <f t="shared" si="1928"/>
        <v>0</v>
      </c>
      <c r="T491" s="154">
        <f t="shared" si="1928"/>
        <v>0</v>
      </c>
      <c r="U491" s="154">
        <f t="shared" si="1928"/>
        <v>0</v>
      </c>
      <c r="V491" s="154">
        <f t="shared" si="1928"/>
        <v>0</v>
      </c>
      <c r="W491" s="154">
        <f t="shared" si="1928"/>
        <v>0</v>
      </c>
      <c r="X491" s="154">
        <f t="shared" si="1928"/>
        <v>0</v>
      </c>
      <c r="Y491" s="159">
        <f t="shared" si="1928"/>
        <v>0</v>
      </c>
    </row>
    <row r="492" spans="2:25" ht="15" customHeight="1" thickBot="1" x14ac:dyDescent="0.25">
      <c r="B492" s="253"/>
      <c r="C492" s="93">
        <f>E492/SUM(E490:E492)</f>
        <v>2.3584905660377362E-3</v>
      </c>
      <c r="D492" s="75" t="s">
        <v>2</v>
      </c>
      <c r="E492" s="155">
        <f>IF((E487+E488+E489)=0,0,(E489*$B491)/(E487+E488+E489))</f>
        <v>8.8422514687930189E-4</v>
      </c>
      <c r="F492" s="155">
        <f>IF((F487+F488+F489)=0,0,(F489*$B491)/(F487+F488+F489))</f>
        <v>0</v>
      </c>
      <c r="G492" s="155">
        <f t="shared" ref="G492:Y492" si="1929">IF((G487+G488+G489)=0,0,(G489*$B491)/(G487+G488+G489))</f>
        <v>0</v>
      </c>
      <c r="H492" s="155">
        <f t="shared" si="1929"/>
        <v>0</v>
      </c>
      <c r="I492" s="155">
        <f t="shared" si="1929"/>
        <v>8.9264633875434287E-3</v>
      </c>
      <c r="J492" s="155">
        <f t="shared" si="1929"/>
        <v>0</v>
      </c>
      <c r="K492" s="155">
        <f t="shared" si="1929"/>
        <v>0</v>
      </c>
      <c r="L492" s="155">
        <f t="shared" si="1929"/>
        <v>0</v>
      </c>
      <c r="M492" s="155">
        <f t="shared" si="1929"/>
        <v>0</v>
      </c>
      <c r="N492" s="155">
        <f t="shared" si="1929"/>
        <v>0</v>
      </c>
      <c r="O492" s="155">
        <f t="shared" si="1929"/>
        <v>0</v>
      </c>
      <c r="P492" s="155">
        <f t="shared" si="1929"/>
        <v>0</v>
      </c>
      <c r="Q492" s="155">
        <f t="shared" si="1929"/>
        <v>0</v>
      </c>
      <c r="R492" s="155">
        <f t="shared" si="1929"/>
        <v>0</v>
      </c>
      <c r="S492" s="155">
        <f t="shared" si="1929"/>
        <v>0</v>
      </c>
      <c r="T492" s="155">
        <f t="shared" si="1929"/>
        <v>0</v>
      </c>
      <c r="U492" s="155">
        <f t="shared" si="1929"/>
        <v>0</v>
      </c>
      <c r="V492" s="155">
        <f t="shared" si="1929"/>
        <v>0</v>
      </c>
      <c r="W492" s="155">
        <f t="shared" si="1929"/>
        <v>0</v>
      </c>
      <c r="X492" s="155">
        <f t="shared" si="1929"/>
        <v>0</v>
      </c>
      <c r="Y492" s="160">
        <f t="shared" si="1929"/>
        <v>0</v>
      </c>
    </row>
    <row r="493" spans="2:25" ht="15" customHeight="1" thickBot="1" x14ac:dyDescent="0.25">
      <c r="B493" s="18" t="s">
        <v>3</v>
      </c>
      <c r="C493" s="24" t="s">
        <v>226</v>
      </c>
      <c r="D493" s="25" t="s">
        <v>4</v>
      </c>
      <c r="E493" s="18" t="s">
        <v>225</v>
      </c>
      <c r="F493" s="19">
        <v>1</v>
      </c>
      <c r="G493" s="19">
        <v>2</v>
      </c>
      <c r="H493" s="19">
        <v>3</v>
      </c>
      <c r="I493" s="19">
        <v>4</v>
      </c>
      <c r="J493" s="19">
        <v>5</v>
      </c>
      <c r="K493" s="19">
        <v>6</v>
      </c>
      <c r="L493" s="19">
        <v>7</v>
      </c>
      <c r="M493" s="19">
        <v>8</v>
      </c>
      <c r="N493" s="19">
        <v>9</v>
      </c>
      <c r="O493" s="19">
        <v>10</v>
      </c>
      <c r="P493" s="19">
        <v>11</v>
      </c>
      <c r="Q493" s="19">
        <v>12</v>
      </c>
      <c r="R493" s="19">
        <v>13</v>
      </c>
      <c r="S493" s="19">
        <v>14</v>
      </c>
      <c r="T493" s="19">
        <v>15</v>
      </c>
      <c r="U493" s="19">
        <v>16</v>
      </c>
      <c r="V493" s="19">
        <v>17</v>
      </c>
      <c r="W493" s="19">
        <v>18</v>
      </c>
      <c r="X493" s="19">
        <v>19</v>
      </c>
      <c r="Y493" s="19">
        <v>20</v>
      </c>
    </row>
    <row r="494" spans="2:25" ht="15" customHeight="1" x14ac:dyDescent="0.2">
      <c r="B494" s="246" t="s">
        <v>100</v>
      </c>
      <c r="C494" s="95">
        <f>E494/SUM(E494:E496)</f>
        <v>0.58238636363636365</v>
      </c>
      <c r="D494" s="81" t="s">
        <v>0</v>
      </c>
      <c r="E494" s="82">
        <f>SUM(F494:Y494)</f>
        <v>615</v>
      </c>
      <c r="F494" s="82">
        <f t="shared" ref="F494:Y494" si="1930">SUM(F500,F506,F512,F518,F524)</f>
        <v>90</v>
      </c>
      <c r="G494" s="82">
        <f t="shared" si="1930"/>
        <v>15</v>
      </c>
      <c r="H494" s="82">
        <f t="shared" si="1930"/>
        <v>13</v>
      </c>
      <c r="I494" s="82">
        <f t="shared" si="1930"/>
        <v>40</v>
      </c>
      <c r="J494" s="82">
        <f t="shared" si="1930"/>
        <v>101</v>
      </c>
      <c r="K494" s="82">
        <f t="shared" si="1930"/>
        <v>111</v>
      </c>
      <c r="L494" s="82">
        <f t="shared" si="1930"/>
        <v>107</v>
      </c>
      <c r="M494" s="82">
        <f t="shared" si="1930"/>
        <v>72</v>
      </c>
      <c r="N494" s="82">
        <f t="shared" si="1930"/>
        <v>66</v>
      </c>
      <c r="O494" s="82">
        <f t="shared" si="1930"/>
        <v>0</v>
      </c>
      <c r="P494" s="82">
        <f t="shared" ref="P494:P499" si="1931">SUM(P500,P506,P512,P518,P524)</f>
        <v>0</v>
      </c>
      <c r="Q494" s="82">
        <f t="shared" si="1930"/>
        <v>0</v>
      </c>
      <c r="R494" s="82">
        <f t="shared" si="1930"/>
        <v>0</v>
      </c>
      <c r="S494" s="82">
        <f t="shared" si="1930"/>
        <v>0</v>
      </c>
      <c r="T494" s="82">
        <f t="shared" si="1930"/>
        <v>0</v>
      </c>
      <c r="U494" s="82">
        <f t="shared" si="1930"/>
        <v>0</v>
      </c>
      <c r="V494" s="82">
        <f t="shared" si="1930"/>
        <v>0</v>
      </c>
      <c r="W494" s="82">
        <f t="shared" si="1930"/>
        <v>0</v>
      </c>
      <c r="X494" s="82">
        <f t="shared" si="1930"/>
        <v>0</v>
      </c>
      <c r="Y494" s="83">
        <f t="shared" si="1930"/>
        <v>0</v>
      </c>
    </row>
    <row r="495" spans="2:25" ht="15" customHeight="1" x14ac:dyDescent="0.2">
      <c r="B495" s="247"/>
      <c r="C495" s="96">
        <f>E495/SUM(E494:E496)</f>
        <v>0.40814393939393939</v>
      </c>
      <c r="D495" s="79" t="s">
        <v>1</v>
      </c>
      <c r="E495" s="80">
        <f t="shared" ref="E495:E526" si="1932">SUM(F495:Y495)</f>
        <v>431</v>
      </c>
      <c r="F495" s="80">
        <f t="shared" ref="F495:Y495" si="1933">SUM(F501,F507,F513,F519,F525)</f>
        <v>69</v>
      </c>
      <c r="G495" s="80">
        <f t="shared" si="1933"/>
        <v>0</v>
      </c>
      <c r="H495" s="80">
        <f t="shared" si="1933"/>
        <v>4</v>
      </c>
      <c r="I495" s="80">
        <f t="shared" si="1933"/>
        <v>39</v>
      </c>
      <c r="J495" s="80">
        <f t="shared" si="1933"/>
        <v>59</v>
      </c>
      <c r="K495" s="80">
        <f t="shared" si="1933"/>
        <v>75</v>
      </c>
      <c r="L495" s="80">
        <f t="shared" si="1933"/>
        <v>62</v>
      </c>
      <c r="M495" s="80">
        <f t="shared" si="1933"/>
        <v>57</v>
      </c>
      <c r="N495" s="80">
        <f t="shared" si="1933"/>
        <v>66</v>
      </c>
      <c r="O495" s="80">
        <f t="shared" si="1933"/>
        <v>0</v>
      </c>
      <c r="P495" s="80">
        <f t="shared" si="1931"/>
        <v>0</v>
      </c>
      <c r="Q495" s="80">
        <f t="shared" si="1933"/>
        <v>0</v>
      </c>
      <c r="R495" s="80">
        <f t="shared" si="1933"/>
        <v>0</v>
      </c>
      <c r="S495" s="80">
        <f t="shared" si="1933"/>
        <v>0</v>
      </c>
      <c r="T495" s="80">
        <f t="shared" si="1933"/>
        <v>0</v>
      </c>
      <c r="U495" s="80">
        <f t="shared" si="1933"/>
        <v>0</v>
      </c>
      <c r="V495" s="80">
        <f t="shared" si="1933"/>
        <v>0</v>
      </c>
      <c r="W495" s="80">
        <f t="shared" si="1933"/>
        <v>0</v>
      </c>
      <c r="X495" s="80">
        <f t="shared" si="1933"/>
        <v>0</v>
      </c>
      <c r="Y495" s="84">
        <f t="shared" si="1933"/>
        <v>0</v>
      </c>
    </row>
    <row r="496" spans="2:25" ht="15" customHeight="1" thickBot="1" x14ac:dyDescent="0.25">
      <c r="B496" s="247"/>
      <c r="C496" s="97">
        <f>E496/SUM(E494:E496)</f>
        <v>9.46969696969697E-3</v>
      </c>
      <c r="D496" s="86" t="s">
        <v>2</v>
      </c>
      <c r="E496" s="87">
        <f t="shared" si="1932"/>
        <v>10</v>
      </c>
      <c r="F496" s="87">
        <f t="shared" ref="F496:Y496" si="1934">SUM(F502,F508,F514,F520,F526)</f>
        <v>4</v>
      </c>
      <c r="G496" s="87">
        <f t="shared" si="1934"/>
        <v>0</v>
      </c>
      <c r="H496" s="87">
        <f t="shared" si="1934"/>
        <v>0</v>
      </c>
      <c r="I496" s="87">
        <f t="shared" si="1934"/>
        <v>0</v>
      </c>
      <c r="J496" s="87">
        <f t="shared" si="1934"/>
        <v>0</v>
      </c>
      <c r="K496" s="87">
        <f t="shared" si="1934"/>
        <v>0</v>
      </c>
      <c r="L496" s="87">
        <f t="shared" si="1934"/>
        <v>3</v>
      </c>
      <c r="M496" s="87">
        <f t="shared" si="1934"/>
        <v>3</v>
      </c>
      <c r="N496" s="87">
        <f t="shared" si="1934"/>
        <v>0</v>
      </c>
      <c r="O496" s="87">
        <f t="shared" si="1934"/>
        <v>0</v>
      </c>
      <c r="P496" s="87">
        <f t="shared" si="1931"/>
        <v>0</v>
      </c>
      <c r="Q496" s="87">
        <f t="shared" si="1934"/>
        <v>0</v>
      </c>
      <c r="R496" s="87">
        <f t="shared" si="1934"/>
        <v>0</v>
      </c>
      <c r="S496" s="87">
        <f t="shared" si="1934"/>
        <v>0</v>
      </c>
      <c r="T496" s="87">
        <f t="shared" si="1934"/>
        <v>0</v>
      </c>
      <c r="U496" s="87">
        <f t="shared" si="1934"/>
        <v>0</v>
      </c>
      <c r="V496" s="87">
        <f t="shared" si="1934"/>
        <v>0</v>
      </c>
      <c r="W496" s="87">
        <f t="shared" si="1934"/>
        <v>0</v>
      </c>
      <c r="X496" s="87">
        <f t="shared" si="1934"/>
        <v>0</v>
      </c>
      <c r="Y496" s="88">
        <f t="shared" si="1934"/>
        <v>0</v>
      </c>
    </row>
    <row r="497" spans="2:25" ht="15" customHeight="1" x14ac:dyDescent="0.2">
      <c r="B497" s="247"/>
      <c r="C497" s="98">
        <f>E497/SUM(E497:E499)</f>
        <v>0.57337724825184022</v>
      </c>
      <c r="D497" s="85" t="s">
        <v>0</v>
      </c>
      <c r="E497" s="151">
        <f t="shared" ref="E497" si="1935">SUM(E503,E509,E515,E521,E527)</f>
        <v>0.57337724825183956</v>
      </c>
      <c r="F497" s="151">
        <f t="shared" ref="F497:Y497" si="1936">SUM(F503,F509,F515,F521,F527)</f>
        <v>0.46112174604503076</v>
      </c>
      <c r="G497" s="151">
        <f t="shared" si="1936"/>
        <v>0.147477069519211</v>
      </c>
      <c r="H497" s="151">
        <f t="shared" si="1936"/>
        <v>0.31398261153339629</v>
      </c>
      <c r="I497" s="151">
        <f t="shared" si="1936"/>
        <v>0.35459600132823899</v>
      </c>
      <c r="J497" s="151">
        <f t="shared" si="1936"/>
        <v>0.65209038664436791</v>
      </c>
      <c r="K497" s="151">
        <f t="shared" si="1936"/>
        <v>0.56524103013867999</v>
      </c>
      <c r="L497" s="151">
        <f t="shared" si="1936"/>
        <v>0.66032077131511979</v>
      </c>
      <c r="M497" s="151">
        <f t="shared" si="1936"/>
        <v>0.5264816689808921</v>
      </c>
      <c r="N497" s="151">
        <f t="shared" si="1936"/>
        <v>0.50116526277431617</v>
      </c>
      <c r="O497" s="151">
        <f t="shared" si="1936"/>
        <v>0</v>
      </c>
      <c r="P497" s="151">
        <f t="shared" si="1931"/>
        <v>0</v>
      </c>
      <c r="Q497" s="151">
        <f t="shared" si="1936"/>
        <v>0</v>
      </c>
      <c r="R497" s="151">
        <f t="shared" si="1936"/>
        <v>0</v>
      </c>
      <c r="S497" s="151">
        <f t="shared" si="1936"/>
        <v>0</v>
      </c>
      <c r="T497" s="151">
        <f t="shared" si="1936"/>
        <v>0</v>
      </c>
      <c r="U497" s="151">
        <f t="shared" si="1936"/>
        <v>0</v>
      </c>
      <c r="V497" s="151">
        <f t="shared" si="1936"/>
        <v>0</v>
      </c>
      <c r="W497" s="151">
        <f t="shared" si="1936"/>
        <v>0</v>
      </c>
      <c r="X497" s="151">
        <f t="shared" si="1936"/>
        <v>0</v>
      </c>
      <c r="Y497" s="156">
        <f t="shared" si="1936"/>
        <v>0</v>
      </c>
    </row>
    <row r="498" spans="2:25" ht="15" customHeight="1" x14ac:dyDescent="0.2">
      <c r="B498" s="247"/>
      <c r="C498" s="96">
        <f>E498/SUM(E497:E499)</f>
        <v>0.41742189991798734</v>
      </c>
      <c r="D498" s="79" t="s">
        <v>1</v>
      </c>
      <c r="E498" s="152">
        <f t="shared" ref="E498" si="1937">SUM(E504,E510,E516,E522,E528)</f>
        <v>0.41742189991798689</v>
      </c>
      <c r="F498" s="152">
        <f t="shared" ref="F498:Y498" si="1938">SUM(F504,F510,F516,F522,F528)</f>
        <v>0.27971646922882015</v>
      </c>
      <c r="G498" s="152">
        <f t="shared" si="1938"/>
        <v>0</v>
      </c>
      <c r="H498" s="152">
        <f t="shared" si="1938"/>
        <v>7.996824677124971E-2</v>
      </c>
      <c r="I498" s="152">
        <f t="shared" si="1938"/>
        <v>0.26789435285238505</v>
      </c>
      <c r="J498" s="152">
        <f t="shared" si="1938"/>
        <v>0.34790961335563103</v>
      </c>
      <c r="K498" s="152">
        <f t="shared" si="1938"/>
        <v>0.43475896986131901</v>
      </c>
      <c r="L498" s="152">
        <f t="shared" si="1938"/>
        <v>0.32939013081144591</v>
      </c>
      <c r="M498" s="152">
        <f t="shared" si="1938"/>
        <v>0.45353396976623378</v>
      </c>
      <c r="N498" s="152">
        <f t="shared" si="1938"/>
        <v>0.49883473722568278</v>
      </c>
      <c r="O498" s="152">
        <f t="shared" si="1938"/>
        <v>0</v>
      </c>
      <c r="P498" s="152">
        <f t="shared" si="1931"/>
        <v>0</v>
      </c>
      <c r="Q498" s="152">
        <f t="shared" si="1938"/>
        <v>0</v>
      </c>
      <c r="R498" s="152">
        <f t="shared" si="1938"/>
        <v>0</v>
      </c>
      <c r="S498" s="152">
        <f t="shared" si="1938"/>
        <v>0</v>
      </c>
      <c r="T498" s="152">
        <f t="shared" si="1938"/>
        <v>0</v>
      </c>
      <c r="U498" s="152">
        <f t="shared" si="1938"/>
        <v>0</v>
      </c>
      <c r="V498" s="152">
        <f t="shared" si="1938"/>
        <v>0</v>
      </c>
      <c r="W498" s="152">
        <f t="shared" si="1938"/>
        <v>0</v>
      </c>
      <c r="X498" s="152">
        <f t="shared" si="1938"/>
        <v>0</v>
      </c>
      <c r="Y498" s="157">
        <f t="shared" si="1938"/>
        <v>0</v>
      </c>
    </row>
    <row r="499" spans="2:25" ht="15" customHeight="1" thickBot="1" x14ac:dyDescent="0.25">
      <c r="B499" s="248"/>
      <c r="C499" s="99">
        <f>E499/SUM(E497:E499)</f>
        <v>9.2008518301725482E-3</v>
      </c>
      <c r="D499" s="89" t="s">
        <v>2</v>
      </c>
      <c r="E499" s="153">
        <f t="shared" ref="E499" si="1939">SUM(E505,E511,E517,E523,E529)</f>
        <v>9.2008518301725378E-3</v>
      </c>
      <c r="F499" s="153">
        <f t="shared" ref="F499:Y499" si="1940">SUM(F505,F511,F517,F523,F529)</f>
        <v>1.268799594071315E-2</v>
      </c>
      <c r="G499" s="153">
        <f t="shared" si="1940"/>
        <v>0</v>
      </c>
      <c r="H499" s="153">
        <f t="shared" si="1940"/>
        <v>0</v>
      </c>
      <c r="I499" s="153">
        <f t="shared" si="1940"/>
        <v>0</v>
      </c>
      <c r="J499" s="153">
        <f t="shared" si="1940"/>
        <v>0</v>
      </c>
      <c r="K499" s="153">
        <f t="shared" si="1940"/>
        <v>0</v>
      </c>
      <c r="L499" s="153">
        <f t="shared" si="1940"/>
        <v>1.0289097873433324E-2</v>
      </c>
      <c r="M499" s="153">
        <f t="shared" si="1940"/>
        <v>1.9984361252873107E-2</v>
      </c>
      <c r="N499" s="153">
        <f t="shared" si="1940"/>
        <v>0</v>
      </c>
      <c r="O499" s="153">
        <f t="shared" si="1940"/>
        <v>0</v>
      </c>
      <c r="P499" s="153">
        <f t="shared" si="1931"/>
        <v>0</v>
      </c>
      <c r="Q499" s="153">
        <f t="shared" si="1940"/>
        <v>0</v>
      </c>
      <c r="R499" s="153">
        <f t="shared" si="1940"/>
        <v>0</v>
      </c>
      <c r="S499" s="153">
        <f t="shared" si="1940"/>
        <v>0</v>
      </c>
      <c r="T499" s="153">
        <f t="shared" si="1940"/>
        <v>0</v>
      </c>
      <c r="U499" s="153">
        <f t="shared" si="1940"/>
        <v>0</v>
      </c>
      <c r="V499" s="153">
        <f t="shared" si="1940"/>
        <v>0</v>
      </c>
      <c r="W499" s="153">
        <f t="shared" si="1940"/>
        <v>0</v>
      </c>
      <c r="X499" s="153">
        <f t="shared" si="1940"/>
        <v>0</v>
      </c>
      <c r="Y499" s="158">
        <f t="shared" si="1940"/>
        <v>0</v>
      </c>
    </row>
    <row r="500" spans="2:25" ht="15" customHeight="1" x14ac:dyDescent="0.2">
      <c r="B500" s="249" t="s">
        <v>172</v>
      </c>
      <c r="C500" s="91">
        <f>E500/SUM(E500:E502)</f>
        <v>0.53804347826086951</v>
      </c>
      <c r="D500" s="67" t="s">
        <v>0</v>
      </c>
      <c r="E500" s="68">
        <f t="shared" si="1932"/>
        <v>99</v>
      </c>
      <c r="F500" s="68">
        <f>SUMIFS([0]!Chavez,[0]!Centro,B502,[0]!Turno,F$493)</f>
        <v>30</v>
      </c>
      <c r="G500" s="68">
        <f>SUMIFS([0]!Chavez,[0]!Centro,B502,[0]!Turno,G$493)</f>
        <v>0</v>
      </c>
      <c r="H500" s="68">
        <f>SUMIFS([0]!Chavez,[0]!Centro,B502,[0]!Turno,H$493)</f>
        <v>0</v>
      </c>
      <c r="I500" s="68">
        <f>SUMIFS([0]!Chavez,[0]!Centro,B502,[0]!Turno,I$493)</f>
        <v>0</v>
      </c>
      <c r="J500" s="68">
        <f>SUMIFS([0]!Chavez,[0]!Centro,B502,[0]!Turno,J$493)</f>
        <v>25</v>
      </c>
      <c r="K500" s="68">
        <f>SUMIFS([0]!Chavez,[0]!Centro,B502,[0]!Turno,K$493)</f>
        <v>12</v>
      </c>
      <c r="L500" s="68">
        <f>SUMIFS([0]!Chavez,[0]!Centro,B502,[0]!Turno,L$493)</f>
        <v>20</v>
      </c>
      <c r="M500" s="68">
        <f>SUMIFS([0]!Chavez,[0]!Centro,B502,[0]!Turno,M$493)</f>
        <v>7</v>
      </c>
      <c r="N500" s="68">
        <f>SUMIFS([0]!Chavez,[0]!Centro,B502,[0]!Turno,N$493)</f>
        <v>5</v>
      </c>
      <c r="O500" s="68">
        <f>SUMIFS([0]!Chavez,[0]!Centro,B502,[0]!Turno,O$493)</f>
        <v>0</v>
      </c>
      <c r="P500" s="68">
        <f>SUMIFS([0]!Chavez,[0]!Centro,B502,[0]!Turno,P$493)</f>
        <v>0</v>
      </c>
      <c r="Q500" s="68">
        <f>SUMIFS([0]!Chavez,[0]!Centro,B502,[0]!Turno,Q$493)</f>
        <v>0</v>
      </c>
      <c r="R500" s="68">
        <f>SUMIFS([0]!Chavez,[0]!Centro,B502,[0]!Turno,R$493)</f>
        <v>0</v>
      </c>
      <c r="S500" s="68">
        <f>SUMIFS([0]!Chavez,[0]!Centro,B502,[0]!Turno,S$493)</f>
        <v>0</v>
      </c>
      <c r="T500" s="68">
        <f>SUMIFS([0]!Chavez,[0]!Centro,B502,[0]!Turno,T$493)</f>
        <v>0</v>
      </c>
      <c r="U500" s="68">
        <f>SUMIFS([0]!Chavez,[0]!Centro,B502,[0]!Turno,U$493)</f>
        <v>0</v>
      </c>
      <c r="V500" s="68">
        <f>SUMIFS([0]!Chavez,[0]!Centro,B502,[0]!Turno,V$493)</f>
        <v>0</v>
      </c>
      <c r="W500" s="68">
        <f>SUMIFS([0]!Chavez,[0]!Centro,B502,[0]!Turno,W$493)</f>
        <v>0</v>
      </c>
      <c r="X500" s="68">
        <f>SUMIFS([0]!Chavez,[0]!Centro,B502,[0]!Turno,X$493)</f>
        <v>0</v>
      </c>
      <c r="Y500" s="69">
        <f>SUMIFS([0]!Chavez,[0]!Centro,B502,[0]!Turno,Y$493)</f>
        <v>0</v>
      </c>
    </row>
    <row r="501" spans="2:25" ht="15" customHeight="1" x14ac:dyDescent="0.2">
      <c r="B501" s="250"/>
      <c r="C501" s="92">
        <f>E501/SUM(E500:E502)</f>
        <v>0.45652173913043476</v>
      </c>
      <c r="D501" s="61" t="s">
        <v>1</v>
      </c>
      <c r="E501" s="62">
        <f t="shared" si="1932"/>
        <v>84</v>
      </c>
      <c r="F501" s="62">
        <f>SUMIFS([0]!Capriles,[0]!Centro,B502,[0]!Turno,F$493)</f>
        <v>22</v>
      </c>
      <c r="G501" s="62">
        <f>SUMIFS([0]!Capriles,[0]!Centro,B502,[0]!Turno,G$493)</f>
        <v>0</v>
      </c>
      <c r="H501" s="62">
        <f>SUMIFS([0]!Capriles,[0]!Centro,B502,[0]!Turno,H$493)</f>
        <v>0</v>
      </c>
      <c r="I501" s="62">
        <f>SUMIFS([0]!Capriles,[0]!Centro,B502,[0]!Turno,I$493)</f>
        <v>0</v>
      </c>
      <c r="J501" s="62">
        <f>SUMIFS([0]!Capriles,[0]!Centro,B502,[0]!Turno,J$493)</f>
        <v>15</v>
      </c>
      <c r="K501" s="62">
        <f>SUMIFS([0]!Capriles,[0]!Centro,B502,[0]!Turno,K$493)</f>
        <v>16</v>
      </c>
      <c r="L501" s="62">
        <f>SUMIFS([0]!Capriles,[0]!Centro,B502,[0]!Turno,L$493)</f>
        <v>16</v>
      </c>
      <c r="M501" s="62">
        <f>SUMIFS([0]!Capriles,[0]!Centro,B502,[0]!Turno,M$493)</f>
        <v>9</v>
      </c>
      <c r="N501" s="62">
        <f>SUMIFS([0]!Capriles,[0]!Centro,B502,[0]!Turno,N$493)</f>
        <v>6</v>
      </c>
      <c r="O501" s="62">
        <f>SUMIFS([0]!Capriles,[0]!Centro,B502,[0]!Turno,O$493)</f>
        <v>0</v>
      </c>
      <c r="P501" s="62">
        <f>SUMIFS([0]!Capriles,[0]!Centro,B502,[0]!Turno,P$493)</f>
        <v>0</v>
      </c>
      <c r="Q501" s="62">
        <f>SUMIFS([0]!Capriles,[0]!Centro,B502,[0]!Turno,Q$493)</f>
        <v>0</v>
      </c>
      <c r="R501" s="62">
        <f>SUMIFS([0]!Capriles,[0]!Centro,B502,[0]!Turno,R$493)</f>
        <v>0</v>
      </c>
      <c r="S501" s="62">
        <f>SUMIFS([0]!Capriles,[0]!Centro,B502,[0]!Turno,S$493)</f>
        <v>0</v>
      </c>
      <c r="T501" s="62">
        <f>SUMIFS([0]!Capriles,[0]!Centro,B502,[0]!Turno,T$493)</f>
        <v>0</v>
      </c>
      <c r="U501" s="62">
        <f>SUMIFS([0]!Capriles,[0]!Centro,B502,[0]!Turno,U$493)</f>
        <v>0</v>
      </c>
      <c r="V501" s="62">
        <f>SUMIFS([0]!Capriles,[0]!Centro,B502,[0]!Turno,V$493)</f>
        <v>0</v>
      </c>
      <c r="W501" s="62">
        <f>SUMIFS([0]!Capriles,[0]!Centro,B502,[0]!Turno,W$493)</f>
        <v>0</v>
      </c>
      <c r="X501" s="62">
        <f>SUMIFS([0]!Capriles,[0]!Centro,B502,[0]!Turno,X$493)</f>
        <v>0</v>
      </c>
      <c r="Y501" s="70">
        <f>SUMIFS([0]!Capriles,[0]!Centro,B502,[0]!Turno,Y$493)</f>
        <v>0</v>
      </c>
    </row>
    <row r="502" spans="2:25" ht="15" customHeight="1" thickBot="1" x14ac:dyDescent="0.25">
      <c r="B502" s="251">
        <v>68</v>
      </c>
      <c r="C502" s="100">
        <f>E502/SUM(E500:E502)</f>
        <v>5.434782608695652E-3</v>
      </c>
      <c r="D502" s="71" t="s">
        <v>2</v>
      </c>
      <c r="E502" s="72">
        <f t="shared" si="1932"/>
        <v>1</v>
      </c>
      <c r="F502" s="72">
        <f>SUMIFS([0]!Otro,[0]!Centro,B502,[0]!Turno,F$493)</f>
        <v>1</v>
      </c>
      <c r="G502" s="72">
        <f>SUMIFS([0]!Otro,[0]!Centro,B502,[0]!Turno,G$493)</f>
        <v>0</v>
      </c>
      <c r="H502" s="72">
        <f>SUMIFS([0]!Otro,[0]!Centro,B502,[0]!Turno,H$493)</f>
        <v>0</v>
      </c>
      <c r="I502" s="72">
        <f>SUMIFS([0]!Otro,[0]!Centro,B502,[0]!Turno,I$493)</f>
        <v>0</v>
      </c>
      <c r="J502" s="72">
        <f>SUMIFS([0]!Otro,[0]!Centro,B502,[0]!Turno,J$493)</f>
        <v>0</v>
      </c>
      <c r="K502" s="72">
        <f>SUMIFS([0]!Otro,[0]!Centro,B502,[0]!Turno,K$493)</f>
        <v>0</v>
      </c>
      <c r="L502" s="72">
        <f>SUMIFS([0]!Otro,[0]!Centro,B502,[0]!Turno,L$493)</f>
        <v>0</v>
      </c>
      <c r="M502" s="72">
        <f>SUMIFS([0]!Otro,[0]!Centro,B502,[0]!Turno,M$493)</f>
        <v>0</v>
      </c>
      <c r="N502" s="72">
        <f>SUMIFS([0]!Otro,[0]!Centro,B502,[0]!Turno,N$493)</f>
        <v>0</v>
      </c>
      <c r="O502" s="72">
        <f>SUMIFS([0]!Otro,[0]!Centro,B502,[0]!Turno,O$493)</f>
        <v>0</v>
      </c>
      <c r="P502" s="72">
        <f>SUMIFS([0]!Otro,[0]!Centro,B502,[0]!Turno,P$493)</f>
        <v>0</v>
      </c>
      <c r="Q502" s="72">
        <f>SUMIFS([0]!Otro,[0]!Centro,B502,[0]!Turno,Q$493)</f>
        <v>0</v>
      </c>
      <c r="R502" s="72">
        <f>SUMIFS([0]!Otro,[0]!Centro,B502,[0]!Turno,R$493)</f>
        <v>0</v>
      </c>
      <c r="S502" s="72">
        <f>SUMIFS([0]!Otro,[0]!Centro,B502,[0]!Turno,S$493)</f>
        <v>0</v>
      </c>
      <c r="T502" s="72">
        <f>SUMIFS([0]!Otro,[0]!Centro,B502,[0]!Turno,T$493)</f>
        <v>0</v>
      </c>
      <c r="U502" s="72">
        <f>SUMIFS([0]!Otro,[0]!Centro,B502,[0]!Turno,U$493)</f>
        <v>0</v>
      </c>
      <c r="V502" s="72">
        <f>SUMIFS([0]!Otro,[0]!Centro,B502,[0]!Turno,V$493)</f>
        <v>0</v>
      </c>
      <c r="W502" s="72">
        <f>SUMIFS([0]!Otro,[0]!Centro,B502,[0]!Turno,W$493)</f>
        <v>0</v>
      </c>
      <c r="X502" s="72">
        <f>SUMIFS([0]!Otro,[0]!Centro,B502,[0]!Turno,X$493)</f>
        <v>0</v>
      </c>
      <c r="Y502" s="73">
        <f>SUMIFS([0]!Otro,[0]!Centro,B502,[0]!Turno,Y$493)</f>
        <v>0</v>
      </c>
    </row>
    <row r="503" spans="2:25" ht="15" customHeight="1" x14ac:dyDescent="0.2">
      <c r="B503" s="251"/>
      <c r="C503" s="94">
        <f>E503/SUM(E503:E505)</f>
        <v>0.53804347826086962</v>
      </c>
      <c r="D503" s="63" t="s">
        <v>0</v>
      </c>
      <c r="E503" s="150">
        <f>IF((E500+E501+E502)=0,0,(E500*$B504)/(E500+E501+E502))</f>
        <v>0.1237675274658491</v>
      </c>
      <c r="F503" s="150">
        <f>IF((F500+F501+F502)=0,0,(F500*$B504)/(F500+F501+F502))</f>
        <v>0.13020711866047019</v>
      </c>
      <c r="G503" s="150">
        <f t="shared" ref="G503:Y503" si="1941">IF((G500+G501+G502)=0,0,(G500*$B504)/(G500+G501+G502))</f>
        <v>0</v>
      </c>
      <c r="H503" s="150">
        <f t="shared" si="1941"/>
        <v>0</v>
      </c>
      <c r="I503" s="150">
        <f t="shared" si="1941"/>
        <v>0</v>
      </c>
      <c r="J503" s="150">
        <f t="shared" si="1941"/>
        <v>0.1437703601876025</v>
      </c>
      <c r="K503" s="150">
        <f t="shared" si="1941"/>
        <v>9.8585389842927418E-2</v>
      </c>
      <c r="L503" s="150">
        <f t="shared" si="1941"/>
        <v>0.12779587572231332</v>
      </c>
      <c r="M503" s="150">
        <f t="shared" si="1941"/>
        <v>0.10063925213132174</v>
      </c>
      <c r="N503" s="150">
        <f t="shared" si="1941"/>
        <v>0.10456026195462</v>
      </c>
      <c r="O503" s="150">
        <f t="shared" si="1941"/>
        <v>0</v>
      </c>
      <c r="P503" s="150">
        <f t="shared" si="1941"/>
        <v>0</v>
      </c>
      <c r="Q503" s="150">
        <f t="shared" si="1941"/>
        <v>0</v>
      </c>
      <c r="R503" s="150">
        <f t="shared" si="1941"/>
        <v>0</v>
      </c>
      <c r="S503" s="150">
        <f t="shared" si="1941"/>
        <v>0</v>
      </c>
      <c r="T503" s="150">
        <f t="shared" si="1941"/>
        <v>0</v>
      </c>
      <c r="U503" s="150">
        <f t="shared" si="1941"/>
        <v>0</v>
      </c>
      <c r="V503" s="150">
        <f t="shared" si="1941"/>
        <v>0</v>
      </c>
      <c r="W503" s="150">
        <f t="shared" si="1941"/>
        <v>0</v>
      </c>
      <c r="X503" s="150">
        <f t="shared" si="1941"/>
        <v>0</v>
      </c>
      <c r="Y503" s="163">
        <f t="shared" si="1941"/>
        <v>0</v>
      </c>
    </row>
    <row r="504" spans="2:25" ht="15" customHeight="1" x14ac:dyDescent="0.2">
      <c r="B504" s="252">
        <v>0.23003257630016399</v>
      </c>
      <c r="C504" s="92">
        <f>E504/SUM(E503:E505)</f>
        <v>0.45652173913043481</v>
      </c>
      <c r="D504" s="61" t="s">
        <v>1</v>
      </c>
      <c r="E504" s="154">
        <f>IF((E500+E501+E502)=0,0,(E501*$B504)/(E500+E501+E502))</f>
        <v>0.10501487178920529</v>
      </c>
      <c r="F504" s="154">
        <f>IF((F500+F501+F502)=0,0,(F501*$B504)/(F500+F501+F502))</f>
        <v>9.5485220351011479E-2</v>
      </c>
      <c r="G504" s="154">
        <f t="shared" ref="G504:O504" si="1942">IF((G500+G501+G502)=0,0,(G501*$B504)/(G500+G501+G502))</f>
        <v>0</v>
      </c>
      <c r="H504" s="154">
        <f t="shared" si="1942"/>
        <v>0</v>
      </c>
      <c r="I504" s="154">
        <f t="shared" si="1942"/>
        <v>0</v>
      </c>
      <c r="J504" s="154">
        <f t="shared" si="1942"/>
        <v>8.6262216112561491E-2</v>
      </c>
      <c r="K504" s="154">
        <f t="shared" si="1942"/>
        <v>0.13144718645723658</v>
      </c>
      <c r="L504" s="154">
        <f t="shared" si="1942"/>
        <v>0.10223670057785067</v>
      </c>
      <c r="M504" s="154">
        <f t="shared" si="1942"/>
        <v>0.12939332416884225</v>
      </c>
      <c r="N504" s="154">
        <f t="shared" si="1942"/>
        <v>0.12547231434554398</v>
      </c>
      <c r="O504" s="154">
        <f t="shared" si="1942"/>
        <v>0</v>
      </c>
      <c r="P504" s="154">
        <f>IF((P500+P501+P502)=0,0,(P501*$B504)/(P500+P501+P502))</f>
        <v>0</v>
      </c>
      <c r="Q504" s="154">
        <f t="shared" ref="Q504:Y504" si="1943">IF((Q500+Q501+Q502)=0,0,(Q501*$B504)/(Q500+Q501+Q502))</f>
        <v>0</v>
      </c>
      <c r="R504" s="154">
        <f t="shared" si="1943"/>
        <v>0</v>
      </c>
      <c r="S504" s="154">
        <f t="shared" si="1943"/>
        <v>0</v>
      </c>
      <c r="T504" s="154">
        <f t="shared" si="1943"/>
        <v>0</v>
      </c>
      <c r="U504" s="154">
        <f t="shared" si="1943"/>
        <v>0</v>
      </c>
      <c r="V504" s="154">
        <f t="shared" si="1943"/>
        <v>0</v>
      </c>
      <c r="W504" s="154">
        <f t="shared" si="1943"/>
        <v>0</v>
      </c>
      <c r="X504" s="154">
        <f t="shared" si="1943"/>
        <v>0</v>
      </c>
      <c r="Y504" s="159">
        <f t="shared" si="1943"/>
        <v>0</v>
      </c>
    </row>
    <row r="505" spans="2:25" ht="15" customHeight="1" thickBot="1" x14ac:dyDescent="0.25">
      <c r="B505" s="253"/>
      <c r="C505" s="93">
        <f>E505/SUM(E503:E505)</f>
        <v>5.4347826086956529E-3</v>
      </c>
      <c r="D505" s="75" t="s">
        <v>2</v>
      </c>
      <c r="E505" s="155">
        <f>IF((E500+E501+E502)=0,0,(E502*$B504)/(E500+E501+E502))</f>
        <v>1.250177045109587E-3</v>
      </c>
      <c r="F505" s="155">
        <f>IF((F500+F501+F502)=0,0,(F502*$B504)/(F500+F501+F502))</f>
        <v>4.3402372886823396E-3</v>
      </c>
      <c r="G505" s="155">
        <f t="shared" ref="G505:Y505" si="1944">IF((G500+G501+G502)=0,0,(G502*$B504)/(G500+G501+G502))</f>
        <v>0</v>
      </c>
      <c r="H505" s="155">
        <f t="shared" si="1944"/>
        <v>0</v>
      </c>
      <c r="I505" s="155">
        <f t="shared" si="1944"/>
        <v>0</v>
      </c>
      <c r="J505" s="155">
        <f t="shared" si="1944"/>
        <v>0</v>
      </c>
      <c r="K505" s="155">
        <f t="shared" si="1944"/>
        <v>0</v>
      </c>
      <c r="L505" s="155">
        <f t="shared" si="1944"/>
        <v>0</v>
      </c>
      <c r="M505" s="155">
        <f t="shared" si="1944"/>
        <v>0</v>
      </c>
      <c r="N505" s="155">
        <f t="shared" si="1944"/>
        <v>0</v>
      </c>
      <c r="O505" s="155">
        <f t="shared" si="1944"/>
        <v>0</v>
      </c>
      <c r="P505" s="155">
        <f t="shared" si="1944"/>
        <v>0</v>
      </c>
      <c r="Q505" s="155">
        <f t="shared" si="1944"/>
        <v>0</v>
      </c>
      <c r="R505" s="155">
        <f t="shared" si="1944"/>
        <v>0</v>
      </c>
      <c r="S505" s="155">
        <f t="shared" si="1944"/>
        <v>0</v>
      </c>
      <c r="T505" s="155">
        <f t="shared" si="1944"/>
        <v>0</v>
      </c>
      <c r="U505" s="155">
        <f t="shared" si="1944"/>
        <v>0</v>
      </c>
      <c r="V505" s="155">
        <f t="shared" si="1944"/>
        <v>0</v>
      </c>
      <c r="W505" s="155">
        <f t="shared" si="1944"/>
        <v>0</v>
      </c>
      <c r="X505" s="155">
        <f t="shared" si="1944"/>
        <v>0</v>
      </c>
      <c r="Y505" s="160">
        <f t="shared" si="1944"/>
        <v>0</v>
      </c>
    </row>
    <row r="506" spans="2:25" ht="15" customHeight="1" x14ac:dyDescent="0.2">
      <c r="B506" s="249" t="s">
        <v>39</v>
      </c>
      <c r="C506" s="91">
        <f>E506/SUM(E506:E508)</f>
        <v>0.59685863874345546</v>
      </c>
      <c r="D506" s="67" t="s">
        <v>0</v>
      </c>
      <c r="E506" s="68">
        <f t="shared" si="1932"/>
        <v>114</v>
      </c>
      <c r="F506" s="68">
        <f>SUMIFS([0]!Chavez,[0]!Centro,B508,[0]!Turno,F$493)</f>
        <v>9</v>
      </c>
      <c r="G506" s="68">
        <f>SUMIFS([0]!Chavez,[0]!Centro,B508,[0]!Turno,G$493)</f>
        <v>0</v>
      </c>
      <c r="H506" s="68">
        <f>SUMIFS([0]!Chavez,[0]!Centro,B508,[0]!Turno,H$493)</f>
        <v>0</v>
      </c>
      <c r="I506" s="68">
        <f>SUMIFS([0]!Chavez,[0]!Centro,B508,[0]!Turno,I$493)</f>
        <v>2</v>
      </c>
      <c r="J506" s="68">
        <f>SUMIFS([0]!Chavez,[0]!Centro,B508,[0]!Turno,J$493)</f>
        <v>16</v>
      </c>
      <c r="K506" s="68">
        <f>SUMIFS([0]!Chavez,[0]!Centro,B508,[0]!Turno,K$493)</f>
        <v>23</v>
      </c>
      <c r="L506" s="68">
        <f>SUMIFS([0]!Chavez,[0]!Centro,B508,[0]!Turno,L$493)</f>
        <v>24</v>
      </c>
      <c r="M506" s="68">
        <f>SUMIFS([0]!Chavez,[0]!Centro,B508,[0]!Turno,M$493)</f>
        <v>20</v>
      </c>
      <c r="N506" s="68">
        <f>SUMIFS([0]!Chavez,[0]!Centro,B508,[0]!Turno,N$493)</f>
        <v>20</v>
      </c>
      <c r="O506" s="68">
        <f>SUMIFS([0]!Chavez,[0]!Centro,B508,[0]!Turno,O$493)</f>
        <v>0</v>
      </c>
      <c r="P506" s="68">
        <f>SUMIFS([0]!Chavez,[0]!Centro,B508,[0]!Turno,P$493)</f>
        <v>0</v>
      </c>
      <c r="Q506" s="68">
        <f>SUMIFS([0]!Chavez,[0]!Centro,B508,[0]!Turno,Q$493)</f>
        <v>0</v>
      </c>
      <c r="R506" s="68">
        <f>SUMIFS([0]!Chavez,[0]!Centro,B508,[0]!Turno,R$493)</f>
        <v>0</v>
      </c>
      <c r="S506" s="68">
        <f>SUMIFS([0]!Chavez,[0]!Centro,B508,[0]!Turno,S$493)</f>
        <v>0</v>
      </c>
      <c r="T506" s="68">
        <f>SUMIFS([0]!Chavez,[0]!Centro,B508,[0]!Turno,T$493)</f>
        <v>0</v>
      </c>
      <c r="U506" s="68">
        <f>SUMIFS([0]!Chavez,[0]!Centro,B508,[0]!Turno,U$493)</f>
        <v>0</v>
      </c>
      <c r="V506" s="68">
        <f>SUMIFS([0]!Chavez,[0]!Centro,B508,[0]!Turno,V$493)</f>
        <v>0</v>
      </c>
      <c r="W506" s="68">
        <f>SUMIFS([0]!Chavez,[0]!Centro,B508,[0]!Turno,W$493)</f>
        <v>0</v>
      </c>
      <c r="X506" s="68">
        <f>SUMIFS([0]!Chavez,[0]!Centro,B508,[0]!Turno,X$493)</f>
        <v>0</v>
      </c>
      <c r="Y506" s="69">
        <f>SUMIFS([0]!Chavez,[0]!Centro,B508,[0]!Turno,Y$493)</f>
        <v>0</v>
      </c>
    </row>
    <row r="507" spans="2:25" ht="15" customHeight="1" x14ac:dyDescent="0.2">
      <c r="B507" s="250"/>
      <c r="C507" s="92">
        <f>E507/SUM(E506:E508)</f>
        <v>0.40314136125654448</v>
      </c>
      <c r="D507" s="61" t="s">
        <v>1</v>
      </c>
      <c r="E507" s="62">
        <f t="shared" si="1932"/>
        <v>77</v>
      </c>
      <c r="F507" s="62">
        <f>SUMIFS([0]!Capriles,[0]!Centro,B508,[0]!Turno,F$493)</f>
        <v>3</v>
      </c>
      <c r="G507" s="62">
        <f>SUMIFS([0]!Capriles,[0]!Centro,B508,[0]!Turno,G$493)</f>
        <v>0</v>
      </c>
      <c r="H507" s="62">
        <f>SUMIFS([0]!Capriles,[0]!Centro,B508,[0]!Turno,H$493)</f>
        <v>0</v>
      </c>
      <c r="I507" s="62">
        <f>SUMIFS([0]!Capriles,[0]!Centro,B508,[0]!Turno,I$493)</f>
        <v>1</v>
      </c>
      <c r="J507" s="62">
        <f>SUMIFS([0]!Capriles,[0]!Centro,B508,[0]!Turno,J$493)</f>
        <v>24</v>
      </c>
      <c r="K507" s="62">
        <f>SUMIFS([0]!Capriles,[0]!Centro,B508,[0]!Turno,K$493)</f>
        <v>16</v>
      </c>
      <c r="L507" s="62">
        <f>SUMIFS([0]!Capriles,[0]!Centro,B508,[0]!Turno,L$493)</f>
        <v>2</v>
      </c>
      <c r="M507" s="62">
        <f>SUMIFS([0]!Capriles,[0]!Centro,B508,[0]!Turno,M$493)</f>
        <v>11</v>
      </c>
      <c r="N507" s="62">
        <f>SUMIFS([0]!Capriles,[0]!Centro,B508,[0]!Turno,N$493)</f>
        <v>20</v>
      </c>
      <c r="O507" s="62">
        <f>SUMIFS([0]!Capriles,[0]!Centro,B508,[0]!Turno,O$493)</f>
        <v>0</v>
      </c>
      <c r="P507" s="62">
        <f>SUMIFS([0]!Capriles,[0]!Centro,B508,[0]!Turno,P$493)</f>
        <v>0</v>
      </c>
      <c r="Q507" s="62">
        <f>SUMIFS([0]!Capriles,[0]!Centro,B508,[0]!Turno,Q$493)</f>
        <v>0</v>
      </c>
      <c r="R507" s="62">
        <f>SUMIFS([0]!Capriles,[0]!Centro,B508,[0]!Turno,R$493)</f>
        <v>0</v>
      </c>
      <c r="S507" s="62">
        <f>SUMIFS([0]!Capriles,[0]!Centro,B508,[0]!Turno,S$493)</f>
        <v>0</v>
      </c>
      <c r="T507" s="62">
        <f>SUMIFS([0]!Capriles,[0]!Centro,B508,[0]!Turno,T$493)</f>
        <v>0</v>
      </c>
      <c r="U507" s="62">
        <f>SUMIFS([0]!Capriles,[0]!Centro,B508,[0]!Turno,U$493)</f>
        <v>0</v>
      </c>
      <c r="V507" s="62">
        <f>SUMIFS([0]!Capriles,[0]!Centro,B508,[0]!Turno,V$493)</f>
        <v>0</v>
      </c>
      <c r="W507" s="62">
        <f>SUMIFS([0]!Capriles,[0]!Centro,B508,[0]!Turno,W$493)</f>
        <v>0</v>
      </c>
      <c r="X507" s="62">
        <f>SUMIFS([0]!Capriles,[0]!Centro,B508,[0]!Turno,X$493)</f>
        <v>0</v>
      </c>
      <c r="Y507" s="70">
        <f>SUMIFS([0]!Capriles,[0]!Centro,B508,[0]!Turno,Y$493)</f>
        <v>0</v>
      </c>
    </row>
    <row r="508" spans="2:25" ht="15" customHeight="1" thickBot="1" x14ac:dyDescent="0.25">
      <c r="B508" s="251">
        <v>69</v>
      </c>
      <c r="C508" s="100">
        <f>E508/SUM(E506:E508)</f>
        <v>0</v>
      </c>
      <c r="D508" s="71" t="s">
        <v>2</v>
      </c>
      <c r="E508" s="72">
        <f t="shared" si="1932"/>
        <v>0</v>
      </c>
      <c r="F508" s="72">
        <f>SUMIFS([0]!Otro,[0]!Centro,B508,[0]!Turno,F$493)</f>
        <v>0</v>
      </c>
      <c r="G508" s="72">
        <f>SUMIFS([0]!Otro,[0]!Centro,B508,[0]!Turno,G$493)</f>
        <v>0</v>
      </c>
      <c r="H508" s="72">
        <f>SUMIFS([0]!Otro,[0]!Centro,B508,[0]!Turno,H$493)</f>
        <v>0</v>
      </c>
      <c r="I508" s="72">
        <f>SUMIFS([0]!Otro,[0]!Centro,B508,[0]!Turno,I$493)</f>
        <v>0</v>
      </c>
      <c r="J508" s="72">
        <f>SUMIFS([0]!Otro,[0]!Centro,B508,[0]!Turno,J$493)</f>
        <v>0</v>
      </c>
      <c r="K508" s="72">
        <f>SUMIFS([0]!Otro,[0]!Centro,B508,[0]!Turno,K$493)</f>
        <v>0</v>
      </c>
      <c r="L508" s="72">
        <f>SUMIFS([0]!Otro,[0]!Centro,B508,[0]!Turno,L$493)</f>
        <v>0</v>
      </c>
      <c r="M508" s="72">
        <f>SUMIFS([0]!Otro,[0]!Centro,B508,[0]!Turno,M$493)</f>
        <v>0</v>
      </c>
      <c r="N508" s="72">
        <f>SUMIFS([0]!Otro,[0]!Centro,B508,[0]!Turno,N$493)</f>
        <v>0</v>
      </c>
      <c r="O508" s="72">
        <f>SUMIFS([0]!Otro,[0]!Centro,B508,[0]!Turno,O$493)</f>
        <v>0</v>
      </c>
      <c r="P508" s="72">
        <f>SUMIFS([0]!Otro,[0]!Centro,B508,[0]!Turno,P$493)</f>
        <v>0</v>
      </c>
      <c r="Q508" s="72">
        <f>SUMIFS([0]!Otro,[0]!Centro,B508,[0]!Turno,Q$493)</f>
        <v>0</v>
      </c>
      <c r="R508" s="72">
        <f>SUMIFS([0]!Otro,[0]!Centro,B508,[0]!Turno,R$493)</f>
        <v>0</v>
      </c>
      <c r="S508" s="72">
        <f>SUMIFS([0]!Otro,[0]!Centro,B508,[0]!Turno,S$493)</f>
        <v>0</v>
      </c>
      <c r="T508" s="72">
        <f>SUMIFS([0]!Otro,[0]!Centro,B508,[0]!Turno,T$493)</f>
        <v>0</v>
      </c>
      <c r="U508" s="72">
        <f>SUMIFS([0]!Otro,[0]!Centro,B508,[0]!Turno,U$493)</f>
        <v>0</v>
      </c>
      <c r="V508" s="72">
        <f>SUMIFS([0]!Otro,[0]!Centro,B508,[0]!Turno,V$493)</f>
        <v>0</v>
      </c>
      <c r="W508" s="72">
        <f>SUMIFS([0]!Otro,[0]!Centro,B508,[0]!Turno,W$493)</f>
        <v>0</v>
      </c>
      <c r="X508" s="72">
        <f>SUMIFS([0]!Otro,[0]!Centro,B508,[0]!Turno,X$493)</f>
        <v>0</v>
      </c>
      <c r="Y508" s="73">
        <f>SUMIFS([0]!Otro,[0]!Centro,B508,[0]!Turno,Y$493)</f>
        <v>0</v>
      </c>
    </row>
    <row r="509" spans="2:25" ht="15" customHeight="1" x14ac:dyDescent="0.2">
      <c r="B509" s="251"/>
      <c r="C509" s="94">
        <f>E509/SUM(E509:E511)</f>
        <v>0.59685863874345546</v>
      </c>
      <c r="D509" s="63" t="s">
        <v>0</v>
      </c>
      <c r="E509" s="150">
        <f>IF((E506+E507+E508)=0,0,(E506*$B510)/(E506+E507+E508))</f>
        <v>0.15390832138127067</v>
      </c>
      <c r="F509" s="150">
        <f>IF((F506+F507+F508)=0,0,(F506*$B510)/(F506+F507+F508))</f>
        <v>0.19339795647251776</v>
      </c>
      <c r="G509" s="150">
        <f t="shared" ref="G509:Y509" si="1945">IF((G506+G507+G508)=0,0,(G506*$B510)/(G506+G507+G508))</f>
        <v>0</v>
      </c>
      <c r="H509" s="150">
        <f t="shared" si="1945"/>
        <v>0</v>
      </c>
      <c r="I509" s="150">
        <f t="shared" si="1945"/>
        <v>0.171909294642238</v>
      </c>
      <c r="J509" s="150">
        <f t="shared" si="1945"/>
        <v>0.10314557678534279</v>
      </c>
      <c r="K509" s="150">
        <f t="shared" si="1945"/>
        <v>0.15207360679890283</v>
      </c>
      <c r="L509" s="150">
        <f t="shared" si="1945"/>
        <v>0.23802825412002182</v>
      </c>
      <c r="M509" s="150">
        <f t="shared" si="1945"/>
        <v>0.16636383352474646</v>
      </c>
      <c r="N509" s="150">
        <f t="shared" si="1945"/>
        <v>0.1289319709816785</v>
      </c>
      <c r="O509" s="150">
        <f t="shared" si="1945"/>
        <v>0</v>
      </c>
      <c r="P509" s="150">
        <f t="shared" si="1945"/>
        <v>0</v>
      </c>
      <c r="Q509" s="150">
        <f t="shared" si="1945"/>
        <v>0</v>
      </c>
      <c r="R509" s="150">
        <f t="shared" si="1945"/>
        <v>0</v>
      </c>
      <c r="S509" s="150">
        <f t="shared" si="1945"/>
        <v>0</v>
      </c>
      <c r="T509" s="150">
        <f t="shared" si="1945"/>
        <v>0</v>
      </c>
      <c r="U509" s="150">
        <f t="shared" si="1945"/>
        <v>0</v>
      </c>
      <c r="V509" s="150">
        <f t="shared" si="1945"/>
        <v>0</v>
      </c>
      <c r="W509" s="150">
        <f t="shared" si="1945"/>
        <v>0</v>
      </c>
      <c r="X509" s="150">
        <f t="shared" si="1945"/>
        <v>0</v>
      </c>
      <c r="Y509" s="163">
        <f t="shared" si="1945"/>
        <v>0</v>
      </c>
    </row>
    <row r="510" spans="2:25" ht="15" customHeight="1" x14ac:dyDescent="0.2">
      <c r="B510" s="252">
        <v>0.25786394196335699</v>
      </c>
      <c r="C510" s="92">
        <f>E510/SUM(E509:E511)</f>
        <v>0.40314136125654448</v>
      </c>
      <c r="D510" s="61" t="s">
        <v>1</v>
      </c>
      <c r="E510" s="154">
        <f>IF((E506+E507+E508)=0,0,(E507*$B510)/(E506+E507+E508))</f>
        <v>0.10395562058208632</v>
      </c>
      <c r="F510" s="154">
        <f>IF((F506+F507+F508)=0,0,(F507*$B510)/(F506+F507+F508))</f>
        <v>6.4465985490839248E-2</v>
      </c>
      <c r="G510" s="154">
        <f t="shared" ref="G510:O510" si="1946">IF((G506+G507+G508)=0,0,(G507*$B510)/(G506+G507+G508))</f>
        <v>0</v>
      </c>
      <c r="H510" s="154">
        <f t="shared" si="1946"/>
        <v>0</v>
      </c>
      <c r="I510" s="154">
        <f t="shared" si="1946"/>
        <v>8.5954647321119002E-2</v>
      </c>
      <c r="J510" s="154">
        <f t="shared" si="1946"/>
        <v>0.15471836517801418</v>
      </c>
      <c r="K510" s="154">
        <f t="shared" si="1946"/>
        <v>0.10579033516445414</v>
      </c>
      <c r="L510" s="154">
        <f t="shared" si="1946"/>
        <v>1.9835687843335153E-2</v>
      </c>
      <c r="M510" s="154">
        <f t="shared" si="1946"/>
        <v>9.1500108438610547E-2</v>
      </c>
      <c r="N510" s="154">
        <f t="shared" si="1946"/>
        <v>0.1289319709816785</v>
      </c>
      <c r="O510" s="154">
        <f t="shared" si="1946"/>
        <v>0</v>
      </c>
      <c r="P510" s="154">
        <f>IF((P506+P507+P508)=0,0,(P507*$B510)/(P506+P507+P508))</f>
        <v>0</v>
      </c>
      <c r="Q510" s="154">
        <f t="shared" ref="Q510:Y510" si="1947">IF((Q506+Q507+Q508)=0,0,(Q507*$B510)/(Q506+Q507+Q508))</f>
        <v>0</v>
      </c>
      <c r="R510" s="154">
        <f t="shared" si="1947"/>
        <v>0</v>
      </c>
      <c r="S510" s="154">
        <f t="shared" si="1947"/>
        <v>0</v>
      </c>
      <c r="T510" s="154">
        <f t="shared" si="1947"/>
        <v>0</v>
      </c>
      <c r="U510" s="154">
        <f t="shared" si="1947"/>
        <v>0</v>
      </c>
      <c r="V510" s="154">
        <f t="shared" si="1947"/>
        <v>0</v>
      </c>
      <c r="W510" s="154">
        <f t="shared" si="1947"/>
        <v>0</v>
      </c>
      <c r="X510" s="154">
        <f t="shared" si="1947"/>
        <v>0</v>
      </c>
      <c r="Y510" s="159">
        <f t="shared" si="1947"/>
        <v>0</v>
      </c>
    </row>
    <row r="511" spans="2:25" ht="15" customHeight="1" thickBot="1" x14ac:dyDescent="0.25">
      <c r="B511" s="253"/>
      <c r="C511" s="93">
        <f>E511/SUM(E509:E511)</f>
        <v>0</v>
      </c>
      <c r="D511" s="75" t="s">
        <v>2</v>
      </c>
      <c r="E511" s="155">
        <f>IF((E506+E507+E508)=0,0,(E508*$B510)/(E506+E507+E508))</f>
        <v>0</v>
      </c>
      <c r="F511" s="155">
        <f>IF((F506+F507+F508)=0,0,(F508*$B510)/(F506+F507+F508))</f>
        <v>0</v>
      </c>
      <c r="G511" s="155">
        <f t="shared" ref="G511:Y511" si="1948">IF((G506+G507+G508)=0,0,(G508*$B510)/(G506+G507+G508))</f>
        <v>0</v>
      </c>
      <c r="H511" s="155">
        <f t="shared" si="1948"/>
        <v>0</v>
      </c>
      <c r="I511" s="155">
        <f t="shared" si="1948"/>
        <v>0</v>
      </c>
      <c r="J511" s="155">
        <f t="shared" si="1948"/>
        <v>0</v>
      </c>
      <c r="K511" s="155">
        <f t="shared" si="1948"/>
        <v>0</v>
      </c>
      <c r="L511" s="155">
        <f t="shared" si="1948"/>
        <v>0</v>
      </c>
      <c r="M511" s="155">
        <f t="shared" si="1948"/>
        <v>0</v>
      </c>
      <c r="N511" s="155">
        <f t="shared" si="1948"/>
        <v>0</v>
      </c>
      <c r="O511" s="155">
        <f t="shared" si="1948"/>
        <v>0</v>
      </c>
      <c r="P511" s="155">
        <f t="shared" si="1948"/>
        <v>0</v>
      </c>
      <c r="Q511" s="155">
        <f t="shared" si="1948"/>
        <v>0</v>
      </c>
      <c r="R511" s="155">
        <f t="shared" si="1948"/>
        <v>0</v>
      </c>
      <c r="S511" s="155">
        <f t="shared" si="1948"/>
        <v>0</v>
      </c>
      <c r="T511" s="155">
        <f t="shared" si="1948"/>
        <v>0</v>
      </c>
      <c r="U511" s="155">
        <f t="shared" si="1948"/>
        <v>0</v>
      </c>
      <c r="V511" s="155">
        <f t="shared" si="1948"/>
        <v>0</v>
      </c>
      <c r="W511" s="155">
        <f t="shared" si="1948"/>
        <v>0</v>
      </c>
      <c r="X511" s="155">
        <f t="shared" si="1948"/>
        <v>0</v>
      </c>
      <c r="Y511" s="160">
        <f t="shared" si="1948"/>
        <v>0</v>
      </c>
    </row>
    <row r="512" spans="2:25" ht="15" customHeight="1" x14ac:dyDescent="0.2">
      <c r="B512" s="249" t="s">
        <v>125</v>
      </c>
      <c r="C512" s="91">
        <f>E512/SUM(E512:E514)</f>
        <v>0.65677966101694918</v>
      </c>
      <c r="D512" s="67" t="s">
        <v>0</v>
      </c>
      <c r="E512" s="68">
        <f t="shared" si="1932"/>
        <v>155</v>
      </c>
      <c r="F512" s="68">
        <f>SUMIFS([0]!Chavez,[0]!Centro,B514,[0]!Turno,F$493)</f>
        <v>23</v>
      </c>
      <c r="G512" s="68">
        <f>SUMIFS([0]!Chavez,[0]!Centro,B514,[0]!Turno,G$493)</f>
        <v>15</v>
      </c>
      <c r="H512" s="68">
        <f>SUMIFS([0]!Chavez,[0]!Centro,B514,[0]!Turno,H$493)</f>
        <v>6</v>
      </c>
      <c r="I512" s="68">
        <f>SUMIFS([0]!Chavez,[0]!Centro,B514,[0]!Turno,I$493)</f>
        <v>0</v>
      </c>
      <c r="J512" s="68">
        <f>SUMIFS([0]!Chavez,[0]!Centro,B514,[0]!Turno,J$493)</f>
        <v>28</v>
      </c>
      <c r="K512" s="68">
        <f>SUMIFS([0]!Chavez,[0]!Centro,B514,[0]!Turno,K$493)</f>
        <v>41</v>
      </c>
      <c r="L512" s="68">
        <f>SUMIFS([0]!Chavez,[0]!Centro,B514,[0]!Turno,L$493)</f>
        <v>25</v>
      </c>
      <c r="M512" s="68">
        <f>SUMIFS([0]!Chavez,[0]!Centro,B514,[0]!Turno,M$493)</f>
        <v>6</v>
      </c>
      <c r="N512" s="68">
        <f>SUMIFS([0]!Chavez,[0]!Centro,B514,[0]!Turno,N$493)</f>
        <v>11</v>
      </c>
      <c r="O512" s="68">
        <f>SUMIFS([0]!Chavez,[0]!Centro,B514,[0]!Turno,O$493)</f>
        <v>0</v>
      </c>
      <c r="P512" s="68">
        <f>SUMIFS([0]!Chavez,[0]!Centro,B514,[0]!Turno,P$493)</f>
        <v>0</v>
      </c>
      <c r="Q512" s="68">
        <f>SUMIFS([0]!Chavez,[0]!Centro,B514,[0]!Turno,Q$493)</f>
        <v>0</v>
      </c>
      <c r="R512" s="68">
        <f>SUMIFS([0]!Chavez,[0]!Centro,B514,[0]!Turno,R$493)</f>
        <v>0</v>
      </c>
      <c r="S512" s="68">
        <f>SUMIFS([0]!Chavez,[0]!Centro,B514,[0]!Turno,S$493)</f>
        <v>0</v>
      </c>
      <c r="T512" s="68">
        <f>SUMIFS([0]!Chavez,[0]!Centro,B514,[0]!Turno,T$493)</f>
        <v>0</v>
      </c>
      <c r="U512" s="68">
        <f>SUMIFS([0]!Chavez,[0]!Centro,B514,[0]!Turno,U$493)</f>
        <v>0</v>
      </c>
      <c r="V512" s="68">
        <f>SUMIFS([0]!Chavez,[0]!Centro,B514,[0]!Turno,V$493)</f>
        <v>0</v>
      </c>
      <c r="W512" s="68">
        <f>SUMIFS([0]!Chavez,[0]!Centro,B514,[0]!Turno,W$493)</f>
        <v>0</v>
      </c>
      <c r="X512" s="68">
        <f>SUMIFS([0]!Chavez,[0]!Centro,B514,[0]!Turno,X$493)</f>
        <v>0</v>
      </c>
      <c r="Y512" s="69">
        <f>SUMIFS([0]!Chavez,[0]!Centro,B514,[0]!Turno,Y$493)</f>
        <v>0</v>
      </c>
    </row>
    <row r="513" spans="2:25" ht="15" customHeight="1" x14ac:dyDescent="0.2">
      <c r="B513" s="250"/>
      <c r="C513" s="92">
        <f>E513/SUM(E512:E514)</f>
        <v>0.31779661016949151</v>
      </c>
      <c r="D513" s="61" t="s">
        <v>1</v>
      </c>
      <c r="E513" s="62">
        <f t="shared" si="1932"/>
        <v>75</v>
      </c>
      <c r="F513" s="62">
        <f>SUMIFS([0]!Capriles,[0]!Centro,B514,[0]!Turno,F$493)</f>
        <v>27</v>
      </c>
      <c r="G513" s="62">
        <f>SUMIFS([0]!Capriles,[0]!Centro,B514,[0]!Turno,G$493)</f>
        <v>0</v>
      </c>
      <c r="H513" s="62">
        <f>SUMIFS([0]!Capriles,[0]!Centro,B514,[0]!Turno,H$493)</f>
        <v>3</v>
      </c>
      <c r="I513" s="62">
        <f>SUMIFS([0]!Capriles,[0]!Centro,B514,[0]!Turno,I$493)</f>
        <v>0</v>
      </c>
      <c r="J513" s="62">
        <f>SUMIFS([0]!Capriles,[0]!Centro,B514,[0]!Turno,J$493)</f>
        <v>7</v>
      </c>
      <c r="K513" s="62">
        <f>SUMIFS([0]!Capriles,[0]!Centro,B514,[0]!Turno,K$493)</f>
        <v>14</v>
      </c>
      <c r="L513" s="62">
        <f>SUMIFS([0]!Capriles,[0]!Centro,B514,[0]!Turno,L$493)</f>
        <v>15</v>
      </c>
      <c r="M513" s="62">
        <f>SUMIFS([0]!Capriles,[0]!Centro,B514,[0]!Turno,M$493)</f>
        <v>4</v>
      </c>
      <c r="N513" s="62">
        <f>SUMIFS([0]!Capriles,[0]!Centro,B514,[0]!Turno,N$493)</f>
        <v>5</v>
      </c>
      <c r="O513" s="62">
        <f>SUMIFS([0]!Capriles,[0]!Centro,B514,[0]!Turno,O$493)</f>
        <v>0</v>
      </c>
      <c r="P513" s="62">
        <f>SUMIFS([0]!Capriles,[0]!Centro,B514,[0]!Turno,P$493)</f>
        <v>0</v>
      </c>
      <c r="Q513" s="62">
        <f>SUMIFS([0]!Capriles,[0]!Centro,B514,[0]!Turno,Q$493)</f>
        <v>0</v>
      </c>
      <c r="R513" s="62">
        <f>SUMIFS([0]!Capriles,[0]!Centro,B514,[0]!Turno,R$493)</f>
        <v>0</v>
      </c>
      <c r="S513" s="62">
        <f>SUMIFS([0]!Capriles,[0]!Centro,B514,[0]!Turno,S$493)</f>
        <v>0</v>
      </c>
      <c r="T513" s="62">
        <f>SUMIFS([0]!Capriles,[0]!Centro,B514,[0]!Turno,T$493)</f>
        <v>0</v>
      </c>
      <c r="U513" s="62">
        <f>SUMIFS([0]!Capriles,[0]!Centro,B514,[0]!Turno,U$493)</f>
        <v>0</v>
      </c>
      <c r="V513" s="62">
        <f>SUMIFS([0]!Capriles,[0]!Centro,B514,[0]!Turno,V$493)</f>
        <v>0</v>
      </c>
      <c r="W513" s="62">
        <f>SUMIFS([0]!Capriles,[0]!Centro,B514,[0]!Turno,W$493)</f>
        <v>0</v>
      </c>
      <c r="X513" s="62">
        <f>SUMIFS([0]!Capriles,[0]!Centro,B514,[0]!Turno,X$493)</f>
        <v>0</v>
      </c>
      <c r="Y513" s="70">
        <f>SUMIFS([0]!Capriles,[0]!Centro,B514,[0]!Turno,Y$493)</f>
        <v>0</v>
      </c>
    </row>
    <row r="514" spans="2:25" ht="15" customHeight="1" thickBot="1" x14ac:dyDescent="0.25">
      <c r="B514" s="251">
        <v>70</v>
      </c>
      <c r="C514" s="100">
        <f>E514/SUM(E512:E514)</f>
        <v>2.5423728813559324E-2</v>
      </c>
      <c r="D514" s="71" t="s">
        <v>2</v>
      </c>
      <c r="E514" s="72">
        <f t="shared" si="1932"/>
        <v>6</v>
      </c>
      <c r="F514" s="72">
        <f>SUMIFS([0]!Otro,[0]!Centro,B514,[0]!Turno,F$493)</f>
        <v>3</v>
      </c>
      <c r="G514" s="72">
        <f>SUMIFS([0]!Otro,[0]!Centro,B514,[0]!Turno,G$493)</f>
        <v>0</v>
      </c>
      <c r="H514" s="72">
        <f>SUMIFS([0]!Otro,[0]!Centro,B514,[0]!Turno,H$493)</f>
        <v>0</v>
      </c>
      <c r="I514" s="72">
        <f>SUMIFS([0]!Otro,[0]!Centro,B514,[0]!Turno,I$493)</f>
        <v>0</v>
      </c>
      <c r="J514" s="72">
        <f>SUMIFS([0]!Otro,[0]!Centro,B514,[0]!Turno,J$493)</f>
        <v>0</v>
      </c>
      <c r="K514" s="72">
        <f>SUMIFS([0]!Otro,[0]!Centro,B514,[0]!Turno,K$493)</f>
        <v>0</v>
      </c>
      <c r="L514" s="72">
        <f>SUMIFS([0]!Otro,[0]!Centro,B514,[0]!Turno,L$493)</f>
        <v>3</v>
      </c>
      <c r="M514" s="72">
        <f>SUMIFS([0]!Otro,[0]!Centro,B514,[0]!Turno,M$493)</f>
        <v>0</v>
      </c>
      <c r="N514" s="72">
        <f>SUMIFS([0]!Otro,[0]!Centro,B514,[0]!Turno,N$493)</f>
        <v>0</v>
      </c>
      <c r="O514" s="72">
        <f>SUMIFS([0]!Otro,[0]!Centro,B514,[0]!Turno,O$493)</f>
        <v>0</v>
      </c>
      <c r="P514" s="72">
        <f>SUMIFS([0]!Otro,[0]!Centro,B514,[0]!Turno,P$493)</f>
        <v>0</v>
      </c>
      <c r="Q514" s="72">
        <f>SUMIFS([0]!Otro,[0]!Centro,B514,[0]!Turno,Q$493)</f>
        <v>0</v>
      </c>
      <c r="R514" s="72">
        <f>SUMIFS([0]!Otro,[0]!Centro,B514,[0]!Turno,R$493)</f>
        <v>0</v>
      </c>
      <c r="S514" s="72">
        <f>SUMIFS([0]!Otro,[0]!Centro,B514,[0]!Turno,S$493)</f>
        <v>0</v>
      </c>
      <c r="T514" s="72">
        <f>SUMIFS([0]!Otro,[0]!Centro,B514,[0]!Turno,T$493)</f>
        <v>0</v>
      </c>
      <c r="U514" s="72">
        <f>SUMIFS([0]!Otro,[0]!Centro,B514,[0]!Turno,U$493)</f>
        <v>0</v>
      </c>
      <c r="V514" s="72">
        <f>SUMIFS([0]!Otro,[0]!Centro,B514,[0]!Turno,V$493)</f>
        <v>0</v>
      </c>
      <c r="W514" s="72">
        <f>SUMIFS([0]!Otro,[0]!Centro,B514,[0]!Turno,W$493)</f>
        <v>0</v>
      </c>
      <c r="X514" s="72">
        <f>SUMIFS([0]!Otro,[0]!Centro,B514,[0]!Turno,X$493)</f>
        <v>0</v>
      </c>
      <c r="Y514" s="73">
        <f>SUMIFS([0]!Otro,[0]!Centro,B514,[0]!Turno,Y$493)</f>
        <v>0</v>
      </c>
    </row>
    <row r="515" spans="2:25" ht="15" customHeight="1" x14ac:dyDescent="0.2">
      <c r="B515" s="251"/>
      <c r="C515" s="94">
        <f>E515/SUM(E515:E517)</f>
        <v>0.65677966101694918</v>
      </c>
      <c r="D515" s="63" t="s">
        <v>0</v>
      </c>
      <c r="E515" s="150">
        <f>IF((E512+E513+E514)=0,0,(E512*$B516)/(E512+E513+E514))</f>
        <v>9.6859939726600439E-2</v>
      </c>
      <c r="F515" s="150">
        <f>IF((F512+F513+F514)=0,0,(F512*$B516)/(F512+F513+F514))</f>
        <v>6.3999482998902887E-2</v>
      </c>
      <c r="G515" s="150">
        <f t="shared" ref="G515:Y515" si="1949">IF((G512+G513+G514)=0,0,(G512*$B516)/(G512+G513+G514))</f>
        <v>0.147477069519211</v>
      </c>
      <c r="H515" s="150">
        <f t="shared" si="1949"/>
        <v>9.8318046346140664E-2</v>
      </c>
      <c r="I515" s="150">
        <f t="shared" si="1949"/>
        <v>0</v>
      </c>
      <c r="J515" s="150">
        <f t="shared" si="1949"/>
        <v>0.1179816556153688</v>
      </c>
      <c r="K515" s="150">
        <f t="shared" si="1949"/>
        <v>0.10993745182341184</v>
      </c>
      <c r="L515" s="150">
        <f t="shared" si="1949"/>
        <v>8.5742482278611046E-2</v>
      </c>
      <c r="M515" s="150">
        <f t="shared" si="1949"/>
        <v>8.8486241711526595E-2</v>
      </c>
      <c r="N515" s="150">
        <f t="shared" si="1949"/>
        <v>0.10139048529445756</v>
      </c>
      <c r="O515" s="150">
        <f t="shared" si="1949"/>
        <v>0</v>
      </c>
      <c r="P515" s="150">
        <f t="shared" si="1949"/>
        <v>0</v>
      </c>
      <c r="Q515" s="150">
        <f t="shared" si="1949"/>
        <v>0</v>
      </c>
      <c r="R515" s="150">
        <f t="shared" si="1949"/>
        <v>0</v>
      </c>
      <c r="S515" s="150">
        <f t="shared" si="1949"/>
        <v>0</v>
      </c>
      <c r="T515" s="150">
        <f t="shared" si="1949"/>
        <v>0</v>
      </c>
      <c r="U515" s="150">
        <f t="shared" si="1949"/>
        <v>0</v>
      </c>
      <c r="V515" s="150">
        <f t="shared" si="1949"/>
        <v>0</v>
      </c>
      <c r="W515" s="150">
        <f t="shared" si="1949"/>
        <v>0</v>
      </c>
      <c r="X515" s="150">
        <f t="shared" si="1949"/>
        <v>0</v>
      </c>
      <c r="Y515" s="163">
        <f t="shared" si="1949"/>
        <v>0</v>
      </c>
    </row>
    <row r="516" spans="2:25" ht="15" customHeight="1" x14ac:dyDescent="0.2">
      <c r="B516" s="252">
        <v>0.147477069519211</v>
      </c>
      <c r="C516" s="92">
        <f>E516/SUM(E515:E517)</f>
        <v>0.31779661016949157</v>
      </c>
      <c r="D516" s="61" t="s">
        <v>1</v>
      </c>
      <c r="E516" s="154">
        <f>IF((E512+E513+E514)=0,0,(E513*$B516)/(E512+E513+E514))</f>
        <v>4.6867712770935703E-2</v>
      </c>
      <c r="F516" s="154">
        <f>IF((F512+F513+F514)=0,0,(F513*$B516)/(F512+F513+F514))</f>
        <v>7.5129827868277307E-2</v>
      </c>
      <c r="G516" s="154">
        <f t="shared" ref="G516:O516" si="1950">IF((G512+G513+G514)=0,0,(G513*$B516)/(G512+G513+G514))</f>
        <v>0</v>
      </c>
      <c r="H516" s="154">
        <f t="shared" si="1950"/>
        <v>4.9159023173070332E-2</v>
      </c>
      <c r="I516" s="154">
        <f t="shared" si="1950"/>
        <v>0</v>
      </c>
      <c r="J516" s="154">
        <f t="shared" si="1950"/>
        <v>2.9495413903842201E-2</v>
      </c>
      <c r="K516" s="154">
        <f t="shared" si="1950"/>
        <v>3.7539617695799166E-2</v>
      </c>
      <c r="L516" s="154">
        <f t="shared" si="1950"/>
        <v>5.1445489367166621E-2</v>
      </c>
      <c r="M516" s="154">
        <f t="shared" si="1950"/>
        <v>5.8990827807684401E-2</v>
      </c>
      <c r="N516" s="154">
        <f t="shared" si="1950"/>
        <v>4.6086584224753438E-2</v>
      </c>
      <c r="O516" s="154">
        <f t="shared" si="1950"/>
        <v>0</v>
      </c>
      <c r="P516" s="154">
        <f>IF((P512+P513+P514)=0,0,(P513*$B516)/(P512+P513+P514))</f>
        <v>0</v>
      </c>
      <c r="Q516" s="154">
        <f t="shared" ref="Q516:Y516" si="1951">IF((Q512+Q513+Q514)=0,0,(Q513*$B516)/(Q512+Q513+Q514))</f>
        <v>0</v>
      </c>
      <c r="R516" s="154">
        <f t="shared" si="1951"/>
        <v>0</v>
      </c>
      <c r="S516" s="154">
        <f t="shared" si="1951"/>
        <v>0</v>
      </c>
      <c r="T516" s="154">
        <f t="shared" si="1951"/>
        <v>0</v>
      </c>
      <c r="U516" s="154">
        <f t="shared" si="1951"/>
        <v>0</v>
      </c>
      <c r="V516" s="154">
        <f t="shared" si="1951"/>
        <v>0</v>
      </c>
      <c r="W516" s="154">
        <f t="shared" si="1951"/>
        <v>0</v>
      </c>
      <c r="X516" s="154">
        <f t="shared" si="1951"/>
        <v>0</v>
      </c>
      <c r="Y516" s="159">
        <f t="shared" si="1951"/>
        <v>0</v>
      </c>
    </row>
    <row r="517" spans="2:25" ht="15" customHeight="1" thickBot="1" x14ac:dyDescent="0.25">
      <c r="B517" s="253"/>
      <c r="C517" s="93">
        <f>E517/SUM(E515:E517)</f>
        <v>2.542372881355932E-2</v>
      </c>
      <c r="D517" s="75" t="s">
        <v>2</v>
      </c>
      <c r="E517" s="155">
        <f>IF((E512+E513+E514)=0,0,(E514*$B516)/(E512+E513+E514))</f>
        <v>3.7494170216748556E-3</v>
      </c>
      <c r="F517" s="155">
        <f>IF((F512+F513+F514)=0,0,(F514*$B516)/(F512+F513+F514))</f>
        <v>8.3477586520308098E-3</v>
      </c>
      <c r="G517" s="155">
        <f t="shared" ref="G517:Y517" si="1952">IF((G512+G513+G514)=0,0,(G514*$B516)/(G512+G513+G514))</f>
        <v>0</v>
      </c>
      <c r="H517" s="155">
        <f t="shared" si="1952"/>
        <v>0</v>
      </c>
      <c r="I517" s="155">
        <f t="shared" si="1952"/>
        <v>0</v>
      </c>
      <c r="J517" s="155">
        <f t="shared" si="1952"/>
        <v>0</v>
      </c>
      <c r="K517" s="155">
        <f t="shared" si="1952"/>
        <v>0</v>
      </c>
      <c r="L517" s="155">
        <f t="shared" si="1952"/>
        <v>1.0289097873433324E-2</v>
      </c>
      <c r="M517" s="155">
        <f t="shared" si="1952"/>
        <v>0</v>
      </c>
      <c r="N517" s="155">
        <f t="shared" si="1952"/>
        <v>0</v>
      </c>
      <c r="O517" s="155">
        <f t="shared" si="1952"/>
        <v>0</v>
      </c>
      <c r="P517" s="155">
        <f t="shared" si="1952"/>
        <v>0</v>
      </c>
      <c r="Q517" s="155">
        <f t="shared" si="1952"/>
        <v>0</v>
      </c>
      <c r="R517" s="155">
        <f t="shared" si="1952"/>
        <v>0</v>
      </c>
      <c r="S517" s="155">
        <f t="shared" si="1952"/>
        <v>0</v>
      </c>
      <c r="T517" s="155">
        <f t="shared" si="1952"/>
        <v>0</v>
      </c>
      <c r="U517" s="155">
        <f t="shared" si="1952"/>
        <v>0</v>
      </c>
      <c r="V517" s="155">
        <f t="shared" si="1952"/>
        <v>0</v>
      </c>
      <c r="W517" s="155">
        <f t="shared" si="1952"/>
        <v>0</v>
      </c>
      <c r="X517" s="155">
        <f t="shared" si="1952"/>
        <v>0</v>
      </c>
      <c r="Y517" s="160">
        <f t="shared" si="1952"/>
        <v>0</v>
      </c>
    </row>
    <row r="518" spans="2:25" ht="15" customHeight="1" x14ac:dyDescent="0.2">
      <c r="B518" s="249" t="s">
        <v>173</v>
      </c>
      <c r="C518" s="91">
        <f>E518/SUM(E518:E520)</f>
        <v>0.53409090909090906</v>
      </c>
      <c r="D518" s="67" t="s">
        <v>0</v>
      </c>
      <c r="E518" s="68">
        <f t="shared" si="1932"/>
        <v>94</v>
      </c>
      <c r="F518" s="68">
        <f>SUMIFS([0]!Chavez,[0]!Centro,B520,[0]!Turno,F$493)</f>
        <v>0</v>
      </c>
      <c r="G518" s="68">
        <f>SUMIFS([0]!Chavez,[0]!Centro,B520,[0]!Turno,G$493)</f>
        <v>0</v>
      </c>
      <c r="H518" s="68">
        <f>SUMIFS([0]!Chavez,[0]!Centro,B520,[0]!Turno,H$493)</f>
        <v>7</v>
      </c>
      <c r="I518" s="68">
        <f>SUMIFS([0]!Chavez,[0]!Centro,B520,[0]!Turno,I$493)</f>
        <v>29</v>
      </c>
      <c r="J518" s="68">
        <f>SUMIFS([0]!Chavez,[0]!Centro,B520,[0]!Turno,J$493)</f>
        <v>5</v>
      </c>
      <c r="K518" s="68">
        <f>SUMIFS([0]!Chavez,[0]!Centro,B520,[0]!Turno,K$493)</f>
        <v>8</v>
      </c>
      <c r="L518" s="68">
        <f>SUMIFS([0]!Chavez,[0]!Centro,B520,[0]!Turno,L$493)</f>
        <v>18</v>
      </c>
      <c r="M518" s="68">
        <f>SUMIFS([0]!Chavez,[0]!Centro,B520,[0]!Turno,M$493)</f>
        <v>14</v>
      </c>
      <c r="N518" s="68">
        <f>SUMIFS([0]!Chavez,[0]!Centro,B520,[0]!Turno,N$493)</f>
        <v>13</v>
      </c>
      <c r="O518" s="68">
        <f>SUMIFS([0]!Chavez,[0]!Centro,B520,[0]!Turno,O$493)</f>
        <v>0</v>
      </c>
      <c r="P518" s="68">
        <f>SUMIFS([0]!Chavez,[0]!Centro,B520,[0]!Turno,P$493)</f>
        <v>0</v>
      </c>
      <c r="Q518" s="68">
        <f>SUMIFS([0]!Chavez,[0]!Centro,B520,[0]!Turno,Q$493)</f>
        <v>0</v>
      </c>
      <c r="R518" s="68">
        <f>SUMIFS([0]!Chavez,[0]!Centro,B520,[0]!Turno,R$493)</f>
        <v>0</v>
      </c>
      <c r="S518" s="68">
        <f>SUMIFS([0]!Chavez,[0]!Centro,B520,[0]!Turno,S$493)</f>
        <v>0</v>
      </c>
      <c r="T518" s="68">
        <f>SUMIFS([0]!Chavez,[0]!Centro,B520,[0]!Turno,T$493)</f>
        <v>0</v>
      </c>
      <c r="U518" s="68">
        <f>SUMIFS([0]!Chavez,[0]!Centro,B520,[0]!Turno,U$493)</f>
        <v>0</v>
      </c>
      <c r="V518" s="68">
        <f>SUMIFS([0]!Chavez,[0]!Centro,B520,[0]!Turno,V$493)</f>
        <v>0</v>
      </c>
      <c r="W518" s="68">
        <f>SUMIFS([0]!Chavez,[0]!Centro,B520,[0]!Turno,W$493)</f>
        <v>0</v>
      </c>
      <c r="X518" s="68">
        <f>SUMIFS([0]!Chavez,[0]!Centro,B520,[0]!Turno,X$493)</f>
        <v>0</v>
      </c>
      <c r="Y518" s="69">
        <f>SUMIFS([0]!Chavez,[0]!Centro,B520,[0]!Turno,Y$493)</f>
        <v>0</v>
      </c>
    </row>
    <row r="519" spans="2:25" ht="15" customHeight="1" x14ac:dyDescent="0.2">
      <c r="B519" s="250"/>
      <c r="C519" s="92">
        <f>E519/SUM(E518:E520)</f>
        <v>0.44886363636363635</v>
      </c>
      <c r="D519" s="61" t="s">
        <v>1</v>
      </c>
      <c r="E519" s="62">
        <f t="shared" si="1932"/>
        <v>79</v>
      </c>
      <c r="F519" s="62">
        <f>SUMIFS([0]!Capriles,[0]!Centro,B520,[0]!Turno,F$493)</f>
        <v>0</v>
      </c>
      <c r="G519" s="62">
        <f>SUMIFS([0]!Capriles,[0]!Centro,B520,[0]!Turno,G$493)</f>
        <v>0</v>
      </c>
      <c r="H519" s="62">
        <f>SUMIFS([0]!Capriles,[0]!Centro,B520,[0]!Turno,H$493)</f>
        <v>1</v>
      </c>
      <c r="I519" s="62">
        <f>SUMIFS([0]!Capriles,[0]!Centro,B520,[0]!Turno,I$493)</f>
        <v>22</v>
      </c>
      <c r="J519" s="62">
        <f>SUMIFS([0]!Capriles,[0]!Centro,B520,[0]!Turno,J$493)</f>
        <v>1</v>
      </c>
      <c r="K519" s="62">
        <f>SUMIFS([0]!Capriles,[0]!Centro,B520,[0]!Turno,K$493)</f>
        <v>6</v>
      </c>
      <c r="L519" s="62">
        <f>SUMIFS([0]!Capriles,[0]!Centro,B520,[0]!Turno,L$493)</f>
        <v>13</v>
      </c>
      <c r="M519" s="62">
        <f>SUMIFS([0]!Capriles,[0]!Centro,B520,[0]!Turno,M$493)</f>
        <v>20</v>
      </c>
      <c r="N519" s="62">
        <f>SUMIFS([0]!Capriles,[0]!Centro,B520,[0]!Turno,N$493)</f>
        <v>16</v>
      </c>
      <c r="O519" s="62">
        <f>SUMIFS([0]!Capriles,[0]!Centro,B520,[0]!Turno,O$493)</f>
        <v>0</v>
      </c>
      <c r="P519" s="62">
        <f>SUMIFS([0]!Capriles,[0]!Centro,B520,[0]!Turno,P$493)</f>
        <v>0</v>
      </c>
      <c r="Q519" s="62">
        <f>SUMIFS([0]!Capriles,[0]!Centro,B520,[0]!Turno,Q$493)</f>
        <v>0</v>
      </c>
      <c r="R519" s="62">
        <f>SUMIFS([0]!Capriles,[0]!Centro,B520,[0]!Turno,R$493)</f>
        <v>0</v>
      </c>
      <c r="S519" s="62">
        <f>SUMIFS([0]!Capriles,[0]!Centro,B520,[0]!Turno,S$493)</f>
        <v>0</v>
      </c>
      <c r="T519" s="62">
        <f>SUMIFS([0]!Capriles,[0]!Centro,B520,[0]!Turno,T$493)</f>
        <v>0</v>
      </c>
      <c r="U519" s="62">
        <f>SUMIFS([0]!Capriles,[0]!Centro,B520,[0]!Turno,U$493)</f>
        <v>0</v>
      </c>
      <c r="V519" s="62">
        <f>SUMIFS([0]!Capriles,[0]!Centro,B520,[0]!Turno,V$493)</f>
        <v>0</v>
      </c>
      <c r="W519" s="62">
        <f>SUMIFS([0]!Capriles,[0]!Centro,B520,[0]!Turno,W$493)</f>
        <v>0</v>
      </c>
      <c r="X519" s="62">
        <f>SUMIFS([0]!Capriles,[0]!Centro,B520,[0]!Turno,X$493)</f>
        <v>0</v>
      </c>
      <c r="Y519" s="70">
        <f>SUMIFS([0]!Capriles,[0]!Centro,B520,[0]!Turno,Y$493)</f>
        <v>0</v>
      </c>
    </row>
    <row r="520" spans="2:25" ht="15" customHeight="1" thickBot="1" x14ac:dyDescent="0.25">
      <c r="B520" s="251">
        <v>71</v>
      </c>
      <c r="C520" s="100">
        <f>E520/SUM(E518:E520)</f>
        <v>1.7045454545454544E-2</v>
      </c>
      <c r="D520" s="71" t="s">
        <v>2</v>
      </c>
      <c r="E520" s="72">
        <f t="shared" si="1932"/>
        <v>3</v>
      </c>
      <c r="F520" s="72">
        <f>SUMIFS([0]!Otro,[0]!Centro,B520,[0]!Turno,F$493)</f>
        <v>0</v>
      </c>
      <c r="G520" s="72">
        <f>SUMIFS([0]!Otro,[0]!Centro,B520,[0]!Turno,G$493)</f>
        <v>0</v>
      </c>
      <c r="H520" s="72">
        <f>SUMIFS([0]!Otro,[0]!Centro,B520,[0]!Turno,H$493)</f>
        <v>0</v>
      </c>
      <c r="I520" s="72">
        <f>SUMIFS([0]!Otro,[0]!Centro,B520,[0]!Turno,I$493)</f>
        <v>0</v>
      </c>
      <c r="J520" s="72">
        <f>SUMIFS([0]!Otro,[0]!Centro,B520,[0]!Turno,J$493)</f>
        <v>0</v>
      </c>
      <c r="K520" s="72">
        <f>SUMIFS([0]!Otro,[0]!Centro,B520,[0]!Turno,K$493)</f>
        <v>0</v>
      </c>
      <c r="L520" s="72">
        <f>SUMIFS([0]!Otro,[0]!Centro,B520,[0]!Turno,L$493)</f>
        <v>0</v>
      </c>
      <c r="M520" s="72">
        <f>SUMIFS([0]!Otro,[0]!Centro,B520,[0]!Turno,M$493)</f>
        <v>3</v>
      </c>
      <c r="N520" s="72">
        <f>SUMIFS([0]!Otro,[0]!Centro,B520,[0]!Turno,N$493)</f>
        <v>0</v>
      </c>
      <c r="O520" s="72">
        <f>SUMIFS([0]!Otro,[0]!Centro,B520,[0]!Turno,O$493)</f>
        <v>0</v>
      </c>
      <c r="P520" s="72">
        <f>SUMIFS([0]!Otro,[0]!Centro,B520,[0]!Turno,P$493)</f>
        <v>0</v>
      </c>
      <c r="Q520" s="72">
        <f>SUMIFS([0]!Otro,[0]!Centro,B520,[0]!Turno,Q$493)</f>
        <v>0</v>
      </c>
      <c r="R520" s="72">
        <f>SUMIFS([0]!Otro,[0]!Centro,B520,[0]!Turno,R$493)</f>
        <v>0</v>
      </c>
      <c r="S520" s="72">
        <f>SUMIFS([0]!Otro,[0]!Centro,B520,[0]!Turno,S$493)</f>
        <v>0</v>
      </c>
      <c r="T520" s="72">
        <f>SUMIFS([0]!Otro,[0]!Centro,B520,[0]!Turno,T$493)</f>
        <v>0</v>
      </c>
      <c r="U520" s="72">
        <f>SUMIFS([0]!Otro,[0]!Centro,B520,[0]!Turno,U$493)</f>
        <v>0</v>
      </c>
      <c r="V520" s="72">
        <f>SUMIFS([0]!Otro,[0]!Centro,B520,[0]!Turno,V$493)</f>
        <v>0</v>
      </c>
      <c r="W520" s="72">
        <f>SUMIFS([0]!Otro,[0]!Centro,B520,[0]!Turno,W$493)</f>
        <v>0</v>
      </c>
      <c r="X520" s="72">
        <f>SUMIFS([0]!Otro,[0]!Centro,B520,[0]!Turno,X$493)</f>
        <v>0</v>
      </c>
      <c r="Y520" s="73">
        <f>SUMIFS([0]!Otro,[0]!Centro,B520,[0]!Turno,Y$493)</f>
        <v>0</v>
      </c>
    </row>
    <row r="521" spans="2:25" ht="15" customHeight="1" x14ac:dyDescent="0.2">
      <c r="B521" s="251"/>
      <c r="C521" s="94">
        <f>E521/SUM(E521:E523)</f>
        <v>0.53409090909090917</v>
      </c>
      <c r="D521" s="63" t="s">
        <v>0</v>
      </c>
      <c r="E521" s="150">
        <f>IF((E518+E519+E520)=0,0,(E518*$B522)/(E518+E519+E520))</f>
        <v>0.13163940991949369</v>
      </c>
      <c r="F521" s="150">
        <f>IF((F518+F519+F520)=0,0,(F518*$B522)/(F518+F519+F520))</f>
        <v>0</v>
      </c>
      <c r="G521" s="150">
        <f t="shared" ref="G521:Y521" si="1953">IF((G518+G519+G520)=0,0,(G518*$B522)/(G518+G519+G520))</f>
        <v>0</v>
      </c>
      <c r="H521" s="150">
        <f t="shared" si="1953"/>
        <v>0.21566456518725563</v>
      </c>
      <c r="I521" s="150">
        <f t="shared" si="1953"/>
        <v>0.14015176225054146</v>
      </c>
      <c r="J521" s="150">
        <f t="shared" si="1953"/>
        <v>0.20539482398786249</v>
      </c>
      <c r="K521" s="150">
        <f t="shared" si="1953"/>
        <v>0.14084216502024857</v>
      </c>
      <c r="L521" s="150">
        <f t="shared" si="1953"/>
        <v>0.1431138128431558</v>
      </c>
      <c r="M521" s="150">
        <f t="shared" si="1953"/>
        <v>9.3260352513407835E-2</v>
      </c>
      <c r="N521" s="150">
        <f t="shared" si="1953"/>
        <v>0.110488250145195</v>
      </c>
      <c r="O521" s="150">
        <f t="shared" si="1953"/>
        <v>0</v>
      </c>
      <c r="P521" s="150">
        <f t="shared" si="1953"/>
        <v>0</v>
      </c>
      <c r="Q521" s="150">
        <f t="shared" si="1953"/>
        <v>0</v>
      </c>
      <c r="R521" s="150">
        <f t="shared" si="1953"/>
        <v>0</v>
      </c>
      <c r="S521" s="150">
        <f t="shared" si="1953"/>
        <v>0</v>
      </c>
      <c r="T521" s="150">
        <f t="shared" si="1953"/>
        <v>0</v>
      </c>
      <c r="U521" s="150">
        <f t="shared" si="1953"/>
        <v>0</v>
      </c>
      <c r="V521" s="150">
        <f t="shared" si="1953"/>
        <v>0</v>
      </c>
      <c r="W521" s="150">
        <f t="shared" si="1953"/>
        <v>0</v>
      </c>
      <c r="X521" s="150">
        <f t="shared" si="1953"/>
        <v>0</v>
      </c>
      <c r="Y521" s="163">
        <f t="shared" si="1953"/>
        <v>0</v>
      </c>
    </row>
    <row r="522" spans="2:25" ht="15" customHeight="1" x14ac:dyDescent="0.2">
      <c r="B522" s="252">
        <v>0.24647378878543499</v>
      </c>
      <c r="C522" s="92">
        <f>E522/SUM(E521:E523)</f>
        <v>0.44886363636363641</v>
      </c>
      <c r="D522" s="61" t="s">
        <v>1</v>
      </c>
      <c r="E522" s="154">
        <f>IF((E518+E519+E520)=0,0,(E519*$B522)/(E518+E519+E520))</f>
        <v>0.1106331211025532</v>
      </c>
      <c r="F522" s="154">
        <f>IF((F518+F519+F520)=0,0,(F519*$B522)/(F518+F519+F520))</f>
        <v>0</v>
      </c>
      <c r="G522" s="154">
        <f t="shared" ref="G522:O522" si="1954">IF((G518+G519+G520)=0,0,(G519*$B522)/(G518+G519+G520))</f>
        <v>0</v>
      </c>
      <c r="H522" s="154">
        <f t="shared" si="1954"/>
        <v>3.0809223598179374E-2</v>
      </c>
      <c r="I522" s="154">
        <f t="shared" si="1954"/>
        <v>0.10632202653489353</v>
      </c>
      <c r="J522" s="154">
        <f t="shared" si="1954"/>
        <v>4.1078964797572497E-2</v>
      </c>
      <c r="K522" s="154">
        <f t="shared" si="1954"/>
        <v>0.10563162376518642</v>
      </c>
      <c r="L522" s="154">
        <f t="shared" si="1954"/>
        <v>0.10335997594227919</v>
      </c>
      <c r="M522" s="154">
        <f t="shared" si="1954"/>
        <v>0.13322907501915404</v>
      </c>
      <c r="N522" s="154">
        <f t="shared" si="1954"/>
        <v>0.13598553864023999</v>
      </c>
      <c r="O522" s="154">
        <f t="shared" si="1954"/>
        <v>0</v>
      </c>
      <c r="P522" s="154">
        <f>IF((P518+P519+P520)=0,0,(P519*$B522)/(P518+P519+P520))</f>
        <v>0</v>
      </c>
      <c r="Q522" s="154">
        <f t="shared" ref="Q522:Y522" si="1955">IF((Q518+Q519+Q520)=0,0,(Q519*$B522)/(Q518+Q519+Q520))</f>
        <v>0</v>
      </c>
      <c r="R522" s="154">
        <f t="shared" si="1955"/>
        <v>0</v>
      </c>
      <c r="S522" s="154">
        <f t="shared" si="1955"/>
        <v>0</v>
      </c>
      <c r="T522" s="154">
        <f t="shared" si="1955"/>
        <v>0</v>
      </c>
      <c r="U522" s="154">
        <f t="shared" si="1955"/>
        <v>0</v>
      </c>
      <c r="V522" s="154">
        <f t="shared" si="1955"/>
        <v>0</v>
      </c>
      <c r="W522" s="154">
        <f t="shared" si="1955"/>
        <v>0</v>
      </c>
      <c r="X522" s="154">
        <f t="shared" si="1955"/>
        <v>0</v>
      </c>
      <c r="Y522" s="159">
        <f t="shared" si="1955"/>
        <v>0</v>
      </c>
    </row>
    <row r="523" spans="2:25" ht="15" customHeight="1" thickBot="1" x14ac:dyDescent="0.25">
      <c r="B523" s="253"/>
      <c r="C523" s="93">
        <f>E523/SUM(E521:E523)</f>
        <v>1.7045454545454548E-2</v>
      </c>
      <c r="D523" s="75" t="s">
        <v>2</v>
      </c>
      <c r="E523" s="155">
        <f>IF((E518+E519+E520)=0,0,(E520*$B522)/(E518+E519+E520))</f>
        <v>4.2012577633880966E-3</v>
      </c>
      <c r="F523" s="155">
        <f>IF((F518+F519+F520)=0,0,(F520*$B522)/(F518+F519+F520))</f>
        <v>0</v>
      </c>
      <c r="G523" s="155">
        <f t="shared" ref="G523:Y523" si="1956">IF((G518+G519+G520)=0,0,(G520*$B522)/(G518+G519+G520))</f>
        <v>0</v>
      </c>
      <c r="H523" s="155">
        <f t="shared" si="1956"/>
        <v>0</v>
      </c>
      <c r="I523" s="155">
        <f t="shared" si="1956"/>
        <v>0</v>
      </c>
      <c r="J523" s="155">
        <f t="shared" si="1956"/>
        <v>0</v>
      </c>
      <c r="K523" s="155">
        <f t="shared" si="1956"/>
        <v>0</v>
      </c>
      <c r="L523" s="155">
        <f t="shared" si="1956"/>
        <v>0</v>
      </c>
      <c r="M523" s="155">
        <f t="shared" si="1956"/>
        <v>1.9984361252873107E-2</v>
      </c>
      <c r="N523" s="155">
        <f t="shared" si="1956"/>
        <v>0</v>
      </c>
      <c r="O523" s="155">
        <f t="shared" si="1956"/>
        <v>0</v>
      </c>
      <c r="P523" s="155">
        <f t="shared" si="1956"/>
        <v>0</v>
      </c>
      <c r="Q523" s="155">
        <f t="shared" si="1956"/>
        <v>0</v>
      </c>
      <c r="R523" s="155">
        <f t="shared" si="1956"/>
        <v>0</v>
      </c>
      <c r="S523" s="155">
        <f t="shared" si="1956"/>
        <v>0</v>
      </c>
      <c r="T523" s="155">
        <f t="shared" si="1956"/>
        <v>0</v>
      </c>
      <c r="U523" s="155">
        <f t="shared" si="1956"/>
        <v>0</v>
      </c>
      <c r="V523" s="155">
        <f t="shared" si="1956"/>
        <v>0</v>
      </c>
      <c r="W523" s="155">
        <f t="shared" si="1956"/>
        <v>0</v>
      </c>
      <c r="X523" s="155">
        <f t="shared" si="1956"/>
        <v>0</v>
      </c>
      <c r="Y523" s="160">
        <f t="shared" si="1956"/>
        <v>0</v>
      </c>
    </row>
    <row r="524" spans="2:25" ht="15" customHeight="1" x14ac:dyDescent="0.2">
      <c r="B524" s="249" t="s">
        <v>174</v>
      </c>
      <c r="C524" s="91">
        <f>E524/SUM(E524:E526)</f>
        <v>0.56877323420074355</v>
      </c>
      <c r="D524" s="67" t="s">
        <v>0</v>
      </c>
      <c r="E524" s="68">
        <f t="shared" si="1932"/>
        <v>153</v>
      </c>
      <c r="F524" s="68">
        <f>SUMIFS([0]!Chavez,[0]!Centro,B526,[0]!Turno,F$493)</f>
        <v>28</v>
      </c>
      <c r="G524" s="68">
        <f>SUMIFS([0]!Chavez,[0]!Centro,B526,[0]!Turno,G$493)</f>
        <v>0</v>
      </c>
      <c r="H524" s="68">
        <f>SUMIFS([0]!Chavez,[0]!Centro,B526,[0]!Turno,H$493)</f>
        <v>0</v>
      </c>
      <c r="I524" s="68">
        <f>SUMIFS([0]!Chavez,[0]!Centro,B526,[0]!Turno,I$493)</f>
        <v>9</v>
      </c>
      <c r="J524" s="68">
        <f>SUMIFS([0]!Chavez,[0]!Centro,B526,[0]!Turno,J$493)</f>
        <v>27</v>
      </c>
      <c r="K524" s="68">
        <f>SUMIFS([0]!Chavez,[0]!Centro,B526,[0]!Turno,K$493)</f>
        <v>27</v>
      </c>
      <c r="L524" s="68">
        <f>SUMIFS([0]!Chavez,[0]!Centro,B526,[0]!Turno,L$493)</f>
        <v>20</v>
      </c>
      <c r="M524" s="68">
        <f>SUMIFS([0]!Chavez,[0]!Centro,B526,[0]!Turno,M$493)</f>
        <v>25</v>
      </c>
      <c r="N524" s="68">
        <f>SUMIFS([0]!Chavez,[0]!Centro,B526,[0]!Turno,N$493)</f>
        <v>17</v>
      </c>
      <c r="O524" s="68">
        <f>SUMIFS([0]!Chavez,[0]!Centro,B526,[0]!Turno,O$493)</f>
        <v>0</v>
      </c>
      <c r="P524" s="68">
        <f>SUMIFS([0]!Chavez,[0]!Centro,B526,[0]!Turno,P$493)</f>
        <v>0</v>
      </c>
      <c r="Q524" s="68">
        <f>SUMIFS([0]!Chavez,[0]!Centro,B526,[0]!Turno,Q$493)</f>
        <v>0</v>
      </c>
      <c r="R524" s="68">
        <f>SUMIFS([0]!Chavez,[0]!Centro,B526,[0]!Turno,R$493)</f>
        <v>0</v>
      </c>
      <c r="S524" s="68">
        <f>SUMIFS([0]!Chavez,[0]!Centro,B526,[0]!Turno,S$493)</f>
        <v>0</v>
      </c>
      <c r="T524" s="68">
        <f>SUMIFS([0]!Chavez,[0]!Centro,B526,[0]!Turno,T$493)</f>
        <v>0</v>
      </c>
      <c r="U524" s="68">
        <f>SUMIFS([0]!Chavez,[0]!Centro,B526,[0]!Turno,U$493)</f>
        <v>0</v>
      </c>
      <c r="V524" s="68">
        <f>SUMIFS([0]!Chavez,[0]!Centro,B526,[0]!Turno,V$493)</f>
        <v>0</v>
      </c>
      <c r="W524" s="68">
        <f>SUMIFS([0]!Chavez,[0]!Centro,B526,[0]!Turno,W$493)</f>
        <v>0</v>
      </c>
      <c r="X524" s="68">
        <f>SUMIFS([0]!Chavez,[0]!Centro,B526,[0]!Turno,X$493)</f>
        <v>0</v>
      </c>
      <c r="Y524" s="69">
        <f>SUMIFS([0]!Chavez,[0]!Centro,B526,[0]!Turno,Y$493)</f>
        <v>0</v>
      </c>
    </row>
    <row r="525" spans="2:25" ht="15" customHeight="1" x14ac:dyDescent="0.2">
      <c r="B525" s="250"/>
      <c r="C525" s="92">
        <f>E525/SUM(E524:E526)</f>
        <v>0.43122676579925651</v>
      </c>
      <c r="D525" s="61" t="s">
        <v>1</v>
      </c>
      <c r="E525" s="62">
        <f t="shared" si="1932"/>
        <v>116</v>
      </c>
      <c r="F525" s="62">
        <f>SUMIFS([0]!Capriles,[0]!Centro,B526,[0]!Turno,F$493)</f>
        <v>17</v>
      </c>
      <c r="G525" s="62">
        <f>SUMIFS([0]!Capriles,[0]!Centro,B526,[0]!Turno,G$493)</f>
        <v>0</v>
      </c>
      <c r="H525" s="62">
        <f>SUMIFS([0]!Capriles,[0]!Centro,B526,[0]!Turno,H$493)</f>
        <v>0</v>
      </c>
      <c r="I525" s="62">
        <f>SUMIFS([0]!Capriles,[0]!Centro,B526,[0]!Turno,I$493)</f>
        <v>16</v>
      </c>
      <c r="J525" s="62">
        <f>SUMIFS([0]!Capriles,[0]!Centro,B526,[0]!Turno,J$493)</f>
        <v>12</v>
      </c>
      <c r="K525" s="62">
        <f>SUMIFS([0]!Capriles,[0]!Centro,B526,[0]!Turno,K$493)</f>
        <v>23</v>
      </c>
      <c r="L525" s="62">
        <f>SUMIFS([0]!Capriles,[0]!Centro,B526,[0]!Turno,L$493)</f>
        <v>16</v>
      </c>
      <c r="M525" s="62">
        <f>SUMIFS([0]!Capriles,[0]!Centro,B526,[0]!Turno,M$493)</f>
        <v>13</v>
      </c>
      <c r="N525" s="62">
        <f>SUMIFS([0]!Capriles,[0]!Centro,B526,[0]!Turno,N$493)</f>
        <v>19</v>
      </c>
      <c r="O525" s="62">
        <f>SUMIFS([0]!Capriles,[0]!Centro,B526,[0]!Turno,O$493)</f>
        <v>0</v>
      </c>
      <c r="P525" s="62">
        <f>SUMIFS([0]!Capriles,[0]!Centro,B526,[0]!Turno,P$493)</f>
        <v>0</v>
      </c>
      <c r="Q525" s="62">
        <f>SUMIFS([0]!Capriles,[0]!Centro,B526,[0]!Turno,Q$493)</f>
        <v>0</v>
      </c>
      <c r="R525" s="62">
        <f>SUMIFS([0]!Capriles,[0]!Centro,B526,[0]!Turno,R$493)</f>
        <v>0</v>
      </c>
      <c r="S525" s="62">
        <f>SUMIFS([0]!Capriles,[0]!Centro,B526,[0]!Turno,S$493)</f>
        <v>0</v>
      </c>
      <c r="T525" s="62">
        <f>SUMIFS([0]!Capriles,[0]!Centro,B526,[0]!Turno,T$493)</f>
        <v>0</v>
      </c>
      <c r="U525" s="62">
        <f>SUMIFS([0]!Capriles,[0]!Centro,B526,[0]!Turno,U$493)</f>
        <v>0</v>
      </c>
      <c r="V525" s="62">
        <f>SUMIFS([0]!Capriles,[0]!Centro,B526,[0]!Turno,V$493)</f>
        <v>0</v>
      </c>
      <c r="W525" s="62">
        <f>SUMIFS([0]!Capriles,[0]!Centro,B526,[0]!Turno,W$493)</f>
        <v>0</v>
      </c>
      <c r="X525" s="62">
        <f>SUMIFS([0]!Capriles,[0]!Centro,B526,[0]!Turno,X$493)</f>
        <v>0</v>
      </c>
      <c r="Y525" s="70">
        <f>SUMIFS([0]!Capriles,[0]!Centro,B526,[0]!Turno,Y$493)</f>
        <v>0</v>
      </c>
    </row>
    <row r="526" spans="2:25" ht="15" customHeight="1" thickBot="1" x14ac:dyDescent="0.25">
      <c r="B526" s="251">
        <v>72</v>
      </c>
      <c r="C526" s="100">
        <f>E526/SUM(E524:E526)</f>
        <v>0</v>
      </c>
      <c r="D526" s="71" t="s">
        <v>2</v>
      </c>
      <c r="E526" s="72">
        <f t="shared" si="1932"/>
        <v>0</v>
      </c>
      <c r="F526" s="72">
        <f>SUMIFS([0]!Otro,[0]!Centro,B526,[0]!Turno,F$493)</f>
        <v>0</v>
      </c>
      <c r="G526" s="72">
        <f>SUMIFS([0]!Otro,[0]!Centro,B526,[0]!Turno,G$493)</f>
        <v>0</v>
      </c>
      <c r="H526" s="72">
        <f>SUMIFS([0]!Otro,[0]!Centro,B526,[0]!Turno,H$493)</f>
        <v>0</v>
      </c>
      <c r="I526" s="72">
        <f>SUMIFS([0]!Otro,[0]!Centro,B526,[0]!Turno,I$493)</f>
        <v>0</v>
      </c>
      <c r="J526" s="72">
        <f>SUMIFS([0]!Otro,[0]!Centro,B526,[0]!Turno,J$493)</f>
        <v>0</v>
      </c>
      <c r="K526" s="72">
        <f>SUMIFS([0]!Otro,[0]!Centro,B526,[0]!Turno,K$493)</f>
        <v>0</v>
      </c>
      <c r="L526" s="72">
        <f>SUMIFS([0]!Otro,[0]!Centro,B526,[0]!Turno,L$493)</f>
        <v>0</v>
      </c>
      <c r="M526" s="72">
        <f>SUMIFS([0]!Otro,[0]!Centro,B526,[0]!Turno,M$493)</f>
        <v>0</v>
      </c>
      <c r="N526" s="72">
        <f>SUMIFS([0]!Otro,[0]!Centro,B526,[0]!Turno,N$493)</f>
        <v>0</v>
      </c>
      <c r="O526" s="72">
        <f>SUMIFS([0]!Otro,[0]!Centro,B526,[0]!Turno,O$493)</f>
        <v>0</v>
      </c>
      <c r="P526" s="72">
        <f>SUMIFS([0]!Otro,[0]!Centro,B526,[0]!Turno,P$493)</f>
        <v>0</v>
      </c>
      <c r="Q526" s="72">
        <f>SUMIFS([0]!Otro,[0]!Centro,B526,[0]!Turno,Q$493)</f>
        <v>0</v>
      </c>
      <c r="R526" s="72">
        <f>SUMIFS([0]!Otro,[0]!Centro,B526,[0]!Turno,R$493)</f>
        <v>0</v>
      </c>
      <c r="S526" s="72">
        <f>SUMIFS([0]!Otro,[0]!Centro,B526,[0]!Turno,S$493)</f>
        <v>0</v>
      </c>
      <c r="T526" s="72">
        <f>SUMIFS([0]!Otro,[0]!Centro,B526,[0]!Turno,T$493)</f>
        <v>0</v>
      </c>
      <c r="U526" s="72">
        <f>SUMIFS([0]!Otro,[0]!Centro,B526,[0]!Turno,U$493)</f>
        <v>0</v>
      </c>
      <c r="V526" s="72">
        <f>SUMIFS([0]!Otro,[0]!Centro,B526,[0]!Turno,V$493)</f>
        <v>0</v>
      </c>
      <c r="W526" s="72">
        <f>SUMIFS([0]!Otro,[0]!Centro,B526,[0]!Turno,W$493)</f>
        <v>0</v>
      </c>
      <c r="X526" s="72">
        <f>SUMIFS([0]!Otro,[0]!Centro,B526,[0]!Turno,X$493)</f>
        <v>0</v>
      </c>
      <c r="Y526" s="73">
        <f>SUMIFS([0]!Otro,[0]!Centro,B526,[0]!Turno,Y$493)</f>
        <v>0</v>
      </c>
    </row>
    <row r="527" spans="2:25" ht="15" customHeight="1" x14ac:dyDescent="0.2">
      <c r="B527" s="251"/>
      <c r="C527" s="94">
        <f>E527/SUM(E527:E529)</f>
        <v>0.56877323420074355</v>
      </c>
      <c r="D527" s="63" t="s">
        <v>0</v>
      </c>
      <c r="E527" s="150">
        <f>IF((E524+E525+E526)=0,0,(E524*$B528)/(E524+E525+E526))</f>
        <v>6.7202049758625648E-2</v>
      </c>
      <c r="F527" s="150">
        <f>IF((F524+F525+F526)=0,0,(F524*$B528)/(F524+F525+F526))</f>
        <v>7.3517187913139909E-2</v>
      </c>
      <c r="G527" s="150">
        <f t="shared" ref="G527:Y527" si="1957">IF((G524+G525+G526)=0,0,(G524*$B528)/(G524+G525+G526))</f>
        <v>0</v>
      </c>
      <c r="H527" s="150">
        <f t="shared" si="1957"/>
        <v>0</v>
      </c>
      <c r="I527" s="150">
        <f t="shared" si="1957"/>
        <v>4.2534944435459521E-2</v>
      </c>
      <c r="J527" s="150">
        <f t="shared" si="1957"/>
        <v>8.1797970068191381E-2</v>
      </c>
      <c r="K527" s="150">
        <f t="shared" si="1957"/>
        <v>6.3802416653189281E-2</v>
      </c>
      <c r="L527" s="150">
        <f t="shared" si="1957"/>
        <v>6.5640346351017773E-2</v>
      </c>
      <c r="M527" s="150">
        <f t="shared" si="1957"/>
        <v>7.7731989099889473E-2</v>
      </c>
      <c r="N527" s="150">
        <f t="shared" si="1957"/>
        <v>5.5794294398365113E-2</v>
      </c>
      <c r="O527" s="150">
        <f t="shared" si="1957"/>
        <v>0</v>
      </c>
      <c r="P527" s="150">
        <f t="shared" si="1957"/>
        <v>0</v>
      </c>
      <c r="Q527" s="150">
        <f t="shared" si="1957"/>
        <v>0</v>
      </c>
      <c r="R527" s="150">
        <f t="shared" si="1957"/>
        <v>0</v>
      </c>
      <c r="S527" s="150">
        <f t="shared" si="1957"/>
        <v>0</v>
      </c>
      <c r="T527" s="150">
        <f t="shared" si="1957"/>
        <v>0</v>
      </c>
      <c r="U527" s="150">
        <f t="shared" si="1957"/>
        <v>0</v>
      </c>
      <c r="V527" s="150">
        <f t="shared" si="1957"/>
        <v>0</v>
      </c>
      <c r="W527" s="150">
        <f t="shared" si="1957"/>
        <v>0</v>
      </c>
      <c r="X527" s="150">
        <f t="shared" si="1957"/>
        <v>0</v>
      </c>
      <c r="Y527" s="163">
        <f t="shared" si="1957"/>
        <v>0</v>
      </c>
    </row>
    <row r="528" spans="2:25" ht="15" customHeight="1" x14ac:dyDescent="0.2">
      <c r="B528" s="252">
        <v>0.118152623431832</v>
      </c>
      <c r="C528" s="92">
        <f>E528/SUM(E527:E529)</f>
        <v>0.43122676579925645</v>
      </c>
      <c r="D528" s="61" t="s">
        <v>1</v>
      </c>
      <c r="E528" s="154">
        <f>IF((E524+E525+E526)=0,0,(E525*$B528)/(E524+E525+E526))</f>
        <v>5.0950573673206365E-2</v>
      </c>
      <c r="F528" s="154">
        <f>IF((F524+F525+F526)=0,0,(F525*$B528)/(F524+F525+F526))</f>
        <v>4.463543551869209E-2</v>
      </c>
      <c r="G528" s="154">
        <f t="shared" ref="G528:O528" si="1958">IF((G524+G525+G526)=0,0,(G525*$B528)/(G524+G525+G526))</f>
        <v>0</v>
      </c>
      <c r="H528" s="154">
        <f t="shared" si="1958"/>
        <v>0</v>
      </c>
      <c r="I528" s="154">
        <f t="shared" si="1958"/>
        <v>7.5617678996372478E-2</v>
      </c>
      <c r="J528" s="154">
        <f t="shared" si="1958"/>
        <v>3.6354653363640618E-2</v>
      </c>
      <c r="K528" s="154">
        <f t="shared" si="1958"/>
        <v>5.4350206778642718E-2</v>
      </c>
      <c r="L528" s="154">
        <f t="shared" si="1958"/>
        <v>5.2512277080814219E-2</v>
      </c>
      <c r="M528" s="154">
        <f t="shared" si="1958"/>
        <v>4.0420634331942526E-2</v>
      </c>
      <c r="N528" s="154">
        <f t="shared" si="1958"/>
        <v>6.2358329033466893E-2</v>
      </c>
      <c r="O528" s="154">
        <f t="shared" si="1958"/>
        <v>0</v>
      </c>
      <c r="P528" s="154">
        <f>IF((P524+P525+P526)=0,0,(P525*$B528)/(P524+P525+P526))</f>
        <v>0</v>
      </c>
      <c r="Q528" s="154">
        <f t="shared" ref="Q528:Y528" si="1959">IF((Q524+Q525+Q526)=0,0,(Q525*$B528)/(Q524+Q525+Q526))</f>
        <v>0</v>
      </c>
      <c r="R528" s="154">
        <f t="shared" si="1959"/>
        <v>0</v>
      </c>
      <c r="S528" s="154">
        <f t="shared" si="1959"/>
        <v>0</v>
      </c>
      <c r="T528" s="154">
        <f t="shared" si="1959"/>
        <v>0</v>
      </c>
      <c r="U528" s="154">
        <f t="shared" si="1959"/>
        <v>0</v>
      </c>
      <c r="V528" s="154">
        <f t="shared" si="1959"/>
        <v>0</v>
      </c>
      <c r="W528" s="154">
        <f t="shared" si="1959"/>
        <v>0</v>
      </c>
      <c r="X528" s="154">
        <f t="shared" si="1959"/>
        <v>0</v>
      </c>
      <c r="Y528" s="159">
        <f t="shared" si="1959"/>
        <v>0</v>
      </c>
    </row>
    <row r="529" spans="2:25" ht="15" customHeight="1" thickBot="1" x14ac:dyDescent="0.25">
      <c r="B529" s="253"/>
      <c r="C529" s="93">
        <f>E529/SUM(E527:E529)</f>
        <v>0</v>
      </c>
      <c r="D529" s="75" t="s">
        <v>2</v>
      </c>
      <c r="E529" s="155">
        <f>IF((E524+E525+E526)=0,0,(E526*$B528)/(E524+E525+E526))</f>
        <v>0</v>
      </c>
      <c r="F529" s="155">
        <f>IF((F524+F525+F526)=0,0,(F526*$B528)/(F524+F525+F526))</f>
        <v>0</v>
      </c>
      <c r="G529" s="155">
        <f t="shared" ref="G529:Y529" si="1960">IF((G524+G525+G526)=0,0,(G526*$B528)/(G524+G525+G526))</f>
        <v>0</v>
      </c>
      <c r="H529" s="155">
        <f t="shared" si="1960"/>
        <v>0</v>
      </c>
      <c r="I529" s="155">
        <f t="shared" si="1960"/>
        <v>0</v>
      </c>
      <c r="J529" s="155">
        <f t="shared" si="1960"/>
        <v>0</v>
      </c>
      <c r="K529" s="155">
        <f t="shared" si="1960"/>
        <v>0</v>
      </c>
      <c r="L529" s="155">
        <f t="shared" si="1960"/>
        <v>0</v>
      </c>
      <c r="M529" s="155">
        <f t="shared" si="1960"/>
        <v>0</v>
      </c>
      <c r="N529" s="155">
        <f t="shared" si="1960"/>
        <v>0</v>
      </c>
      <c r="O529" s="155">
        <f t="shared" si="1960"/>
        <v>0</v>
      </c>
      <c r="P529" s="155">
        <f t="shared" si="1960"/>
        <v>0</v>
      </c>
      <c r="Q529" s="155">
        <f t="shared" si="1960"/>
        <v>0</v>
      </c>
      <c r="R529" s="155">
        <f t="shared" si="1960"/>
        <v>0</v>
      </c>
      <c r="S529" s="155">
        <f t="shared" si="1960"/>
        <v>0</v>
      </c>
      <c r="T529" s="155">
        <f t="shared" si="1960"/>
        <v>0</v>
      </c>
      <c r="U529" s="155">
        <f t="shared" si="1960"/>
        <v>0</v>
      </c>
      <c r="V529" s="155">
        <f t="shared" si="1960"/>
        <v>0</v>
      </c>
      <c r="W529" s="155">
        <f t="shared" si="1960"/>
        <v>0</v>
      </c>
      <c r="X529" s="155">
        <f t="shared" si="1960"/>
        <v>0</v>
      </c>
      <c r="Y529" s="160">
        <f t="shared" si="1960"/>
        <v>0</v>
      </c>
    </row>
    <row r="530" spans="2:25" ht="15" customHeight="1" thickBot="1" x14ac:dyDescent="0.25">
      <c r="B530" s="18" t="s">
        <v>3</v>
      </c>
      <c r="C530" s="24" t="s">
        <v>226</v>
      </c>
      <c r="D530" s="25" t="s">
        <v>4</v>
      </c>
      <c r="E530" s="18" t="s">
        <v>225</v>
      </c>
      <c r="F530" s="19">
        <v>1</v>
      </c>
      <c r="G530" s="19">
        <v>2</v>
      </c>
      <c r="H530" s="19">
        <v>3</v>
      </c>
      <c r="I530" s="19">
        <v>4</v>
      </c>
      <c r="J530" s="19">
        <v>5</v>
      </c>
      <c r="K530" s="19">
        <v>6</v>
      </c>
      <c r="L530" s="19">
        <v>7</v>
      </c>
      <c r="M530" s="19">
        <v>8</v>
      </c>
      <c r="N530" s="19">
        <v>9</v>
      </c>
      <c r="O530" s="19">
        <v>10</v>
      </c>
      <c r="P530" s="19">
        <v>11</v>
      </c>
      <c r="Q530" s="19">
        <v>12</v>
      </c>
      <c r="R530" s="19">
        <v>13</v>
      </c>
      <c r="S530" s="19">
        <v>14</v>
      </c>
      <c r="T530" s="19">
        <v>15</v>
      </c>
      <c r="U530" s="19">
        <v>16</v>
      </c>
      <c r="V530" s="19">
        <v>17</v>
      </c>
      <c r="W530" s="19">
        <v>18</v>
      </c>
      <c r="X530" s="19">
        <v>19</v>
      </c>
      <c r="Y530" s="19">
        <v>20</v>
      </c>
    </row>
    <row r="531" spans="2:25" ht="15" customHeight="1" x14ac:dyDescent="0.2">
      <c r="B531" s="246" t="s">
        <v>101</v>
      </c>
      <c r="C531" s="95">
        <f>E531/SUM(E531:E533)</f>
        <v>0.55053763440860215</v>
      </c>
      <c r="D531" s="81" t="s">
        <v>0</v>
      </c>
      <c r="E531" s="82">
        <f>SUM(F531:Y531)</f>
        <v>1536</v>
      </c>
      <c r="F531" s="82">
        <f t="shared" ref="F531:Y531" si="1961">SUM(F537,F543,F549,F555,F561,F567,F573,F579)</f>
        <v>172</v>
      </c>
      <c r="G531" s="82">
        <f t="shared" si="1961"/>
        <v>221</v>
      </c>
      <c r="H531" s="82">
        <f t="shared" si="1961"/>
        <v>148</v>
      </c>
      <c r="I531" s="82">
        <f t="shared" si="1961"/>
        <v>91</v>
      </c>
      <c r="J531" s="82">
        <f t="shared" si="1961"/>
        <v>234</v>
      </c>
      <c r="K531" s="82">
        <f>SUM(K537,K543,K549,K555,K561,K567,K573,K579)</f>
        <v>165</v>
      </c>
      <c r="L531" s="82">
        <f>SUM(L537,L543,L549,L555,L561,L567,L573,L579)</f>
        <v>153</v>
      </c>
      <c r="M531" s="82">
        <f>SUM(M537,M543,M549,M555,M561,M567,M573,M579)</f>
        <v>169</v>
      </c>
      <c r="N531" s="82">
        <f t="shared" si="1961"/>
        <v>39</v>
      </c>
      <c r="O531" s="82">
        <f>SUM(O537,O543,O549,O555,O561,O567,O573,O579)</f>
        <v>0</v>
      </c>
      <c r="P531" s="82">
        <f t="shared" si="1961"/>
        <v>0</v>
      </c>
      <c r="Q531" s="82">
        <f t="shared" si="1961"/>
        <v>144</v>
      </c>
      <c r="R531" s="82">
        <f t="shared" si="1961"/>
        <v>0</v>
      </c>
      <c r="S531" s="82">
        <f t="shared" si="1961"/>
        <v>0</v>
      </c>
      <c r="T531" s="82">
        <f t="shared" si="1961"/>
        <v>0</v>
      </c>
      <c r="U531" s="82">
        <f t="shared" si="1961"/>
        <v>0</v>
      </c>
      <c r="V531" s="82">
        <f t="shared" si="1961"/>
        <v>0</v>
      </c>
      <c r="W531" s="82">
        <f t="shared" si="1961"/>
        <v>0</v>
      </c>
      <c r="X531" s="82">
        <f t="shared" si="1961"/>
        <v>0</v>
      </c>
      <c r="Y531" s="83">
        <f t="shared" si="1961"/>
        <v>0</v>
      </c>
    </row>
    <row r="532" spans="2:25" ht="15" customHeight="1" x14ac:dyDescent="0.2">
      <c r="B532" s="247"/>
      <c r="C532" s="96">
        <f>E532/SUM(E531:E533)</f>
        <v>0.44121863799283156</v>
      </c>
      <c r="D532" s="79" t="s">
        <v>1</v>
      </c>
      <c r="E532" s="80">
        <f t="shared" ref="E532:E581" si="1962">SUM(F532:Y532)</f>
        <v>1231</v>
      </c>
      <c r="F532" s="80">
        <f t="shared" ref="F532:Y532" si="1963">SUM(F538,F544,F550,F556,F562,F568,F574,F580)</f>
        <v>131</v>
      </c>
      <c r="G532" s="80">
        <f t="shared" si="1963"/>
        <v>169</v>
      </c>
      <c r="H532" s="80">
        <f t="shared" si="1963"/>
        <v>136</v>
      </c>
      <c r="I532" s="80">
        <f t="shared" si="1963"/>
        <v>46</v>
      </c>
      <c r="J532" s="80">
        <f t="shared" si="1963"/>
        <v>172</v>
      </c>
      <c r="K532" s="80">
        <f>SUM(K538,K544,K550,K556,K562,K568,K574,K580)</f>
        <v>149</v>
      </c>
      <c r="L532" s="80">
        <f t="shared" si="1963"/>
        <v>158</v>
      </c>
      <c r="M532" s="80">
        <f t="shared" si="1963"/>
        <v>151</v>
      </c>
      <c r="N532" s="80">
        <f t="shared" si="1963"/>
        <v>28</v>
      </c>
      <c r="O532" s="80">
        <f t="shared" si="1963"/>
        <v>0</v>
      </c>
      <c r="P532" s="80">
        <f t="shared" si="1963"/>
        <v>0</v>
      </c>
      <c r="Q532" s="80">
        <f t="shared" si="1963"/>
        <v>91</v>
      </c>
      <c r="R532" s="80">
        <f t="shared" si="1963"/>
        <v>0</v>
      </c>
      <c r="S532" s="80">
        <f t="shared" si="1963"/>
        <v>0</v>
      </c>
      <c r="T532" s="80">
        <f t="shared" si="1963"/>
        <v>0</v>
      </c>
      <c r="U532" s="80">
        <f t="shared" si="1963"/>
        <v>0</v>
      </c>
      <c r="V532" s="80">
        <f t="shared" si="1963"/>
        <v>0</v>
      </c>
      <c r="W532" s="80">
        <f t="shared" si="1963"/>
        <v>0</v>
      </c>
      <c r="X532" s="80">
        <f t="shared" si="1963"/>
        <v>0</v>
      </c>
      <c r="Y532" s="84">
        <f t="shared" si="1963"/>
        <v>0</v>
      </c>
    </row>
    <row r="533" spans="2:25" ht="15" customHeight="1" thickBot="1" x14ac:dyDescent="0.25">
      <c r="B533" s="247"/>
      <c r="C533" s="97">
        <f>E533/SUM(E531:E533)</f>
        <v>8.2437275985663087E-3</v>
      </c>
      <c r="D533" s="86" t="s">
        <v>2</v>
      </c>
      <c r="E533" s="87">
        <f t="shared" si="1962"/>
        <v>23</v>
      </c>
      <c r="F533" s="87">
        <f t="shared" ref="F533:Y533" si="1964">SUM(F539,F545,F551,F557,F563,F569,F575,F581)</f>
        <v>1</v>
      </c>
      <c r="G533" s="87">
        <f t="shared" si="1964"/>
        <v>0</v>
      </c>
      <c r="H533" s="87">
        <f t="shared" si="1964"/>
        <v>2</v>
      </c>
      <c r="I533" s="87">
        <f t="shared" si="1964"/>
        <v>0</v>
      </c>
      <c r="J533" s="87">
        <f t="shared" si="1964"/>
        <v>8</v>
      </c>
      <c r="K533" s="87">
        <f>SUM(K539,K545,K551,K557,K563,K569,K575,K581)</f>
        <v>7</v>
      </c>
      <c r="L533" s="87">
        <f t="shared" si="1964"/>
        <v>2</v>
      </c>
      <c r="M533" s="87">
        <f t="shared" si="1964"/>
        <v>2</v>
      </c>
      <c r="N533" s="87">
        <f t="shared" si="1964"/>
        <v>0</v>
      </c>
      <c r="O533" s="87">
        <f t="shared" si="1964"/>
        <v>0</v>
      </c>
      <c r="P533" s="87">
        <f t="shared" si="1964"/>
        <v>0</v>
      </c>
      <c r="Q533" s="87">
        <f t="shared" si="1964"/>
        <v>1</v>
      </c>
      <c r="R533" s="87">
        <f t="shared" si="1964"/>
        <v>0</v>
      </c>
      <c r="S533" s="87">
        <f t="shared" si="1964"/>
        <v>0</v>
      </c>
      <c r="T533" s="87">
        <f t="shared" si="1964"/>
        <v>0</v>
      </c>
      <c r="U533" s="87">
        <f t="shared" si="1964"/>
        <v>0</v>
      </c>
      <c r="V533" s="87">
        <f t="shared" si="1964"/>
        <v>0</v>
      </c>
      <c r="W533" s="87">
        <f t="shared" si="1964"/>
        <v>0</v>
      </c>
      <c r="X533" s="87">
        <f t="shared" si="1964"/>
        <v>0</v>
      </c>
      <c r="Y533" s="88">
        <f t="shared" si="1964"/>
        <v>0</v>
      </c>
    </row>
    <row r="534" spans="2:25" ht="15" customHeight="1" x14ac:dyDescent="0.2">
      <c r="B534" s="247"/>
      <c r="C534" s="98">
        <f>E534/SUM(E534:E536)</f>
        <v>0.49758531311698501</v>
      </c>
      <c r="D534" s="85" t="s">
        <v>0</v>
      </c>
      <c r="E534" s="151">
        <f t="shared" ref="E534" si="1965">SUM(E540,E546,E552,E558,E564,E570,E576,E582)</f>
        <v>0.49758531311698523</v>
      </c>
      <c r="F534" s="151">
        <f t="shared" ref="F534:Y534" si="1966">SUM(F540,F546,F552,F558,F564,F570,F576,F582)</f>
        <v>0.47995167032801955</v>
      </c>
      <c r="G534" s="151">
        <f t="shared" si="1966"/>
        <v>0.52775905506437104</v>
      </c>
      <c r="H534" s="151">
        <f t="shared" si="1966"/>
        <v>0.46382766620345761</v>
      </c>
      <c r="I534" s="151">
        <f t="shared" si="1966"/>
        <v>0.55201989553188702</v>
      </c>
      <c r="J534" s="151">
        <f t="shared" si="1966"/>
        <v>0.55256086116391423</v>
      </c>
      <c r="K534" s="151">
        <f>SUM(K540,K546,K552,K558,K564,K570,K576,K582)</f>
        <v>0.4402858582923197</v>
      </c>
      <c r="L534" s="151">
        <f t="shared" si="1966"/>
        <v>0.45158512953121899</v>
      </c>
      <c r="M534" s="151">
        <f t="shared" si="1966"/>
        <v>0.42130419514484319</v>
      </c>
      <c r="N534" s="151">
        <f t="shared" si="1966"/>
        <v>9.2456226211751175E-2</v>
      </c>
      <c r="O534" s="151">
        <f t="shared" si="1966"/>
        <v>0</v>
      </c>
      <c r="P534" s="151">
        <f t="shared" si="1966"/>
        <v>0</v>
      </c>
      <c r="Q534" s="151">
        <f t="shared" si="1966"/>
        <v>0.53155445561170733</v>
      </c>
      <c r="R534" s="151">
        <f t="shared" si="1966"/>
        <v>0</v>
      </c>
      <c r="S534" s="151">
        <f t="shared" si="1966"/>
        <v>0</v>
      </c>
      <c r="T534" s="151">
        <f t="shared" si="1966"/>
        <v>0</v>
      </c>
      <c r="U534" s="151">
        <f t="shared" si="1966"/>
        <v>0</v>
      </c>
      <c r="V534" s="151">
        <f t="shared" si="1966"/>
        <v>0</v>
      </c>
      <c r="W534" s="151">
        <f t="shared" si="1966"/>
        <v>0</v>
      </c>
      <c r="X534" s="151">
        <f t="shared" si="1966"/>
        <v>0</v>
      </c>
      <c r="Y534" s="156">
        <f t="shared" si="1966"/>
        <v>0</v>
      </c>
    </row>
    <row r="535" spans="2:25" ht="15" customHeight="1" x14ac:dyDescent="0.2">
      <c r="B535" s="247"/>
      <c r="C535" s="96">
        <f>E535/SUM(E534:E536)</f>
        <v>0.49413943768129492</v>
      </c>
      <c r="D535" s="79" t="s">
        <v>1</v>
      </c>
      <c r="E535" s="152">
        <f t="shared" ref="E535" si="1967">SUM(E541,E547,E553,E559,E565,E571,E577,E583)</f>
        <v>0.49413943768129515</v>
      </c>
      <c r="F535" s="152">
        <f t="shared" ref="F535:Y535" si="1968">SUM(F541,F547,F553,F559,F565,F571,F577,F583)</f>
        <v>0.51943647116919378</v>
      </c>
      <c r="G535" s="152">
        <f t="shared" si="1968"/>
        <v>0.47224094493562929</v>
      </c>
      <c r="H535" s="152">
        <f t="shared" si="1968"/>
        <v>0.47577417722138782</v>
      </c>
      <c r="I535" s="152">
        <f t="shared" si="1968"/>
        <v>0.28160134097957912</v>
      </c>
      <c r="J535" s="152">
        <f t="shared" si="1968"/>
        <v>0.42962137276510914</v>
      </c>
      <c r="K535" s="152">
        <f>SUM(K541,K547,K553,K559,K565,K571,K577,K583)</f>
        <v>0.53454931996687816</v>
      </c>
      <c r="L535" s="152">
        <f t="shared" si="1968"/>
        <v>0.54709828895097168</v>
      </c>
      <c r="M535" s="152">
        <f t="shared" si="1968"/>
        <v>0.56970747027892032</v>
      </c>
      <c r="N535" s="152">
        <f t="shared" si="1968"/>
        <v>5.445283617314433E-2</v>
      </c>
      <c r="O535" s="152">
        <f t="shared" si="1968"/>
        <v>0</v>
      </c>
      <c r="P535" s="152">
        <f t="shared" si="1968"/>
        <v>0</v>
      </c>
      <c r="Q535" s="152">
        <f t="shared" si="1968"/>
        <v>0.40645029862754639</v>
      </c>
      <c r="R535" s="152">
        <f t="shared" si="1968"/>
        <v>0</v>
      </c>
      <c r="S535" s="152">
        <f t="shared" si="1968"/>
        <v>0</v>
      </c>
      <c r="T535" s="152">
        <f t="shared" si="1968"/>
        <v>0</v>
      </c>
      <c r="U535" s="152">
        <f t="shared" si="1968"/>
        <v>0</v>
      </c>
      <c r="V535" s="152">
        <f t="shared" si="1968"/>
        <v>0</v>
      </c>
      <c r="W535" s="152">
        <f t="shared" si="1968"/>
        <v>0</v>
      </c>
      <c r="X535" s="152">
        <f t="shared" si="1968"/>
        <v>0</v>
      </c>
      <c r="Y535" s="157">
        <f t="shared" si="1968"/>
        <v>0</v>
      </c>
    </row>
    <row r="536" spans="2:25" ht="15" customHeight="1" thickBot="1" x14ac:dyDescent="0.25">
      <c r="B536" s="248"/>
      <c r="C536" s="99">
        <f>E536/SUM(E534:E536)</f>
        <v>8.2752492017199725E-3</v>
      </c>
      <c r="D536" s="89" t="s">
        <v>2</v>
      </c>
      <c r="E536" s="153">
        <f t="shared" ref="E536" si="1969">SUM(E542,E548,E554,E560,E566,E572,E578,E584)</f>
        <v>8.2752492017199759E-3</v>
      </c>
      <c r="F536" s="153">
        <f t="shared" ref="F536:Y536" si="1970">SUM(F542,F548,F554,F560,F566,F572,F578,F584)</f>
        <v>6.1185850278688727E-4</v>
      </c>
      <c r="G536" s="153">
        <f t="shared" si="1970"/>
        <v>0</v>
      </c>
      <c r="H536" s="153">
        <f t="shared" si="1970"/>
        <v>5.3091765879782855E-3</v>
      </c>
      <c r="I536" s="153">
        <f t="shared" si="1970"/>
        <v>0</v>
      </c>
      <c r="J536" s="153">
        <f t="shared" si="1970"/>
        <v>1.781776607097681E-2</v>
      </c>
      <c r="K536" s="153">
        <f>SUM(K542,K548,K554,K560,K566,K572,K578,K584)</f>
        <v>2.5164821740802409E-2</v>
      </c>
      <c r="L536" s="153">
        <f t="shared" si="1970"/>
        <v>1.31658151780964E-3</v>
      </c>
      <c r="M536" s="153">
        <f t="shared" si="1970"/>
        <v>8.9883345762366753E-3</v>
      </c>
      <c r="N536" s="153">
        <f t="shared" si="1970"/>
        <v>0</v>
      </c>
      <c r="O536" s="153">
        <f t="shared" si="1970"/>
        <v>0</v>
      </c>
      <c r="P536" s="153">
        <f t="shared" si="1970"/>
        <v>0</v>
      </c>
      <c r="Q536" s="153">
        <f t="shared" si="1970"/>
        <v>6.9062657735699763E-3</v>
      </c>
      <c r="R536" s="153">
        <f t="shared" si="1970"/>
        <v>0</v>
      </c>
      <c r="S536" s="153">
        <f t="shared" si="1970"/>
        <v>0</v>
      </c>
      <c r="T536" s="153">
        <f t="shared" si="1970"/>
        <v>0</v>
      </c>
      <c r="U536" s="153">
        <f t="shared" si="1970"/>
        <v>0</v>
      </c>
      <c r="V536" s="153">
        <f t="shared" si="1970"/>
        <v>0</v>
      </c>
      <c r="W536" s="153">
        <f t="shared" si="1970"/>
        <v>0</v>
      </c>
      <c r="X536" s="153">
        <f t="shared" si="1970"/>
        <v>0</v>
      </c>
      <c r="Y536" s="158">
        <f t="shared" si="1970"/>
        <v>0</v>
      </c>
    </row>
    <row r="537" spans="2:25" ht="15" customHeight="1" x14ac:dyDescent="0.2">
      <c r="B537" s="249" t="s">
        <v>178</v>
      </c>
      <c r="C537" s="91">
        <f>E537/SUM(E537:E539)</f>
        <v>0.49583333333333335</v>
      </c>
      <c r="D537" s="67" t="s">
        <v>0</v>
      </c>
      <c r="E537" s="68">
        <f t="shared" si="1962"/>
        <v>119</v>
      </c>
      <c r="F537" s="68">
        <f>SUMIFS([0]!Chavez,[0]!Centro,B539,[0]!Turno,F$530)</f>
        <v>24</v>
      </c>
      <c r="G537" s="68">
        <f>SUMIFS([0]!Chavez,[0]!Centro,B539,[0]!Turno,G$530)</f>
        <v>14</v>
      </c>
      <c r="H537" s="68">
        <f>SUMIFS([0]!Chavez,[0]!Centro,B539,[0]!Turno,H$530)</f>
        <v>0</v>
      </c>
      <c r="I537" s="68">
        <f>SUMIFS([0]!Chavez,[0]!Centro,B539,[0]!Turno,I$530)</f>
        <v>14</v>
      </c>
      <c r="J537" s="68">
        <f>SUMIFS([0]!Chavez,[0]!Centro,B539,[0]!Turno,J$530)</f>
        <v>15</v>
      </c>
      <c r="K537" s="68">
        <f>SUMIFS([0]!Chavez,[0]!Centro,B539,[0]!Turno,K$530)</f>
        <v>7</v>
      </c>
      <c r="L537" s="68">
        <f>SUMIFS([0]!Chavez,[0]!Centro,B539,[0]!Turno,L$530)</f>
        <v>12</v>
      </c>
      <c r="M537" s="68">
        <f>SUMIFS([0]!Chavez,[0]!Centro,B539,[0]!Turno,M$530)</f>
        <v>24</v>
      </c>
      <c r="N537" s="68">
        <f>SUMIFS([0]!Chavez,[0]!Centro,B539,[0]!Turno,N$530)</f>
        <v>9</v>
      </c>
      <c r="O537" s="68">
        <f>SUMIFS([0]!Chavez,[0]!Centro,B539,[0]!Turno,O$530)</f>
        <v>0</v>
      </c>
      <c r="P537" s="68">
        <f>SUMIFS([0]!Chavez,[0]!Centro,B539,[0]!Turno,P$530)</f>
        <v>0</v>
      </c>
      <c r="Q537" s="68">
        <f>SUMIFS([0]!Chavez,[0]!Centro,B539,[0]!Turno,Q$530)</f>
        <v>0</v>
      </c>
      <c r="R537" s="68">
        <f>SUMIFS([0]!Chavez,[0]!Centro,B539,[0]!Turno,R$530)</f>
        <v>0</v>
      </c>
      <c r="S537" s="68">
        <f>SUMIFS([0]!Chavez,[0]!Centro,B539,[0]!Turno,S$530)</f>
        <v>0</v>
      </c>
      <c r="T537" s="68">
        <f>SUMIFS([0]!Chavez,[0]!Centro,B539,[0]!Turno,T$530)</f>
        <v>0</v>
      </c>
      <c r="U537" s="68">
        <f>SUMIFS([0]!Chavez,[0]!Centro,B539,[0]!Turno,U$530)</f>
        <v>0</v>
      </c>
      <c r="V537" s="68">
        <f>SUMIFS([0]!Chavez,[0]!Centro,B539,[0]!Turno,V$530)</f>
        <v>0</v>
      </c>
      <c r="W537" s="68">
        <f>SUMIFS([0]!Chavez,[0]!Centro,B539,[0]!Turno,W$530)</f>
        <v>0</v>
      </c>
      <c r="X537" s="68">
        <f>SUMIFS([0]!Chavez,[0]!Centro,B539,[0]!Turno,X$530)</f>
        <v>0</v>
      </c>
      <c r="Y537" s="69">
        <f>SUMIFS([0]!Chavez,[0]!Centro,B539,[0]!Turno,Y$530)</f>
        <v>0</v>
      </c>
    </row>
    <row r="538" spans="2:25" ht="15" customHeight="1" x14ac:dyDescent="0.2">
      <c r="B538" s="250"/>
      <c r="C538" s="92">
        <f>E538/SUM(E537:E539)</f>
        <v>0.47916666666666669</v>
      </c>
      <c r="D538" s="61" t="s">
        <v>1</v>
      </c>
      <c r="E538" s="62">
        <f t="shared" si="1962"/>
        <v>115</v>
      </c>
      <c r="F538" s="62">
        <f>SUMIFS([0]!Capriles,[0]!Centro,B539,[0]!Turno,F$530)</f>
        <v>16</v>
      </c>
      <c r="G538" s="62">
        <f>SUMIFS([0]!Capriles,[0]!Centro,B539,[0]!Turno,G$530)</f>
        <v>6</v>
      </c>
      <c r="H538" s="62">
        <f>SUMIFS([0]!Capriles,[0]!Centro,B539,[0]!Turno,H$530)</f>
        <v>0</v>
      </c>
      <c r="I538" s="62">
        <f>SUMIFS([0]!Capriles,[0]!Centro,B539,[0]!Turno,I$530)</f>
        <v>6</v>
      </c>
      <c r="J538" s="62">
        <f>SUMIFS([0]!Capriles,[0]!Centro,B539,[0]!Turno,J$530)</f>
        <v>22</v>
      </c>
      <c r="K538" s="62">
        <f>SUMIFS([0]!Capriles,[0]!Centro,B539,[0]!Turno,K$530)</f>
        <v>12</v>
      </c>
      <c r="L538" s="62">
        <f>SUMIFS([0]!Capriles,[0]!Centro,B539,[0]!Turno,L$530)</f>
        <v>26</v>
      </c>
      <c r="M538" s="62">
        <f>SUMIFS([0]!Capriles,[0]!Centro,B539,[0]!Turno,M$530)</f>
        <v>16</v>
      </c>
      <c r="N538" s="62">
        <f>SUMIFS([0]!Capriles,[0]!Centro,B539,[0]!Turno,N$530)</f>
        <v>11</v>
      </c>
      <c r="O538" s="62">
        <f>SUMIFS([0]!Capriles,[0]!Centro,B539,[0]!Turno,O$530)</f>
        <v>0</v>
      </c>
      <c r="P538" s="62">
        <f>SUMIFS([0]!Capriles,[0]!Centro,B539,[0]!Turno,P$530)</f>
        <v>0</v>
      </c>
      <c r="Q538" s="62">
        <f>SUMIFS([0]!Capriles,[0]!Centro,B539,[0]!Turno,Q$530)</f>
        <v>0</v>
      </c>
      <c r="R538" s="62">
        <f>SUMIFS([0]!Capriles,[0]!Centro,B539,[0]!Turno,R$530)</f>
        <v>0</v>
      </c>
      <c r="S538" s="62">
        <f>SUMIFS([0]!Capriles,[0]!Centro,B539,[0]!Turno,S$530)</f>
        <v>0</v>
      </c>
      <c r="T538" s="62">
        <f>SUMIFS([0]!Capriles,[0]!Centro,B539,[0]!Turno,T$530)</f>
        <v>0</v>
      </c>
      <c r="U538" s="62">
        <f>SUMIFS([0]!Capriles,[0]!Centro,B539,[0]!Turno,U$530)</f>
        <v>0</v>
      </c>
      <c r="V538" s="62">
        <f>SUMIFS([0]!Capriles,[0]!Centro,B539,[0]!Turno,V$530)</f>
        <v>0</v>
      </c>
      <c r="W538" s="62">
        <f>SUMIFS([0]!Capriles,[0]!Centro,B539,[0]!Turno,W$530)</f>
        <v>0</v>
      </c>
      <c r="X538" s="62">
        <f>SUMIFS([0]!Capriles,[0]!Centro,B539,[0]!Turno,X$530)</f>
        <v>0</v>
      </c>
      <c r="Y538" s="70">
        <f>SUMIFS([0]!Capriles,[0]!Centro,B539,[0]!Turno,Y$530)</f>
        <v>0</v>
      </c>
    </row>
    <row r="539" spans="2:25" ht="15" customHeight="1" thickBot="1" x14ac:dyDescent="0.25">
      <c r="B539" s="251">
        <v>73</v>
      </c>
      <c r="C539" s="100">
        <f>E539/SUM(E537:E539)</f>
        <v>2.5000000000000001E-2</v>
      </c>
      <c r="D539" s="71" t="s">
        <v>2</v>
      </c>
      <c r="E539" s="72">
        <f t="shared" si="1962"/>
        <v>6</v>
      </c>
      <c r="F539" s="72">
        <f>SUMIFS([0]!Otro,[0]!Centro,B539,[0]!Turno,F$530)</f>
        <v>0</v>
      </c>
      <c r="G539" s="72">
        <f>SUMIFS([0]!Otro,[0]!Centro,B539,[0]!Turno,G$530)</f>
        <v>0</v>
      </c>
      <c r="H539" s="72">
        <f>SUMIFS([0]!Otro,[0]!Centro,B539,[0]!Turno,H$530)</f>
        <v>0</v>
      </c>
      <c r="I539" s="72">
        <f>SUMIFS([0]!Otro,[0]!Centro,B539,[0]!Turno,I$530)</f>
        <v>0</v>
      </c>
      <c r="J539" s="72">
        <f>SUMIFS([0]!Otro,[0]!Centro,B539,[0]!Turno,J$530)</f>
        <v>3</v>
      </c>
      <c r="K539" s="72">
        <f>SUMIFS([0]!Otro,[0]!Centro,B539,[0]!Turno,K$530)</f>
        <v>1</v>
      </c>
      <c r="L539" s="72">
        <f>SUMIFS([0]!Otro,[0]!Centro,B539,[0]!Turno,L$530)</f>
        <v>2</v>
      </c>
      <c r="M539" s="72">
        <f>SUMIFS([0]!Otro,[0]!Centro,B539,[0]!Turno,M$530)</f>
        <v>0</v>
      </c>
      <c r="N539" s="72">
        <f>SUMIFS([0]!Otro,[0]!Centro,B539,[0]!Turno,N$530)</f>
        <v>0</v>
      </c>
      <c r="O539" s="72">
        <f>SUMIFS([0]!Otro,[0]!Centro,B539,[0]!Turno,O$530)</f>
        <v>0</v>
      </c>
      <c r="P539" s="72">
        <f>SUMIFS([0]!Otro,[0]!Centro,B539,[0]!Turno,P$530)</f>
        <v>0</v>
      </c>
      <c r="Q539" s="72">
        <f>SUMIFS([0]!Otro,[0]!Centro,B539,[0]!Turno,Q$530)</f>
        <v>0</v>
      </c>
      <c r="R539" s="72">
        <f>SUMIFS([0]!Otro,[0]!Centro,B539,[0]!Turno,R$530)</f>
        <v>0</v>
      </c>
      <c r="S539" s="72">
        <f>SUMIFS([0]!Otro,[0]!Centro,B539,[0]!Turno,S$530)</f>
        <v>0</v>
      </c>
      <c r="T539" s="72">
        <f>SUMIFS([0]!Otro,[0]!Centro,B539,[0]!Turno,T$530)</f>
        <v>0</v>
      </c>
      <c r="U539" s="72">
        <f>SUMIFS([0]!Otro,[0]!Centro,B539,[0]!Turno,U$530)</f>
        <v>0</v>
      </c>
      <c r="V539" s="72">
        <f>SUMIFS([0]!Otro,[0]!Centro,B539,[0]!Turno,V$530)</f>
        <v>0</v>
      </c>
      <c r="W539" s="72">
        <f>SUMIFS([0]!Otro,[0]!Centro,B539,[0]!Turno,W$530)</f>
        <v>0</v>
      </c>
      <c r="X539" s="72">
        <f>SUMIFS([0]!Otro,[0]!Centro,B539,[0]!Turno,X$530)</f>
        <v>0</v>
      </c>
      <c r="Y539" s="73">
        <f>SUMIFS([0]!Otro,[0]!Centro,B539,[0]!Turno,Y$530)</f>
        <v>0</v>
      </c>
    </row>
    <row r="540" spans="2:25" ht="15" customHeight="1" x14ac:dyDescent="0.2">
      <c r="B540" s="251"/>
      <c r="C540" s="94">
        <f>E540/SUM(E540:E542)</f>
        <v>0.49583333333333329</v>
      </c>
      <c r="D540" s="63" t="s">
        <v>0</v>
      </c>
      <c r="E540" s="150">
        <f>IF((E537+E538+E539)=0,0,(E537*$B541)/(E537+E538+E539))</f>
        <v>1.3056100051612262E-2</v>
      </c>
      <c r="F540" s="150">
        <f>IF((F537+F538+F539)=0,0,(F537*$B541)/(F537+F538+F539))</f>
        <v>1.5798978213715682E-2</v>
      </c>
      <c r="G540" s="150">
        <f t="shared" ref="G540:Y540" si="1971">IF((G537+G538+G539)=0,0,(G537*$B541)/(G537+G538+G539))</f>
        <v>1.8432141249334962E-2</v>
      </c>
      <c r="H540" s="150">
        <f t="shared" si="1971"/>
        <v>0</v>
      </c>
      <c r="I540" s="150">
        <f t="shared" si="1971"/>
        <v>1.8432141249334962E-2</v>
      </c>
      <c r="J540" s="150">
        <f t="shared" si="1971"/>
        <v>9.8743613835723006E-3</v>
      </c>
      <c r="K540" s="150">
        <f t="shared" si="1971"/>
        <v>9.2160706246674808E-3</v>
      </c>
      <c r="L540" s="150">
        <f t="shared" si="1971"/>
        <v>7.8994891068578411E-3</v>
      </c>
      <c r="M540" s="150">
        <f t="shared" si="1971"/>
        <v>1.5798978213715682E-2</v>
      </c>
      <c r="N540" s="150">
        <f t="shared" si="1971"/>
        <v>1.184923366028676E-2</v>
      </c>
      <c r="O540" s="150">
        <f t="shared" si="1971"/>
        <v>0</v>
      </c>
      <c r="P540" s="150">
        <f t="shared" si="1971"/>
        <v>0</v>
      </c>
      <c r="Q540" s="150">
        <f t="shared" si="1971"/>
        <v>0</v>
      </c>
      <c r="R540" s="150">
        <f t="shared" si="1971"/>
        <v>0</v>
      </c>
      <c r="S540" s="150">
        <f t="shared" si="1971"/>
        <v>0</v>
      </c>
      <c r="T540" s="150">
        <f t="shared" si="1971"/>
        <v>0</v>
      </c>
      <c r="U540" s="150">
        <f t="shared" si="1971"/>
        <v>0</v>
      </c>
      <c r="V540" s="150">
        <f t="shared" si="1971"/>
        <v>0</v>
      </c>
      <c r="W540" s="150">
        <f t="shared" si="1971"/>
        <v>0</v>
      </c>
      <c r="X540" s="150">
        <f t="shared" si="1971"/>
        <v>0</v>
      </c>
      <c r="Y540" s="163">
        <f t="shared" si="1971"/>
        <v>0</v>
      </c>
    </row>
    <row r="541" spans="2:25" ht="15" customHeight="1" x14ac:dyDescent="0.2">
      <c r="B541" s="252">
        <v>2.6331630356192799E-2</v>
      </c>
      <c r="C541" s="92">
        <f>E541/SUM(E540:E542)</f>
        <v>0.47916666666666669</v>
      </c>
      <c r="D541" s="61" t="s">
        <v>1</v>
      </c>
      <c r="E541" s="154">
        <f>IF((E537+E538+E539)=0,0,(E538*$B541)/(E537+E538+E539))</f>
        <v>1.2617239545675717E-2</v>
      </c>
      <c r="F541" s="154">
        <f>IF((F537+F538+F539)=0,0,(F538*$B541)/(F537+F538+F539))</f>
        <v>1.053265214247712E-2</v>
      </c>
      <c r="G541" s="154">
        <f t="shared" ref="G541:O541" si="1972">IF((G537+G538+G539)=0,0,(G538*$B541)/(G537+G538+G539))</f>
        <v>7.8994891068578411E-3</v>
      </c>
      <c r="H541" s="154">
        <f t="shared" si="1972"/>
        <v>0</v>
      </c>
      <c r="I541" s="154">
        <f t="shared" si="1972"/>
        <v>7.8994891068578411E-3</v>
      </c>
      <c r="J541" s="154">
        <f t="shared" si="1972"/>
        <v>1.4482396695906039E-2</v>
      </c>
      <c r="K541" s="154">
        <f t="shared" si="1972"/>
        <v>1.5798978213715682E-2</v>
      </c>
      <c r="L541" s="154">
        <f t="shared" si="1972"/>
        <v>1.7115559731525322E-2</v>
      </c>
      <c r="M541" s="154">
        <f t="shared" si="1972"/>
        <v>1.053265214247712E-2</v>
      </c>
      <c r="N541" s="154">
        <f t="shared" si="1972"/>
        <v>1.4482396695906039E-2</v>
      </c>
      <c r="O541" s="154">
        <f t="shared" si="1972"/>
        <v>0</v>
      </c>
      <c r="P541" s="154">
        <f>IF((P537+P538+P539)=0,0,(P538*$B541)/(P537+P538+P539))</f>
        <v>0</v>
      </c>
      <c r="Q541" s="154">
        <f t="shared" ref="Q541:Y541" si="1973">IF((Q537+Q538+Q539)=0,0,(Q538*$B541)/(Q537+Q538+Q539))</f>
        <v>0</v>
      </c>
      <c r="R541" s="154">
        <f t="shared" si="1973"/>
        <v>0</v>
      </c>
      <c r="S541" s="154">
        <f t="shared" si="1973"/>
        <v>0</v>
      </c>
      <c r="T541" s="154">
        <f t="shared" si="1973"/>
        <v>0</v>
      </c>
      <c r="U541" s="154">
        <f t="shared" si="1973"/>
        <v>0</v>
      </c>
      <c r="V541" s="154">
        <f t="shared" si="1973"/>
        <v>0</v>
      </c>
      <c r="W541" s="154">
        <f t="shared" si="1973"/>
        <v>0</v>
      </c>
      <c r="X541" s="154">
        <f t="shared" si="1973"/>
        <v>0</v>
      </c>
      <c r="Y541" s="159">
        <f t="shared" si="1973"/>
        <v>0</v>
      </c>
    </row>
    <row r="542" spans="2:25" ht="15" customHeight="1" thickBot="1" x14ac:dyDescent="0.25">
      <c r="B542" s="253"/>
      <c r="C542" s="93">
        <f>E542/SUM(E540:E542)</f>
        <v>2.5000000000000001E-2</v>
      </c>
      <c r="D542" s="75" t="s">
        <v>2</v>
      </c>
      <c r="E542" s="155">
        <f>IF((E537+E538+E539)=0,0,(E539*$B541)/(E537+E538+E539))</f>
        <v>6.5829075890482002E-4</v>
      </c>
      <c r="F542" s="155">
        <f>IF((F537+F538+F539)=0,0,(F539*$B541)/(F537+F538+F539))</f>
        <v>0</v>
      </c>
      <c r="G542" s="155">
        <f t="shared" ref="G542:Y542" si="1974">IF((G537+G538+G539)=0,0,(G539*$B541)/(G537+G538+G539))</f>
        <v>0</v>
      </c>
      <c r="H542" s="155">
        <f t="shared" si="1974"/>
        <v>0</v>
      </c>
      <c r="I542" s="155">
        <f t="shared" si="1974"/>
        <v>0</v>
      </c>
      <c r="J542" s="155">
        <f t="shared" si="1974"/>
        <v>1.9748722767144603E-3</v>
      </c>
      <c r="K542" s="155">
        <f t="shared" si="1974"/>
        <v>1.31658151780964E-3</v>
      </c>
      <c r="L542" s="155">
        <f t="shared" si="1974"/>
        <v>1.31658151780964E-3</v>
      </c>
      <c r="M542" s="155">
        <f t="shared" si="1974"/>
        <v>0</v>
      </c>
      <c r="N542" s="155">
        <f t="shared" si="1974"/>
        <v>0</v>
      </c>
      <c r="O542" s="155">
        <f t="shared" si="1974"/>
        <v>0</v>
      </c>
      <c r="P542" s="155">
        <f t="shared" si="1974"/>
        <v>0</v>
      </c>
      <c r="Q542" s="155">
        <f t="shared" si="1974"/>
        <v>0</v>
      </c>
      <c r="R542" s="155">
        <f t="shared" si="1974"/>
        <v>0</v>
      </c>
      <c r="S542" s="155">
        <f t="shared" si="1974"/>
        <v>0</v>
      </c>
      <c r="T542" s="155">
        <f t="shared" si="1974"/>
        <v>0</v>
      </c>
      <c r="U542" s="155">
        <f t="shared" si="1974"/>
        <v>0</v>
      </c>
      <c r="V542" s="155">
        <f t="shared" si="1974"/>
        <v>0</v>
      </c>
      <c r="W542" s="155">
        <f t="shared" si="1974"/>
        <v>0</v>
      </c>
      <c r="X542" s="155">
        <f t="shared" si="1974"/>
        <v>0</v>
      </c>
      <c r="Y542" s="160">
        <f t="shared" si="1974"/>
        <v>0</v>
      </c>
    </row>
    <row r="543" spans="2:25" ht="15" customHeight="1" x14ac:dyDescent="0.2">
      <c r="B543" s="249" t="s">
        <v>102</v>
      </c>
      <c r="C543" s="91">
        <f>E543/SUM(E543:E545)</f>
        <v>0.5058139534883721</v>
      </c>
      <c r="D543" s="67" t="s">
        <v>0</v>
      </c>
      <c r="E543" s="68">
        <f t="shared" si="1962"/>
        <v>87</v>
      </c>
      <c r="F543" s="68">
        <f>SUMIFS([0]!Chavez,[0]!Centro,B545,[0]!Turno,F$530)</f>
        <v>23</v>
      </c>
      <c r="G543" s="68">
        <f>SUMIFS([0]!Chavez,[0]!Centro,B545,[0]!Turno,G$530)</f>
        <v>7</v>
      </c>
      <c r="H543" s="68">
        <f>SUMIFS([0]!Chavez,[0]!Centro,B545,[0]!Turno,H$530)</f>
        <v>0</v>
      </c>
      <c r="I543" s="68">
        <f>SUMIFS([0]!Chavez,[0]!Centro,B545,[0]!Turno,I$530)</f>
        <v>14</v>
      </c>
      <c r="J543" s="68">
        <f>SUMIFS([0]!Chavez,[0]!Centro,B545,[0]!Turno,J$530)</f>
        <v>15</v>
      </c>
      <c r="K543" s="68">
        <f>SUMIFS([0]!Chavez,[0]!Centro,B545,[0]!Turno,K$530)</f>
        <v>10</v>
      </c>
      <c r="L543" s="68">
        <f>SUMIFS([0]!Chavez,[0]!Centro,B545,[0]!Turno,L$530)</f>
        <v>9</v>
      </c>
      <c r="M543" s="68">
        <f>SUMIFS([0]!Chavez,[0]!Centro,B545,[0]!Turno,M$530)</f>
        <v>2</v>
      </c>
      <c r="N543" s="68">
        <f>SUMIFS([0]!Chavez,[0]!Centro,B545,[0]!Turno,N$530)</f>
        <v>7</v>
      </c>
      <c r="O543" s="68">
        <f>SUMIFS([0]!Chavez,[0]!Centro,B545,[0]!Turno,O$530)</f>
        <v>0</v>
      </c>
      <c r="P543" s="68">
        <f>SUMIFS([0]!Chavez,[0]!Centro,B545,[0]!Turno,P$530)</f>
        <v>0</v>
      </c>
      <c r="Q543" s="68">
        <f>SUMIFS([0]!Chavez,[0]!Centro,B545,[0]!Turno,Q$530)</f>
        <v>0</v>
      </c>
      <c r="R543" s="68">
        <f>SUMIFS([0]!Chavez,[0]!Centro,B545,[0]!Turno,R$530)</f>
        <v>0</v>
      </c>
      <c r="S543" s="68">
        <f>SUMIFS([0]!Chavez,[0]!Centro,B545,[0]!Turno,S$530)</f>
        <v>0</v>
      </c>
      <c r="T543" s="68">
        <f>SUMIFS([0]!Chavez,[0]!Centro,B545,[0]!Turno,T$530)</f>
        <v>0</v>
      </c>
      <c r="U543" s="68">
        <f>SUMIFS([0]!Chavez,[0]!Centro,B545,[0]!Turno,U$530)</f>
        <v>0</v>
      </c>
      <c r="V543" s="68">
        <f>SUMIFS([0]!Chavez,[0]!Centro,B545,[0]!Turno,V$530)</f>
        <v>0</v>
      </c>
      <c r="W543" s="68">
        <f>SUMIFS([0]!Chavez,[0]!Centro,B545,[0]!Turno,W$530)</f>
        <v>0</v>
      </c>
      <c r="X543" s="68">
        <f>SUMIFS([0]!Chavez,[0]!Centro,B545,[0]!Turno,X$530)</f>
        <v>0</v>
      </c>
      <c r="Y543" s="69">
        <f>SUMIFS([0]!Chavez,[0]!Centro,B545,[0]!Turno,Y$530)</f>
        <v>0</v>
      </c>
    </row>
    <row r="544" spans="2:25" ht="15" customHeight="1" x14ac:dyDescent="0.2">
      <c r="B544" s="250"/>
      <c r="C544" s="92">
        <f>E544/SUM(E543:E545)</f>
        <v>0.48255813953488375</v>
      </c>
      <c r="D544" s="61" t="s">
        <v>1</v>
      </c>
      <c r="E544" s="62">
        <f t="shared" si="1962"/>
        <v>83</v>
      </c>
      <c r="F544" s="62">
        <f>SUMIFS([0]!Capriles,[0]!Centro,B545,[0]!Turno,F$530)</f>
        <v>23</v>
      </c>
      <c r="G544" s="62">
        <f>SUMIFS([0]!Capriles,[0]!Centro,B545,[0]!Turno,G$530)</f>
        <v>18</v>
      </c>
      <c r="H544" s="62">
        <f>SUMIFS([0]!Capriles,[0]!Centro,B545,[0]!Turno,H$530)</f>
        <v>0</v>
      </c>
      <c r="I544" s="62">
        <f>SUMIFS([0]!Capriles,[0]!Centro,B545,[0]!Turno,I$530)</f>
        <v>6</v>
      </c>
      <c r="J544" s="62">
        <f>SUMIFS([0]!Capriles,[0]!Centro,B545,[0]!Turno,J$530)</f>
        <v>14</v>
      </c>
      <c r="K544" s="62">
        <f>SUMIFS([0]!Capriles,[0]!Centro,B545,[0]!Turno,K$530)</f>
        <v>5</v>
      </c>
      <c r="L544" s="62">
        <f>SUMIFS([0]!Capriles,[0]!Centro,B545,[0]!Turno,L$530)</f>
        <v>5</v>
      </c>
      <c r="M544" s="62">
        <f>SUMIFS([0]!Capriles,[0]!Centro,B545,[0]!Turno,M$530)</f>
        <v>3</v>
      </c>
      <c r="N544" s="62">
        <f>SUMIFS([0]!Capriles,[0]!Centro,B545,[0]!Turno,N$530)</f>
        <v>9</v>
      </c>
      <c r="O544" s="62">
        <f>SUMIFS([0]!Capriles,[0]!Centro,B545,[0]!Turno,O$530)</f>
        <v>0</v>
      </c>
      <c r="P544" s="62">
        <f>SUMIFS([0]!Capriles,[0]!Centro,B545,[0]!Turno,P$530)</f>
        <v>0</v>
      </c>
      <c r="Q544" s="62">
        <f>SUMIFS([0]!Capriles,[0]!Centro,B545,[0]!Turno,Q$530)</f>
        <v>0</v>
      </c>
      <c r="R544" s="62">
        <f>SUMIFS([0]!Capriles,[0]!Centro,B545,[0]!Turno,R$530)</f>
        <v>0</v>
      </c>
      <c r="S544" s="62">
        <f>SUMIFS([0]!Capriles,[0]!Centro,B545,[0]!Turno,S$530)</f>
        <v>0</v>
      </c>
      <c r="T544" s="62">
        <f>SUMIFS([0]!Capriles,[0]!Centro,B545,[0]!Turno,T$530)</f>
        <v>0</v>
      </c>
      <c r="U544" s="62">
        <f>SUMIFS([0]!Capriles,[0]!Centro,B545,[0]!Turno,U$530)</f>
        <v>0</v>
      </c>
      <c r="V544" s="62">
        <f>SUMIFS([0]!Capriles,[0]!Centro,B545,[0]!Turno,V$530)</f>
        <v>0</v>
      </c>
      <c r="W544" s="62">
        <f>SUMIFS([0]!Capriles,[0]!Centro,B545,[0]!Turno,W$530)</f>
        <v>0</v>
      </c>
      <c r="X544" s="62">
        <f>SUMIFS([0]!Capriles,[0]!Centro,B545,[0]!Turno,X$530)</f>
        <v>0</v>
      </c>
      <c r="Y544" s="70">
        <f>SUMIFS([0]!Capriles,[0]!Centro,B545,[0]!Turno,Y$530)</f>
        <v>0</v>
      </c>
    </row>
    <row r="545" spans="2:25" ht="15" customHeight="1" thickBot="1" x14ac:dyDescent="0.25">
      <c r="B545" s="251">
        <v>74</v>
      </c>
      <c r="C545" s="100">
        <f>E545/SUM(E543:E545)</f>
        <v>1.1627906976744186E-2</v>
      </c>
      <c r="D545" s="71" t="s">
        <v>2</v>
      </c>
      <c r="E545" s="72">
        <f t="shared" si="1962"/>
        <v>2</v>
      </c>
      <c r="F545" s="72">
        <f>SUMIFS([0]!Otro,[0]!Centro,B545,[0]!Turno,F$530)</f>
        <v>1</v>
      </c>
      <c r="G545" s="72">
        <f>SUMIFS([0]!Otro,[0]!Centro,B545,[0]!Turno,G$530)</f>
        <v>0</v>
      </c>
      <c r="H545" s="72">
        <f>SUMIFS([0]!Otro,[0]!Centro,B545,[0]!Turno,H$530)</f>
        <v>0</v>
      </c>
      <c r="I545" s="72">
        <f>SUMIFS([0]!Otro,[0]!Centro,B545,[0]!Turno,I$530)</f>
        <v>0</v>
      </c>
      <c r="J545" s="72">
        <f>SUMIFS([0]!Otro,[0]!Centro,B545,[0]!Turno,J$530)</f>
        <v>1</v>
      </c>
      <c r="K545" s="72">
        <f>SUMIFS([0]!Otro,[0]!Centro,B545,[0]!Turno,K$530)</f>
        <v>0</v>
      </c>
      <c r="L545" s="72">
        <f>SUMIFS([0]!Otro,[0]!Centro,B545,[0]!Turno,L$530)</f>
        <v>0</v>
      </c>
      <c r="M545" s="72">
        <f>SUMIFS([0]!Otro,[0]!Centro,B545,[0]!Turno,M$530)</f>
        <v>0</v>
      </c>
      <c r="N545" s="72">
        <f>SUMIFS([0]!Otro,[0]!Centro,B545,[0]!Turno,N$530)</f>
        <v>0</v>
      </c>
      <c r="O545" s="72">
        <f>SUMIFS([0]!Otro,[0]!Centro,B545,[0]!Turno,O$530)</f>
        <v>0</v>
      </c>
      <c r="P545" s="72">
        <f>SUMIFS([0]!Otro,[0]!Centro,B545,[0]!Turno,P$530)</f>
        <v>0</v>
      </c>
      <c r="Q545" s="72">
        <f>SUMIFS([0]!Otro,[0]!Centro,B545,[0]!Turno,Q$530)</f>
        <v>0</v>
      </c>
      <c r="R545" s="72">
        <f>SUMIFS([0]!Otro,[0]!Centro,B545,[0]!Turno,R$530)</f>
        <v>0</v>
      </c>
      <c r="S545" s="72">
        <f>SUMIFS([0]!Otro,[0]!Centro,B545,[0]!Turno,S$530)</f>
        <v>0</v>
      </c>
      <c r="T545" s="72">
        <f>SUMIFS([0]!Otro,[0]!Centro,B545,[0]!Turno,T$530)</f>
        <v>0</v>
      </c>
      <c r="U545" s="72">
        <f>SUMIFS([0]!Otro,[0]!Centro,B545,[0]!Turno,U$530)</f>
        <v>0</v>
      </c>
      <c r="V545" s="72">
        <f>SUMIFS([0]!Otro,[0]!Centro,B545,[0]!Turno,V$530)</f>
        <v>0</v>
      </c>
      <c r="W545" s="72">
        <f>SUMIFS([0]!Otro,[0]!Centro,B545,[0]!Turno,W$530)</f>
        <v>0</v>
      </c>
      <c r="X545" s="72">
        <f>SUMIFS([0]!Otro,[0]!Centro,B545,[0]!Turno,X$530)</f>
        <v>0</v>
      </c>
      <c r="Y545" s="73">
        <f>SUMIFS([0]!Otro,[0]!Centro,B545,[0]!Turno,Y$530)</f>
        <v>0</v>
      </c>
    </row>
    <row r="546" spans="2:25" ht="15" customHeight="1" x14ac:dyDescent="0.2">
      <c r="B546" s="251"/>
      <c r="C546" s="94">
        <f>E546/SUM(E546:E548)</f>
        <v>0.5058139534883721</v>
      </c>
      <c r="D546" s="63" t="s">
        <v>0</v>
      </c>
      <c r="E546" s="150">
        <f>IF((E543+E544+E545)=0,0,(E543*$B547)/(E543+E544+E545))</f>
        <v>1.4545868708695243E-2</v>
      </c>
      <c r="F546" s="150">
        <f>IF((F543+F544+F545)=0,0,(F543*$B547)/(F543+F544+F545))</f>
        <v>1.4072745564098406E-2</v>
      </c>
      <c r="G546" s="150">
        <f t="shared" ref="G546:Y546" si="1975">IF((G543+G544+G545)=0,0,(G543*$B547)/(G543+G544+G545))</f>
        <v>8.0520578966754366E-3</v>
      </c>
      <c r="H546" s="150">
        <f t="shared" si="1975"/>
        <v>0</v>
      </c>
      <c r="I546" s="150">
        <f t="shared" si="1975"/>
        <v>2.0130144741688592E-2</v>
      </c>
      <c r="J546" s="150">
        <f t="shared" si="1975"/>
        <v>1.437867481549185E-2</v>
      </c>
      <c r="K546" s="150">
        <f t="shared" si="1975"/>
        <v>1.9171566420655803E-2</v>
      </c>
      <c r="L546" s="150">
        <f t="shared" si="1975"/>
        <v>1.8486867619918097E-2</v>
      </c>
      <c r="M546" s="150">
        <f t="shared" si="1975"/>
        <v>1.1502939852393481E-2</v>
      </c>
      <c r="N546" s="150">
        <f t="shared" si="1975"/>
        <v>1.2581340463555369E-2</v>
      </c>
      <c r="O546" s="150">
        <f t="shared" si="1975"/>
        <v>0</v>
      </c>
      <c r="P546" s="150">
        <f t="shared" si="1975"/>
        <v>0</v>
      </c>
      <c r="Q546" s="150">
        <f t="shared" si="1975"/>
        <v>0</v>
      </c>
      <c r="R546" s="150">
        <f t="shared" si="1975"/>
        <v>0</v>
      </c>
      <c r="S546" s="150">
        <f t="shared" si="1975"/>
        <v>0</v>
      </c>
      <c r="T546" s="150">
        <f t="shared" si="1975"/>
        <v>0</v>
      </c>
      <c r="U546" s="150">
        <f t="shared" si="1975"/>
        <v>0</v>
      </c>
      <c r="V546" s="150">
        <f t="shared" si="1975"/>
        <v>0</v>
      </c>
      <c r="W546" s="150">
        <f t="shared" si="1975"/>
        <v>0</v>
      </c>
      <c r="X546" s="150">
        <f t="shared" si="1975"/>
        <v>0</v>
      </c>
      <c r="Y546" s="163">
        <f t="shared" si="1975"/>
        <v>0</v>
      </c>
    </row>
    <row r="547" spans="2:25" ht="15" customHeight="1" x14ac:dyDescent="0.2">
      <c r="B547" s="252">
        <v>2.8757349630983701E-2</v>
      </c>
      <c r="C547" s="92">
        <f>E547/SUM(E546:E548)</f>
        <v>0.48255813953488375</v>
      </c>
      <c r="D547" s="61" t="s">
        <v>1</v>
      </c>
      <c r="E547" s="154">
        <f>IF((E543+E544+E545)=0,0,(E544*$B547)/(E543+E544+E545))</f>
        <v>1.3877093135881671E-2</v>
      </c>
      <c r="F547" s="154">
        <f>IF((F543+F544+F545)=0,0,(F544*$B547)/(F543+F544+F545))</f>
        <v>1.4072745564098406E-2</v>
      </c>
      <c r="G547" s="154">
        <f t="shared" ref="G547:O547" si="1976">IF((G543+G544+G545)=0,0,(G544*$B547)/(G543+G544+G545))</f>
        <v>2.0705291734308268E-2</v>
      </c>
      <c r="H547" s="154">
        <f t="shared" si="1976"/>
        <v>0</v>
      </c>
      <c r="I547" s="154">
        <f t="shared" si="1976"/>
        <v>8.6272048892951109E-3</v>
      </c>
      <c r="J547" s="154">
        <f t="shared" si="1976"/>
        <v>1.342009649445906E-2</v>
      </c>
      <c r="K547" s="154">
        <f t="shared" si="1976"/>
        <v>9.5857832103279014E-3</v>
      </c>
      <c r="L547" s="154">
        <f t="shared" si="1976"/>
        <v>1.0270482011065608E-2</v>
      </c>
      <c r="M547" s="154">
        <f t="shared" si="1976"/>
        <v>1.7254409778590222E-2</v>
      </c>
      <c r="N547" s="154">
        <f t="shared" si="1976"/>
        <v>1.6176009167428333E-2</v>
      </c>
      <c r="O547" s="154">
        <f t="shared" si="1976"/>
        <v>0</v>
      </c>
      <c r="P547" s="154">
        <f>IF((P543+P544+P545)=0,0,(P544*$B547)/(P543+P544+P545))</f>
        <v>0</v>
      </c>
      <c r="Q547" s="154">
        <f t="shared" ref="Q547:Y547" si="1977">IF((Q543+Q544+Q545)=0,0,(Q544*$B547)/(Q543+Q544+Q545))</f>
        <v>0</v>
      </c>
      <c r="R547" s="154">
        <f t="shared" si="1977"/>
        <v>0</v>
      </c>
      <c r="S547" s="154">
        <f t="shared" si="1977"/>
        <v>0</v>
      </c>
      <c r="T547" s="154">
        <f t="shared" si="1977"/>
        <v>0</v>
      </c>
      <c r="U547" s="154">
        <f t="shared" si="1977"/>
        <v>0</v>
      </c>
      <c r="V547" s="154">
        <f t="shared" si="1977"/>
        <v>0</v>
      </c>
      <c r="W547" s="154">
        <f t="shared" si="1977"/>
        <v>0</v>
      </c>
      <c r="X547" s="154">
        <f t="shared" si="1977"/>
        <v>0</v>
      </c>
      <c r="Y547" s="159">
        <f t="shared" si="1977"/>
        <v>0</v>
      </c>
    </row>
    <row r="548" spans="2:25" ht="15" customHeight="1" thickBot="1" x14ac:dyDescent="0.25">
      <c r="B548" s="253"/>
      <c r="C548" s="93">
        <f>E548/SUM(E546:E548)</f>
        <v>1.1627906976744186E-2</v>
      </c>
      <c r="D548" s="75" t="s">
        <v>2</v>
      </c>
      <c r="E548" s="155">
        <f>IF((E543+E544+E545)=0,0,(E545*$B547)/(E543+E544+E545))</f>
        <v>3.3438778640678719E-4</v>
      </c>
      <c r="F548" s="155">
        <f>IF((F543+F544+F545)=0,0,(F545*$B547)/(F543+F544+F545))</f>
        <v>6.1185850278688727E-4</v>
      </c>
      <c r="G548" s="155">
        <f t="shared" ref="G548:Y548" si="1978">IF((G543+G544+G545)=0,0,(G545*$B547)/(G543+G544+G545))</f>
        <v>0</v>
      </c>
      <c r="H548" s="155">
        <f t="shared" si="1978"/>
        <v>0</v>
      </c>
      <c r="I548" s="155">
        <f t="shared" si="1978"/>
        <v>0</v>
      </c>
      <c r="J548" s="155">
        <f t="shared" si="1978"/>
        <v>9.5857832103279006E-4</v>
      </c>
      <c r="K548" s="155">
        <f t="shared" si="1978"/>
        <v>0</v>
      </c>
      <c r="L548" s="155">
        <f t="shared" si="1978"/>
        <v>0</v>
      </c>
      <c r="M548" s="155">
        <f t="shared" si="1978"/>
        <v>0</v>
      </c>
      <c r="N548" s="155">
        <f t="shared" si="1978"/>
        <v>0</v>
      </c>
      <c r="O548" s="155">
        <f t="shared" si="1978"/>
        <v>0</v>
      </c>
      <c r="P548" s="155">
        <f t="shared" si="1978"/>
        <v>0</v>
      </c>
      <c r="Q548" s="155">
        <f t="shared" si="1978"/>
        <v>0</v>
      </c>
      <c r="R548" s="155">
        <f t="shared" si="1978"/>
        <v>0</v>
      </c>
      <c r="S548" s="155">
        <f t="shared" si="1978"/>
        <v>0</v>
      </c>
      <c r="T548" s="155">
        <f t="shared" si="1978"/>
        <v>0</v>
      </c>
      <c r="U548" s="155">
        <f t="shared" si="1978"/>
        <v>0</v>
      </c>
      <c r="V548" s="155">
        <f t="shared" si="1978"/>
        <v>0</v>
      </c>
      <c r="W548" s="155">
        <f t="shared" si="1978"/>
        <v>0</v>
      </c>
      <c r="X548" s="155">
        <f t="shared" si="1978"/>
        <v>0</v>
      </c>
      <c r="Y548" s="160">
        <f t="shared" si="1978"/>
        <v>0</v>
      </c>
    </row>
    <row r="549" spans="2:25" ht="15" customHeight="1" x14ac:dyDescent="0.2">
      <c r="B549" s="249" t="s">
        <v>103</v>
      </c>
      <c r="C549" s="91">
        <f>E549/SUM(E549:E551)</f>
        <v>0.42967741935483872</v>
      </c>
      <c r="D549" s="67" t="s">
        <v>0</v>
      </c>
      <c r="E549" s="68">
        <f t="shared" si="1962"/>
        <v>333</v>
      </c>
      <c r="F549" s="68">
        <f>SUMIFS([0]!Chavez,[0]!Centro,B551,[0]!Turno,F$530)</f>
        <v>20</v>
      </c>
      <c r="G549" s="68">
        <f>SUMIFS([0]!Chavez,[0]!Centro,B551,[0]!Turno,G$530)</f>
        <v>53</v>
      </c>
      <c r="H549" s="68">
        <f>SUMIFS([0]!Chavez,[0]!Centro,B551,[0]!Turno,H$530)</f>
        <v>45</v>
      </c>
      <c r="I549" s="68">
        <f>SUMIFS([0]!Chavez,[0]!Centro,B551,[0]!Turno,I$530)</f>
        <v>15</v>
      </c>
      <c r="J549" s="68">
        <f>SUMIFS([0]!Chavez,[0]!Centro,B551,[0]!Turno,J$530)</f>
        <v>62</v>
      </c>
      <c r="K549" s="68">
        <f>SUMIFS([0]!Chavez,[0]!Centro,B551,[0]!Turno,K$530)</f>
        <v>35</v>
      </c>
      <c r="L549" s="68">
        <f>SUMIFS([0]!Chavez,[0]!Centro,B551,[0]!Turno,L$530)</f>
        <v>33</v>
      </c>
      <c r="M549" s="68">
        <f>SUMIFS([0]!Chavez,[0]!Centro,B551,[0]!Turno,M$530)</f>
        <v>26</v>
      </c>
      <c r="N549" s="68">
        <f>SUMIFS([0]!Chavez,[0]!Centro,B551,[0]!Turno,N$530)</f>
        <v>0</v>
      </c>
      <c r="O549" s="68">
        <f>SUMIFS([0]!Chavez,[0]!Centro,B551,[0]!Turno,O$530)</f>
        <v>0</v>
      </c>
      <c r="P549" s="68">
        <f>SUMIFS([0]!Chavez,[0]!Centro,B551,[0]!Turno,P$530)</f>
        <v>0</v>
      </c>
      <c r="Q549" s="68">
        <f>SUMIFS([0]!Chavez,[0]!Centro,B551,[0]!Turno,Q$530)</f>
        <v>44</v>
      </c>
      <c r="R549" s="68">
        <f>SUMIFS([0]!Chavez,[0]!Centro,B551,[0]!Turno,R$530)</f>
        <v>0</v>
      </c>
      <c r="S549" s="68">
        <f>SUMIFS([0]!Chavez,[0]!Centro,B551,[0]!Turno,S$530)</f>
        <v>0</v>
      </c>
      <c r="T549" s="68">
        <f>SUMIFS([0]!Chavez,[0]!Centro,B551,[0]!Turno,T$530)</f>
        <v>0</v>
      </c>
      <c r="U549" s="68">
        <f>SUMIFS([0]!Chavez,[0]!Centro,B551,[0]!Turno,U$530)</f>
        <v>0</v>
      </c>
      <c r="V549" s="68">
        <f>SUMIFS([0]!Chavez,[0]!Centro,B551,[0]!Turno,V$530)</f>
        <v>0</v>
      </c>
      <c r="W549" s="68">
        <f>SUMIFS([0]!Chavez,[0]!Centro,B551,[0]!Turno,W$530)</f>
        <v>0</v>
      </c>
      <c r="X549" s="68">
        <f>SUMIFS([0]!Chavez,[0]!Centro,B551,[0]!Turno,X$530)</f>
        <v>0</v>
      </c>
      <c r="Y549" s="69">
        <f>SUMIFS([0]!Chavez,[0]!Centro,B551,[0]!Turno,Y$530)</f>
        <v>0</v>
      </c>
    </row>
    <row r="550" spans="2:25" ht="15" customHeight="1" x14ac:dyDescent="0.2">
      <c r="B550" s="250"/>
      <c r="C550" s="92">
        <f>E550/SUM(E549:E551)</f>
        <v>0.56258064516129036</v>
      </c>
      <c r="D550" s="61" t="s">
        <v>1</v>
      </c>
      <c r="E550" s="62">
        <f t="shared" si="1962"/>
        <v>436</v>
      </c>
      <c r="F550" s="62">
        <f>SUMIFS([0]!Capriles,[0]!Centro,B551,[0]!Turno,F$530)</f>
        <v>35</v>
      </c>
      <c r="G550" s="62">
        <f>SUMIFS([0]!Capriles,[0]!Centro,B551,[0]!Turno,G$530)</f>
        <v>58</v>
      </c>
      <c r="H550" s="62">
        <f>SUMIFS([0]!Capriles,[0]!Centro,B551,[0]!Turno,H$530)</f>
        <v>61</v>
      </c>
      <c r="I550" s="62">
        <f>SUMIFS([0]!Capriles,[0]!Centro,B551,[0]!Turno,I$530)</f>
        <v>8</v>
      </c>
      <c r="J550" s="62">
        <f>SUMIFS([0]!Capriles,[0]!Centro,B551,[0]!Turno,J$530)</f>
        <v>59</v>
      </c>
      <c r="K550" s="62">
        <f>SUMIFS([0]!Capriles,[0]!Centro,B551,[0]!Turno,K$530)</f>
        <v>59</v>
      </c>
      <c r="L550" s="62">
        <f>SUMIFS([0]!Capriles,[0]!Centro,B551,[0]!Turno,L$530)</f>
        <v>47</v>
      </c>
      <c r="M550" s="62">
        <f>SUMIFS([0]!Capriles,[0]!Centro,B551,[0]!Turno,M$530)</f>
        <v>70</v>
      </c>
      <c r="N550" s="62">
        <f>SUMIFS([0]!Capriles,[0]!Centro,B551,[0]!Turno,N$530)</f>
        <v>0</v>
      </c>
      <c r="O550" s="62">
        <f>SUMIFS([0]!Capriles,[0]!Centro,B551,[0]!Turno,O$530)</f>
        <v>0</v>
      </c>
      <c r="P550" s="62">
        <f>SUMIFS([0]!Capriles,[0]!Centro,B551,[0]!Turno,P$530)</f>
        <v>0</v>
      </c>
      <c r="Q550" s="62">
        <f>SUMIFS([0]!Capriles,[0]!Centro,B551,[0]!Turno,Q$530)</f>
        <v>39</v>
      </c>
      <c r="R550" s="62">
        <f>SUMIFS([0]!Capriles,[0]!Centro,B551,[0]!Turno,R$530)</f>
        <v>0</v>
      </c>
      <c r="S550" s="62">
        <f>SUMIFS([0]!Capriles,[0]!Centro,B551,[0]!Turno,S$530)</f>
        <v>0</v>
      </c>
      <c r="T550" s="62">
        <f>SUMIFS([0]!Capriles,[0]!Centro,B551,[0]!Turno,T$530)</f>
        <v>0</v>
      </c>
      <c r="U550" s="62">
        <f>SUMIFS([0]!Capriles,[0]!Centro,B551,[0]!Turno,U$530)</f>
        <v>0</v>
      </c>
      <c r="V550" s="62">
        <f>SUMIFS([0]!Capriles,[0]!Centro,B551,[0]!Turno,V$530)</f>
        <v>0</v>
      </c>
      <c r="W550" s="62">
        <f>SUMIFS([0]!Capriles,[0]!Centro,B551,[0]!Turno,W$530)</f>
        <v>0</v>
      </c>
      <c r="X550" s="62">
        <f>SUMIFS([0]!Capriles,[0]!Centro,B551,[0]!Turno,X$530)</f>
        <v>0</v>
      </c>
      <c r="Y550" s="70">
        <f>SUMIFS([0]!Capriles,[0]!Centro,B551,[0]!Turno,Y$530)</f>
        <v>0</v>
      </c>
    </row>
    <row r="551" spans="2:25" ht="15" customHeight="1" thickBot="1" x14ac:dyDescent="0.25">
      <c r="B551" s="251">
        <v>75</v>
      </c>
      <c r="C551" s="100">
        <f>E551/SUM(E549:E551)</f>
        <v>7.7419354838709677E-3</v>
      </c>
      <c r="D551" s="71" t="s">
        <v>2</v>
      </c>
      <c r="E551" s="72">
        <f t="shared" si="1962"/>
        <v>6</v>
      </c>
      <c r="F551" s="72">
        <f>SUMIFS([0]!Otro,[0]!Centro,B551,[0]!Turno,F$530)</f>
        <v>0</v>
      </c>
      <c r="G551" s="72">
        <f>SUMIFS([0]!Otro,[0]!Centro,B551,[0]!Turno,G$530)</f>
        <v>0</v>
      </c>
      <c r="H551" s="72">
        <f>SUMIFS([0]!Otro,[0]!Centro,B551,[0]!Turno,H$530)</f>
        <v>0</v>
      </c>
      <c r="I551" s="72">
        <f>SUMIFS([0]!Otro,[0]!Centro,B551,[0]!Turno,I$530)</f>
        <v>0</v>
      </c>
      <c r="J551" s="72">
        <f>SUMIFS([0]!Otro,[0]!Centro,B551,[0]!Turno,J$530)</f>
        <v>2</v>
      </c>
      <c r="K551" s="72">
        <f>SUMIFS([0]!Otro,[0]!Centro,B551,[0]!Turno,K$530)</f>
        <v>2</v>
      </c>
      <c r="L551" s="72">
        <f>SUMIFS([0]!Otro,[0]!Centro,B551,[0]!Turno,L$530)</f>
        <v>0</v>
      </c>
      <c r="M551" s="72">
        <f>SUMIFS([0]!Otro,[0]!Centro,B551,[0]!Turno,M$530)</f>
        <v>1</v>
      </c>
      <c r="N551" s="72">
        <f>SUMIFS([0]!Otro,[0]!Centro,B551,[0]!Turno,N$530)</f>
        <v>0</v>
      </c>
      <c r="O551" s="72">
        <f>SUMIFS([0]!Otro,[0]!Centro,B551,[0]!Turno,O$530)</f>
        <v>0</v>
      </c>
      <c r="P551" s="72">
        <f>SUMIFS([0]!Otro,[0]!Centro,B551,[0]!Turno,P$530)</f>
        <v>0</v>
      </c>
      <c r="Q551" s="72">
        <f>SUMIFS([0]!Otro,[0]!Centro,B551,[0]!Turno,Q$530)</f>
        <v>1</v>
      </c>
      <c r="R551" s="72">
        <f>SUMIFS([0]!Otro,[0]!Centro,B551,[0]!Turno,R$530)</f>
        <v>0</v>
      </c>
      <c r="S551" s="72">
        <f>SUMIFS([0]!Otro,[0]!Centro,B551,[0]!Turno,S$530)</f>
        <v>0</v>
      </c>
      <c r="T551" s="72">
        <f>SUMIFS([0]!Otro,[0]!Centro,B551,[0]!Turno,T$530)</f>
        <v>0</v>
      </c>
      <c r="U551" s="72">
        <f>SUMIFS([0]!Otro,[0]!Centro,B551,[0]!Turno,U$530)</f>
        <v>0</v>
      </c>
      <c r="V551" s="72">
        <f>SUMIFS([0]!Otro,[0]!Centro,B551,[0]!Turno,V$530)</f>
        <v>0</v>
      </c>
      <c r="W551" s="72">
        <f>SUMIFS([0]!Otro,[0]!Centro,B551,[0]!Turno,W$530)</f>
        <v>0</v>
      </c>
      <c r="X551" s="72">
        <f>SUMIFS([0]!Otro,[0]!Centro,B551,[0]!Turno,X$530)</f>
        <v>0</v>
      </c>
      <c r="Y551" s="73">
        <f>SUMIFS([0]!Otro,[0]!Centro,B551,[0]!Turno,Y$530)</f>
        <v>0</v>
      </c>
    </row>
    <row r="552" spans="2:25" ht="15" customHeight="1" x14ac:dyDescent="0.2">
      <c r="B552" s="251"/>
      <c r="C552" s="94">
        <f>E552/SUM(E552:E554)</f>
        <v>0.42967741935483866</v>
      </c>
      <c r="D552" s="63" t="s">
        <v>0</v>
      </c>
      <c r="E552" s="150">
        <f>IF((E549+E550+E551)=0,0,(E549*$B553)/(E549+E550+E551))</f>
        <v>0.24926718221716049</v>
      </c>
      <c r="F552" s="150">
        <f>IF((F549+F550+F551)=0,0,(F549*$B553)/(F549+F550+F551))</f>
        <v>0.21095502726541018</v>
      </c>
      <c r="G552" s="150">
        <f t="shared" ref="G552:Y552" si="1979">IF((G549+G550+G551)=0,0,(G549*$B553)/(G549+G550+G551))</f>
        <v>0.27699725426967148</v>
      </c>
      <c r="H552" s="150">
        <f t="shared" si="1979"/>
        <v>0.24628004362353312</v>
      </c>
      <c r="I552" s="150">
        <f t="shared" si="1979"/>
        <v>0.37834325542165959</v>
      </c>
      <c r="J552" s="150">
        <f t="shared" si="1979"/>
        <v>0.29242139958335311</v>
      </c>
      <c r="K552" s="150">
        <f t="shared" si="1979"/>
        <v>0.21150438931558055</v>
      </c>
      <c r="L552" s="150">
        <f t="shared" si="1979"/>
        <v>0.23930210905419971</v>
      </c>
      <c r="M552" s="150">
        <f t="shared" si="1979"/>
        <v>0.15549777782965801</v>
      </c>
      <c r="N552" s="150">
        <f t="shared" si="1979"/>
        <v>0</v>
      </c>
      <c r="O552" s="150">
        <f t="shared" si="1979"/>
        <v>0</v>
      </c>
      <c r="P552" s="150">
        <f t="shared" si="1979"/>
        <v>0</v>
      </c>
      <c r="Q552" s="150">
        <f t="shared" si="1979"/>
        <v>0.30387569403707898</v>
      </c>
      <c r="R552" s="150">
        <f t="shared" si="1979"/>
        <v>0</v>
      </c>
      <c r="S552" s="150">
        <f t="shared" si="1979"/>
        <v>0</v>
      </c>
      <c r="T552" s="150">
        <f t="shared" si="1979"/>
        <v>0</v>
      </c>
      <c r="U552" s="150">
        <f t="shared" si="1979"/>
        <v>0</v>
      </c>
      <c r="V552" s="150">
        <f t="shared" si="1979"/>
        <v>0</v>
      </c>
      <c r="W552" s="150">
        <f t="shared" si="1979"/>
        <v>0</v>
      </c>
      <c r="X552" s="150">
        <f t="shared" si="1979"/>
        <v>0</v>
      </c>
      <c r="Y552" s="163">
        <f t="shared" si="1979"/>
        <v>0</v>
      </c>
    </row>
    <row r="553" spans="2:25" ht="15" customHeight="1" x14ac:dyDescent="0.2">
      <c r="B553" s="252">
        <v>0.58012632497987804</v>
      </c>
      <c r="C553" s="92">
        <f>E553/SUM(E552:E554)</f>
        <v>0.56258064516129036</v>
      </c>
      <c r="D553" s="61" t="s">
        <v>1</v>
      </c>
      <c r="E553" s="154">
        <f>IF((E549+E550+E551)=0,0,(E550*$B553)/(E549+E550+E551))</f>
        <v>0.3263678421822282</v>
      </c>
      <c r="F553" s="154">
        <f>IF((F549+F550+F551)=0,0,(F550*$B553)/(F549+F550+F551))</f>
        <v>0.36917129771446783</v>
      </c>
      <c r="G553" s="154">
        <f t="shared" ref="G553:O553" si="1980">IF((G549+G550+G551)=0,0,(G550*$B553)/(G549+G550+G551))</f>
        <v>0.30312907071020656</v>
      </c>
      <c r="H553" s="154">
        <f t="shared" si="1980"/>
        <v>0.33384628135634492</v>
      </c>
      <c r="I553" s="154">
        <f t="shared" si="1980"/>
        <v>0.20178306955821845</v>
      </c>
      <c r="J553" s="154">
        <f t="shared" si="1980"/>
        <v>0.27827197702286832</v>
      </c>
      <c r="K553" s="154">
        <f t="shared" si="1980"/>
        <v>0.35653597056055003</v>
      </c>
      <c r="L553" s="154">
        <f t="shared" si="1980"/>
        <v>0.34082421592567835</v>
      </c>
      <c r="M553" s="154">
        <f t="shared" si="1980"/>
        <v>0.41864786338754084</v>
      </c>
      <c r="N553" s="154">
        <f t="shared" si="1980"/>
        <v>0</v>
      </c>
      <c r="O553" s="154">
        <f t="shared" si="1980"/>
        <v>0</v>
      </c>
      <c r="P553" s="154">
        <f>IF((P549+P550+P551)=0,0,(P550*$B553)/(P549+P550+P551))</f>
        <v>0</v>
      </c>
      <c r="Q553" s="154">
        <f t="shared" ref="Q553:Y553" si="1981">IF((Q549+Q550+Q551)=0,0,(Q550*$B553)/(Q549+Q550+Q551))</f>
        <v>0.26934436516922905</v>
      </c>
      <c r="R553" s="154">
        <f t="shared" si="1981"/>
        <v>0</v>
      </c>
      <c r="S553" s="154">
        <f t="shared" si="1981"/>
        <v>0</v>
      </c>
      <c r="T553" s="154">
        <f t="shared" si="1981"/>
        <v>0</v>
      </c>
      <c r="U553" s="154">
        <f t="shared" si="1981"/>
        <v>0</v>
      </c>
      <c r="V553" s="154">
        <f t="shared" si="1981"/>
        <v>0</v>
      </c>
      <c r="W553" s="154">
        <f t="shared" si="1981"/>
        <v>0</v>
      </c>
      <c r="X553" s="154">
        <f t="shared" si="1981"/>
        <v>0</v>
      </c>
      <c r="Y553" s="159">
        <f t="shared" si="1981"/>
        <v>0</v>
      </c>
    </row>
    <row r="554" spans="2:25" ht="15" customHeight="1" thickBot="1" x14ac:dyDescent="0.25">
      <c r="B554" s="253"/>
      <c r="C554" s="93">
        <f>E554/SUM(E552:E554)</f>
        <v>7.7419354838709669E-3</v>
      </c>
      <c r="D554" s="75" t="s">
        <v>2</v>
      </c>
      <c r="E554" s="155">
        <f>IF((E549+E550+E551)=0,0,(E551*$B553)/(E549+E550+E551))</f>
        <v>4.4913005804893781E-3</v>
      </c>
      <c r="F554" s="155">
        <f>IF((F549+F550+F551)=0,0,(F551*$B553)/(F549+F550+F551))</f>
        <v>0</v>
      </c>
      <c r="G554" s="155">
        <f t="shared" ref="G554:Y554" si="1982">IF((G549+G550+G551)=0,0,(G551*$B553)/(G549+G550+G551))</f>
        <v>0</v>
      </c>
      <c r="H554" s="155">
        <f t="shared" si="1982"/>
        <v>0</v>
      </c>
      <c r="I554" s="155">
        <f t="shared" si="1982"/>
        <v>0</v>
      </c>
      <c r="J554" s="155">
        <f t="shared" si="1982"/>
        <v>9.4329483736565536E-3</v>
      </c>
      <c r="K554" s="155">
        <f t="shared" si="1982"/>
        <v>1.2085965103747459E-2</v>
      </c>
      <c r="L554" s="155">
        <f t="shared" si="1982"/>
        <v>0</v>
      </c>
      <c r="M554" s="155">
        <f t="shared" si="1982"/>
        <v>5.9806837626791547E-3</v>
      </c>
      <c r="N554" s="155">
        <f t="shared" si="1982"/>
        <v>0</v>
      </c>
      <c r="O554" s="155">
        <f t="shared" si="1982"/>
        <v>0</v>
      </c>
      <c r="P554" s="155">
        <f t="shared" si="1982"/>
        <v>0</v>
      </c>
      <c r="Q554" s="155">
        <f t="shared" si="1982"/>
        <v>6.9062657735699763E-3</v>
      </c>
      <c r="R554" s="155">
        <f t="shared" si="1982"/>
        <v>0</v>
      </c>
      <c r="S554" s="155">
        <f t="shared" si="1982"/>
        <v>0</v>
      </c>
      <c r="T554" s="155">
        <f t="shared" si="1982"/>
        <v>0</v>
      </c>
      <c r="U554" s="155">
        <f t="shared" si="1982"/>
        <v>0</v>
      </c>
      <c r="V554" s="155">
        <f t="shared" si="1982"/>
        <v>0</v>
      </c>
      <c r="W554" s="155">
        <f t="shared" si="1982"/>
        <v>0</v>
      </c>
      <c r="X554" s="155">
        <f t="shared" si="1982"/>
        <v>0</v>
      </c>
      <c r="Y554" s="160">
        <f t="shared" si="1982"/>
        <v>0</v>
      </c>
    </row>
    <row r="555" spans="2:25" ht="15" customHeight="1" x14ac:dyDescent="0.2">
      <c r="B555" s="249" t="s">
        <v>104</v>
      </c>
      <c r="C555" s="91">
        <f>E555/SUM(E555:E557)</f>
        <v>0.63928571428571423</v>
      </c>
      <c r="D555" s="67" t="s">
        <v>0</v>
      </c>
      <c r="E555" s="68">
        <f t="shared" si="1962"/>
        <v>179</v>
      </c>
      <c r="F555" s="68">
        <f>SUMIFS([0]!Chavez,[0]!Centro,B557,[0]!Turno,F$530)</f>
        <v>26</v>
      </c>
      <c r="G555" s="68">
        <f>SUMIFS([0]!Chavez,[0]!Centro,B557,[0]!Turno,G$530)</f>
        <v>23</v>
      </c>
      <c r="H555" s="68">
        <f>SUMIFS([0]!Chavez,[0]!Centro,B557,[0]!Turno,H$530)</f>
        <v>23</v>
      </c>
      <c r="I555" s="68">
        <f>SUMIFS([0]!Chavez,[0]!Centro,B557,[0]!Turno,I$530)</f>
        <v>0</v>
      </c>
      <c r="J555" s="68">
        <f>SUMIFS([0]!Chavez,[0]!Centro,B557,[0]!Turno,J$530)</f>
        <v>17</v>
      </c>
      <c r="K555" s="68">
        <f>SUMIFS([0]!Chavez,[0]!Centro,B557,[0]!Turno,K$530)</f>
        <v>21</v>
      </c>
      <c r="L555" s="68">
        <f>SUMIFS([0]!Chavez,[0]!Centro,B557,[0]!Turno,L$530)</f>
        <v>7</v>
      </c>
      <c r="M555" s="68">
        <f>SUMIFS([0]!Chavez,[0]!Centro,B557,[0]!Turno,M$530)</f>
        <v>14</v>
      </c>
      <c r="N555" s="68">
        <f>SUMIFS([0]!Chavez,[0]!Centro,B557,[0]!Turno,N$530)</f>
        <v>15</v>
      </c>
      <c r="O555" s="68">
        <f>SUMIFS([0]!Chavez,[0]!Centro,B557,[0]!Turno,O$530)</f>
        <v>0</v>
      </c>
      <c r="P555" s="68">
        <f>SUMIFS([0]!Chavez,[0]!Centro,B557,[0]!Turno,P$530)</f>
        <v>0</v>
      </c>
      <c r="Q555" s="68">
        <f>SUMIFS([0]!Chavez,[0]!Centro,B557,[0]!Turno,Q$530)</f>
        <v>33</v>
      </c>
      <c r="R555" s="68">
        <f>SUMIFS([0]!Chavez,[0]!Centro,B557,[0]!Turno,R$530)</f>
        <v>0</v>
      </c>
      <c r="S555" s="68">
        <f>SUMIFS([0]!Chavez,[0]!Centro,B557,[0]!Turno,S$530)</f>
        <v>0</v>
      </c>
      <c r="T555" s="68">
        <f>SUMIFS([0]!Chavez,[0]!Centro,B557,[0]!Turno,T$530)</f>
        <v>0</v>
      </c>
      <c r="U555" s="68">
        <f>SUMIFS([0]!Chavez,[0]!Centro,B557,[0]!Turno,U$530)</f>
        <v>0</v>
      </c>
      <c r="V555" s="68">
        <f>SUMIFS([0]!Chavez,[0]!Centro,B557,[0]!Turno,V$530)</f>
        <v>0</v>
      </c>
      <c r="W555" s="68">
        <f>SUMIFS([0]!Chavez,[0]!Centro,B557,[0]!Turno,W$530)</f>
        <v>0</v>
      </c>
      <c r="X555" s="68">
        <f>SUMIFS([0]!Chavez,[0]!Centro,B557,[0]!Turno,X$530)</f>
        <v>0</v>
      </c>
      <c r="Y555" s="69">
        <f>SUMIFS([0]!Chavez,[0]!Centro,B557,[0]!Turno,Y$530)</f>
        <v>0</v>
      </c>
    </row>
    <row r="556" spans="2:25" ht="15" customHeight="1" x14ac:dyDescent="0.2">
      <c r="B556" s="250"/>
      <c r="C556" s="92">
        <f>E556/SUM(E555:E557)</f>
        <v>0.36071428571428571</v>
      </c>
      <c r="D556" s="61" t="s">
        <v>1</v>
      </c>
      <c r="E556" s="62">
        <f t="shared" si="1962"/>
        <v>101</v>
      </c>
      <c r="F556" s="62">
        <f>SUMIFS([0]!Capriles,[0]!Centro,B557,[0]!Turno,F$530)</f>
        <v>14</v>
      </c>
      <c r="G556" s="62">
        <f>SUMIFS([0]!Capriles,[0]!Centro,B557,[0]!Turno,G$530)</f>
        <v>17</v>
      </c>
      <c r="H556" s="62">
        <f>SUMIFS([0]!Capriles,[0]!Centro,B557,[0]!Turno,H$530)</f>
        <v>17</v>
      </c>
      <c r="I556" s="62">
        <f>SUMIFS([0]!Capriles,[0]!Centro,B557,[0]!Turno,I$530)</f>
        <v>0</v>
      </c>
      <c r="J556" s="62">
        <f>SUMIFS([0]!Capriles,[0]!Centro,B557,[0]!Turno,J$530)</f>
        <v>3</v>
      </c>
      <c r="K556" s="62">
        <f>SUMIFS([0]!Capriles,[0]!Centro,B557,[0]!Turno,K$530)</f>
        <v>19</v>
      </c>
      <c r="L556" s="62">
        <f>SUMIFS([0]!Capriles,[0]!Centro,B557,[0]!Turno,L$530)</f>
        <v>13</v>
      </c>
      <c r="M556" s="62">
        <f>SUMIFS([0]!Capriles,[0]!Centro,B557,[0]!Turno,M$530)</f>
        <v>6</v>
      </c>
      <c r="N556" s="62">
        <f>SUMIFS([0]!Capriles,[0]!Centro,B557,[0]!Turno,N$530)</f>
        <v>5</v>
      </c>
      <c r="O556" s="62">
        <f>SUMIFS([0]!Capriles,[0]!Centro,B557,[0]!Turno,O$530)</f>
        <v>0</v>
      </c>
      <c r="P556" s="62">
        <f>SUMIFS([0]!Capriles,[0]!Centro,B557,[0]!Turno,P$530)</f>
        <v>0</v>
      </c>
      <c r="Q556" s="62">
        <f>SUMIFS([0]!Capriles,[0]!Centro,B557,[0]!Turno,Q$530)</f>
        <v>7</v>
      </c>
      <c r="R556" s="62">
        <f>SUMIFS([0]!Capriles,[0]!Centro,B557,[0]!Turno,R$530)</f>
        <v>0</v>
      </c>
      <c r="S556" s="62">
        <f>SUMIFS([0]!Capriles,[0]!Centro,B557,[0]!Turno,S$530)</f>
        <v>0</v>
      </c>
      <c r="T556" s="62">
        <f>SUMIFS([0]!Capriles,[0]!Centro,B557,[0]!Turno,T$530)</f>
        <v>0</v>
      </c>
      <c r="U556" s="62">
        <f>SUMIFS([0]!Capriles,[0]!Centro,B557,[0]!Turno,U$530)</f>
        <v>0</v>
      </c>
      <c r="V556" s="62">
        <f>SUMIFS([0]!Capriles,[0]!Centro,B557,[0]!Turno,V$530)</f>
        <v>0</v>
      </c>
      <c r="W556" s="62">
        <f>SUMIFS([0]!Capriles,[0]!Centro,B557,[0]!Turno,W$530)</f>
        <v>0</v>
      </c>
      <c r="X556" s="62">
        <f>SUMIFS([0]!Capriles,[0]!Centro,B557,[0]!Turno,X$530)</f>
        <v>0</v>
      </c>
      <c r="Y556" s="70">
        <f>SUMIFS([0]!Capriles,[0]!Centro,B557,[0]!Turno,Y$530)</f>
        <v>0</v>
      </c>
    </row>
    <row r="557" spans="2:25" ht="15" customHeight="1" thickBot="1" x14ac:dyDescent="0.25">
      <c r="B557" s="251">
        <v>76</v>
      </c>
      <c r="C557" s="100">
        <f>E557/SUM(E555:E557)</f>
        <v>0</v>
      </c>
      <c r="D557" s="71" t="s">
        <v>2</v>
      </c>
      <c r="E557" s="72">
        <f t="shared" si="1962"/>
        <v>0</v>
      </c>
      <c r="F557" s="72">
        <f>SUMIFS([0]!Otro,[0]!Centro,B557,[0]!Turno,F$530)</f>
        <v>0</v>
      </c>
      <c r="G557" s="72">
        <f>SUMIFS([0]!Otro,[0]!Centro,B557,[0]!Turno,G$530)</f>
        <v>0</v>
      </c>
      <c r="H557" s="72">
        <f>SUMIFS([0]!Otro,[0]!Centro,B557,[0]!Turno,H$530)</f>
        <v>0</v>
      </c>
      <c r="I557" s="72">
        <f>SUMIFS([0]!Otro,[0]!Centro,B557,[0]!Turno,I$530)</f>
        <v>0</v>
      </c>
      <c r="J557" s="72">
        <f>SUMIFS([0]!Otro,[0]!Centro,B557,[0]!Turno,J$530)</f>
        <v>0</v>
      </c>
      <c r="K557" s="72">
        <f>SUMIFS([0]!Otro,[0]!Centro,B557,[0]!Turno,K$530)</f>
        <v>0</v>
      </c>
      <c r="L557" s="72">
        <f>SUMIFS([0]!Otro,[0]!Centro,B557,[0]!Turno,L$530)</f>
        <v>0</v>
      </c>
      <c r="M557" s="72">
        <f>SUMIFS([0]!Otro,[0]!Centro,B557,[0]!Turno,M$530)</f>
        <v>0</v>
      </c>
      <c r="N557" s="72">
        <f>SUMIFS([0]!Otro,[0]!Centro,B557,[0]!Turno,N$530)</f>
        <v>0</v>
      </c>
      <c r="O557" s="72">
        <f>SUMIFS([0]!Otro,[0]!Centro,B557,[0]!Turno,O$530)</f>
        <v>0</v>
      </c>
      <c r="P557" s="72">
        <f>SUMIFS([0]!Otro,[0]!Centro,B557,[0]!Turno,P$530)</f>
        <v>0</v>
      </c>
      <c r="Q557" s="72">
        <f>SUMIFS([0]!Otro,[0]!Centro,B557,[0]!Turno,Q$530)</f>
        <v>0</v>
      </c>
      <c r="R557" s="72">
        <f>SUMIFS([0]!Otro,[0]!Centro,B557,[0]!Turno,R$530)</f>
        <v>0</v>
      </c>
      <c r="S557" s="72">
        <f>SUMIFS([0]!Otro,[0]!Centro,B557,[0]!Turno,S$530)</f>
        <v>0</v>
      </c>
      <c r="T557" s="72">
        <f>SUMIFS([0]!Otro,[0]!Centro,B557,[0]!Turno,T$530)</f>
        <v>0</v>
      </c>
      <c r="U557" s="72">
        <f>SUMIFS([0]!Otro,[0]!Centro,B557,[0]!Turno,U$530)</f>
        <v>0</v>
      </c>
      <c r="V557" s="72">
        <f>SUMIFS([0]!Otro,[0]!Centro,B557,[0]!Turno,V$530)</f>
        <v>0</v>
      </c>
      <c r="W557" s="72">
        <f>SUMIFS([0]!Otro,[0]!Centro,B557,[0]!Turno,W$530)</f>
        <v>0</v>
      </c>
      <c r="X557" s="72">
        <f>SUMIFS([0]!Otro,[0]!Centro,B557,[0]!Turno,X$530)</f>
        <v>0</v>
      </c>
      <c r="Y557" s="73">
        <f>SUMIFS([0]!Otro,[0]!Centro,B557,[0]!Turno,Y$530)</f>
        <v>0</v>
      </c>
    </row>
    <row r="558" spans="2:25" ht="15" customHeight="1" x14ac:dyDescent="0.2">
      <c r="B558" s="251"/>
      <c r="C558" s="94">
        <f>E558/SUM(E558:E560)</f>
        <v>0.63928571428571435</v>
      </c>
      <c r="D558" s="63" t="s">
        <v>0</v>
      </c>
      <c r="E558" s="150">
        <f>IF((E555+E556+E557)=0,0,(E555*$B559)/(E555+E556+E557))</f>
        <v>3.508787096513296E-2</v>
      </c>
      <c r="F558" s="150">
        <f>IF((F555+F556+F557)=0,0,(F555*$B559)/(F555+F556+F557))</f>
        <v>3.5675935841643566E-2</v>
      </c>
      <c r="G558" s="150">
        <f t="shared" ref="G558:Y558" si="1983">IF((G555+G556+G557)=0,0,(G555*$B559)/(G555+G556+G557))</f>
        <v>3.1559481706069301E-2</v>
      </c>
      <c r="H558" s="150">
        <f t="shared" si="1983"/>
        <v>3.1559481706069301E-2</v>
      </c>
      <c r="I558" s="150">
        <f t="shared" si="1983"/>
        <v>0</v>
      </c>
      <c r="J558" s="150">
        <f t="shared" si="1983"/>
        <v>4.665314686984158E-2</v>
      </c>
      <c r="K558" s="150">
        <f t="shared" si="1983"/>
        <v>2.8815178949019804E-2</v>
      </c>
      <c r="L558" s="150">
        <f t="shared" si="1983"/>
        <v>1.9210119299346535E-2</v>
      </c>
      <c r="M558" s="150">
        <f t="shared" si="1983"/>
        <v>3.842023859869307E-2</v>
      </c>
      <c r="N558" s="150">
        <f t="shared" si="1983"/>
        <v>4.1164541355742573E-2</v>
      </c>
      <c r="O558" s="150">
        <f t="shared" si="1983"/>
        <v>0</v>
      </c>
      <c r="P558" s="150">
        <f t="shared" si="1983"/>
        <v>0</v>
      </c>
      <c r="Q558" s="150">
        <f t="shared" si="1983"/>
        <v>4.5280995491316832E-2</v>
      </c>
      <c r="R558" s="150">
        <f t="shared" si="1983"/>
        <v>0</v>
      </c>
      <c r="S558" s="150">
        <f t="shared" si="1983"/>
        <v>0</v>
      </c>
      <c r="T558" s="150">
        <f t="shared" si="1983"/>
        <v>0</v>
      </c>
      <c r="U558" s="150">
        <f t="shared" si="1983"/>
        <v>0</v>
      </c>
      <c r="V558" s="150">
        <f t="shared" si="1983"/>
        <v>0</v>
      </c>
      <c r="W558" s="150">
        <f t="shared" si="1983"/>
        <v>0</v>
      </c>
      <c r="X558" s="150">
        <f t="shared" si="1983"/>
        <v>0</v>
      </c>
      <c r="Y558" s="163">
        <f t="shared" si="1983"/>
        <v>0</v>
      </c>
    </row>
    <row r="559" spans="2:25" ht="15" customHeight="1" x14ac:dyDescent="0.2">
      <c r="B559" s="252">
        <v>5.4886055140990098E-2</v>
      </c>
      <c r="C559" s="92">
        <f>E559/SUM(E558:E560)</f>
        <v>0.36071428571428571</v>
      </c>
      <c r="D559" s="61" t="s">
        <v>1</v>
      </c>
      <c r="E559" s="154">
        <f>IF((E555+E556+E557)=0,0,(E556*$B559)/(E555+E556+E557))</f>
        <v>1.9798184175857141E-2</v>
      </c>
      <c r="F559" s="154">
        <f>IF((F555+F556+F557)=0,0,(F556*$B559)/(F555+F556+F557))</f>
        <v>1.9210119299346535E-2</v>
      </c>
      <c r="G559" s="154">
        <f t="shared" ref="G559:O559" si="1984">IF((G555+G556+G557)=0,0,(G556*$B559)/(G555+G556+G557))</f>
        <v>2.332657343492079E-2</v>
      </c>
      <c r="H559" s="154">
        <f t="shared" si="1984"/>
        <v>2.332657343492079E-2</v>
      </c>
      <c r="I559" s="154">
        <f t="shared" si="1984"/>
        <v>0</v>
      </c>
      <c r="J559" s="154">
        <f t="shared" si="1984"/>
        <v>8.232908271148514E-3</v>
      </c>
      <c r="K559" s="154">
        <f t="shared" si="1984"/>
        <v>2.6070876191970294E-2</v>
      </c>
      <c r="L559" s="154">
        <f t="shared" si="1984"/>
        <v>3.5675935841643566E-2</v>
      </c>
      <c r="M559" s="154">
        <f t="shared" si="1984"/>
        <v>1.6465816542297028E-2</v>
      </c>
      <c r="N559" s="154">
        <f t="shared" si="1984"/>
        <v>1.3721513785247524E-2</v>
      </c>
      <c r="O559" s="154">
        <f t="shared" si="1984"/>
        <v>0</v>
      </c>
      <c r="P559" s="154">
        <f>IF((P555+P556+P557)=0,0,(P556*$B559)/(P555+P556+P557))</f>
        <v>0</v>
      </c>
      <c r="Q559" s="154">
        <f t="shared" ref="Q559:Y559" si="1985">IF((Q555+Q556+Q557)=0,0,(Q556*$B559)/(Q555+Q556+Q557))</f>
        <v>9.6050596496732674E-3</v>
      </c>
      <c r="R559" s="154">
        <f t="shared" si="1985"/>
        <v>0</v>
      </c>
      <c r="S559" s="154">
        <f t="shared" si="1985"/>
        <v>0</v>
      </c>
      <c r="T559" s="154">
        <f t="shared" si="1985"/>
        <v>0</v>
      </c>
      <c r="U559" s="154">
        <f t="shared" si="1985"/>
        <v>0</v>
      </c>
      <c r="V559" s="154">
        <f t="shared" si="1985"/>
        <v>0</v>
      </c>
      <c r="W559" s="154">
        <f t="shared" si="1985"/>
        <v>0</v>
      </c>
      <c r="X559" s="154">
        <f t="shared" si="1985"/>
        <v>0</v>
      </c>
      <c r="Y559" s="159">
        <f t="shared" si="1985"/>
        <v>0</v>
      </c>
    </row>
    <row r="560" spans="2:25" ht="15" customHeight="1" thickBot="1" x14ac:dyDescent="0.25">
      <c r="B560" s="253"/>
      <c r="C560" s="93">
        <f>E560/SUM(E558:E560)</f>
        <v>0</v>
      </c>
      <c r="D560" s="75" t="s">
        <v>2</v>
      </c>
      <c r="E560" s="155">
        <f>IF((E555+E556+E557)=0,0,(E557*$B559)/(E555+E556+E557))</f>
        <v>0</v>
      </c>
      <c r="F560" s="155">
        <f>IF((F555+F556+F557)=0,0,(F557*$B559)/(F555+F556+F557))</f>
        <v>0</v>
      </c>
      <c r="G560" s="155">
        <f t="shared" ref="G560:Y560" si="1986">IF((G555+G556+G557)=0,0,(G557*$B559)/(G555+G556+G557))</f>
        <v>0</v>
      </c>
      <c r="H560" s="155">
        <f t="shared" si="1986"/>
        <v>0</v>
      </c>
      <c r="I560" s="155">
        <f t="shared" si="1986"/>
        <v>0</v>
      </c>
      <c r="J560" s="155">
        <f t="shared" si="1986"/>
        <v>0</v>
      </c>
      <c r="K560" s="155">
        <f t="shared" si="1986"/>
        <v>0</v>
      </c>
      <c r="L560" s="155">
        <f t="shared" si="1986"/>
        <v>0</v>
      </c>
      <c r="M560" s="155">
        <f t="shared" si="1986"/>
        <v>0</v>
      </c>
      <c r="N560" s="155">
        <f t="shared" si="1986"/>
        <v>0</v>
      </c>
      <c r="O560" s="155">
        <f t="shared" si="1986"/>
        <v>0</v>
      </c>
      <c r="P560" s="155">
        <f t="shared" si="1986"/>
        <v>0</v>
      </c>
      <c r="Q560" s="155">
        <f t="shared" si="1986"/>
        <v>0</v>
      </c>
      <c r="R560" s="155">
        <f t="shared" si="1986"/>
        <v>0</v>
      </c>
      <c r="S560" s="155">
        <f t="shared" si="1986"/>
        <v>0</v>
      </c>
      <c r="T560" s="155">
        <f t="shared" si="1986"/>
        <v>0</v>
      </c>
      <c r="U560" s="155">
        <f t="shared" si="1986"/>
        <v>0</v>
      </c>
      <c r="V560" s="155">
        <f t="shared" si="1986"/>
        <v>0</v>
      </c>
      <c r="W560" s="155">
        <f t="shared" si="1986"/>
        <v>0</v>
      </c>
      <c r="X560" s="155">
        <f t="shared" si="1986"/>
        <v>0</v>
      </c>
      <c r="Y560" s="160">
        <f t="shared" si="1986"/>
        <v>0</v>
      </c>
    </row>
    <row r="561" spans="2:25" ht="15" customHeight="1" x14ac:dyDescent="0.2">
      <c r="B561" s="249" t="s">
        <v>105</v>
      </c>
      <c r="C561" s="91">
        <f>E561/SUM(E561:E563)</f>
        <v>0.56097560975609762</v>
      </c>
      <c r="D561" s="67" t="s">
        <v>0</v>
      </c>
      <c r="E561" s="68">
        <f t="shared" si="1962"/>
        <v>230</v>
      </c>
      <c r="F561" s="68">
        <f>SUMIFS([0]!Chavez,[0]!Centro,B563,[0]!Turno,F$530)</f>
        <v>17</v>
      </c>
      <c r="G561" s="68">
        <f>SUMIFS([0]!Chavez,[0]!Centro,B563,[0]!Turno,G$530)</f>
        <v>36</v>
      </c>
      <c r="H561" s="68">
        <f>SUMIFS([0]!Chavez,[0]!Centro,B563,[0]!Turno,H$530)</f>
        <v>28</v>
      </c>
      <c r="I561" s="68">
        <f>SUMIFS([0]!Chavez,[0]!Centro,B563,[0]!Turno,I$530)</f>
        <v>20</v>
      </c>
      <c r="J561" s="68">
        <f>SUMIFS([0]!Chavez,[0]!Centro,B563,[0]!Turno,J$530)</f>
        <v>47</v>
      </c>
      <c r="K561" s="68">
        <f>SUMIFS([0]!Chavez,[0]!Centro,B563,[0]!Turno,K$530)</f>
        <v>30</v>
      </c>
      <c r="L561" s="68">
        <f>SUMIFS([0]!Chavez,[0]!Centro,B563,[0]!Turno,L$530)</f>
        <v>22</v>
      </c>
      <c r="M561" s="68">
        <f>SUMIFS([0]!Chavez,[0]!Centro,B563,[0]!Turno,M$530)</f>
        <v>21</v>
      </c>
      <c r="N561" s="68">
        <f>SUMIFS([0]!Chavez,[0]!Centro,B563,[0]!Turno,N$530)</f>
        <v>0</v>
      </c>
      <c r="O561" s="68">
        <f>SUMIFS([0]!Chavez,[0]!Centro,B563,[0]!Turno,O$530)</f>
        <v>0</v>
      </c>
      <c r="P561" s="68">
        <f>SUMIFS([0]!Chavez,[0]!Centro,B563,[0]!Turno,P$530)</f>
        <v>0</v>
      </c>
      <c r="Q561" s="68">
        <f>SUMIFS([0]!Chavez,[0]!Centro,B563,[0]!Turno,Q$530)</f>
        <v>9</v>
      </c>
      <c r="R561" s="68">
        <f>SUMIFS([0]!Chavez,[0]!Centro,B563,[0]!Turno,R$530)</f>
        <v>0</v>
      </c>
      <c r="S561" s="68">
        <f>SUMIFS([0]!Chavez,[0]!Centro,B563,[0]!Turno,S$530)</f>
        <v>0</v>
      </c>
      <c r="T561" s="68">
        <f>SUMIFS([0]!Chavez,[0]!Centro,B563,[0]!Turno,T$530)</f>
        <v>0</v>
      </c>
      <c r="U561" s="68">
        <f>SUMIFS([0]!Chavez,[0]!Centro,B563,[0]!Turno,U$530)</f>
        <v>0</v>
      </c>
      <c r="V561" s="68">
        <f>SUMIFS([0]!Chavez,[0]!Centro,B563,[0]!Turno,V$530)</f>
        <v>0</v>
      </c>
      <c r="W561" s="68">
        <f>SUMIFS([0]!Chavez,[0]!Centro,B563,[0]!Turno,W$530)</f>
        <v>0</v>
      </c>
      <c r="X561" s="68">
        <f>SUMIFS([0]!Chavez,[0]!Centro,B563,[0]!Turno,X$530)</f>
        <v>0</v>
      </c>
      <c r="Y561" s="69">
        <f>SUMIFS([0]!Chavez,[0]!Centro,B563,[0]!Turno,Y$530)</f>
        <v>0</v>
      </c>
    </row>
    <row r="562" spans="2:25" ht="15" customHeight="1" x14ac:dyDescent="0.2">
      <c r="B562" s="250"/>
      <c r="C562" s="92">
        <f>E562/SUM(E561:E563)</f>
        <v>0.43902439024390244</v>
      </c>
      <c r="D562" s="61" t="s">
        <v>1</v>
      </c>
      <c r="E562" s="62">
        <f t="shared" si="1962"/>
        <v>180</v>
      </c>
      <c r="F562" s="62">
        <f>SUMIFS([0]!Capriles,[0]!Centro,B563,[0]!Turno,F$530)</f>
        <v>3</v>
      </c>
      <c r="G562" s="62">
        <f>SUMIFS([0]!Capriles,[0]!Centro,B563,[0]!Turno,G$530)</f>
        <v>29</v>
      </c>
      <c r="H562" s="62">
        <f>SUMIFS([0]!Capriles,[0]!Centro,B563,[0]!Turno,H$530)</f>
        <v>35</v>
      </c>
      <c r="I562" s="62">
        <f>SUMIFS([0]!Capriles,[0]!Centro,B563,[0]!Turno,I$530)</f>
        <v>20</v>
      </c>
      <c r="J562" s="62">
        <f>SUMIFS([0]!Capriles,[0]!Centro,B563,[0]!Turno,J$530)</f>
        <v>36</v>
      </c>
      <c r="K562" s="62">
        <f>SUMIFS([0]!Capriles,[0]!Centro,B563,[0]!Turno,K$530)</f>
        <v>10</v>
      </c>
      <c r="L562" s="62">
        <f>SUMIFS([0]!Capriles,[0]!Centro,B563,[0]!Turno,L$530)</f>
        <v>19</v>
      </c>
      <c r="M562" s="62">
        <f>SUMIFS([0]!Capriles,[0]!Centro,B563,[0]!Turno,M$530)</f>
        <v>16</v>
      </c>
      <c r="N562" s="62">
        <f>SUMIFS([0]!Capriles,[0]!Centro,B563,[0]!Turno,N$530)</f>
        <v>0</v>
      </c>
      <c r="O562" s="62">
        <f>SUMIFS([0]!Capriles,[0]!Centro,B563,[0]!Turno,O$530)</f>
        <v>0</v>
      </c>
      <c r="P562" s="62">
        <f>SUMIFS([0]!Capriles,[0]!Centro,B563,[0]!Turno,P$530)</f>
        <v>0</v>
      </c>
      <c r="Q562" s="62">
        <f>SUMIFS([0]!Capriles,[0]!Centro,B563,[0]!Turno,Q$530)</f>
        <v>12</v>
      </c>
      <c r="R562" s="62">
        <f>SUMIFS([0]!Capriles,[0]!Centro,B563,[0]!Turno,R$530)</f>
        <v>0</v>
      </c>
      <c r="S562" s="62">
        <f>SUMIFS([0]!Capriles,[0]!Centro,B563,[0]!Turno,S$530)</f>
        <v>0</v>
      </c>
      <c r="T562" s="62">
        <f>SUMIFS([0]!Capriles,[0]!Centro,B563,[0]!Turno,T$530)</f>
        <v>0</v>
      </c>
      <c r="U562" s="62">
        <f>SUMIFS([0]!Capriles,[0]!Centro,B563,[0]!Turno,U$530)</f>
        <v>0</v>
      </c>
      <c r="V562" s="62">
        <f>SUMIFS([0]!Capriles,[0]!Centro,B563,[0]!Turno,V$530)</f>
        <v>0</v>
      </c>
      <c r="W562" s="62">
        <f>SUMIFS([0]!Capriles,[0]!Centro,B563,[0]!Turno,W$530)</f>
        <v>0</v>
      </c>
      <c r="X562" s="62">
        <f>SUMIFS([0]!Capriles,[0]!Centro,B563,[0]!Turno,X$530)</f>
        <v>0</v>
      </c>
      <c r="Y562" s="70">
        <f>SUMIFS([0]!Capriles,[0]!Centro,B563,[0]!Turno,Y$530)</f>
        <v>0</v>
      </c>
    </row>
    <row r="563" spans="2:25" ht="15" customHeight="1" thickBot="1" x14ac:dyDescent="0.25">
      <c r="B563" s="251">
        <v>77</v>
      </c>
      <c r="C563" s="100">
        <f>E563/SUM(E561:E563)</f>
        <v>0</v>
      </c>
      <c r="D563" s="71" t="s">
        <v>2</v>
      </c>
      <c r="E563" s="72">
        <f t="shared" si="1962"/>
        <v>0</v>
      </c>
      <c r="F563" s="72">
        <f>SUMIFS([0]!Otro,[0]!Centro,B563,[0]!Turno,F$530)</f>
        <v>0</v>
      </c>
      <c r="G563" s="72">
        <f>SUMIFS([0]!Otro,[0]!Centro,B563,[0]!Turno,G$530)</f>
        <v>0</v>
      </c>
      <c r="H563" s="72">
        <f>SUMIFS([0]!Otro,[0]!Centro,B563,[0]!Turno,H$530)</f>
        <v>0</v>
      </c>
      <c r="I563" s="72">
        <f>SUMIFS([0]!Otro,[0]!Centro,B563,[0]!Turno,I$530)</f>
        <v>0</v>
      </c>
      <c r="J563" s="72">
        <f>SUMIFS([0]!Otro,[0]!Centro,B563,[0]!Turno,J$530)</f>
        <v>0</v>
      </c>
      <c r="K563" s="72">
        <f>SUMIFS([0]!Otro,[0]!Centro,B563,[0]!Turno,K$530)</f>
        <v>0</v>
      </c>
      <c r="L563" s="72">
        <f>SUMIFS([0]!Otro,[0]!Centro,B563,[0]!Turno,L$530)</f>
        <v>0</v>
      </c>
      <c r="M563" s="72">
        <f>SUMIFS([0]!Otro,[0]!Centro,B563,[0]!Turno,M$530)</f>
        <v>0</v>
      </c>
      <c r="N563" s="72">
        <f>SUMIFS([0]!Otro,[0]!Centro,B563,[0]!Turno,N$530)</f>
        <v>0</v>
      </c>
      <c r="O563" s="72">
        <f>SUMIFS([0]!Otro,[0]!Centro,B563,[0]!Turno,O$530)</f>
        <v>0</v>
      </c>
      <c r="P563" s="72">
        <f>SUMIFS([0]!Otro,[0]!Centro,B563,[0]!Turno,P$530)</f>
        <v>0</v>
      </c>
      <c r="Q563" s="72">
        <f>SUMIFS([0]!Otro,[0]!Centro,B563,[0]!Turno,Q$530)</f>
        <v>0</v>
      </c>
      <c r="R563" s="72">
        <f>SUMIFS([0]!Otro,[0]!Centro,B563,[0]!Turno,R$530)</f>
        <v>0</v>
      </c>
      <c r="S563" s="72">
        <f>SUMIFS([0]!Otro,[0]!Centro,B563,[0]!Turno,S$530)</f>
        <v>0</v>
      </c>
      <c r="T563" s="72">
        <f>SUMIFS([0]!Otro,[0]!Centro,B563,[0]!Turno,T$530)</f>
        <v>0</v>
      </c>
      <c r="U563" s="72">
        <f>SUMIFS([0]!Otro,[0]!Centro,B563,[0]!Turno,U$530)</f>
        <v>0</v>
      </c>
      <c r="V563" s="72">
        <f>SUMIFS([0]!Otro,[0]!Centro,B563,[0]!Turno,V$530)</f>
        <v>0</v>
      </c>
      <c r="W563" s="72">
        <f>SUMIFS([0]!Otro,[0]!Centro,B563,[0]!Turno,W$530)</f>
        <v>0</v>
      </c>
      <c r="X563" s="72">
        <f>SUMIFS([0]!Otro,[0]!Centro,B563,[0]!Turno,X$530)</f>
        <v>0</v>
      </c>
      <c r="Y563" s="73">
        <f>SUMIFS([0]!Otro,[0]!Centro,B563,[0]!Turno,Y$530)</f>
        <v>0</v>
      </c>
    </row>
    <row r="564" spans="2:25" ht="15" customHeight="1" x14ac:dyDescent="0.2">
      <c r="B564" s="251"/>
      <c r="C564" s="94">
        <f>E564/SUM(E564:E566)</f>
        <v>0.5609756097560975</v>
      </c>
      <c r="D564" s="63" t="s">
        <v>0</v>
      </c>
      <c r="E564" s="150">
        <f>IF((E561+E562+E563)=0,0,(E561*$B565)/(E561+E562+E563))</f>
        <v>4.1652456243264281E-2</v>
      </c>
      <c r="F564" s="150">
        <f>IF((F561+F562+F563)=0,0,(F561*$B565)/(F561+F562+F563))</f>
        <v>6.3112526090337406E-2</v>
      </c>
      <c r="G564" s="150">
        <f t="shared" ref="G564:Y564" si="1987">IF((G561+G562+G563)=0,0,(G561*$B565)/(G561+G562+G563))</f>
        <v>4.1123093923115778E-2</v>
      </c>
      <c r="H564" s="150">
        <f t="shared" si="1987"/>
        <v>3.3000013642006484E-2</v>
      </c>
      <c r="I564" s="150">
        <f t="shared" si="1987"/>
        <v>3.7125015347257297E-2</v>
      </c>
      <c r="J564" s="150">
        <f t="shared" si="1987"/>
        <v>4.2045198104122723E-2</v>
      </c>
      <c r="K564" s="150">
        <f t="shared" si="1987"/>
        <v>5.5687523020885941E-2</v>
      </c>
      <c r="L564" s="150">
        <f t="shared" si="1987"/>
        <v>3.9841479884861489E-2</v>
      </c>
      <c r="M564" s="150">
        <f t="shared" si="1987"/>
        <v>4.2141909313102875E-2</v>
      </c>
      <c r="N564" s="150">
        <f t="shared" si="1987"/>
        <v>0</v>
      </c>
      <c r="O564" s="150">
        <f t="shared" si="1987"/>
        <v>0</v>
      </c>
      <c r="P564" s="150">
        <f t="shared" si="1987"/>
        <v>0</v>
      </c>
      <c r="Q564" s="150">
        <f t="shared" si="1987"/>
        <v>3.1821441726220541E-2</v>
      </c>
      <c r="R564" s="150">
        <f t="shared" si="1987"/>
        <v>0</v>
      </c>
      <c r="S564" s="150">
        <f t="shared" si="1987"/>
        <v>0</v>
      </c>
      <c r="T564" s="150">
        <f t="shared" si="1987"/>
        <v>0</v>
      </c>
      <c r="U564" s="150">
        <f t="shared" si="1987"/>
        <v>0</v>
      </c>
      <c r="V564" s="150">
        <f t="shared" si="1987"/>
        <v>0</v>
      </c>
      <c r="W564" s="150">
        <f t="shared" si="1987"/>
        <v>0</v>
      </c>
      <c r="X564" s="150">
        <f t="shared" si="1987"/>
        <v>0</v>
      </c>
      <c r="Y564" s="163">
        <f t="shared" si="1987"/>
        <v>0</v>
      </c>
    </row>
    <row r="565" spans="2:25" ht="15" customHeight="1" x14ac:dyDescent="0.2">
      <c r="B565" s="252">
        <v>7.4250030694514593E-2</v>
      </c>
      <c r="C565" s="92">
        <f>E565/SUM(E564:E566)</f>
        <v>0.4390243902439025</v>
      </c>
      <c r="D565" s="61" t="s">
        <v>1</v>
      </c>
      <c r="E565" s="154">
        <f>IF((E561+E562+E563)=0,0,(E562*$B565)/(E561+E562+E563))</f>
        <v>3.2597574451250312E-2</v>
      </c>
      <c r="F565" s="154">
        <f>IF((F561+F562+F563)=0,0,(F562*$B565)/(F561+F562+F563))</f>
        <v>1.113750460417719E-2</v>
      </c>
      <c r="G565" s="154">
        <f t="shared" ref="G565:O565" si="1988">IF((G561+G562+G563)=0,0,(G562*$B565)/(G561+G562+G563))</f>
        <v>3.3126936771398816E-2</v>
      </c>
      <c r="H565" s="154">
        <f t="shared" si="1988"/>
        <v>4.1250017052508109E-2</v>
      </c>
      <c r="I565" s="154">
        <f t="shared" si="1988"/>
        <v>3.7125015347257297E-2</v>
      </c>
      <c r="J565" s="154">
        <f t="shared" si="1988"/>
        <v>3.2204832590391877E-2</v>
      </c>
      <c r="K565" s="154">
        <f t="shared" si="1988"/>
        <v>1.8562507673628648E-2</v>
      </c>
      <c r="L565" s="154">
        <f t="shared" si="1988"/>
        <v>3.4408550809653105E-2</v>
      </c>
      <c r="M565" s="154">
        <f t="shared" si="1988"/>
        <v>3.2108121381411718E-2</v>
      </c>
      <c r="N565" s="154">
        <f t="shared" si="1988"/>
        <v>0</v>
      </c>
      <c r="O565" s="154">
        <f t="shared" si="1988"/>
        <v>0</v>
      </c>
      <c r="P565" s="154">
        <f>IF((P561+P562+P563)=0,0,(P562*$B565)/(P561+P562+P563))</f>
        <v>0</v>
      </c>
      <c r="Q565" s="154">
        <f t="shared" ref="Q565:Y565" si="1989">IF((Q561+Q562+Q563)=0,0,(Q562*$B565)/(Q561+Q562+Q563))</f>
        <v>4.2428588968294059E-2</v>
      </c>
      <c r="R565" s="154">
        <f t="shared" si="1989"/>
        <v>0</v>
      </c>
      <c r="S565" s="154">
        <f t="shared" si="1989"/>
        <v>0</v>
      </c>
      <c r="T565" s="154">
        <f t="shared" si="1989"/>
        <v>0</v>
      </c>
      <c r="U565" s="154">
        <f t="shared" si="1989"/>
        <v>0</v>
      </c>
      <c r="V565" s="154">
        <f t="shared" si="1989"/>
        <v>0</v>
      </c>
      <c r="W565" s="154">
        <f t="shared" si="1989"/>
        <v>0</v>
      </c>
      <c r="X565" s="154">
        <f t="shared" si="1989"/>
        <v>0</v>
      </c>
      <c r="Y565" s="159">
        <f t="shared" si="1989"/>
        <v>0</v>
      </c>
    </row>
    <row r="566" spans="2:25" ht="15" customHeight="1" thickBot="1" x14ac:dyDescent="0.25">
      <c r="B566" s="253"/>
      <c r="C566" s="93">
        <f>E566/SUM(E564:E566)</f>
        <v>0</v>
      </c>
      <c r="D566" s="75" t="s">
        <v>2</v>
      </c>
      <c r="E566" s="155">
        <f>IF((E561+E562+E563)=0,0,(E563*$B565)/(E561+E562+E563))</f>
        <v>0</v>
      </c>
      <c r="F566" s="155">
        <f>IF((F561+F562+F563)=0,0,(F563*$B565)/(F561+F562+F563))</f>
        <v>0</v>
      </c>
      <c r="G566" s="155">
        <f t="shared" ref="G566:Y566" si="1990">IF((G561+G562+G563)=0,0,(G563*$B565)/(G561+G562+G563))</f>
        <v>0</v>
      </c>
      <c r="H566" s="155">
        <f t="shared" si="1990"/>
        <v>0</v>
      </c>
      <c r="I566" s="155">
        <f t="shared" si="1990"/>
        <v>0</v>
      </c>
      <c r="J566" s="155">
        <f t="shared" si="1990"/>
        <v>0</v>
      </c>
      <c r="K566" s="155">
        <f t="shared" si="1990"/>
        <v>0</v>
      </c>
      <c r="L566" s="155">
        <f t="shared" si="1990"/>
        <v>0</v>
      </c>
      <c r="M566" s="155">
        <f t="shared" si="1990"/>
        <v>0</v>
      </c>
      <c r="N566" s="155">
        <f t="shared" si="1990"/>
        <v>0</v>
      </c>
      <c r="O566" s="155">
        <f t="shared" si="1990"/>
        <v>0</v>
      </c>
      <c r="P566" s="155">
        <f t="shared" si="1990"/>
        <v>0</v>
      </c>
      <c r="Q566" s="155">
        <f t="shared" si="1990"/>
        <v>0</v>
      </c>
      <c r="R566" s="155">
        <f t="shared" si="1990"/>
        <v>0</v>
      </c>
      <c r="S566" s="155">
        <f t="shared" si="1990"/>
        <v>0</v>
      </c>
      <c r="T566" s="155">
        <f t="shared" si="1990"/>
        <v>0</v>
      </c>
      <c r="U566" s="155">
        <f t="shared" si="1990"/>
        <v>0</v>
      </c>
      <c r="V566" s="155">
        <f t="shared" si="1990"/>
        <v>0</v>
      </c>
      <c r="W566" s="155">
        <f t="shared" si="1990"/>
        <v>0</v>
      </c>
      <c r="X566" s="155">
        <f t="shared" si="1990"/>
        <v>0</v>
      </c>
      <c r="Y566" s="160">
        <f t="shared" si="1990"/>
        <v>0</v>
      </c>
    </row>
    <row r="567" spans="2:25" ht="15" customHeight="1" x14ac:dyDescent="0.2">
      <c r="B567" s="249" t="s">
        <v>106</v>
      </c>
      <c r="C567" s="91">
        <f>E567/SUM(E567:E569)</f>
        <v>0.45258620689655171</v>
      </c>
      <c r="D567" s="67" t="s">
        <v>0</v>
      </c>
      <c r="E567" s="68">
        <f t="shared" si="1962"/>
        <v>105</v>
      </c>
      <c r="F567" s="68">
        <f>SUMIFS([0]!Chavez,[0]!Centro,B569,[0]!Turno,F$530)</f>
        <v>11</v>
      </c>
      <c r="G567" s="68">
        <f>SUMIFS([0]!Chavez,[0]!Centro,B569,[0]!Turno,G$530)</f>
        <v>15</v>
      </c>
      <c r="H567" s="68">
        <f>SUMIFS([0]!Chavez,[0]!Centro,B569,[0]!Turno,H$530)</f>
        <v>10</v>
      </c>
      <c r="I567" s="68">
        <f>SUMIFS([0]!Chavez,[0]!Centro,B569,[0]!Turno,I$530)</f>
        <v>14</v>
      </c>
      <c r="J567" s="68">
        <f>SUMIFS([0]!Chavez,[0]!Centro,B569,[0]!Turno,J$530)</f>
        <v>13</v>
      </c>
      <c r="K567" s="68">
        <f>SUMIFS([0]!Chavez,[0]!Centro,B569,[0]!Turno,K$530)</f>
        <v>5</v>
      </c>
      <c r="L567" s="68">
        <f>SUMIFS([0]!Chavez,[0]!Centro,B569,[0]!Turno,L$530)</f>
        <v>8</v>
      </c>
      <c r="M567" s="68">
        <f>SUMIFS([0]!Chavez,[0]!Centro,B569,[0]!Turno,M$530)</f>
        <v>17</v>
      </c>
      <c r="N567" s="68">
        <f>SUMIFS([0]!Chavez,[0]!Centro,B569,[0]!Turno,N$530)</f>
        <v>0</v>
      </c>
      <c r="O567" s="68">
        <f>SUMIFS([0]!Chavez,[0]!Centro,B569,[0]!Turno,O$530)</f>
        <v>0</v>
      </c>
      <c r="P567" s="68">
        <f>SUMIFS([0]!Chavez,[0]!Centro,B569,[0]!Turno,P$530)</f>
        <v>0</v>
      </c>
      <c r="Q567" s="68">
        <f>SUMIFS([0]!Chavez,[0]!Centro,B569,[0]!Turno,Q$530)</f>
        <v>12</v>
      </c>
      <c r="R567" s="68">
        <f>SUMIFS([0]!Chavez,[0]!Centro,B569,[0]!Turno,R$530)</f>
        <v>0</v>
      </c>
      <c r="S567" s="68">
        <f>SUMIFS([0]!Chavez,[0]!Centro,B569,[0]!Turno,S$530)</f>
        <v>0</v>
      </c>
      <c r="T567" s="68">
        <f>SUMIFS([0]!Chavez,[0]!Centro,B569,[0]!Turno,T$530)</f>
        <v>0</v>
      </c>
      <c r="U567" s="68">
        <f>SUMIFS([0]!Chavez,[0]!Centro,B569,[0]!Turno,U$530)</f>
        <v>0</v>
      </c>
      <c r="V567" s="68">
        <f>SUMIFS([0]!Chavez,[0]!Centro,B569,[0]!Turno,V$530)</f>
        <v>0</v>
      </c>
      <c r="W567" s="68">
        <f>SUMIFS([0]!Chavez,[0]!Centro,B569,[0]!Turno,W$530)</f>
        <v>0</v>
      </c>
      <c r="X567" s="68">
        <f>SUMIFS([0]!Chavez,[0]!Centro,B569,[0]!Turno,X$530)</f>
        <v>0</v>
      </c>
      <c r="Y567" s="69">
        <f>SUMIFS([0]!Chavez,[0]!Centro,B569,[0]!Turno,Y$530)</f>
        <v>0</v>
      </c>
    </row>
    <row r="568" spans="2:25" ht="15" customHeight="1" x14ac:dyDescent="0.2">
      <c r="B568" s="250"/>
      <c r="C568" s="92">
        <f>E568/SUM(E567:E569)</f>
        <v>0.53017241379310343</v>
      </c>
      <c r="D568" s="61" t="s">
        <v>1</v>
      </c>
      <c r="E568" s="62">
        <f t="shared" si="1962"/>
        <v>123</v>
      </c>
      <c r="F568" s="62">
        <f>SUMIFS([0]!Capriles,[0]!Centro,B569,[0]!Turno,F$530)</f>
        <v>22</v>
      </c>
      <c r="G568" s="62">
        <f>SUMIFS([0]!Capriles,[0]!Centro,B569,[0]!Turno,G$530)</f>
        <v>20</v>
      </c>
      <c r="H568" s="62">
        <f>SUMIFS([0]!Capriles,[0]!Centro,B569,[0]!Turno,H$530)</f>
        <v>10</v>
      </c>
      <c r="I568" s="62">
        <f>SUMIFS([0]!Capriles,[0]!Centro,B569,[0]!Turno,I$530)</f>
        <v>6</v>
      </c>
      <c r="J568" s="62">
        <f>SUMIFS([0]!Capriles,[0]!Centro,B569,[0]!Turno,J$530)</f>
        <v>17</v>
      </c>
      <c r="K568" s="62">
        <f>SUMIFS([0]!Capriles,[0]!Centro,B569,[0]!Turno,K$530)</f>
        <v>10</v>
      </c>
      <c r="L568" s="62">
        <f>SUMIFS([0]!Capriles,[0]!Centro,B569,[0]!Turno,L$530)</f>
        <v>19</v>
      </c>
      <c r="M568" s="62">
        <f>SUMIFS([0]!Capriles,[0]!Centro,B569,[0]!Turno,M$530)</f>
        <v>11</v>
      </c>
      <c r="N568" s="62">
        <f>SUMIFS([0]!Capriles,[0]!Centro,B569,[0]!Turno,N$530)</f>
        <v>0</v>
      </c>
      <c r="O568" s="62">
        <f>SUMIFS([0]!Capriles,[0]!Centro,B569,[0]!Turno,O$530)</f>
        <v>0</v>
      </c>
      <c r="P568" s="62">
        <f>SUMIFS([0]!Capriles,[0]!Centro,B569,[0]!Turno,P$530)</f>
        <v>0</v>
      </c>
      <c r="Q568" s="62">
        <f>SUMIFS([0]!Capriles,[0]!Centro,B569,[0]!Turno,Q$530)</f>
        <v>8</v>
      </c>
      <c r="R568" s="62">
        <f>SUMIFS([0]!Capriles,[0]!Centro,B569,[0]!Turno,R$530)</f>
        <v>0</v>
      </c>
      <c r="S568" s="62">
        <f>SUMIFS([0]!Capriles,[0]!Centro,B569,[0]!Turno,S$530)</f>
        <v>0</v>
      </c>
      <c r="T568" s="62">
        <f>SUMIFS([0]!Capriles,[0]!Centro,B569,[0]!Turno,T$530)</f>
        <v>0</v>
      </c>
      <c r="U568" s="62">
        <f>SUMIFS([0]!Capriles,[0]!Centro,B569,[0]!Turno,U$530)</f>
        <v>0</v>
      </c>
      <c r="V568" s="62">
        <f>SUMIFS([0]!Capriles,[0]!Centro,B569,[0]!Turno,V$530)</f>
        <v>0</v>
      </c>
      <c r="W568" s="62">
        <f>SUMIFS([0]!Capriles,[0]!Centro,B569,[0]!Turno,W$530)</f>
        <v>0</v>
      </c>
      <c r="X568" s="62">
        <f>SUMIFS([0]!Capriles,[0]!Centro,B569,[0]!Turno,X$530)</f>
        <v>0</v>
      </c>
      <c r="Y568" s="70">
        <f>SUMIFS([0]!Capriles,[0]!Centro,B569,[0]!Turno,Y$530)</f>
        <v>0</v>
      </c>
    </row>
    <row r="569" spans="2:25" ht="15" customHeight="1" thickBot="1" x14ac:dyDescent="0.25">
      <c r="B569" s="251">
        <v>78</v>
      </c>
      <c r="C569" s="100">
        <f>E569/SUM(E567:E569)</f>
        <v>1.7241379310344827E-2</v>
      </c>
      <c r="D569" s="71" t="s">
        <v>2</v>
      </c>
      <c r="E569" s="72">
        <f t="shared" si="1962"/>
        <v>4</v>
      </c>
      <c r="F569" s="72">
        <f>SUMIFS([0]!Otro,[0]!Centro,B569,[0]!Turno,F$530)</f>
        <v>0</v>
      </c>
      <c r="G569" s="72">
        <f>SUMIFS([0]!Otro,[0]!Centro,B569,[0]!Turno,G$530)</f>
        <v>0</v>
      </c>
      <c r="H569" s="72">
        <f>SUMIFS([0]!Otro,[0]!Centro,B569,[0]!Turno,H$530)</f>
        <v>0</v>
      </c>
      <c r="I569" s="72">
        <f>SUMIFS([0]!Otro,[0]!Centro,B569,[0]!Turno,I$530)</f>
        <v>0</v>
      </c>
      <c r="J569" s="72">
        <f>SUMIFS([0]!Otro,[0]!Centro,B569,[0]!Turno,J$530)</f>
        <v>2</v>
      </c>
      <c r="K569" s="72">
        <f>SUMIFS([0]!Otro,[0]!Centro,B569,[0]!Turno,K$530)</f>
        <v>1</v>
      </c>
      <c r="L569" s="72">
        <f>SUMIFS([0]!Otro,[0]!Centro,B569,[0]!Turno,L$530)</f>
        <v>0</v>
      </c>
      <c r="M569" s="72">
        <f>SUMIFS([0]!Otro,[0]!Centro,B569,[0]!Turno,M$530)</f>
        <v>1</v>
      </c>
      <c r="N569" s="72">
        <f>SUMIFS([0]!Otro,[0]!Centro,B569,[0]!Turno,N$530)</f>
        <v>0</v>
      </c>
      <c r="O569" s="72">
        <f>SUMIFS([0]!Otro,[0]!Centro,B569,[0]!Turno,O$530)</f>
        <v>0</v>
      </c>
      <c r="P569" s="72">
        <f>SUMIFS([0]!Otro,[0]!Centro,B569,[0]!Turno,P$530)</f>
        <v>0</v>
      </c>
      <c r="Q569" s="72">
        <f>SUMIFS([0]!Otro,[0]!Centro,B569,[0]!Turno,Q$530)</f>
        <v>0</v>
      </c>
      <c r="R569" s="72">
        <f>SUMIFS([0]!Otro,[0]!Centro,B569,[0]!Turno,R$530)</f>
        <v>0</v>
      </c>
      <c r="S569" s="72">
        <f>SUMIFS([0]!Otro,[0]!Centro,B569,[0]!Turno,S$530)</f>
        <v>0</v>
      </c>
      <c r="T569" s="72">
        <f>SUMIFS([0]!Otro,[0]!Centro,B569,[0]!Turno,T$530)</f>
        <v>0</v>
      </c>
      <c r="U569" s="72">
        <f>SUMIFS([0]!Otro,[0]!Centro,B569,[0]!Turno,U$530)</f>
        <v>0</v>
      </c>
      <c r="V569" s="72">
        <f>SUMIFS([0]!Otro,[0]!Centro,B569,[0]!Turno,V$530)</f>
        <v>0</v>
      </c>
      <c r="W569" s="72">
        <f>SUMIFS([0]!Otro,[0]!Centro,B569,[0]!Turno,W$530)</f>
        <v>0</v>
      </c>
      <c r="X569" s="72">
        <f>SUMIFS([0]!Otro,[0]!Centro,B569,[0]!Turno,X$530)</f>
        <v>0</v>
      </c>
      <c r="Y569" s="73">
        <f>SUMIFS([0]!Otro,[0]!Centro,B569,[0]!Turno,Y$530)</f>
        <v>0</v>
      </c>
    </row>
    <row r="570" spans="2:25" ht="15" customHeight="1" x14ac:dyDescent="0.2">
      <c r="B570" s="251"/>
      <c r="C570" s="94">
        <f>E570/SUM(E570:E572)</f>
        <v>0.45258620689655171</v>
      </c>
      <c r="D570" s="63" t="s">
        <v>0</v>
      </c>
      <c r="E570" s="150">
        <f>IF((E567+E568+E569)=0,0,(E567*$B571)/(E567+E568+E569))</f>
        <v>3.9475416927942458E-2</v>
      </c>
      <c r="F570" s="150">
        <f>IF((F567+F568+F569)=0,0,(F567*$B571)/(F567+F568+F569))</f>
        <v>2.9073957864389367E-2</v>
      </c>
      <c r="G570" s="150">
        <f t="shared" ref="G570:Y570" si="1991">IF((G567+G568+G569)=0,0,(G567*$B571)/(G567+G568+G569))</f>
        <v>3.7380802968500618E-2</v>
      </c>
      <c r="H570" s="150">
        <f t="shared" si="1991"/>
        <v>4.3610936796584052E-2</v>
      </c>
      <c r="I570" s="150">
        <f t="shared" si="1991"/>
        <v>6.1055311515217668E-2</v>
      </c>
      <c r="J570" s="150">
        <f t="shared" si="1991"/>
        <v>3.5433886147224543E-2</v>
      </c>
      <c r="K570" s="150">
        <f t="shared" si="1991"/>
        <v>2.7256835497865034E-2</v>
      </c>
      <c r="L570" s="150">
        <f t="shared" si="1991"/>
        <v>2.5843518101679439E-2</v>
      </c>
      <c r="M570" s="150">
        <f t="shared" si="1991"/>
        <v>5.113006383047785E-2</v>
      </c>
      <c r="N570" s="150">
        <f t="shared" si="1991"/>
        <v>0</v>
      </c>
      <c r="O570" s="150">
        <f t="shared" si="1991"/>
        <v>0</v>
      </c>
      <c r="P570" s="150">
        <f t="shared" si="1991"/>
        <v>0</v>
      </c>
      <c r="Q570" s="150">
        <f t="shared" si="1991"/>
        <v>5.2333124155900856E-2</v>
      </c>
      <c r="R570" s="150">
        <f t="shared" si="1991"/>
        <v>0</v>
      </c>
      <c r="S570" s="150">
        <f t="shared" si="1991"/>
        <v>0</v>
      </c>
      <c r="T570" s="150">
        <f t="shared" si="1991"/>
        <v>0</v>
      </c>
      <c r="U570" s="150">
        <f t="shared" si="1991"/>
        <v>0</v>
      </c>
      <c r="V570" s="150">
        <f t="shared" si="1991"/>
        <v>0</v>
      </c>
      <c r="W570" s="150">
        <f t="shared" si="1991"/>
        <v>0</v>
      </c>
      <c r="X570" s="150">
        <f t="shared" si="1991"/>
        <v>0</v>
      </c>
      <c r="Y570" s="163">
        <f t="shared" si="1991"/>
        <v>0</v>
      </c>
    </row>
    <row r="571" spans="2:25" ht="15" customHeight="1" x14ac:dyDescent="0.2">
      <c r="B571" s="252">
        <v>8.7221873593168103E-2</v>
      </c>
      <c r="C571" s="92">
        <f>E571/SUM(E570:E572)</f>
        <v>0.53017241379310343</v>
      </c>
      <c r="D571" s="61" t="s">
        <v>1</v>
      </c>
      <c r="E571" s="154">
        <f>IF((E567+E568+E569)=0,0,(E568*$B571)/(E567+E568+E569))</f>
        <v>4.6242631258446881E-2</v>
      </c>
      <c r="F571" s="154">
        <f>IF((F567+F568+F569)=0,0,(F568*$B571)/(F567+F568+F569))</f>
        <v>5.8147915728778733E-2</v>
      </c>
      <c r="G571" s="154">
        <f t="shared" ref="G571:O571" si="1992">IF((G567+G568+G569)=0,0,(G568*$B571)/(G567+G568+G569))</f>
        <v>4.9841070624667493E-2</v>
      </c>
      <c r="H571" s="154">
        <f t="shared" si="1992"/>
        <v>4.3610936796584052E-2</v>
      </c>
      <c r="I571" s="154">
        <f t="shared" si="1992"/>
        <v>2.6166562077950428E-2</v>
      </c>
      <c r="J571" s="154">
        <f t="shared" si="1992"/>
        <v>4.6336620346370552E-2</v>
      </c>
      <c r="K571" s="154">
        <f t="shared" si="1992"/>
        <v>5.4513670995730068E-2</v>
      </c>
      <c r="L571" s="154">
        <f t="shared" si="1992"/>
        <v>6.1378355491488665E-2</v>
      </c>
      <c r="M571" s="154">
        <f t="shared" si="1992"/>
        <v>3.3084158949132726E-2</v>
      </c>
      <c r="N571" s="154">
        <f t="shared" si="1992"/>
        <v>0</v>
      </c>
      <c r="O571" s="154">
        <f t="shared" si="1992"/>
        <v>0</v>
      </c>
      <c r="P571" s="154">
        <f>IF((P567+P568+P569)=0,0,(P568*$B571)/(P567+P568+P569))</f>
        <v>0</v>
      </c>
      <c r="Q571" s="154">
        <f t="shared" ref="Q571:Y571" si="1993">IF((Q567+Q568+Q569)=0,0,(Q568*$B571)/(Q567+Q568+Q569))</f>
        <v>3.488874943726724E-2</v>
      </c>
      <c r="R571" s="154">
        <f t="shared" si="1993"/>
        <v>0</v>
      </c>
      <c r="S571" s="154">
        <f t="shared" si="1993"/>
        <v>0</v>
      </c>
      <c r="T571" s="154">
        <f t="shared" si="1993"/>
        <v>0</v>
      </c>
      <c r="U571" s="154">
        <f t="shared" si="1993"/>
        <v>0</v>
      </c>
      <c r="V571" s="154">
        <f t="shared" si="1993"/>
        <v>0</v>
      </c>
      <c r="W571" s="154">
        <f t="shared" si="1993"/>
        <v>0</v>
      </c>
      <c r="X571" s="154">
        <f t="shared" si="1993"/>
        <v>0</v>
      </c>
      <c r="Y571" s="159">
        <f t="shared" si="1993"/>
        <v>0</v>
      </c>
    </row>
    <row r="572" spans="2:25" ht="15" customHeight="1" thickBot="1" x14ac:dyDescent="0.25">
      <c r="B572" s="253"/>
      <c r="C572" s="93">
        <f>E572/SUM(E570:E572)</f>
        <v>1.7241379310344827E-2</v>
      </c>
      <c r="D572" s="75" t="s">
        <v>2</v>
      </c>
      <c r="E572" s="155">
        <f>IF((E567+E568+E569)=0,0,(E569*$B571)/(E567+E568+E569))</f>
        <v>1.5038254067787605E-3</v>
      </c>
      <c r="F572" s="155">
        <f>IF((F567+F568+F569)=0,0,(F569*$B571)/(F567+F568+F569))</f>
        <v>0</v>
      </c>
      <c r="G572" s="155">
        <f t="shared" ref="G572:Y572" si="1994">IF((G567+G568+G569)=0,0,(G569*$B571)/(G567+G568+G569))</f>
        <v>0</v>
      </c>
      <c r="H572" s="155">
        <f t="shared" si="1994"/>
        <v>0</v>
      </c>
      <c r="I572" s="155">
        <f t="shared" si="1994"/>
        <v>0</v>
      </c>
      <c r="J572" s="155">
        <f t="shared" si="1994"/>
        <v>5.4513670995730065E-3</v>
      </c>
      <c r="K572" s="155">
        <f t="shared" si="1994"/>
        <v>5.4513670995730065E-3</v>
      </c>
      <c r="L572" s="155">
        <f t="shared" si="1994"/>
        <v>0</v>
      </c>
      <c r="M572" s="155">
        <f t="shared" si="1994"/>
        <v>3.007650813557521E-3</v>
      </c>
      <c r="N572" s="155">
        <f t="shared" si="1994"/>
        <v>0</v>
      </c>
      <c r="O572" s="155">
        <f t="shared" si="1994"/>
        <v>0</v>
      </c>
      <c r="P572" s="155">
        <f t="shared" si="1994"/>
        <v>0</v>
      </c>
      <c r="Q572" s="155">
        <f t="shared" si="1994"/>
        <v>0</v>
      </c>
      <c r="R572" s="155">
        <f t="shared" si="1994"/>
        <v>0</v>
      </c>
      <c r="S572" s="155">
        <f t="shared" si="1994"/>
        <v>0</v>
      </c>
      <c r="T572" s="155">
        <f t="shared" si="1994"/>
        <v>0</v>
      </c>
      <c r="U572" s="155">
        <f t="shared" si="1994"/>
        <v>0</v>
      </c>
      <c r="V572" s="155">
        <f t="shared" si="1994"/>
        <v>0</v>
      </c>
      <c r="W572" s="155">
        <f t="shared" si="1994"/>
        <v>0</v>
      </c>
      <c r="X572" s="155">
        <f t="shared" si="1994"/>
        <v>0</v>
      </c>
      <c r="Y572" s="160">
        <f t="shared" si="1994"/>
        <v>0</v>
      </c>
    </row>
    <row r="573" spans="2:25" ht="15" customHeight="1" x14ac:dyDescent="0.2">
      <c r="B573" s="249" t="s">
        <v>107</v>
      </c>
      <c r="C573" s="91">
        <f>E573/SUM(E573:E575)</f>
        <v>0.69284064665127021</v>
      </c>
      <c r="D573" s="67" t="s">
        <v>0</v>
      </c>
      <c r="E573" s="68">
        <f t="shared" si="1962"/>
        <v>300</v>
      </c>
      <c r="F573" s="68">
        <f>SUMIFS([0]!Chavez,[0]!Centro,B575,[0]!Turno,F$530)</f>
        <v>36</v>
      </c>
      <c r="G573" s="68">
        <f>SUMIFS([0]!Chavez,[0]!Centro,B575,[0]!Turno,G$530)</f>
        <v>48</v>
      </c>
      <c r="H573" s="68">
        <f>SUMIFS([0]!Chavez,[0]!Centro,B575,[0]!Turno,H$530)</f>
        <v>31</v>
      </c>
      <c r="I573" s="68">
        <f>SUMIFS([0]!Chavez,[0]!Centro,B575,[0]!Turno,I$530)</f>
        <v>0</v>
      </c>
      <c r="J573" s="68">
        <f>SUMIFS([0]!Chavez,[0]!Centro,B575,[0]!Turno,J$530)</f>
        <v>45</v>
      </c>
      <c r="K573" s="68">
        <f>SUMIFS([0]!Chavez,[0]!Centro,B575,[0]!Turno,K$530)</f>
        <v>31</v>
      </c>
      <c r="L573" s="68">
        <f>SUMIFS([0]!Chavez,[0]!Centro,B575,[0]!Turno,L$530)</f>
        <v>36</v>
      </c>
      <c r="M573" s="68">
        <f>SUMIFS([0]!Chavez,[0]!Centro,B575,[0]!Turno,M$530)</f>
        <v>41</v>
      </c>
      <c r="N573" s="68">
        <f>SUMIFS([0]!Chavez,[0]!Centro,B575,[0]!Turno,N$530)</f>
        <v>0</v>
      </c>
      <c r="O573" s="68">
        <f>SUMIFS([0]!Chavez,[0]!Centro,B575,[0]!Turno,O$530)</f>
        <v>0</v>
      </c>
      <c r="P573" s="68">
        <f>SUMIFS([0]!Chavez,[0]!Centro,B575,[0]!Turno,P$530)</f>
        <v>0</v>
      </c>
      <c r="Q573" s="68">
        <f>SUMIFS([0]!Chavez,[0]!Centro,B575,[0]!Turno,Q$530)</f>
        <v>32</v>
      </c>
      <c r="R573" s="68">
        <f>SUMIFS([0]!Chavez,[0]!Centro,B575,[0]!Turno,R$530)</f>
        <v>0</v>
      </c>
      <c r="S573" s="68">
        <f>SUMIFS([0]!Chavez,[0]!Centro,B575,[0]!Turno,S$530)</f>
        <v>0</v>
      </c>
      <c r="T573" s="68">
        <f>SUMIFS([0]!Chavez,[0]!Centro,B575,[0]!Turno,T$530)</f>
        <v>0</v>
      </c>
      <c r="U573" s="68">
        <f>SUMIFS([0]!Chavez,[0]!Centro,B575,[0]!Turno,U$530)</f>
        <v>0</v>
      </c>
      <c r="V573" s="68">
        <f>SUMIFS([0]!Chavez,[0]!Centro,B575,[0]!Turno,V$530)</f>
        <v>0</v>
      </c>
      <c r="W573" s="68">
        <f>SUMIFS([0]!Chavez,[0]!Centro,B575,[0]!Turno,W$530)</f>
        <v>0</v>
      </c>
      <c r="X573" s="68">
        <f>SUMIFS([0]!Chavez,[0]!Centro,B575,[0]!Turno,X$530)</f>
        <v>0</v>
      </c>
      <c r="Y573" s="69">
        <f>SUMIFS([0]!Chavez,[0]!Centro,B575,[0]!Turno,Y$530)</f>
        <v>0</v>
      </c>
    </row>
    <row r="574" spans="2:25" ht="15" customHeight="1" x14ac:dyDescent="0.2">
      <c r="B574" s="250"/>
      <c r="C574" s="92">
        <f>E574/SUM(E573:E575)</f>
        <v>0.29561200923787528</v>
      </c>
      <c r="D574" s="61" t="s">
        <v>1</v>
      </c>
      <c r="E574" s="62">
        <f t="shared" si="1962"/>
        <v>128</v>
      </c>
      <c r="F574" s="62">
        <f>SUMIFS([0]!Capriles,[0]!Centro,B575,[0]!Turno,F$530)</f>
        <v>18</v>
      </c>
      <c r="G574" s="62">
        <f>SUMIFS([0]!Capriles,[0]!Centro,B575,[0]!Turno,G$530)</f>
        <v>20</v>
      </c>
      <c r="H574" s="62">
        <f>SUMIFS([0]!Capriles,[0]!Centro,B575,[0]!Turno,H$530)</f>
        <v>9</v>
      </c>
      <c r="I574" s="62">
        <f>SUMIFS([0]!Capriles,[0]!Centro,B575,[0]!Turno,I$530)</f>
        <v>0</v>
      </c>
      <c r="J574" s="62">
        <f>SUMIFS([0]!Capriles,[0]!Centro,B575,[0]!Turno,J$530)</f>
        <v>18</v>
      </c>
      <c r="K574" s="62">
        <f>SUMIFS([0]!Capriles,[0]!Centro,B575,[0]!Turno,K$530)</f>
        <v>19</v>
      </c>
      <c r="L574" s="62">
        <f>SUMIFS([0]!Capriles,[0]!Centro,B575,[0]!Turno,L$530)</f>
        <v>17</v>
      </c>
      <c r="M574" s="62">
        <f>SUMIFS([0]!Capriles,[0]!Centro,B575,[0]!Turno,M$530)</f>
        <v>13</v>
      </c>
      <c r="N574" s="62">
        <f>SUMIFS([0]!Capriles,[0]!Centro,B575,[0]!Turno,N$530)</f>
        <v>0</v>
      </c>
      <c r="O574" s="62">
        <f>SUMIFS([0]!Capriles,[0]!Centro,B575,[0]!Turno,O$530)</f>
        <v>0</v>
      </c>
      <c r="P574" s="62">
        <f>SUMIFS([0]!Capriles,[0]!Centro,B575,[0]!Turno,P$530)</f>
        <v>0</v>
      </c>
      <c r="Q574" s="62">
        <f>SUMIFS([0]!Capriles,[0]!Centro,B575,[0]!Turno,Q$530)</f>
        <v>14</v>
      </c>
      <c r="R574" s="62">
        <f>SUMIFS([0]!Capriles,[0]!Centro,B575,[0]!Turno,R$530)</f>
        <v>0</v>
      </c>
      <c r="S574" s="62">
        <f>SUMIFS([0]!Capriles,[0]!Centro,B575,[0]!Turno,S$530)</f>
        <v>0</v>
      </c>
      <c r="T574" s="62">
        <f>SUMIFS([0]!Capriles,[0]!Centro,B575,[0]!Turno,T$530)</f>
        <v>0</v>
      </c>
      <c r="U574" s="62">
        <f>SUMIFS([0]!Capriles,[0]!Centro,B575,[0]!Turno,U$530)</f>
        <v>0</v>
      </c>
      <c r="V574" s="62">
        <f>SUMIFS([0]!Capriles,[0]!Centro,B575,[0]!Turno,V$530)</f>
        <v>0</v>
      </c>
      <c r="W574" s="62">
        <f>SUMIFS([0]!Capriles,[0]!Centro,B575,[0]!Turno,W$530)</f>
        <v>0</v>
      </c>
      <c r="X574" s="62">
        <f>SUMIFS([0]!Capriles,[0]!Centro,B575,[0]!Turno,X$530)</f>
        <v>0</v>
      </c>
      <c r="Y574" s="70">
        <f>SUMIFS([0]!Capriles,[0]!Centro,B575,[0]!Turno,Y$530)</f>
        <v>0</v>
      </c>
    </row>
    <row r="575" spans="2:25" ht="15" customHeight="1" thickBot="1" x14ac:dyDescent="0.25">
      <c r="B575" s="251">
        <v>79</v>
      </c>
      <c r="C575" s="100">
        <f>E575/SUM(E573:E575)</f>
        <v>1.1547344110854504E-2</v>
      </c>
      <c r="D575" s="71" t="s">
        <v>2</v>
      </c>
      <c r="E575" s="72">
        <f t="shared" si="1962"/>
        <v>5</v>
      </c>
      <c r="F575" s="72">
        <f>SUMIFS([0]!Otro,[0]!Centro,B575,[0]!Turno,F$530)</f>
        <v>0</v>
      </c>
      <c r="G575" s="72">
        <f>SUMIFS([0]!Otro,[0]!Centro,B575,[0]!Turno,G$530)</f>
        <v>0</v>
      </c>
      <c r="H575" s="72">
        <f>SUMIFS([0]!Otro,[0]!Centro,B575,[0]!Turno,H$530)</f>
        <v>2</v>
      </c>
      <c r="I575" s="72">
        <f>SUMIFS([0]!Otro,[0]!Centro,B575,[0]!Turno,I$530)</f>
        <v>0</v>
      </c>
      <c r="J575" s="72">
        <f>SUMIFS([0]!Otro,[0]!Centro,B575,[0]!Turno,J$530)</f>
        <v>0</v>
      </c>
      <c r="K575" s="72">
        <f>SUMIFS([0]!Otro,[0]!Centro,B575,[0]!Turno,K$530)</f>
        <v>3</v>
      </c>
      <c r="L575" s="72">
        <f>SUMIFS([0]!Otro,[0]!Centro,B575,[0]!Turno,L$530)</f>
        <v>0</v>
      </c>
      <c r="M575" s="72">
        <f>SUMIFS([0]!Otro,[0]!Centro,B575,[0]!Turno,M$530)</f>
        <v>0</v>
      </c>
      <c r="N575" s="72">
        <f>SUMIFS([0]!Otro,[0]!Centro,B575,[0]!Turno,N$530)</f>
        <v>0</v>
      </c>
      <c r="O575" s="72">
        <f>SUMIFS([0]!Otro,[0]!Centro,B575,[0]!Turno,O$530)</f>
        <v>0</v>
      </c>
      <c r="P575" s="72">
        <f>SUMIFS([0]!Otro,[0]!Centro,B575,[0]!Turno,P$530)</f>
        <v>0</v>
      </c>
      <c r="Q575" s="72">
        <f>SUMIFS([0]!Otro,[0]!Centro,B575,[0]!Turno,Q$530)</f>
        <v>0</v>
      </c>
      <c r="R575" s="72">
        <f>SUMIFS([0]!Otro,[0]!Centro,B575,[0]!Turno,R$530)</f>
        <v>0</v>
      </c>
      <c r="S575" s="72">
        <f>SUMIFS([0]!Otro,[0]!Centro,B575,[0]!Turno,S$530)</f>
        <v>0</v>
      </c>
      <c r="T575" s="72">
        <f>SUMIFS([0]!Otro,[0]!Centro,B575,[0]!Turno,T$530)</f>
        <v>0</v>
      </c>
      <c r="U575" s="72">
        <f>SUMIFS([0]!Otro,[0]!Centro,B575,[0]!Turno,U$530)</f>
        <v>0</v>
      </c>
      <c r="V575" s="72">
        <f>SUMIFS([0]!Otro,[0]!Centro,B575,[0]!Turno,V$530)</f>
        <v>0</v>
      </c>
      <c r="W575" s="72">
        <f>SUMIFS([0]!Otro,[0]!Centro,B575,[0]!Turno,W$530)</f>
        <v>0</v>
      </c>
      <c r="X575" s="72">
        <f>SUMIFS([0]!Otro,[0]!Centro,B575,[0]!Turno,X$530)</f>
        <v>0</v>
      </c>
      <c r="Y575" s="73">
        <f>SUMIFS([0]!Otro,[0]!Centro,B575,[0]!Turno,Y$530)</f>
        <v>0</v>
      </c>
    </row>
    <row r="576" spans="2:25" ht="15" customHeight="1" x14ac:dyDescent="0.2">
      <c r="B576" s="251"/>
      <c r="C576" s="94">
        <f>E576/SUM(E576:E578)</f>
        <v>0.69284064665127021</v>
      </c>
      <c r="D576" s="63" t="s">
        <v>0</v>
      </c>
      <c r="E576" s="150">
        <f>IF((E573+E574+E575)=0,0,(E573*$B577)/(E573+E574+E575))</f>
        <v>7.7246680148413863E-2</v>
      </c>
      <c r="F576" s="150">
        <f>IF((F573+F574+F575)=0,0,(F573*$B577)/(F573+F574+F575))</f>
        <v>7.4328472231696002E-2</v>
      </c>
      <c r="G576" s="150">
        <f t="shared" ref="G576:Y576" si="1995">IF((G573+G574+G575)=0,0,(G573*$B577)/(G573+G574+G575))</f>
        <v>7.8700735304148714E-2</v>
      </c>
      <c r="H576" s="150">
        <f t="shared" si="1995"/>
        <v>8.229223711366343E-2</v>
      </c>
      <c r="I576" s="150">
        <f t="shared" si="1995"/>
        <v>0</v>
      </c>
      <c r="J576" s="150">
        <f t="shared" si="1995"/>
        <v>7.9637648819674292E-2</v>
      </c>
      <c r="K576" s="150">
        <f t="shared" si="1995"/>
        <v>6.5212716203280452E-2</v>
      </c>
      <c r="L576" s="150">
        <f t="shared" si="1995"/>
        <v>7.573089623606763E-2</v>
      </c>
      <c r="M576" s="150">
        <f t="shared" si="1995"/>
        <v>8.4651871152764888E-2</v>
      </c>
      <c r="N576" s="150">
        <f t="shared" si="1995"/>
        <v>0</v>
      </c>
      <c r="O576" s="150">
        <f t="shared" si="1995"/>
        <v>0</v>
      </c>
      <c r="P576" s="150">
        <f t="shared" si="1995"/>
        <v>0</v>
      </c>
      <c r="Q576" s="150">
        <f t="shared" si="1995"/>
        <v>7.7560144937421915E-2</v>
      </c>
      <c r="R576" s="150">
        <f t="shared" si="1995"/>
        <v>0</v>
      </c>
      <c r="S576" s="150">
        <f t="shared" si="1995"/>
        <v>0</v>
      </c>
      <c r="T576" s="150">
        <f t="shared" si="1995"/>
        <v>0</v>
      </c>
      <c r="U576" s="150">
        <f t="shared" si="1995"/>
        <v>0</v>
      </c>
      <c r="V576" s="150">
        <f t="shared" si="1995"/>
        <v>0</v>
      </c>
      <c r="W576" s="150">
        <f t="shared" si="1995"/>
        <v>0</v>
      </c>
      <c r="X576" s="150">
        <f t="shared" si="1995"/>
        <v>0</v>
      </c>
      <c r="Y576" s="163">
        <f t="shared" si="1995"/>
        <v>0</v>
      </c>
    </row>
    <row r="577" spans="2:25" ht="15" customHeight="1" x14ac:dyDescent="0.2">
      <c r="B577" s="252">
        <v>0.111492708347544</v>
      </c>
      <c r="C577" s="92">
        <f>E577/SUM(E576:E578)</f>
        <v>0.29561200923787528</v>
      </c>
      <c r="D577" s="61" t="s">
        <v>1</v>
      </c>
      <c r="E577" s="154">
        <f>IF((E573+E574+E575)=0,0,(E574*$B577)/(E573+E574+E575))</f>
        <v>3.2958583529989913E-2</v>
      </c>
      <c r="F577" s="154">
        <f>IF((F573+F574+F575)=0,0,(F574*$B577)/(F573+F574+F575))</f>
        <v>3.7164236115848001E-2</v>
      </c>
      <c r="G577" s="154">
        <f t="shared" ref="G577:O577" si="1996">IF((G573+G574+G575)=0,0,(G574*$B577)/(G573+G574+G575))</f>
        <v>3.2791973043395296E-2</v>
      </c>
      <c r="H577" s="154">
        <f t="shared" si="1996"/>
        <v>2.3891294645902287E-2</v>
      </c>
      <c r="I577" s="154">
        <f t="shared" si="1996"/>
        <v>0</v>
      </c>
      <c r="J577" s="154">
        <f t="shared" si="1996"/>
        <v>3.1855059527869718E-2</v>
      </c>
      <c r="K577" s="154">
        <f t="shared" si="1996"/>
        <v>3.9969084124591242E-2</v>
      </c>
      <c r="L577" s="154">
        <f t="shared" si="1996"/>
        <v>3.5761812111476381E-2</v>
      </c>
      <c r="M577" s="154">
        <f t="shared" si="1996"/>
        <v>2.6840837194779112E-2</v>
      </c>
      <c r="N577" s="154">
        <f t="shared" si="1996"/>
        <v>0</v>
      </c>
      <c r="O577" s="154">
        <f t="shared" si="1996"/>
        <v>0</v>
      </c>
      <c r="P577" s="154">
        <f>IF((P573+P574+P575)=0,0,(P574*$B577)/(P573+P574+P575))</f>
        <v>0</v>
      </c>
      <c r="Q577" s="154">
        <f t="shared" ref="Q577:Y577" si="1997">IF((Q573+Q574+Q575)=0,0,(Q574*$B577)/(Q573+Q574+Q575))</f>
        <v>3.3932563410122088E-2</v>
      </c>
      <c r="R577" s="154">
        <f t="shared" si="1997"/>
        <v>0</v>
      </c>
      <c r="S577" s="154">
        <f t="shared" si="1997"/>
        <v>0</v>
      </c>
      <c r="T577" s="154">
        <f t="shared" si="1997"/>
        <v>0</v>
      </c>
      <c r="U577" s="154">
        <f t="shared" si="1997"/>
        <v>0</v>
      </c>
      <c r="V577" s="154">
        <f t="shared" si="1997"/>
        <v>0</v>
      </c>
      <c r="W577" s="154">
        <f t="shared" si="1997"/>
        <v>0</v>
      </c>
      <c r="X577" s="154">
        <f t="shared" si="1997"/>
        <v>0</v>
      </c>
      <c r="Y577" s="159">
        <f t="shared" si="1997"/>
        <v>0</v>
      </c>
    </row>
    <row r="578" spans="2:25" ht="15" customHeight="1" thickBot="1" x14ac:dyDescent="0.25">
      <c r="B578" s="253"/>
      <c r="C578" s="93">
        <f>E578/SUM(E576:E578)</f>
        <v>1.1547344110854504E-2</v>
      </c>
      <c r="D578" s="75" t="s">
        <v>2</v>
      </c>
      <c r="E578" s="155">
        <f>IF((E573+E574+E575)=0,0,(E575*$B577)/(E573+E574+E575))</f>
        <v>1.2874446691402311E-3</v>
      </c>
      <c r="F578" s="155">
        <f>IF((F573+F574+F575)=0,0,(F575*$B577)/(F573+F574+F575))</f>
        <v>0</v>
      </c>
      <c r="G578" s="155">
        <f t="shared" ref="G578:Y578" si="1998">IF((G573+G574+G575)=0,0,(G575*$B577)/(G573+G574+G575))</f>
        <v>0</v>
      </c>
      <c r="H578" s="155">
        <f t="shared" si="1998"/>
        <v>5.3091765879782855E-3</v>
      </c>
      <c r="I578" s="155">
        <f t="shared" si="1998"/>
        <v>0</v>
      </c>
      <c r="J578" s="155">
        <f t="shared" si="1998"/>
        <v>0</v>
      </c>
      <c r="K578" s="155">
        <f t="shared" si="1998"/>
        <v>6.3109080196723025E-3</v>
      </c>
      <c r="L578" s="155">
        <f t="shared" si="1998"/>
        <v>0</v>
      </c>
      <c r="M578" s="155">
        <f t="shared" si="1998"/>
        <v>0</v>
      </c>
      <c r="N578" s="155">
        <f t="shared" si="1998"/>
        <v>0</v>
      </c>
      <c r="O578" s="155">
        <f t="shared" si="1998"/>
        <v>0</v>
      </c>
      <c r="P578" s="155">
        <f t="shared" si="1998"/>
        <v>0</v>
      </c>
      <c r="Q578" s="155">
        <f t="shared" si="1998"/>
        <v>0</v>
      </c>
      <c r="R578" s="155">
        <f t="shared" si="1998"/>
        <v>0</v>
      </c>
      <c r="S578" s="155">
        <f t="shared" si="1998"/>
        <v>0</v>
      </c>
      <c r="T578" s="155">
        <f t="shared" si="1998"/>
        <v>0</v>
      </c>
      <c r="U578" s="155">
        <f t="shared" si="1998"/>
        <v>0</v>
      </c>
      <c r="V578" s="155">
        <f t="shared" si="1998"/>
        <v>0</v>
      </c>
      <c r="W578" s="155">
        <f t="shared" si="1998"/>
        <v>0</v>
      </c>
      <c r="X578" s="155">
        <f t="shared" si="1998"/>
        <v>0</v>
      </c>
      <c r="Y578" s="160">
        <f t="shared" si="1998"/>
        <v>0</v>
      </c>
    </row>
    <row r="579" spans="2:25" ht="15" customHeight="1" x14ac:dyDescent="0.2">
      <c r="B579" s="249" t="s">
        <v>108</v>
      </c>
      <c r="C579" s="91">
        <f>E579/SUM(E579:E581)</f>
        <v>0.73790322580645162</v>
      </c>
      <c r="D579" s="67" t="s">
        <v>0</v>
      </c>
      <c r="E579" s="68">
        <f t="shared" si="1962"/>
        <v>183</v>
      </c>
      <c r="F579" s="68">
        <f>SUMIFS([0]!Chavez,[0]!Centro,B581,[0]!Turno,F$530)</f>
        <v>15</v>
      </c>
      <c r="G579" s="68">
        <f>SUMIFS([0]!Chavez,[0]!Centro,B581,[0]!Turno,G$530)</f>
        <v>25</v>
      </c>
      <c r="H579" s="68">
        <f>SUMIFS([0]!Chavez,[0]!Centro,B581,[0]!Turno,H$530)</f>
        <v>11</v>
      </c>
      <c r="I579" s="68">
        <f>SUMIFS([0]!Chavez,[0]!Centro,B581,[0]!Turno,I$530)</f>
        <v>14</v>
      </c>
      <c r="J579" s="68">
        <f>SUMIFS([0]!Chavez,[0]!Centro,B581,[0]!Turno,J$530)</f>
        <v>20</v>
      </c>
      <c r="K579" s="68">
        <f>SUMIFS([0]!Chavez,[0]!Centro,B581,[0]!Turno,K$530)</f>
        <v>26</v>
      </c>
      <c r="L579" s="68">
        <f>SUMIFS([0]!Chavez,[0]!Centro,B581,[0]!Turno,L$530)</f>
        <v>26</v>
      </c>
      <c r="M579" s="68">
        <f>SUMIFS([0]!Chavez,[0]!Centro,B581,[0]!Turno,M$530)</f>
        <v>24</v>
      </c>
      <c r="N579" s="68">
        <f>SUMIFS([0]!Chavez,[0]!Centro,B581,[0]!Turno,N$530)</f>
        <v>8</v>
      </c>
      <c r="O579" s="68">
        <f>SUMIFS([0]!Chavez,[0]!Centro,B581,[0]!Turno,O$530)</f>
        <v>0</v>
      </c>
      <c r="P579" s="68">
        <f>SUMIFS([0]!Chavez,[0]!Centro,B581,[0]!Turno,P$530)</f>
        <v>0</v>
      </c>
      <c r="Q579" s="68">
        <f>SUMIFS([0]!Chavez,[0]!Centro,B581,[0]!Turno,Q$530)</f>
        <v>14</v>
      </c>
      <c r="R579" s="68">
        <f>SUMIFS([0]!Chavez,[0]!Centro,B581,[0]!Turno,R$530)</f>
        <v>0</v>
      </c>
      <c r="S579" s="68">
        <f>SUMIFS([0]!Chavez,[0]!Centro,B581,[0]!Turno,S$530)</f>
        <v>0</v>
      </c>
      <c r="T579" s="68">
        <f>SUMIFS([0]!Chavez,[0]!Centro,B581,[0]!Turno,T$530)</f>
        <v>0</v>
      </c>
      <c r="U579" s="68">
        <f>SUMIFS([0]!Chavez,[0]!Centro,B581,[0]!Turno,U$530)</f>
        <v>0</v>
      </c>
      <c r="V579" s="68">
        <f>SUMIFS([0]!Chavez,[0]!Centro,B581,[0]!Turno,V$530)</f>
        <v>0</v>
      </c>
      <c r="W579" s="68">
        <f>SUMIFS([0]!Chavez,[0]!Centro,B581,[0]!Turno,W$530)</f>
        <v>0</v>
      </c>
      <c r="X579" s="68">
        <f>SUMIFS([0]!Chavez,[0]!Centro,B581,[0]!Turno,X$530)</f>
        <v>0</v>
      </c>
      <c r="Y579" s="69">
        <f>SUMIFS([0]!Chavez,[0]!Centro,B581,[0]!Turno,Y$530)</f>
        <v>0</v>
      </c>
    </row>
    <row r="580" spans="2:25" ht="15" customHeight="1" x14ac:dyDescent="0.2">
      <c r="B580" s="250"/>
      <c r="C580" s="92">
        <f>E580/SUM(E579:E581)</f>
        <v>0.26209677419354838</v>
      </c>
      <c r="D580" s="61" t="s">
        <v>1</v>
      </c>
      <c r="E580" s="62">
        <f t="shared" si="1962"/>
        <v>65</v>
      </c>
      <c r="F580" s="62">
        <f>SUMIFS([0]!Capriles,[0]!Centro,B581,[0]!Turno,F$530)</f>
        <v>0</v>
      </c>
      <c r="G580" s="62">
        <f>SUMIFS([0]!Capriles,[0]!Centro,B581,[0]!Turno,G$530)</f>
        <v>1</v>
      </c>
      <c r="H580" s="62">
        <f>SUMIFS([0]!Capriles,[0]!Centro,B581,[0]!Turno,H$530)</f>
        <v>4</v>
      </c>
      <c r="I580" s="62">
        <f>SUMIFS([0]!Capriles,[0]!Centro,B581,[0]!Turno,I$530)</f>
        <v>0</v>
      </c>
      <c r="J580" s="62">
        <f>SUMIFS([0]!Capriles,[0]!Centro,B581,[0]!Turno,J$530)</f>
        <v>3</v>
      </c>
      <c r="K580" s="62">
        <f>SUMIFS([0]!Capriles,[0]!Centro,B581,[0]!Turno,K$530)</f>
        <v>15</v>
      </c>
      <c r="L580" s="62">
        <f>SUMIFS([0]!Capriles,[0]!Centro,B581,[0]!Turno,L$530)</f>
        <v>12</v>
      </c>
      <c r="M580" s="62">
        <f>SUMIFS([0]!Capriles,[0]!Centro,B581,[0]!Turno,M$530)</f>
        <v>16</v>
      </c>
      <c r="N580" s="62">
        <f>SUMIFS([0]!Capriles,[0]!Centro,B581,[0]!Turno,N$530)</f>
        <v>3</v>
      </c>
      <c r="O580" s="62">
        <f>SUMIFS([0]!Capriles,[0]!Centro,B581,[0]!Turno,O$530)</f>
        <v>0</v>
      </c>
      <c r="P580" s="62">
        <f>SUMIFS([0]!Capriles,[0]!Centro,B581,[0]!Turno,P$530)</f>
        <v>0</v>
      </c>
      <c r="Q580" s="62">
        <f>SUMIFS([0]!Capriles,[0]!Centro,B581,[0]!Turno,Q$530)</f>
        <v>11</v>
      </c>
      <c r="R580" s="62">
        <f>SUMIFS([0]!Capriles,[0]!Centro,B581,[0]!Turno,R$530)</f>
        <v>0</v>
      </c>
      <c r="S580" s="62">
        <f>SUMIFS([0]!Capriles,[0]!Centro,B581,[0]!Turno,S$530)</f>
        <v>0</v>
      </c>
      <c r="T580" s="62">
        <f>SUMIFS([0]!Capriles,[0]!Centro,B581,[0]!Turno,T$530)</f>
        <v>0</v>
      </c>
      <c r="U580" s="62">
        <f>SUMIFS([0]!Capriles,[0]!Centro,B581,[0]!Turno,U$530)</f>
        <v>0</v>
      </c>
      <c r="V580" s="62">
        <f>SUMIFS([0]!Capriles,[0]!Centro,B581,[0]!Turno,V$530)</f>
        <v>0</v>
      </c>
      <c r="W580" s="62">
        <f>SUMIFS([0]!Capriles,[0]!Centro,B581,[0]!Turno,W$530)</f>
        <v>0</v>
      </c>
      <c r="X580" s="62">
        <f>SUMIFS([0]!Capriles,[0]!Centro,B581,[0]!Turno,X$530)</f>
        <v>0</v>
      </c>
      <c r="Y580" s="70">
        <f>SUMIFS([0]!Capriles,[0]!Centro,B581,[0]!Turno,Y$530)</f>
        <v>0</v>
      </c>
    </row>
    <row r="581" spans="2:25" ht="15" customHeight="1" thickBot="1" x14ac:dyDescent="0.25">
      <c r="B581" s="251">
        <v>80</v>
      </c>
      <c r="C581" s="100">
        <f>E581/SUM(E579:E581)</f>
        <v>0</v>
      </c>
      <c r="D581" s="71" t="s">
        <v>2</v>
      </c>
      <c r="E581" s="72">
        <f t="shared" si="1962"/>
        <v>0</v>
      </c>
      <c r="F581" s="72">
        <f>SUMIFS([0]!Otro,[0]!Centro,B581,[0]!Turno,F$530)</f>
        <v>0</v>
      </c>
      <c r="G581" s="72">
        <f>SUMIFS([0]!Otro,[0]!Centro,B581,[0]!Turno,G$530)</f>
        <v>0</v>
      </c>
      <c r="H581" s="72">
        <f>SUMIFS([0]!Otro,[0]!Centro,B581,[0]!Turno,H$530)</f>
        <v>0</v>
      </c>
      <c r="I581" s="72">
        <f>SUMIFS([0]!Otro,[0]!Centro,B581,[0]!Turno,I$530)</f>
        <v>0</v>
      </c>
      <c r="J581" s="72">
        <f>SUMIFS([0]!Otro,[0]!Centro,B581,[0]!Turno,J$530)</f>
        <v>0</v>
      </c>
      <c r="K581" s="72">
        <f>SUMIFS([0]!Otro,[0]!Centro,B581,[0]!Turno,K$530)</f>
        <v>0</v>
      </c>
      <c r="L581" s="72">
        <f>SUMIFS([0]!Otro,[0]!Centro,B581,[0]!Turno,L$530)</f>
        <v>0</v>
      </c>
      <c r="M581" s="72">
        <f>SUMIFS([0]!Otro,[0]!Centro,B581,[0]!Turno,M$530)</f>
        <v>0</v>
      </c>
      <c r="N581" s="72">
        <f>SUMIFS([0]!Otro,[0]!Centro,B581,[0]!Turno,N$530)</f>
        <v>0</v>
      </c>
      <c r="O581" s="72">
        <f>SUMIFS([0]!Otro,[0]!Centro,B581,[0]!Turno,O$530)</f>
        <v>0</v>
      </c>
      <c r="P581" s="72">
        <f>SUMIFS([0]!Otro,[0]!Centro,B581,[0]!Turno,P$530)</f>
        <v>0</v>
      </c>
      <c r="Q581" s="72">
        <f>SUMIFS([0]!Otro,[0]!Centro,B581,[0]!Turno,Q$530)</f>
        <v>0</v>
      </c>
      <c r="R581" s="72">
        <f>SUMIFS([0]!Otro,[0]!Centro,B581,[0]!Turno,R$530)</f>
        <v>0</v>
      </c>
      <c r="S581" s="72">
        <f>SUMIFS([0]!Otro,[0]!Centro,B581,[0]!Turno,S$530)</f>
        <v>0</v>
      </c>
      <c r="T581" s="72">
        <f>SUMIFS([0]!Otro,[0]!Centro,B581,[0]!Turno,T$530)</f>
        <v>0</v>
      </c>
      <c r="U581" s="72">
        <f>SUMIFS([0]!Otro,[0]!Centro,B581,[0]!Turno,U$530)</f>
        <v>0</v>
      </c>
      <c r="V581" s="72">
        <f>SUMIFS([0]!Otro,[0]!Centro,B581,[0]!Turno,V$530)</f>
        <v>0</v>
      </c>
      <c r="W581" s="72">
        <f>SUMIFS([0]!Otro,[0]!Centro,B581,[0]!Turno,W$530)</f>
        <v>0</v>
      </c>
      <c r="X581" s="72">
        <f>SUMIFS([0]!Otro,[0]!Centro,B581,[0]!Turno,X$530)</f>
        <v>0</v>
      </c>
      <c r="Y581" s="73">
        <f>SUMIFS([0]!Otro,[0]!Centro,B581,[0]!Turno,Y$530)</f>
        <v>0</v>
      </c>
    </row>
    <row r="582" spans="2:25" ht="15" customHeight="1" x14ac:dyDescent="0.2">
      <c r="B582" s="251"/>
      <c r="C582" s="94">
        <f>E582/SUM(E582:E584)</f>
        <v>0.73790322580645162</v>
      </c>
      <c r="D582" s="63" t="s">
        <v>0</v>
      </c>
      <c r="E582" s="150">
        <f>IF((E579+E580+E581)=0,0,(E579*$B583)/(E579+E580+E581))</f>
        <v>2.7253737854763666E-2</v>
      </c>
      <c r="F582" s="150">
        <f>IF((F579+F580+F581)=0,0,(F579*$B583)/(F579+F580+F581))</f>
        <v>3.6934027256728903E-2</v>
      </c>
      <c r="G582" s="150">
        <f t="shared" ref="G582:Y582" si="1999">IF((G579+G580+G581)=0,0,(G579*$B583)/(G579+G580+G581))</f>
        <v>3.5513487746854713E-2</v>
      </c>
      <c r="H582" s="150">
        <f t="shared" si="1999"/>
        <v>2.7084953321601195E-2</v>
      </c>
      <c r="I582" s="150">
        <f t="shared" si="1999"/>
        <v>3.6934027256728903E-2</v>
      </c>
      <c r="J582" s="150">
        <f t="shared" si="1999"/>
        <v>3.2116545440633824E-2</v>
      </c>
      <c r="K582" s="150">
        <f t="shared" si="1999"/>
        <v>2.3421578260364673E-2</v>
      </c>
      <c r="L582" s="150">
        <f t="shared" si="1999"/>
        <v>2.52706502282882E-2</v>
      </c>
      <c r="M582" s="150">
        <f t="shared" si="1999"/>
        <v>2.2160416354037343E-2</v>
      </c>
      <c r="N582" s="150">
        <f t="shared" si="1999"/>
        <v>2.6861110732166474E-2</v>
      </c>
      <c r="O582" s="150">
        <f t="shared" si="1999"/>
        <v>0</v>
      </c>
      <c r="P582" s="150">
        <f t="shared" si="1999"/>
        <v>0</v>
      </c>
      <c r="Q582" s="150">
        <f t="shared" si="1999"/>
        <v>2.0683055263768187E-2</v>
      </c>
      <c r="R582" s="150">
        <f t="shared" si="1999"/>
        <v>0</v>
      </c>
      <c r="S582" s="150">
        <f t="shared" si="1999"/>
        <v>0</v>
      </c>
      <c r="T582" s="150">
        <f t="shared" si="1999"/>
        <v>0</v>
      </c>
      <c r="U582" s="150">
        <f t="shared" si="1999"/>
        <v>0</v>
      </c>
      <c r="V582" s="150">
        <f t="shared" si="1999"/>
        <v>0</v>
      </c>
      <c r="W582" s="150">
        <f t="shared" si="1999"/>
        <v>0</v>
      </c>
      <c r="X582" s="150">
        <f t="shared" si="1999"/>
        <v>0</v>
      </c>
      <c r="Y582" s="163">
        <f t="shared" si="1999"/>
        <v>0</v>
      </c>
    </row>
    <row r="583" spans="2:25" ht="15" customHeight="1" x14ac:dyDescent="0.2">
      <c r="B583" s="252">
        <v>3.6934027256728903E-2</v>
      </c>
      <c r="C583" s="92">
        <f>E583/SUM(E582:E584)</f>
        <v>0.26209677419354838</v>
      </c>
      <c r="D583" s="61" t="s">
        <v>1</v>
      </c>
      <c r="E583" s="154">
        <f>IF((E579+E580+E581)=0,0,(E580*$B583)/(E579+E580+E581))</f>
        <v>9.680289401965237E-3</v>
      </c>
      <c r="F583" s="154">
        <f>IF((F579+F580+F581)=0,0,(F580*$B583)/(F579+F580+F581))</f>
        <v>0</v>
      </c>
      <c r="G583" s="154">
        <f t="shared" ref="G583:O583" si="2000">IF((G579+G580+G581)=0,0,(G580*$B583)/(G579+G580+G581))</f>
        <v>1.4205395098741886E-3</v>
      </c>
      <c r="H583" s="154">
        <f t="shared" si="2000"/>
        <v>9.8490739351277078E-3</v>
      </c>
      <c r="I583" s="154">
        <f t="shared" si="2000"/>
        <v>0</v>
      </c>
      <c r="J583" s="154">
        <f t="shared" si="2000"/>
        <v>4.8174818160950745E-3</v>
      </c>
      <c r="K583" s="154">
        <f t="shared" si="2000"/>
        <v>1.3512448996364232E-2</v>
      </c>
      <c r="L583" s="154">
        <f t="shared" si="2000"/>
        <v>1.1663377028440707E-2</v>
      </c>
      <c r="M583" s="154">
        <f t="shared" si="2000"/>
        <v>1.4773610902691562E-2</v>
      </c>
      <c r="N583" s="154">
        <f t="shared" si="2000"/>
        <v>1.0072916524562429E-2</v>
      </c>
      <c r="O583" s="154">
        <f t="shared" si="2000"/>
        <v>0</v>
      </c>
      <c r="P583" s="154">
        <f>IF((P579+P580+P581)=0,0,(P580*$B583)/(P579+P580+P581))</f>
        <v>0</v>
      </c>
      <c r="Q583" s="154">
        <f t="shared" ref="Q583:Y583" si="2001">IF((Q579+Q580+Q581)=0,0,(Q580*$B583)/(Q579+Q580+Q581))</f>
        <v>1.6250971992960717E-2</v>
      </c>
      <c r="R583" s="154">
        <f t="shared" si="2001"/>
        <v>0</v>
      </c>
      <c r="S583" s="154">
        <f t="shared" si="2001"/>
        <v>0</v>
      </c>
      <c r="T583" s="154">
        <f t="shared" si="2001"/>
        <v>0</v>
      </c>
      <c r="U583" s="154">
        <f t="shared" si="2001"/>
        <v>0</v>
      </c>
      <c r="V583" s="154">
        <f t="shared" si="2001"/>
        <v>0</v>
      </c>
      <c r="W583" s="154">
        <f t="shared" si="2001"/>
        <v>0</v>
      </c>
      <c r="X583" s="154">
        <f t="shared" si="2001"/>
        <v>0</v>
      </c>
      <c r="Y583" s="159">
        <f t="shared" si="2001"/>
        <v>0</v>
      </c>
    </row>
    <row r="584" spans="2:25" ht="15" customHeight="1" thickBot="1" x14ac:dyDescent="0.25">
      <c r="B584" s="253"/>
      <c r="C584" s="93">
        <f>E584/SUM(E582:E584)</f>
        <v>0</v>
      </c>
      <c r="D584" s="75" t="s">
        <v>2</v>
      </c>
      <c r="E584" s="155">
        <f>IF((E579+E580+E581)=0,0,(E581*$B583)/(E579+E580+E581))</f>
        <v>0</v>
      </c>
      <c r="F584" s="155">
        <f>IF((F579+F580+F581)=0,0,(F581*$B583)/(F579+F580+F581))</f>
        <v>0</v>
      </c>
      <c r="G584" s="155">
        <f t="shared" ref="G584:Y584" si="2002">IF((G579+G580+G581)=0,0,(G581*$B583)/(G579+G580+G581))</f>
        <v>0</v>
      </c>
      <c r="H584" s="155">
        <f t="shared" si="2002"/>
        <v>0</v>
      </c>
      <c r="I584" s="155">
        <f t="shared" si="2002"/>
        <v>0</v>
      </c>
      <c r="J584" s="155">
        <f t="shared" si="2002"/>
        <v>0</v>
      </c>
      <c r="K584" s="155">
        <f t="shared" si="2002"/>
        <v>0</v>
      </c>
      <c r="L584" s="155">
        <f t="shared" si="2002"/>
        <v>0</v>
      </c>
      <c r="M584" s="155">
        <f t="shared" si="2002"/>
        <v>0</v>
      </c>
      <c r="N584" s="155">
        <f t="shared" si="2002"/>
        <v>0</v>
      </c>
      <c r="O584" s="155">
        <f t="shared" si="2002"/>
        <v>0</v>
      </c>
      <c r="P584" s="155">
        <f t="shared" si="2002"/>
        <v>0</v>
      </c>
      <c r="Q584" s="155">
        <f t="shared" si="2002"/>
        <v>0</v>
      </c>
      <c r="R584" s="155">
        <f t="shared" si="2002"/>
        <v>0</v>
      </c>
      <c r="S584" s="155">
        <f t="shared" si="2002"/>
        <v>0</v>
      </c>
      <c r="T584" s="155">
        <f t="shared" si="2002"/>
        <v>0</v>
      </c>
      <c r="U584" s="155">
        <f t="shared" si="2002"/>
        <v>0</v>
      </c>
      <c r="V584" s="155">
        <f t="shared" si="2002"/>
        <v>0</v>
      </c>
      <c r="W584" s="155">
        <f t="shared" si="2002"/>
        <v>0</v>
      </c>
      <c r="X584" s="155">
        <f t="shared" si="2002"/>
        <v>0</v>
      </c>
      <c r="Y584" s="160">
        <f t="shared" si="2002"/>
        <v>0</v>
      </c>
    </row>
    <row r="585" spans="2:25" ht="15" customHeight="1" thickBot="1" x14ac:dyDescent="0.25">
      <c r="B585" s="18" t="s">
        <v>3</v>
      </c>
      <c r="C585" s="24" t="s">
        <v>226</v>
      </c>
      <c r="D585" s="25" t="s">
        <v>4</v>
      </c>
      <c r="E585" s="18" t="s">
        <v>225</v>
      </c>
      <c r="F585" s="19">
        <v>1</v>
      </c>
      <c r="G585" s="19">
        <v>2</v>
      </c>
      <c r="H585" s="19">
        <v>3</v>
      </c>
      <c r="I585" s="19">
        <v>4</v>
      </c>
      <c r="J585" s="19">
        <v>5</v>
      </c>
      <c r="K585" s="19">
        <v>6</v>
      </c>
      <c r="L585" s="19">
        <v>7</v>
      </c>
      <c r="M585" s="19">
        <v>8</v>
      </c>
      <c r="N585" s="19">
        <v>9</v>
      </c>
      <c r="O585" s="19">
        <v>10</v>
      </c>
      <c r="P585" s="19">
        <v>11</v>
      </c>
      <c r="Q585" s="19">
        <v>12</v>
      </c>
      <c r="R585" s="19">
        <v>13</v>
      </c>
      <c r="S585" s="19">
        <v>14</v>
      </c>
      <c r="T585" s="19">
        <v>15</v>
      </c>
      <c r="U585" s="19">
        <v>16</v>
      </c>
      <c r="V585" s="19">
        <v>17</v>
      </c>
      <c r="W585" s="19">
        <v>18</v>
      </c>
      <c r="X585" s="19">
        <v>19</v>
      </c>
      <c r="Y585" s="19">
        <v>20</v>
      </c>
    </row>
    <row r="586" spans="2:25" ht="15" customHeight="1" x14ac:dyDescent="0.2">
      <c r="B586" s="246" t="s">
        <v>109</v>
      </c>
      <c r="C586" s="95">
        <f>E586/SUM(E586:E588)</f>
        <v>0.54722222222222228</v>
      </c>
      <c r="D586" s="81" t="s">
        <v>0</v>
      </c>
      <c r="E586" s="82">
        <f>SUM(F586:Y586)</f>
        <v>591</v>
      </c>
      <c r="F586" s="82">
        <f t="shared" ref="F586:Y586" si="2003">SUM(F592,F598,F604,F610)</f>
        <v>100</v>
      </c>
      <c r="G586" s="82">
        <f t="shared" si="2003"/>
        <v>92</v>
      </c>
      <c r="H586" s="82">
        <f t="shared" si="2003"/>
        <v>63</v>
      </c>
      <c r="I586" s="82">
        <f>SUM(I592,I598,I604,I610)</f>
        <v>53</v>
      </c>
      <c r="J586" s="82">
        <f t="shared" si="2003"/>
        <v>57</v>
      </c>
      <c r="K586" s="82">
        <f t="shared" si="2003"/>
        <v>77</v>
      </c>
      <c r="L586" s="82">
        <f t="shared" si="2003"/>
        <v>62</v>
      </c>
      <c r="M586" s="82">
        <f t="shared" si="2003"/>
        <v>81</v>
      </c>
      <c r="N586" s="82">
        <f t="shared" si="2003"/>
        <v>0</v>
      </c>
      <c r="O586" s="82">
        <f t="shared" si="2003"/>
        <v>0</v>
      </c>
      <c r="P586" s="82">
        <f t="shared" si="2003"/>
        <v>6</v>
      </c>
      <c r="Q586" s="82">
        <f t="shared" si="2003"/>
        <v>0</v>
      </c>
      <c r="R586" s="82">
        <f t="shared" si="2003"/>
        <v>0</v>
      </c>
      <c r="S586" s="82">
        <f t="shared" si="2003"/>
        <v>0</v>
      </c>
      <c r="T586" s="82">
        <f t="shared" si="2003"/>
        <v>0</v>
      </c>
      <c r="U586" s="82">
        <f t="shared" si="2003"/>
        <v>0</v>
      </c>
      <c r="V586" s="82">
        <f t="shared" si="2003"/>
        <v>0</v>
      </c>
      <c r="W586" s="82">
        <f t="shared" si="2003"/>
        <v>0</v>
      </c>
      <c r="X586" s="82">
        <f t="shared" si="2003"/>
        <v>0</v>
      </c>
      <c r="Y586" s="83">
        <f t="shared" si="2003"/>
        <v>0</v>
      </c>
    </row>
    <row r="587" spans="2:25" ht="15" customHeight="1" x14ac:dyDescent="0.2">
      <c r="B587" s="247"/>
      <c r="C587" s="96">
        <f>E587/SUM(E586:E588)</f>
        <v>0.43518518518518517</v>
      </c>
      <c r="D587" s="79" t="s">
        <v>1</v>
      </c>
      <c r="E587" s="80">
        <f t="shared" ref="E587:E612" si="2004">SUM(F587:Y587)</f>
        <v>470</v>
      </c>
      <c r="F587" s="80">
        <f t="shared" ref="F587:Y587" si="2005">SUM(F593,F599,F605,F611)</f>
        <v>57</v>
      </c>
      <c r="G587" s="80">
        <f t="shared" si="2005"/>
        <v>61</v>
      </c>
      <c r="H587" s="80">
        <f t="shared" si="2005"/>
        <v>51</v>
      </c>
      <c r="I587" s="80">
        <f>SUM(I593,I599,I605,I611)</f>
        <v>75</v>
      </c>
      <c r="J587" s="80">
        <f t="shared" si="2005"/>
        <v>52</v>
      </c>
      <c r="K587" s="80">
        <f t="shared" si="2005"/>
        <v>49</v>
      </c>
      <c r="L587" s="80">
        <f t="shared" si="2005"/>
        <v>50</v>
      </c>
      <c r="M587" s="80">
        <f t="shared" si="2005"/>
        <v>67</v>
      </c>
      <c r="N587" s="80">
        <f t="shared" si="2005"/>
        <v>0</v>
      </c>
      <c r="O587" s="80">
        <f t="shared" si="2005"/>
        <v>0</v>
      </c>
      <c r="P587" s="80">
        <f t="shared" si="2005"/>
        <v>8</v>
      </c>
      <c r="Q587" s="80">
        <f t="shared" si="2005"/>
        <v>0</v>
      </c>
      <c r="R587" s="80">
        <f t="shared" si="2005"/>
        <v>0</v>
      </c>
      <c r="S587" s="80">
        <f t="shared" si="2005"/>
        <v>0</v>
      </c>
      <c r="T587" s="80">
        <f t="shared" si="2005"/>
        <v>0</v>
      </c>
      <c r="U587" s="80">
        <f t="shared" si="2005"/>
        <v>0</v>
      </c>
      <c r="V587" s="80">
        <f t="shared" si="2005"/>
        <v>0</v>
      </c>
      <c r="W587" s="80">
        <f t="shared" si="2005"/>
        <v>0</v>
      </c>
      <c r="X587" s="80">
        <f t="shared" si="2005"/>
        <v>0</v>
      </c>
      <c r="Y587" s="84">
        <f t="shared" si="2005"/>
        <v>0</v>
      </c>
    </row>
    <row r="588" spans="2:25" ht="15" customHeight="1" thickBot="1" x14ac:dyDescent="0.25">
      <c r="B588" s="247"/>
      <c r="C588" s="97">
        <f>E588/SUM(E586:E588)</f>
        <v>1.7592592592592594E-2</v>
      </c>
      <c r="D588" s="86" t="s">
        <v>2</v>
      </c>
      <c r="E588" s="87">
        <f t="shared" si="2004"/>
        <v>19</v>
      </c>
      <c r="F588" s="87">
        <f t="shared" ref="F588:Y588" si="2006">SUM(F594,F600,F606,F612)</f>
        <v>3</v>
      </c>
      <c r="G588" s="87">
        <f t="shared" si="2006"/>
        <v>4</v>
      </c>
      <c r="H588" s="87">
        <f t="shared" si="2006"/>
        <v>2</v>
      </c>
      <c r="I588" s="87">
        <f t="shared" si="2006"/>
        <v>0</v>
      </c>
      <c r="J588" s="87">
        <f t="shared" si="2006"/>
        <v>2</v>
      </c>
      <c r="K588" s="87">
        <f t="shared" si="2006"/>
        <v>0</v>
      </c>
      <c r="L588" s="87">
        <f t="shared" si="2006"/>
        <v>0</v>
      </c>
      <c r="M588" s="87">
        <f t="shared" si="2006"/>
        <v>8</v>
      </c>
      <c r="N588" s="87">
        <f t="shared" si="2006"/>
        <v>0</v>
      </c>
      <c r="O588" s="87">
        <f t="shared" si="2006"/>
        <v>0</v>
      </c>
      <c r="P588" s="87">
        <f t="shared" si="2006"/>
        <v>0</v>
      </c>
      <c r="Q588" s="87">
        <f t="shared" si="2006"/>
        <v>0</v>
      </c>
      <c r="R588" s="87">
        <f t="shared" si="2006"/>
        <v>0</v>
      </c>
      <c r="S588" s="87">
        <f t="shared" si="2006"/>
        <v>0</v>
      </c>
      <c r="T588" s="87">
        <f t="shared" si="2006"/>
        <v>0</v>
      </c>
      <c r="U588" s="87">
        <f t="shared" si="2006"/>
        <v>0</v>
      </c>
      <c r="V588" s="87">
        <f t="shared" si="2006"/>
        <v>0</v>
      </c>
      <c r="W588" s="87">
        <f t="shared" si="2006"/>
        <v>0</v>
      </c>
      <c r="X588" s="87">
        <f t="shared" si="2006"/>
        <v>0</v>
      </c>
      <c r="Y588" s="88">
        <f t="shared" si="2006"/>
        <v>0</v>
      </c>
    </row>
    <row r="589" spans="2:25" ht="15" customHeight="1" x14ac:dyDescent="0.2">
      <c r="B589" s="247"/>
      <c r="C589" s="98">
        <f>E589/SUM(E589:E591)</f>
        <v>0.52385138634540607</v>
      </c>
      <c r="D589" s="85" t="s">
        <v>0</v>
      </c>
      <c r="E589" s="151">
        <f t="shared" ref="E589" si="2007">SUM(E595,E601,E607,E613)</f>
        <v>0.52385138634540662</v>
      </c>
      <c r="F589" s="151">
        <f t="shared" ref="F589:Y589" si="2008">SUM(F595,F601,F607,F613)</f>
        <v>0.61440784722493058</v>
      </c>
      <c r="G589" s="151">
        <f t="shared" si="2008"/>
        <v>0.54748456486692965</v>
      </c>
      <c r="H589" s="151">
        <f t="shared" si="2008"/>
        <v>0.59916045342027657</v>
      </c>
      <c r="I589" s="151">
        <f t="shared" si="2008"/>
        <v>0.41491513557896958</v>
      </c>
      <c r="J589" s="151">
        <f t="shared" si="2008"/>
        <v>0.50839485982077504</v>
      </c>
      <c r="K589" s="151">
        <f>SUM(K595,K601,K607,K613)</f>
        <v>0.5775264219860563</v>
      </c>
      <c r="L589" s="151">
        <f t="shared" si="2008"/>
        <v>0.58636737262552319</v>
      </c>
      <c r="M589" s="151">
        <f t="shared" si="2008"/>
        <v>0.45621689672246313</v>
      </c>
      <c r="N589" s="151">
        <f t="shared" si="2008"/>
        <v>0</v>
      </c>
      <c r="O589" s="151">
        <f t="shared" si="2008"/>
        <v>0</v>
      </c>
      <c r="P589" s="151">
        <f t="shared" si="2008"/>
        <v>0.20339270609688684</v>
      </c>
      <c r="Q589" s="151">
        <f t="shared" si="2008"/>
        <v>0</v>
      </c>
      <c r="R589" s="151">
        <f t="shared" si="2008"/>
        <v>0</v>
      </c>
      <c r="S589" s="151">
        <f t="shared" si="2008"/>
        <v>0</v>
      </c>
      <c r="T589" s="151">
        <f t="shared" si="2008"/>
        <v>0</v>
      </c>
      <c r="U589" s="151">
        <f t="shared" si="2008"/>
        <v>0</v>
      </c>
      <c r="V589" s="151">
        <f t="shared" si="2008"/>
        <v>0</v>
      </c>
      <c r="W589" s="151">
        <f t="shared" si="2008"/>
        <v>0</v>
      </c>
      <c r="X589" s="151">
        <f t="shared" si="2008"/>
        <v>0</v>
      </c>
      <c r="Y589" s="156">
        <f t="shared" si="2008"/>
        <v>0</v>
      </c>
    </row>
    <row r="590" spans="2:25" ht="15" customHeight="1" x14ac:dyDescent="0.2">
      <c r="B590" s="247"/>
      <c r="C590" s="96">
        <f>E590/SUM(E589:E591)</f>
        <v>0.46389349065256014</v>
      </c>
      <c r="D590" s="79" t="s">
        <v>1</v>
      </c>
      <c r="E590" s="152">
        <f t="shared" ref="E590" si="2009">SUM(E596,E602,E608,E614)</f>
        <v>0.46389349065256064</v>
      </c>
      <c r="F590" s="152">
        <f t="shared" ref="F590:Y590" si="2010">SUM(F596,F602,F608,F614)</f>
        <v>0.37147287498750542</v>
      </c>
      <c r="G590" s="152">
        <f t="shared" si="2010"/>
        <v>0.44180715242336044</v>
      </c>
      <c r="H590" s="152">
        <f t="shared" si="2010"/>
        <v>0.39562579907054185</v>
      </c>
      <c r="I590" s="152">
        <f t="shared" si="2010"/>
        <v>0.58508486442103147</v>
      </c>
      <c r="J590" s="152">
        <f t="shared" si="2010"/>
        <v>0.47520357856907397</v>
      </c>
      <c r="K590" s="152">
        <f>SUM(K596,K602,K608,K614)</f>
        <v>0.42247357801394481</v>
      </c>
      <c r="L590" s="152">
        <f t="shared" si="2010"/>
        <v>0.41363262737447776</v>
      </c>
      <c r="M590" s="152">
        <f t="shared" si="2010"/>
        <v>0.50824566849176278</v>
      </c>
      <c r="N590" s="152">
        <f t="shared" si="2010"/>
        <v>0</v>
      </c>
      <c r="O590" s="152">
        <f t="shared" si="2010"/>
        <v>0</v>
      </c>
      <c r="P590" s="152">
        <f t="shared" si="2010"/>
        <v>0.27119027479584912</v>
      </c>
      <c r="Q590" s="152">
        <f t="shared" si="2010"/>
        <v>0</v>
      </c>
      <c r="R590" s="152">
        <f t="shared" si="2010"/>
        <v>0</v>
      </c>
      <c r="S590" s="152">
        <f t="shared" si="2010"/>
        <v>0</v>
      </c>
      <c r="T590" s="152">
        <f t="shared" si="2010"/>
        <v>0</v>
      </c>
      <c r="U590" s="152">
        <f t="shared" si="2010"/>
        <v>0</v>
      </c>
      <c r="V590" s="152">
        <f t="shared" si="2010"/>
        <v>0</v>
      </c>
      <c r="W590" s="152">
        <f t="shared" si="2010"/>
        <v>0</v>
      </c>
      <c r="X590" s="152">
        <f t="shared" si="2010"/>
        <v>0</v>
      </c>
      <c r="Y590" s="157">
        <f t="shared" si="2010"/>
        <v>0</v>
      </c>
    </row>
    <row r="591" spans="2:25" ht="15" customHeight="1" thickBot="1" x14ac:dyDescent="0.25">
      <c r="B591" s="248"/>
      <c r="C591" s="99">
        <f>E591/SUM(E589:E591)</f>
        <v>1.2255123002033673E-2</v>
      </c>
      <c r="D591" s="89" t="s">
        <v>2</v>
      </c>
      <c r="E591" s="153">
        <f t="shared" ref="E591" si="2011">SUM(E597,E603,E609,E615)</f>
        <v>1.2255123002033687E-2</v>
      </c>
      <c r="F591" s="153">
        <f t="shared" ref="F591:Y591" si="2012">SUM(F597,F603,F609,F615)</f>
        <v>1.4119277787564985E-2</v>
      </c>
      <c r="G591" s="153">
        <f t="shared" si="2012"/>
        <v>1.070828270971085E-2</v>
      </c>
      <c r="H591" s="153">
        <f t="shared" si="2012"/>
        <v>5.2137475091824613E-3</v>
      </c>
      <c r="I591" s="153">
        <f t="shared" si="2012"/>
        <v>0</v>
      </c>
      <c r="J591" s="153">
        <f t="shared" si="2012"/>
        <v>1.6401561610151931E-2</v>
      </c>
      <c r="K591" s="153">
        <f t="shared" si="2012"/>
        <v>0</v>
      </c>
      <c r="L591" s="153">
        <f t="shared" si="2012"/>
        <v>0</v>
      </c>
      <c r="M591" s="153">
        <f t="shared" si="2012"/>
        <v>3.5537434785775111E-2</v>
      </c>
      <c r="N591" s="153">
        <f t="shared" si="2012"/>
        <v>0</v>
      </c>
      <c r="O591" s="153">
        <f>SUM(O597,O603,O609,O615)</f>
        <v>0</v>
      </c>
      <c r="P591" s="153">
        <f t="shared" si="2012"/>
        <v>0</v>
      </c>
      <c r="Q591" s="153">
        <f t="shared" si="2012"/>
        <v>0</v>
      </c>
      <c r="R591" s="153">
        <f t="shared" si="2012"/>
        <v>0</v>
      </c>
      <c r="S591" s="153">
        <f t="shared" si="2012"/>
        <v>0</v>
      </c>
      <c r="T591" s="153">
        <f t="shared" si="2012"/>
        <v>0</v>
      </c>
      <c r="U591" s="153">
        <f t="shared" si="2012"/>
        <v>0</v>
      </c>
      <c r="V591" s="153">
        <f t="shared" si="2012"/>
        <v>0</v>
      </c>
      <c r="W591" s="153">
        <f t="shared" si="2012"/>
        <v>0</v>
      </c>
      <c r="X591" s="153">
        <f t="shared" si="2012"/>
        <v>0</v>
      </c>
      <c r="Y591" s="158">
        <f t="shared" si="2012"/>
        <v>0</v>
      </c>
    </row>
    <row r="592" spans="2:25" ht="15" customHeight="1" x14ac:dyDescent="0.2">
      <c r="B592" s="249" t="s">
        <v>110</v>
      </c>
      <c r="C592" s="91">
        <f>E592/SUM(E592:E594)</f>
        <v>0.74247491638795982</v>
      </c>
      <c r="D592" s="67" t="s">
        <v>0</v>
      </c>
      <c r="E592" s="68">
        <f t="shared" si="2004"/>
        <v>222</v>
      </c>
      <c r="F592" s="68">
        <f>SUMIFS([0]!Chavez,[0]!Centro,B594,[0]!Turno,F$585)</f>
        <v>34</v>
      </c>
      <c r="G592" s="68">
        <f>SUMIFS([0]!Chavez,[0]!Centro,B594,[0]!Turno,G$585)</f>
        <v>33</v>
      </c>
      <c r="H592" s="68">
        <f>SUMIFS([0]!Chavez,[0]!Centro,B594,[0]!Turno,H$585)</f>
        <v>21</v>
      </c>
      <c r="I592" s="68">
        <f>SUMIFS([0]!Chavez,[0]!Centro,B594,[0]!Turno,I$585)</f>
        <v>22</v>
      </c>
      <c r="J592" s="68">
        <f>SUMIFS([0]!Chavez,[0]!Centro,B594,[0]!Turno,J$585)</f>
        <v>18</v>
      </c>
      <c r="K592" s="68">
        <f>SUMIFS([0]!Chavez,[0]!Centro,B594,[0]!Turno,K$585)</f>
        <v>35</v>
      </c>
      <c r="L592" s="68">
        <f>SUMIFS([0]!Chavez,[0]!Centro,B594,[0]!Turno,L$585)</f>
        <v>21</v>
      </c>
      <c r="M592" s="68">
        <f>SUMIFS([0]!Chavez,[0]!Centro,B594,[0]!Turno,M$585)</f>
        <v>38</v>
      </c>
      <c r="N592" s="68">
        <f>SUMIFS([0]!Chavez,[0]!Centro,B594,[0]!Turno,N$585)</f>
        <v>0</v>
      </c>
      <c r="O592" s="68">
        <f>SUMIFS([0]!Chavez,[0]!Centro,B594,[0]!Turno,O$585)</f>
        <v>0</v>
      </c>
      <c r="P592" s="68">
        <f>SUMIFS([0]!Chavez,[0]!Centro,B594,[0]!Turno,P$585)</f>
        <v>0</v>
      </c>
      <c r="Q592" s="68">
        <f>SUMIFS([0]!Chavez,[0]!Centro,B594,[0]!Turno,Q$585)</f>
        <v>0</v>
      </c>
      <c r="R592" s="68">
        <f>SUMIFS([0]!Chavez,[0]!Centro,B594,[0]!Turno,R$585)</f>
        <v>0</v>
      </c>
      <c r="S592" s="68">
        <f>SUMIFS([0]!Chavez,[0]!Centro,B594,[0]!Turno,S$585)</f>
        <v>0</v>
      </c>
      <c r="T592" s="68">
        <f>SUMIFS([0]!Chavez,[0]!Centro,B594,[0]!Turno,T$585)</f>
        <v>0</v>
      </c>
      <c r="U592" s="68">
        <f>SUMIFS([0]!Chavez,[0]!Centro,B594,[0]!Turno,U$585)</f>
        <v>0</v>
      </c>
      <c r="V592" s="68">
        <f>SUMIFS([0]!Chavez,[0]!Centro,B594,[0]!Turno,V$585)</f>
        <v>0</v>
      </c>
      <c r="W592" s="68">
        <f>SUMIFS([0]!Chavez,[0]!Centro,B594,[0]!Turno,W$585)</f>
        <v>0</v>
      </c>
      <c r="X592" s="68">
        <f>SUMIFS([0]!Chavez,[0]!Centro,B594,[0]!Turno,X$585)</f>
        <v>0</v>
      </c>
      <c r="Y592" s="69">
        <f>SUMIFS([0]!Chavez,[0]!Centro,B594,[0]!Turno,Y$585)</f>
        <v>0</v>
      </c>
    </row>
    <row r="593" spans="2:25" ht="15" customHeight="1" x14ac:dyDescent="0.2">
      <c r="B593" s="250"/>
      <c r="C593" s="92">
        <f>E593/SUM(E592:E594)</f>
        <v>0.22408026755852842</v>
      </c>
      <c r="D593" s="61" t="s">
        <v>1</v>
      </c>
      <c r="E593" s="62">
        <f t="shared" si="2004"/>
        <v>67</v>
      </c>
      <c r="F593" s="62">
        <f>SUMIFS([0]!Capriles,[0]!Centro,B594,[0]!Turno,F$585)</f>
        <v>7</v>
      </c>
      <c r="G593" s="62">
        <f>SUMIFS([0]!Capriles,[0]!Centro,B594,[0]!Turno,G$585)</f>
        <v>13</v>
      </c>
      <c r="H593" s="62">
        <f>SUMIFS([0]!Capriles,[0]!Centro,B594,[0]!Turno,H$585)</f>
        <v>7</v>
      </c>
      <c r="I593" s="62">
        <f>SUMIFS([0]!Capriles,[0]!Centro,B594,[0]!Turno,I$585)</f>
        <v>8</v>
      </c>
      <c r="J593" s="62">
        <f>SUMIFS([0]!Capriles,[0]!Centro,B594,[0]!Turno,J$585)</f>
        <v>9</v>
      </c>
      <c r="K593" s="62">
        <f>SUMIFS([0]!Capriles,[0]!Centro,B594,[0]!Turno,K$585)</f>
        <v>2</v>
      </c>
      <c r="L593" s="62">
        <f>SUMIFS([0]!Capriles,[0]!Centro,B594,[0]!Turno,L$585)</f>
        <v>17</v>
      </c>
      <c r="M593" s="62">
        <f>SUMIFS([0]!Capriles,[0]!Centro,B594,[0]!Turno,M$585)</f>
        <v>4</v>
      </c>
      <c r="N593" s="62">
        <f>SUMIFS([0]!Capriles,[0]!Centro,B594,[0]!Turno,N$585)</f>
        <v>0</v>
      </c>
      <c r="O593" s="62">
        <f>SUMIFS([0]!Capriles,[0]!Centro,B594,[0]!Turno,O$585)</f>
        <v>0</v>
      </c>
      <c r="P593" s="62">
        <f>SUMIFS([0]!Capriles,[0]!Centro,B594,[0]!Turno,P$585)</f>
        <v>0</v>
      </c>
      <c r="Q593" s="62">
        <f>SUMIFS([0]!Capriles,[0]!Centro,B594,[0]!Turno,Q$585)</f>
        <v>0</v>
      </c>
      <c r="R593" s="62">
        <f>SUMIFS([0]!Capriles,[0]!Centro,B594,[0]!Turno,R$585)</f>
        <v>0</v>
      </c>
      <c r="S593" s="62">
        <f>SUMIFS([0]!Capriles,[0]!Centro,B594,[0]!Turno,S$585)</f>
        <v>0</v>
      </c>
      <c r="T593" s="62">
        <f>SUMIFS([0]!Capriles,[0]!Centro,B594,[0]!Turno,T$585)</f>
        <v>0</v>
      </c>
      <c r="U593" s="62">
        <f>SUMIFS([0]!Capriles,[0]!Centro,B594,[0]!Turno,U$585)</f>
        <v>0</v>
      </c>
      <c r="V593" s="62">
        <f>SUMIFS([0]!Capriles,[0]!Centro,B594,[0]!Turno,V$585)</f>
        <v>0</v>
      </c>
      <c r="W593" s="62">
        <f>SUMIFS([0]!Capriles,[0]!Centro,B594,[0]!Turno,W$585)</f>
        <v>0</v>
      </c>
      <c r="X593" s="62">
        <f>SUMIFS([0]!Capriles,[0]!Centro,B594,[0]!Turno,X$585)</f>
        <v>0</v>
      </c>
      <c r="Y593" s="70">
        <f>SUMIFS([0]!Capriles,[0]!Centro,B594,[0]!Turno,Y$585)</f>
        <v>0</v>
      </c>
    </row>
    <row r="594" spans="2:25" ht="15" customHeight="1" thickBot="1" x14ac:dyDescent="0.25">
      <c r="B594" s="251">
        <v>81</v>
      </c>
      <c r="C594" s="100">
        <f>E594/SUM(E592:E594)</f>
        <v>3.3444816053511704E-2</v>
      </c>
      <c r="D594" s="71" t="s">
        <v>2</v>
      </c>
      <c r="E594" s="72">
        <f t="shared" si="2004"/>
        <v>10</v>
      </c>
      <c r="F594" s="72">
        <f>SUMIFS([0]!Otro,[0]!Centro,B594,[0]!Turno,F$585)</f>
        <v>1</v>
      </c>
      <c r="G594" s="72">
        <f>SUMIFS([0]!Otro,[0]!Centro,B594,[0]!Turno,G$585)</f>
        <v>1</v>
      </c>
      <c r="H594" s="72">
        <f>SUMIFS([0]!Otro,[0]!Centro,B594,[0]!Turno,H$585)</f>
        <v>0</v>
      </c>
      <c r="I594" s="72">
        <f>SUMIFS([0]!Otro,[0]!Centro,B594,[0]!Turno,I$585)</f>
        <v>0</v>
      </c>
      <c r="J594" s="72">
        <f>SUMIFS([0]!Otro,[0]!Centro,B594,[0]!Turno,J$585)</f>
        <v>2</v>
      </c>
      <c r="K594" s="72">
        <f>SUMIFS([0]!Otro,[0]!Centro,B594,[0]!Turno,K$585)</f>
        <v>0</v>
      </c>
      <c r="L594" s="72">
        <f>SUMIFS([0]!Otro,[0]!Centro,B594,[0]!Turno,L$585)</f>
        <v>0</v>
      </c>
      <c r="M594" s="72">
        <f>SUMIFS([0]!Otro,[0]!Centro,B594,[0]!Turno,M$585)</f>
        <v>6</v>
      </c>
      <c r="N594" s="72">
        <f>SUMIFS([0]!Otro,[0]!Centro,B594,[0]!Turno,N$585)</f>
        <v>0</v>
      </c>
      <c r="O594" s="72">
        <f>SUMIFS([0]!Otro,[0]!Centro,B594,[0]!Turno,O$585)</f>
        <v>0</v>
      </c>
      <c r="P594" s="72">
        <f>SUMIFS([0]!Otro,[0]!Centro,B594,[0]!Turno,P$585)</f>
        <v>0</v>
      </c>
      <c r="Q594" s="72">
        <f>SUMIFS([0]!Otro,[0]!Centro,B594,[0]!Turno,Q$585)</f>
        <v>0</v>
      </c>
      <c r="R594" s="72">
        <f>SUMIFS([0]!Otro,[0]!Centro,B594,[0]!Turno,R$585)</f>
        <v>0</v>
      </c>
      <c r="S594" s="72">
        <f>SUMIFS([0]!Otro,[0]!Centro,B594,[0]!Turno,S$585)</f>
        <v>0</v>
      </c>
      <c r="T594" s="72">
        <f>SUMIFS([0]!Otro,[0]!Centro,B594,[0]!Turno,T$585)</f>
        <v>0</v>
      </c>
      <c r="U594" s="72">
        <f>SUMIFS([0]!Otro,[0]!Centro,B594,[0]!Turno,U$585)</f>
        <v>0</v>
      </c>
      <c r="V594" s="72">
        <f>SUMIFS([0]!Otro,[0]!Centro,B594,[0]!Turno,V$585)</f>
        <v>0</v>
      </c>
      <c r="W594" s="72">
        <f>SUMIFS([0]!Otro,[0]!Centro,B594,[0]!Turno,W$585)</f>
        <v>0</v>
      </c>
      <c r="X594" s="72">
        <f>SUMIFS([0]!Otro,[0]!Centro,B594,[0]!Turno,X$585)</f>
        <v>0</v>
      </c>
      <c r="Y594" s="73">
        <f>SUMIFS([0]!Otro,[0]!Centro,B594,[0]!Turno,Y$585)</f>
        <v>0</v>
      </c>
    </row>
    <row r="595" spans="2:25" ht="15" customHeight="1" x14ac:dyDescent="0.2">
      <c r="B595" s="251"/>
      <c r="C595" s="94">
        <f>E595/SUM(E595:E597)</f>
        <v>0.74247491638795993</v>
      </c>
      <c r="D595" s="63" t="s">
        <v>0</v>
      </c>
      <c r="E595" s="150">
        <f>IF((E592+E593+E594)=0,0,(E592*$B596)/(E592+E593+E594))</f>
        <v>0.17657734723437815</v>
      </c>
      <c r="F595" s="150">
        <f>IF((F592+F593+F594)=0,0,(F592*$B596)/(F592+F593+F594))</f>
        <v>0.19252309223345002</v>
      </c>
      <c r="G595" s="150">
        <f t="shared" ref="G595:Y595" si="2013">IF((G592+G593+G594)=0,0,(G592*$B596)/(G592+G593+G594))</f>
        <v>0.16698185596718507</v>
      </c>
      <c r="H595" s="150">
        <f t="shared" si="2013"/>
        <v>0.17836698251040223</v>
      </c>
      <c r="I595" s="150">
        <f t="shared" si="2013"/>
        <v>0.17440327178794887</v>
      </c>
      <c r="J595" s="150">
        <f t="shared" si="2013"/>
        <v>0.14761405449136739</v>
      </c>
      <c r="K595" s="150">
        <f t="shared" si="2013"/>
        <v>0.22496736532843528</v>
      </c>
      <c r="L595" s="150">
        <f t="shared" si="2013"/>
        <v>0.13142830290240165</v>
      </c>
      <c r="M595" s="150">
        <f t="shared" si="2013"/>
        <v>0.18827625931653569</v>
      </c>
      <c r="N595" s="150">
        <f t="shared" si="2013"/>
        <v>0</v>
      </c>
      <c r="O595" s="150">
        <f t="shared" si="2013"/>
        <v>0</v>
      </c>
      <c r="P595" s="150">
        <f t="shared" si="2013"/>
        <v>0</v>
      </c>
      <c r="Q595" s="150">
        <f t="shared" si="2013"/>
        <v>0</v>
      </c>
      <c r="R595" s="150">
        <f t="shared" si="2013"/>
        <v>0</v>
      </c>
      <c r="S595" s="150">
        <f t="shared" si="2013"/>
        <v>0</v>
      </c>
      <c r="T595" s="150">
        <f t="shared" si="2013"/>
        <v>0</v>
      </c>
      <c r="U595" s="150">
        <f t="shared" si="2013"/>
        <v>0</v>
      </c>
      <c r="V595" s="150">
        <f t="shared" si="2013"/>
        <v>0</v>
      </c>
      <c r="W595" s="150">
        <f t="shared" si="2013"/>
        <v>0</v>
      </c>
      <c r="X595" s="150">
        <f t="shared" si="2013"/>
        <v>0</v>
      </c>
      <c r="Y595" s="163">
        <f t="shared" si="2013"/>
        <v>0</v>
      </c>
    </row>
    <row r="596" spans="2:25" ht="15" customHeight="1" x14ac:dyDescent="0.2">
      <c r="B596" s="252">
        <v>0.23782264334720299</v>
      </c>
      <c r="C596" s="92">
        <f>E596/SUM(E595:E597)</f>
        <v>0.22408026755852845</v>
      </c>
      <c r="D596" s="61" t="s">
        <v>1</v>
      </c>
      <c r="E596" s="154">
        <f>IF((E592+E593+E594)=0,0,(E593*$B596)/(E592+E593+E594))</f>
        <v>5.3291361552717728E-2</v>
      </c>
      <c r="F596" s="154">
        <f>IF((F592+F593+F594)=0,0,(F593*$B596)/(F592+F593+F594))</f>
        <v>3.9637107224533827E-2</v>
      </c>
      <c r="G596" s="154">
        <f t="shared" ref="G596:O596" si="2014">IF((G592+G593+G594)=0,0,(G593*$B596)/(G592+G593+G594))</f>
        <v>6.5780731138588053E-2</v>
      </c>
      <c r="H596" s="154">
        <f t="shared" si="2014"/>
        <v>5.9455660836800747E-2</v>
      </c>
      <c r="I596" s="154">
        <f t="shared" si="2014"/>
        <v>6.3419371559254131E-2</v>
      </c>
      <c r="J596" s="154">
        <f t="shared" si="2014"/>
        <v>7.3807027245683693E-2</v>
      </c>
      <c r="K596" s="154">
        <f t="shared" si="2014"/>
        <v>1.285527801876773E-2</v>
      </c>
      <c r="L596" s="154">
        <f t="shared" si="2014"/>
        <v>0.10639434044480132</v>
      </c>
      <c r="M596" s="154">
        <f t="shared" si="2014"/>
        <v>1.9818553612266917E-2</v>
      </c>
      <c r="N596" s="154">
        <f t="shared" si="2014"/>
        <v>0</v>
      </c>
      <c r="O596" s="154">
        <f t="shared" si="2014"/>
        <v>0</v>
      </c>
      <c r="P596" s="154">
        <f>IF((P592+P593+P594)=0,0,(P593*$B596)/(P592+P593+P594))</f>
        <v>0</v>
      </c>
      <c r="Q596" s="154">
        <f t="shared" ref="Q596:Y596" si="2015">IF((Q592+Q593+Q594)=0,0,(Q593*$B596)/(Q592+Q593+Q594))</f>
        <v>0</v>
      </c>
      <c r="R596" s="154">
        <f t="shared" si="2015"/>
        <v>0</v>
      </c>
      <c r="S596" s="154">
        <f t="shared" si="2015"/>
        <v>0</v>
      </c>
      <c r="T596" s="154">
        <f t="shared" si="2015"/>
        <v>0</v>
      </c>
      <c r="U596" s="154">
        <f t="shared" si="2015"/>
        <v>0</v>
      </c>
      <c r="V596" s="154">
        <f t="shared" si="2015"/>
        <v>0</v>
      </c>
      <c r="W596" s="154">
        <f t="shared" si="2015"/>
        <v>0</v>
      </c>
      <c r="X596" s="154">
        <f t="shared" si="2015"/>
        <v>0</v>
      </c>
      <c r="Y596" s="159">
        <f t="shared" si="2015"/>
        <v>0</v>
      </c>
    </row>
    <row r="597" spans="2:25" ht="15" customHeight="1" thickBot="1" x14ac:dyDescent="0.25">
      <c r="B597" s="253"/>
      <c r="C597" s="93">
        <f>E597/SUM(E595:E597)</f>
        <v>3.3444816053511704E-2</v>
      </c>
      <c r="D597" s="75" t="s">
        <v>2</v>
      </c>
      <c r="E597" s="155">
        <f>IF((E592+E593+E594)=0,0,(E594*$B596)/(E592+E593+E594))</f>
        <v>7.9539345601071232E-3</v>
      </c>
      <c r="F597" s="155">
        <f>IF((F592+F593+F594)=0,0,(F594*$B596)/(F592+F593+F594))</f>
        <v>5.662443889219119E-3</v>
      </c>
      <c r="G597" s="155">
        <f t="shared" ref="G597:Y597" si="2016">IF((G592+G593+G594)=0,0,(G594*$B596)/(G592+G593+G594))</f>
        <v>5.0600562414298512E-3</v>
      </c>
      <c r="H597" s="155">
        <f t="shared" si="2016"/>
        <v>0</v>
      </c>
      <c r="I597" s="155">
        <f t="shared" si="2016"/>
        <v>0</v>
      </c>
      <c r="J597" s="155">
        <f t="shared" si="2016"/>
        <v>1.6401561610151931E-2</v>
      </c>
      <c r="K597" s="155">
        <f t="shared" si="2016"/>
        <v>0</v>
      </c>
      <c r="L597" s="155">
        <f t="shared" si="2016"/>
        <v>0</v>
      </c>
      <c r="M597" s="155">
        <f t="shared" si="2016"/>
        <v>2.972783041840037E-2</v>
      </c>
      <c r="N597" s="155">
        <f t="shared" si="2016"/>
        <v>0</v>
      </c>
      <c r="O597" s="155">
        <f t="shared" si="2016"/>
        <v>0</v>
      </c>
      <c r="P597" s="155">
        <f t="shared" si="2016"/>
        <v>0</v>
      </c>
      <c r="Q597" s="155">
        <f t="shared" si="2016"/>
        <v>0</v>
      </c>
      <c r="R597" s="155">
        <f t="shared" si="2016"/>
        <v>0</v>
      </c>
      <c r="S597" s="155">
        <f t="shared" si="2016"/>
        <v>0</v>
      </c>
      <c r="T597" s="155">
        <f t="shared" si="2016"/>
        <v>0</v>
      </c>
      <c r="U597" s="155">
        <f t="shared" si="2016"/>
        <v>0</v>
      </c>
      <c r="V597" s="155">
        <f t="shared" si="2016"/>
        <v>0</v>
      </c>
      <c r="W597" s="155">
        <f t="shared" si="2016"/>
        <v>0</v>
      </c>
      <c r="X597" s="155">
        <f t="shared" si="2016"/>
        <v>0</v>
      </c>
      <c r="Y597" s="160">
        <f t="shared" si="2016"/>
        <v>0</v>
      </c>
    </row>
    <row r="598" spans="2:25" ht="15" customHeight="1" x14ac:dyDescent="0.2">
      <c r="B598" s="249" t="s">
        <v>111</v>
      </c>
      <c r="C598" s="91">
        <f>E598/SUM(E598:E600)</f>
        <v>0.40659340659340659</v>
      </c>
      <c r="D598" s="67" t="s">
        <v>0</v>
      </c>
      <c r="E598" s="68">
        <f t="shared" si="2004"/>
        <v>74</v>
      </c>
      <c r="F598" s="68">
        <f>SUMIFS([0]!Chavez,[0]!Centro,B600,[0]!Turno,F$585)</f>
        <v>18</v>
      </c>
      <c r="G598" s="68">
        <f>SUMIFS([0]!Chavez,[0]!Centro,B600,[0]!Turno,G$585)</f>
        <v>3</v>
      </c>
      <c r="H598" s="68">
        <f>SUMIFS([0]!Chavez,[0]!Centro,B600,[0]!Turno,H$585)</f>
        <v>9</v>
      </c>
      <c r="I598" s="68">
        <f>SUMIFS([0]!Chavez,[0]!Centro,B600,[0]!Turno,I$585)</f>
        <v>7</v>
      </c>
      <c r="J598" s="68">
        <f>SUMIFS([0]!Chavez,[0]!Centro,B600,[0]!Turno,J$585)</f>
        <v>10</v>
      </c>
      <c r="K598" s="68">
        <f>SUMIFS([0]!Chavez,[0]!Centro,B600,[0]!Turno,K$585)</f>
        <v>12</v>
      </c>
      <c r="L598" s="68">
        <f>SUMIFS([0]!Chavez,[0]!Centro,B600,[0]!Turno,L$585)</f>
        <v>7</v>
      </c>
      <c r="M598" s="68">
        <f>SUMIFS([0]!Chavez,[0]!Centro,B600,[0]!Turno,M$585)</f>
        <v>8</v>
      </c>
      <c r="N598" s="68">
        <f>SUMIFS([0]!Chavez,[0]!Centro,B600,[0]!Turno,N$585)</f>
        <v>0</v>
      </c>
      <c r="O598" s="68">
        <f>SUMIFS([0]!Chavez,[0]!Centro,B600,[0]!Turno,O$585)</f>
        <v>0</v>
      </c>
      <c r="P598" s="68">
        <f>SUMIFS([0]!Chavez,[0]!Centro,B600,[0]!Turno,P$585)</f>
        <v>0</v>
      </c>
      <c r="Q598" s="68">
        <f>SUMIFS([0]!Chavez,[0]!Centro,B600,[0]!Turno,Q$585)</f>
        <v>0</v>
      </c>
      <c r="R598" s="68">
        <f>SUMIFS([0]!Chavez,[0]!Centro,B600,[0]!Turno,R$585)</f>
        <v>0</v>
      </c>
      <c r="S598" s="68">
        <f>SUMIFS([0]!Chavez,[0]!Centro,B600,[0]!Turno,S$585)</f>
        <v>0</v>
      </c>
      <c r="T598" s="68">
        <f>SUMIFS([0]!Chavez,[0]!Centro,B600,[0]!Turno,T$585)</f>
        <v>0</v>
      </c>
      <c r="U598" s="68">
        <f>SUMIFS([0]!Chavez,[0]!Centro,B600,[0]!Turno,U$585)</f>
        <v>0</v>
      </c>
      <c r="V598" s="68">
        <f>SUMIFS([0]!Chavez,[0]!Centro,B600,[0]!Turno,V$585)</f>
        <v>0</v>
      </c>
      <c r="W598" s="68">
        <f>SUMIFS([0]!Chavez,[0]!Centro,B600,[0]!Turno,W$585)</f>
        <v>0</v>
      </c>
      <c r="X598" s="68">
        <f>SUMIFS([0]!Chavez,[0]!Centro,B600,[0]!Turno,X$585)</f>
        <v>0</v>
      </c>
      <c r="Y598" s="69">
        <f>SUMIFS([0]!Chavez,[0]!Centro,B600,[0]!Turno,Y$585)</f>
        <v>0</v>
      </c>
    </row>
    <row r="599" spans="2:25" ht="15" customHeight="1" x14ac:dyDescent="0.2">
      <c r="B599" s="250"/>
      <c r="C599" s="92">
        <f>E599/SUM(E598:E600)</f>
        <v>0.58791208791208793</v>
      </c>
      <c r="D599" s="61" t="s">
        <v>1</v>
      </c>
      <c r="E599" s="62">
        <f t="shared" si="2004"/>
        <v>107</v>
      </c>
      <c r="F599" s="62">
        <f>SUMIFS([0]!Capriles,[0]!Centro,B600,[0]!Turno,F$585)</f>
        <v>11</v>
      </c>
      <c r="G599" s="62">
        <f>SUMIFS([0]!Capriles,[0]!Centro,B600,[0]!Turno,G$585)</f>
        <v>7</v>
      </c>
      <c r="H599" s="62">
        <f>SUMIFS([0]!Capriles,[0]!Centro,B600,[0]!Turno,H$585)</f>
        <v>17</v>
      </c>
      <c r="I599" s="62">
        <f>SUMIFS([0]!Capriles,[0]!Centro,B600,[0]!Turno,I$585)</f>
        <v>22</v>
      </c>
      <c r="J599" s="62">
        <f>SUMIFS([0]!Capriles,[0]!Centro,B600,[0]!Turno,J$585)</f>
        <v>21</v>
      </c>
      <c r="K599" s="62">
        <f>SUMIFS([0]!Capriles,[0]!Centro,B600,[0]!Turno,K$585)</f>
        <v>9</v>
      </c>
      <c r="L599" s="62">
        <f>SUMIFS([0]!Capriles,[0]!Centro,B600,[0]!Turno,L$585)</f>
        <v>1</v>
      </c>
      <c r="M599" s="62">
        <f>SUMIFS([0]!Capriles,[0]!Centro,B600,[0]!Turno,M$585)</f>
        <v>19</v>
      </c>
      <c r="N599" s="62">
        <f>SUMIFS([0]!Capriles,[0]!Centro,B600,[0]!Turno,N$585)</f>
        <v>0</v>
      </c>
      <c r="O599" s="62">
        <f>SUMIFS([0]!Capriles,[0]!Centro,B600,[0]!Turno,O$585)</f>
        <v>0</v>
      </c>
      <c r="P599" s="62">
        <f>SUMIFS([0]!Capriles,[0]!Centro,B600,[0]!Turno,P$585)</f>
        <v>0</v>
      </c>
      <c r="Q599" s="62">
        <f>SUMIFS([0]!Capriles,[0]!Centro,B600,[0]!Turno,Q$585)</f>
        <v>0</v>
      </c>
      <c r="R599" s="62">
        <f>SUMIFS([0]!Capriles,[0]!Centro,B600,[0]!Turno,R$585)</f>
        <v>0</v>
      </c>
      <c r="S599" s="62">
        <f>SUMIFS([0]!Capriles,[0]!Centro,B600,[0]!Turno,S$585)</f>
        <v>0</v>
      </c>
      <c r="T599" s="62">
        <f>SUMIFS([0]!Capriles,[0]!Centro,B600,[0]!Turno,T$585)</f>
        <v>0</v>
      </c>
      <c r="U599" s="62">
        <f>SUMIFS([0]!Capriles,[0]!Centro,B600,[0]!Turno,U$585)</f>
        <v>0</v>
      </c>
      <c r="V599" s="62">
        <f>SUMIFS([0]!Capriles,[0]!Centro,B600,[0]!Turno,V$585)</f>
        <v>0</v>
      </c>
      <c r="W599" s="62">
        <f>SUMIFS([0]!Capriles,[0]!Centro,B600,[0]!Turno,W$585)</f>
        <v>0</v>
      </c>
      <c r="X599" s="62">
        <f>SUMIFS([0]!Capriles,[0]!Centro,B600,[0]!Turno,X$585)</f>
        <v>0</v>
      </c>
      <c r="Y599" s="70">
        <f>SUMIFS([0]!Capriles,[0]!Centro,B600,[0]!Turno,Y$585)</f>
        <v>0</v>
      </c>
    </row>
    <row r="600" spans="2:25" ht="15" customHeight="1" thickBot="1" x14ac:dyDescent="0.25">
      <c r="B600" s="251">
        <v>82</v>
      </c>
      <c r="C600" s="100">
        <f>E600/SUM(E598:E600)</f>
        <v>5.4945054945054949E-3</v>
      </c>
      <c r="D600" s="71" t="s">
        <v>2</v>
      </c>
      <c r="E600" s="72">
        <f t="shared" si="2004"/>
        <v>1</v>
      </c>
      <c r="F600" s="72">
        <f>SUMIFS([0]!Otro,[0]!Centro,B600,[0]!Turno,F$585)</f>
        <v>1</v>
      </c>
      <c r="G600" s="72">
        <f>SUMIFS([0]!Otro,[0]!Centro,B600,[0]!Turno,G$585)</f>
        <v>0</v>
      </c>
      <c r="H600" s="72">
        <f>SUMIFS([0]!Otro,[0]!Centro,B600,[0]!Turno,H$585)</f>
        <v>0</v>
      </c>
      <c r="I600" s="72">
        <f>SUMIFS([0]!Otro,[0]!Centro,B600,[0]!Turno,I$585)</f>
        <v>0</v>
      </c>
      <c r="J600" s="72">
        <f>SUMIFS([0]!Otro,[0]!Centro,B600,[0]!Turno,J$585)</f>
        <v>0</v>
      </c>
      <c r="K600" s="72">
        <f>SUMIFS([0]!Otro,[0]!Centro,B600,[0]!Turno,K$585)</f>
        <v>0</v>
      </c>
      <c r="L600" s="72">
        <f>SUMIFS([0]!Otro,[0]!Centro,B600,[0]!Turno,L$585)</f>
        <v>0</v>
      </c>
      <c r="M600" s="72">
        <f>SUMIFS([0]!Otro,[0]!Centro,B600,[0]!Turno,M$585)</f>
        <v>0</v>
      </c>
      <c r="N600" s="72">
        <f>SUMIFS([0]!Otro,[0]!Centro,B600,[0]!Turno,N$585)</f>
        <v>0</v>
      </c>
      <c r="O600" s="72">
        <f>SUMIFS([0]!Otro,[0]!Centro,B600,[0]!Turno,O$585)</f>
        <v>0</v>
      </c>
      <c r="P600" s="72">
        <f>SUMIFS([0]!Otro,[0]!Centro,B600,[0]!Turno,P$585)</f>
        <v>0</v>
      </c>
      <c r="Q600" s="72">
        <f>SUMIFS([0]!Otro,[0]!Centro,B600,[0]!Turno,Q$585)</f>
        <v>0</v>
      </c>
      <c r="R600" s="72">
        <f>SUMIFS([0]!Otro,[0]!Centro,B600,[0]!Turno,R$585)</f>
        <v>0</v>
      </c>
      <c r="S600" s="72">
        <f>SUMIFS([0]!Otro,[0]!Centro,B600,[0]!Turno,S$585)</f>
        <v>0</v>
      </c>
      <c r="T600" s="72">
        <f>SUMIFS([0]!Otro,[0]!Centro,B600,[0]!Turno,T$585)</f>
        <v>0</v>
      </c>
      <c r="U600" s="72">
        <f>SUMIFS([0]!Otro,[0]!Centro,B600,[0]!Turno,U$585)</f>
        <v>0</v>
      </c>
      <c r="V600" s="72">
        <f>SUMIFS([0]!Otro,[0]!Centro,B600,[0]!Turno,V$585)</f>
        <v>0</v>
      </c>
      <c r="W600" s="72">
        <f>SUMIFS([0]!Otro,[0]!Centro,B600,[0]!Turno,W$585)</f>
        <v>0</v>
      </c>
      <c r="X600" s="72">
        <f>SUMIFS([0]!Otro,[0]!Centro,B600,[0]!Turno,X$585)</f>
        <v>0</v>
      </c>
      <c r="Y600" s="73">
        <f>SUMIFS([0]!Otro,[0]!Centro,B600,[0]!Turno,Y$585)</f>
        <v>0</v>
      </c>
    </row>
    <row r="601" spans="2:25" ht="15" customHeight="1" x14ac:dyDescent="0.2">
      <c r="B601" s="251"/>
      <c r="C601" s="94">
        <f>E601/SUM(E601:E603)</f>
        <v>0.40659340659340659</v>
      </c>
      <c r="D601" s="63" t="s">
        <v>0</v>
      </c>
      <c r="E601" s="150">
        <f>IF((E598+E599+E600)=0,0,(E598*$B602)/(E598+E599+E600))</f>
        <v>7.5596407420298328E-2</v>
      </c>
      <c r="F601" s="150">
        <f>IF((F598+F599+F600)=0,0,(F598*$B602)/(F598+F599+F600))</f>
        <v>0.1115557795986024</v>
      </c>
      <c r="G601" s="150">
        <f t="shared" ref="G601:Y601" si="2017">IF((G598+G599+G600)=0,0,(G598*$B602)/(G598+G599+G600))</f>
        <v>5.5777889799301192E-2</v>
      </c>
      <c r="H601" s="150">
        <f t="shared" si="2017"/>
        <v>6.4359103614578306E-2</v>
      </c>
      <c r="I601" s="150">
        <f t="shared" si="2017"/>
        <v>4.4878761907483723E-2</v>
      </c>
      <c r="J601" s="150">
        <f t="shared" si="2017"/>
        <v>5.9976225590646449E-2</v>
      </c>
      <c r="K601" s="150">
        <f t="shared" si="2017"/>
        <v>0.10624359961771657</v>
      </c>
      <c r="L601" s="150">
        <f t="shared" si="2017"/>
        <v>0.16268551191462849</v>
      </c>
      <c r="M601" s="150">
        <f t="shared" si="2017"/>
        <v>5.5089273875853037E-2</v>
      </c>
      <c r="N601" s="150">
        <f t="shared" si="2017"/>
        <v>0</v>
      </c>
      <c r="O601" s="150">
        <f t="shared" si="2017"/>
        <v>0</v>
      </c>
      <c r="P601" s="150">
        <f t="shared" si="2017"/>
        <v>0</v>
      </c>
      <c r="Q601" s="150">
        <f t="shared" si="2017"/>
        <v>0</v>
      </c>
      <c r="R601" s="150">
        <f t="shared" si="2017"/>
        <v>0</v>
      </c>
      <c r="S601" s="150">
        <f t="shared" si="2017"/>
        <v>0</v>
      </c>
      <c r="T601" s="150">
        <f t="shared" si="2017"/>
        <v>0</v>
      </c>
      <c r="U601" s="150">
        <f t="shared" si="2017"/>
        <v>0</v>
      </c>
      <c r="V601" s="150">
        <f t="shared" si="2017"/>
        <v>0</v>
      </c>
      <c r="W601" s="150">
        <f t="shared" si="2017"/>
        <v>0</v>
      </c>
      <c r="X601" s="150">
        <f t="shared" si="2017"/>
        <v>0</v>
      </c>
      <c r="Y601" s="163">
        <f t="shared" si="2017"/>
        <v>0</v>
      </c>
    </row>
    <row r="602" spans="2:25" ht="15" customHeight="1" x14ac:dyDescent="0.2">
      <c r="B602" s="252">
        <v>0.18592629933100399</v>
      </c>
      <c r="C602" s="92">
        <f>E602/SUM(E601:E603)</f>
        <v>0.58791208791208782</v>
      </c>
      <c r="D602" s="61" t="s">
        <v>1</v>
      </c>
      <c r="E602" s="154">
        <f>IF((E598+E599+E600)=0,0,(E599*$B602)/(E598+E599+E600))</f>
        <v>0.10930831883745838</v>
      </c>
      <c r="F602" s="154">
        <f>IF((F598+F599+F600)=0,0,(F599*$B602)/(F598+F599+F600))</f>
        <v>6.8172976421368131E-2</v>
      </c>
      <c r="G602" s="154">
        <f t="shared" ref="G602:O602" si="2018">IF((G598+G599+G600)=0,0,(G599*$B602)/(G598+G599+G600))</f>
        <v>0.13014840953170279</v>
      </c>
      <c r="H602" s="154">
        <f t="shared" si="2018"/>
        <v>0.12156719571642569</v>
      </c>
      <c r="I602" s="154">
        <f t="shared" si="2018"/>
        <v>0.14104753742352028</v>
      </c>
      <c r="J602" s="154">
        <f t="shared" si="2018"/>
        <v>0.12595007374035755</v>
      </c>
      <c r="K602" s="154">
        <f t="shared" si="2018"/>
        <v>7.9682699713287425E-2</v>
      </c>
      <c r="L602" s="154">
        <f t="shared" si="2018"/>
        <v>2.3240787416375499E-2</v>
      </c>
      <c r="M602" s="154">
        <f t="shared" si="2018"/>
        <v>0.13083702545515094</v>
      </c>
      <c r="N602" s="154">
        <f t="shared" si="2018"/>
        <v>0</v>
      </c>
      <c r="O602" s="154">
        <f t="shared" si="2018"/>
        <v>0</v>
      </c>
      <c r="P602" s="154">
        <f>IF((P598+P599+P600)=0,0,(P599*$B602)/(P598+P599+P600))</f>
        <v>0</v>
      </c>
      <c r="Q602" s="154">
        <f t="shared" ref="Q602:Y602" si="2019">IF((Q598+Q599+Q600)=0,0,(Q599*$B602)/(Q598+Q599+Q600))</f>
        <v>0</v>
      </c>
      <c r="R602" s="154">
        <f t="shared" si="2019"/>
        <v>0</v>
      </c>
      <c r="S602" s="154">
        <f t="shared" si="2019"/>
        <v>0</v>
      </c>
      <c r="T602" s="154">
        <f t="shared" si="2019"/>
        <v>0</v>
      </c>
      <c r="U602" s="154">
        <f t="shared" si="2019"/>
        <v>0</v>
      </c>
      <c r="V602" s="154">
        <f t="shared" si="2019"/>
        <v>0</v>
      </c>
      <c r="W602" s="154">
        <f t="shared" si="2019"/>
        <v>0</v>
      </c>
      <c r="X602" s="154">
        <f t="shared" si="2019"/>
        <v>0</v>
      </c>
      <c r="Y602" s="159">
        <f t="shared" si="2019"/>
        <v>0</v>
      </c>
    </row>
    <row r="603" spans="2:25" ht="15" customHeight="1" thickBot="1" x14ac:dyDescent="0.25">
      <c r="B603" s="253"/>
      <c r="C603" s="93">
        <f>E603/SUM(E601:E603)</f>
        <v>5.4945054945054941E-3</v>
      </c>
      <c r="D603" s="75" t="s">
        <v>2</v>
      </c>
      <c r="E603" s="155">
        <f>IF((E598+E599+E600)=0,0,(E600*$B602)/(E598+E599+E600))</f>
        <v>1.0215730732472746E-3</v>
      </c>
      <c r="F603" s="155">
        <f>IF((F598+F599+F600)=0,0,(F600*$B602)/(F598+F599+F600))</f>
        <v>6.1975433110334661E-3</v>
      </c>
      <c r="G603" s="155">
        <f t="shared" ref="G603:Y603" si="2020">IF((G598+G599+G600)=0,0,(G600*$B602)/(G598+G599+G600))</f>
        <v>0</v>
      </c>
      <c r="H603" s="155">
        <f t="shared" si="2020"/>
        <v>0</v>
      </c>
      <c r="I603" s="155">
        <f t="shared" si="2020"/>
        <v>0</v>
      </c>
      <c r="J603" s="155">
        <f t="shared" si="2020"/>
        <v>0</v>
      </c>
      <c r="K603" s="155">
        <f t="shared" si="2020"/>
        <v>0</v>
      </c>
      <c r="L603" s="155">
        <f t="shared" si="2020"/>
        <v>0</v>
      </c>
      <c r="M603" s="155">
        <f t="shared" si="2020"/>
        <v>0</v>
      </c>
      <c r="N603" s="155">
        <f t="shared" si="2020"/>
        <v>0</v>
      </c>
      <c r="O603" s="155">
        <f t="shared" si="2020"/>
        <v>0</v>
      </c>
      <c r="P603" s="155">
        <f t="shared" si="2020"/>
        <v>0</v>
      </c>
      <c r="Q603" s="155">
        <f t="shared" si="2020"/>
        <v>0</v>
      </c>
      <c r="R603" s="155">
        <f t="shared" si="2020"/>
        <v>0</v>
      </c>
      <c r="S603" s="155">
        <f t="shared" si="2020"/>
        <v>0</v>
      </c>
      <c r="T603" s="155">
        <f t="shared" si="2020"/>
        <v>0</v>
      </c>
      <c r="U603" s="155">
        <f t="shared" si="2020"/>
        <v>0</v>
      </c>
      <c r="V603" s="155">
        <f t="shared" si="2020"/>
        <v>0</v>
      </c>
      <c r="W603" s="155">
        <f t="shared" si="2020"/>
        <v>0</v>
      </c>
      <c r="X603" s="155">
        <f t="shared" si="2020"/>
        <v>0</v>
      </c>
      <c r="Y603" s="160">
        <f t="shared" si="2020"/>
        <v>0</v>
      </c>
    </row>
    <row r="604" spans="2:25" ht="15" customHeight="1" x14ac:dyDescent="0.2">
      <c r="B604" s="249" t="s">
        <v>52</v>
      </c>
      <c r="C604" s="91">
        <f>E604/SUM(E604:E606)</f>
        <v>0.45584045584045585</v>
      </c>
      <c r="D604" s="67" t="s">
        <v>0</v>
      </c>
      <c r="E604" s="68">
        <f t="shared" si="2004"/>
        <v>160</v>
      </c>
      <c r="F604" s="68">
        <f>SUMIFS([0]!Chavez,[0]!Centro,B606,[0]!Turno,F$585)</f>
        <v>23</v>
      </c>
      <c r="G604" s="68">
        <f>SUMIFS([0]!Chavez,[0]!Centro,B606,[0]!Turno,G$585)</f>
        <v>26</v>
      </c>
      <c r="H604" s="68">
        <f>SUMIFS([0]!Chavez,[0]!Centro,B606,[0]!Turno,H$585)</f>
        <v>15</v>
      </c>
      <c r="I604" s="68">
        <f>SUMIFS([0]!Chavez,[0]!Centro,B606,[0]!Turno,I$585)</f>
        <v>16</v>
      </c>
      <c r="J604" s="68">
        <f>SUMIFS([0]!Chavez,[0]!Centro,B606,[0]!Turno,J$585)</f>
        <v>15</v>
      </c>
      <c r="K604" s="68">
        <f>SUMIFS([0]!Chavez,[0]!Centro,B606,[0]!Turno,K$585)</f>
        <v>20</v>
      </c>
      <c r="L604" s="68">
        <f>SUMIFS([0]!Chavez,[0]!Centro,B606,[0]!Turno,L$585)</f>
        <v>24</v>
      </c>
      <c r="M604" s="68">
        <f>SUMIFS([0]!Chavez,[0]!Centro,B606,[0]!Turno,M$585)</f>
        <v>15</v>
      </c>
      <c r="N604" s="68">
        <f>SUMIFS([0]!Chavez,[0]!Centro,B606,[0]!Turno,N$585)</f>
        <v>0</v>
      </c>
      <c r="O604" s="68">
        <f>SUMIFS([0]!Chavez,[0]!Centro,B606,[0]!Turno,O$585)</f>
        <v>0</v>
      </c>
      <c r="P604" s="68">
        <f>SUMIFS([0]!Chavez,[0]!Centro,B606,[0]!Turno,P$585)</f>
        <v>6</v>
      </c>
      <c r="Q604" s="68">
        <f>SUMIFS([0]!Chavez,[0]!Centro,B606,[0]!Turno,Q$585)</f>
        <v>0</v>
      </c>
      <c r="R604" s="68">
        <f>SUMIFS([0]!Chavez,[0]!Centro,B606,[0]!Turno,R$585)</f>
        <v>0</v>
      </c>
      <c r="S604" s="68">
        <f>SUMIFS([0]!Chavez,[0]!Centro,B606,[0]!Turno,S$585)</f>
        <v>0</v>
      </c>
      <c r="T604" s="68">
        <f>SUMIFS([0]!Chavez,[0]!Centro,B606,[0]!Turno,T$585)</f>
        <v>0</v>
      </c>
      <c r="U604" s="68">
        <f>SUMIFS([0]!Chavez,[0]!Centro,B606,[0]!Turno,U$585)</f>
        <v>0</v>
      </c>
      <c r="V604" s="68">
        <f>SUMIFS([0]!Chavez,[0]!Centro,B606,[0]!Turno,V$585)</f>
        <v>0</v>
      </c>
      <c r="W604" s="68">
        <f>SUMIFS([0]!Chavez,[0]!Centro,B606,[0]!Turno,W$585)</f>
        <v>0</v>
      </c>
      <c r="X604" s="68">
        <f>SUMIFS([0]!Chavez,[0]!Centro,B606,[0]!Turno,X$585)</f>
        <v>0</v>
      </c>
      <c r="Y604" s="69">
        <f>SUMIFS([0]!Chavez,[0]!Centro,B606,[0]!Turno,Y$585)</f>
        <v>0</v>
      </c>
    </row>
    <row r="605" spans="2:25" ht="15" customHeight="1" x14ac:dyDescent="0.2">
      <c r="B605" s="250"/>
      <c r="C605" s="92">
        <f>E605/SUM(E604:E606)</f>
        <v>0.54415954415954415</v>
      </c>
      <c r="D605" s="61" t="s">
        <v>1</v>
      </c>
      <c r="E605" s="62">
        <f t="shared" si="2004"/>
        <v>191</v>
      </c>
      <c r="F605" s="62">
        <f>SUMIFS([0]!Capriles,[0]!Centro,B606,[0]!Turno,F$585)</f>
        <v>20</v>
      </c>
      <c r="G605" s="62">
        <f>SUMIFS([0]!Capriles,[0]!Centro,B606,[0]!Turno,G$585)</f>
        <v>20</v>
      </c>
      <c r="H605" s="62">
        <f>SUMIFS([0]!Capriles,[0]!Centro,B606,[0]!Turno,H$585)</f>
        <v>8</v>
      </c>
      <c r="I605" s="62">
        <f>SUMIFS([0]!Capriles,[0]!Centro,B606,[0]!Turno,I$585)</f>
        <v>33</v>
      </c>
      <c r="J605" s="62">
        <f>SUMIFS([0]!Capriles,[0]!Centro,B606,[0]!Turno,J$585)</f>
        <v>16</v>
      </c>
      <c r="K605" s="62">
        <f>SUMIFS([0]!Capriles,[0]!Centro,B606,[0]!Turno,K$585)</f>
        <v>30</v>
      </c>
      <c r="L605" s="62">
        <f>SUMIFS([0]!Capriles,[0]!Centro,B606,[0]!Turno,L$585)</f>
        <v>25</v>
      </c>
      <c r="M605" s="62">
        <f>SUMIFS([0]!Capriles,[0]!Centro,B606,[0]!Turno,M$585)</f>
        <v>31</v>
      </c>
      <c r="N605" s="62">
        <f>SUMIFS([0]!Capriles,[0]!Centro,B606,[0]!Turno,N$585)</f>
        <v>0</v>
      </c>
      <c r="O605" s="62">
        <f>SUMIFS([0]!Capriles,[0]!Centro,B606,[0]!Turno,O$585)</f>
        <v>0</v>
      </c>
      <c r="P605" s="62">
        <f>SUMIFS([0]!Capriles,[0]!Centro,B606,[0]!Turno,P$585)</f>
        <v>8</v>
      </c>
      <c r="Q605" s="62">
        <f>SUMIFS([0]!Capriles,[0]!Centro,B606,[0]!Turno,Q$585)</f>
        <v>0</v>
      </c>
      <c r="R605" s="62">
        <f>SUMIFS([0]!Capriles,[0]!Centro,B606,[0]!Turno,R$585)</f>
        <v>0</v>
      </c>
      <c r="S605" s="62">
        <f>SUMIFS([0]!Capriles,[0]!Centro,B606,[0]!Turno,S$585)</f>
        <v>0</v>
      </c>
      <c r="T605" s="62">
        <f>SUMIFS([0]!Capriles,[0]!Centro,B606,[0]!Turno,T$585)</f>
        <v>0</v>
      </c>
      <c r="U605" s="62">
        <f>SUMIFS([0]!Capriles,[0]!Centro,B606,[0]!Turno,U$585)</f>
        <v>0</v>
      </c>
      <c r="V605" s="62">
        <f>SUMIFS([0]!Capriles,[0]!Centro,B606,[0]!Turno,V$585)</f>
        <v>0</v>
      </c>
      <c r="W605" s="62">
        <f>SUMIFS([0]!Capriles,[0]!Centro,B606,[0]!Turno,W$585)</f>
        <v>0</v>
      </c>
      <c r="X605" s="62">
        <f>SUMIFS([0]!Capriles,[0]!Centro,B606,[0]!Turno,X$585)</f>
        <v>0</v>
      </c>
      <c r="Y605" s="70">
        <f>SUMIFS([0]!Capriles,[0]!Centro,B606,[0]!Turno,Y$585)</f>
        <v>0</v>
      </c>
    </row>
    <row r="606" spans="2:25" ht="15" customHeight="1" thickBot="1" x14ac:dyDescent="0.25">
      <c r="B606" s="251">
        <v>83</v>
      </c>
      <c r="C606" s="100">
        <f>E606/SUM(E604:E606)</f>
        <v>0</v>
      </c>
      <c r="D606" s="71" t="s">
        <v>2</v>
      </c>
      <c r="E606" s="72">
        <f t="shared" si="2004"/>
        <v>0</v>
      </c>
      <c r="F606" s="72">
        <f>SUMIFS([0]!Otro,[0]!Centro,B606,[0]!Turno,F$585)</f>
        <v>0</v>
      </c>
      <c r="G606" s="72">
        <f>SUMIFS([0]!Otro,[0]!Centro,B606,[0]!Turno,G$585)</f>
        <v>0</v>
      </c>
      <c r="H606" s="72">
        <f>SUMIFS([0]!Otro,[0]!Centro,B606,[0]!Turno,H$585)</f>
        <v>0</v>
      </c>
      <c r="I606" s="72">
        <f>SUMIFS([0]!Otro,[0]!Centro,B606,[0]!Turno,I$585)</f>
        <v>0</v>
      </c>
      <c r="J606" s="72">
        <f>SUMIFS([0]!Otro,[0]!Centro,B606,[0]!Turno,J$585)</f>
        <v>0</v>
      </c>
      <c r="K606" s="72">
        <f>SUMIFS([0]!Otro,[0]!Centro,B606,[0]!Turno,K$585)</f>
        <v>0</v>
      </c>
      <c r="L606" s="72">
        <f>SUMIFS([0]!Otro,[0]!Centro,B606,[0]!Turno,L$585)</f>
        <v>0</v>
      </c>
      <c r="M606" s="72">
        <f>SUMIFS([0]!Otro,[0]!Centro,B606,[0]!Turno,M$585)</f>
        <v>0</v>
      </c>
      <c r="N606" s="72">
        <f>SUMIFS([0]!Otro,[0]!Centro,B606,[0]!Turno,N$585)</f>
        <v>0</v>
      </c>
      <c r="O606" s="72">
        <f>SUMIFS([0]!Otro,[0]!Centro,B606,[0]!Turno,O$585)</f>
        <v>0</v>
      </c>
      <c r="P606" s="72">
        <f>SUMIFS([0]!Otro,[0]!Centro,B606,[0]!Turno,P$585)</f>
        <v>0</v>
      </c>
      <c r="Q606" s="72">
        <f>SUMIFS([0]!Otro,[0]!Centro,B606,[0]!Turno,Q$585)</f>
        <v>0</v>
      </c>
      <c r="R606" s="72">
        <f>SUMIFS([0]!Otro,[0]!Centro,B606,[0]!Turno,R$585)</f>
        <v>0</v>
      </c>
      <c r="S606" s="72">
        <f>SUMIFS([0]!Otro,[0]!Centro,B606,[0]!Turno,S$585)</f>
        <v>0</v>
      </c>
      <c r="T606" s="72">
        <f>SUMIFS([0]!Otro,[0]!Centro,B606,[0]!Turno,T$585)</f>
        <v>0</v>
      </c>
      <c r="U606" s="72">
        <f>SUMIFS([0]!Otro,[0]!Centro,B606,[0]!Turno,U$585)</f>
        <v>0</v>
      </c>
      <c r="V606" s="72">
        <f>SUMIFS([0]!Otro,[0]!Centro,B606,[0]!Turno,V$585)</f>
        <v>0</v>
      </c>
      <c r="W606" s="72">
        <f>SUMIFS([0]!Otro,[0]!Centro,B606,[0]!Turno,W$585)</f>
        <v>0</v>
      </c>
      <c r="X606" s="72">
        <f>SUMIFS([0]!Otro,[0]!Centro,B606,[0]!Turno,X$585)</f>
        <v>0</v>
      </c>
      <c r="Y606" s="73">
        <f>SUMIFS([0]!Otro,[0]!Centro,B606,[0]!Turno,Y$585)</f>
        <v>0</v>
      </c>
    </row>
    <row r="607" spans="2:25" ht="15" customHeight="1" x14ac:dyDescent="0.2">
      <c r="B607" s="251"/>
      <c r="C607" s="94">
        <f>E607/SUM(E607:E609)</f>
        <v>0.45584045584045579</v>
      </c>
      <c r="D607" s="63" t="s">
        <v>0</v>
      </c>
      <c r="E607" s="150">
        <f>IF((E604+E605+E606)=0,0,(E604*$B608)/(E604+E605+E606))</f>
        <v>0.2163341223442671</v>
      </c>
      <c r="F607" s="150">
        <f>IF((F604+F605+F606)=0,0,(F604*$B608)/(F604+F605+F606))</f>
        <v>0.25384671071006809</v>
      </c>
      <c r="G607" s="150">
        <f t="shared" ref="G607:Y607" si="2021">IF((G604+G605+G606)=0,0,(G604*$B608)/(G604+G605+G606))</f>
        <v>0.26824255441763339</v>
      </c>
      <c r="H607" s="150">
        <f t="shared" si="2021"/>
        <v>0.30951063971265391</v>
      </c>
      <c r="I607" s="150">
        <f t="shared" si="2021"/>
        <v>0.15496587131191378</v>
      </c>
      <c r="J607" s="150">
        <f t="shared" si="2021"/>
        <v>0.22963692623842064</v>
      </c>
      <c r="K607" s="150">
        <f t="shared" si="2021"/>
        <v>0.18983319235709437</v>
      </c>
      <c r="L607" s="150">
        <f t="shared" si="2021"/>
        <v>0.23244880696787068</v>
      </c>
      <c r="M607" s="150">
        <f t="shared" si="2021"/>
        <v>0.15475531985632696</v>
      </c>
      <c r="N607" s="150">
        <f t="shared" si="2021"/>
        <v>0</v>
      </c>
      <c r="O607" s="150">
        <f t="shared" si="2021"/>
        <v>0</v>
      </c>
      <c r="P607" s="150">
        <f t="shared" si="2021"/>
        <v>0.20339270609688684</v>
      </c>
      <c r="Q607" s="150">
        <f t="shared" si="2021"/>
        <v>0</v>
      </c>
      <c r="R607" s="150">
        <f t="shared" si="2021"/>
        <v>0</v>
      </c>
      <c r="S607" s="150">
        <f t="shared" si="2021"/>
        <v>0</v>
      </c>
      <c r="T607" s="150">
        <f t="shared" si="2021"/>
        <v>0</v>
      </c>
      <c r="U607" s="150">
        <f t="shared" si="2021"/>
        <v>0</v>
      </c>
      <c r="V607" s="150">
        <f t="shared" si="2021"/>
        <v>0</v>
      </c>
      <c r="W607" s="150">
        <f t="shared" si="2021"/>
        <v>0</v>
      </c>
      <c r="X607" s="150">
        <f t="shared" si="2021"/>
        <v>0</v>
      </c>
      <c r="Y607" s="163">
        <f t="shared" si="2021"/>
        <v>0</v>
      </c>
    </row>
    <row r="608" spans="2:25" ht="15" customHeight="1" x14ac:dyDescent="0.2">
      <c r="B608" s="252">
        <v>0.47458298089273598</v>
      </c>
      <c r="C608" s="92">
        <f>E608/SUM(E607:E609)</f>
        <v>0.54415954415954415</v>
      </c>
      <c r="D608" s="61" t="s">
        <v>1</v>
      </c>
      <c r="E608" s="154">
        <f>IF((E604+E605+E606)=0,0,(E605*$B608)/(E604+E605+E606))</f>
        <v>0.25824885854846885</v>
      </c>
      <c r="F608" s="154">
        <f>IF((F604+F605+F606)=0,0,(F605*$B608)/(F604+F605+F606))</f>
        <v>0.22073627018266787</v>
      </c>
      <c r="G608" s="154">
        <f t="shared" ref="G608:O608" si="2022">IF((G604+G605+G606)=0,0,(G605*$B608)/(G604+G605+G606))</f>
        <v>0.20634042647510259</v>
      </c>
      <c r="H608" s="154">
        <f t="shared" si="2022"/>
        <v>0.16507234118008207</v>
      </c>
      <c r="I608" s="154">
        <f t="shared" si="2022"/>
        <v>0.31961710958082218</v>
      </c>
      <c r="J608" s="154">
        <f t="shared" si="2022"/>
        <v>0.24494605465431535</v>
      </c>
      <c r="K608" s="154">
        <f t="shared" si="2022"/>
        <v>0.28474978853564159</v>
      </c>
      <c r="L608" s="154">
        <f t="shared" si="2022"/>
        <v>0.2421341739248653</v>
      </c>
      <c r="M608" s="154">
        <f t="shared" si="2022"/>
        <v>0.31982766103640903</v>
      </c>
      <c r="N608" s="154">
        <f t="shared" si="2022"/>
        <v>0</v>
      </c>
      <c r="O608" s="154">
        <f t="shared" si="2022"/>
        <v>0</v>
      </c>
      <c r="P608" s="154">
        <f>IF((P604+P605+P606)=0,0,(P605*$B608)/(P604+P605+P606))</f>
        <v>0.27119027479584912</v>
      </c>
      <c r="Q608" s="154">
        <f t="shared" ref="Q608:Y608" si="2023">IF((Q604+Q605+Q606)=0,0,(Q605*$B608)/(Q604+Q605+Q606))</f>
        <v>0</v>
      </c>
      <c r="R608" s="154">
        <f t="shared" si="2023"/>
        <v>0</v>
      </c>
      <c r="S608" s="154">
        <f t="shared" si="2023"/>
        <v>0</v>
      </c>
      <c r="T608" s="154">
        <f t="shared" si="2023"/>
        <v>0</v>
      </c>
      <c r="U608" s="154">
        <f t="shared" si="2023"/>
        <v>0</v>
      </c>
      <c r="V608" s="154">
        <f t="shared" si="2023"/>
        <v>0</v>
      </c>
      <c r="W608" s="154">
        <f t="shared" si="2023"/>
        <v>0</v>
      </c>
      <c r="X608" s="154">
        <f t="shared" si="2023"/>
        <v>0</v>
      </c>
      <c r="Y608" s="159">
        <f t="shared" si="2023"/>
        <v>0</v>
      </c>
    </row>
    <row r="609" spans="2:25" ht="15" customHeight="1" thickBot="1" x14ac:dyDescent="0.25">
      <c r="B609" s="253"/>
      <c r="C609" s="93">
        <f>E609/SUM(E607:E609)</f>
        <v>0</v>
      </c>
      <c r="D609" s="75" t="s">
        <v>2</v>
      </c>
      <c r="E609" s="155">
        <f>IF((E604+E605+E606)=0,0,(E606*$B608)/(E604+E605+E606))</f>
        <v>0</v>
      </c>
      <c r="F609" s="155">
        <f>IF((F604+F605+F606)=0,0,(F606*$B608)/(F604+F605+F606))</f>
        <v>0</v>
      </c>
      <c r="G609" s="155">
        <f t="shared" ref="G609:Y609" si="2024">IF((G604+G605+G606)=0,0,(G606*$B608)/(G604+G605+G606))</f>
        <v>0</v>
      </c>
      <c r="H609" s="155">
        <f t="shared" si="2024"/>
        <v>0</v>
      </c>
      <c r="I609" s="155">
        <f t="shared" si="2024"/>
        <v>0</v>
      </c>
      <c r="J609" s="155">
        <f t="shared" si="2024"/>
        <v>0</v>
      </c>
      <c r="K609" s="155">
        <f t="shared" si="2024"/>
        <v>0</v>
      </c>
      <c r="L609" s="155">
        <f t="shared" si="2024"/>
        <v>0</v>
      </c>
      <c r="M609" s="155">
        <f t="shared" si="2024"/>
        <v>0</v>
      </c>
      <c r="N609" s="155">
        <f t="shared" si="2024"/>
        <v>0</v>
      </c>
      <c r="O609" s="155">
        <f t="shared" si="2024"/>
        <v>0</v>
      </c>
      <c r="P609" s="155">
        <f t="shared" si="2024"/>
        <v>0</v>
      </c>
      <c r="Q609" s="155">
        <f t="shared" si="2024"/>
        <v>0</v>
      </c>
      <c r="R609" s="155">
        <f t="shared" si="2024"/>
        <v>0</v>
      </c>
      <c r="S609" s="155">
        <f t="shared" si="2024"/>
        <v>0</v>
      </c>
      <c r="T609" s="155">
        <f t="shared" si="2024"/>
        <v>0</v>
      </c>
      <c r="U609" s="155">
        <f t="shared" si="2024"/>
        <v>0</v>
      </c>
      <c r="V609" s="155">
        <f t="shared" si="2024"/>
        <v>0</v>
      </c>
      <c r="W609" s="155">
        <f t="shared" si="2024"/>
        <v>0</v>
      </c>
      <c r="X609" s="155">
        <f t="shared" si="2024"/>
        <v>0</v>
      </c>
      <c r="Y609" s="160">
        <f t="shared" si="2024"/>
        <v>0</v>
      </c>
    </row>
    <row r="610" spans="2:25" ht="15" customHeight="1" x14ac:dyDescent="0.2">
      <c r="B610" s="249" t="s">
        <v>55</v>
      </c>
      <c r="C610" s="91">
        <f>E610/SUM(E610:E612)</f>
        <v>0.54435483870967738</v>
      </c>
      <c r="D610" s="67" t="s">
        <v>0</v>
      </c>
      <c r="E610" s="68">
        <f t="shared" si="2004"/>
        <v>135</v>
      </c>
      <c r="F610" s="68">
        <f>SUMIFS([0]!Chavez,[0]!Centro,B612,[0]!Turno,F$585)</f>
        <v>25</v>
      </c>
      <c r="G610" s="68">
        <f>SUMIFS([0]!Chavez,[0]!Centro,B612,[0]!Turno,G$585)</f>
        <v>30</v>
      </c>
      <c r="H610" s="68">
        <f>SUMIFS([0]!Chavez,[0]!Centro,B612,[0]!Turno,H$585)</f>
        <v>18</v>
      </c>
      <c r="I610" s="68">
        <f>SUMIFS([0]!Chavez,[0]!Centro,B612,[0]!Turno,I$585)</f>
        <v>8</v>
      </c>
      <c r="J610" s="68">
        <f>SUMIFS([0]!Chavez,[0]!Centro,B612,[0]!Turno,J$585)</f>
        <v>14</v>
      </c>
      <c r="K610" s="68">
        <f>SUMIFS([0]!Chavez,[0]!Centro,B612,[0]!Turno,K$585)</f>
        <v>10</v>
      </c>
      <c r="L610" s="68">
        <f>SUMIFS([0]!Chavez,[0]!Centro,B612,[0]!Turno,L$585)</f>
        <v>10</v>
      </c>
      <c r="M610" s="68">
        <f>SUMIFS([0]!Chavez,[0]!Centro,B612,[0]!Turno,M$585)</f>
        <v>20</v>
      </c>
      <c r="N610" s="68">
        <f>SUMIFS([0]!Chavez,[0]!Centro,B612,[0]!Turno,N$585)</f>
        <v>0</v>
      </c>
      <c r="O610" s="68">
        <f>SUMIFS([0]!Chavez,[0]!Centro,B612,[0]!Turno,O$585)</f>
        <v>0</v>
      </c>
      <c r="P610" s="68">
        <f>SUMIFS([0]!Chavez,[0]!Centro,B612,[0]!Turno,P$585)</f>
        <v>0</v>
      </c>
      <c r="Q610" s="68">
        <f>SUMIFS([0]!Chavez,[0]!Centro,B612,[0]!Turno,Q$585)</f>
        <v>0</v>
      </c>
      <c r="R610" s="68">
        <f>SUMIFS([0]!Chavez,[0]!Centro,B612,[0]!Turno,R$585)</f>
        <v>0</v>
      </c>
      <c r="S610" s="68">
        <f>SUMIFS([0]!Chavez,[0]!Centro,B612,[0]!Turno,S$585)</f>
        <v>0</v>
      </c>
      <c r="T610" s="68">
        <f>SUMIFS([0]!Chavez,[0]!Centro,B612,[0]!Turno,T$585)</f>
        <v>0</v>
      </c>
      <c r="U610" s="68">
        <f>SUMIFS([0]!Chavez,[0]!Centro,B612,[0]!Turno,U$585)</f>
        <v>0</v>
      </c>
      <c r="V610" s="68">
        <f>SUMIFS([0]!Chavez,[0]!Centro,B612,[0]!Turno,V$585)</f>
        <v>0</v>
      </c>
      <c r="W610" s="68">
        <f>SUMIFS([0]!Chavez,[0]!Centro,B612,[0]!Turno,W$585)</f>
        <v>0</v>
      </c>
      <c r="X610" s="68">
        <f>SUMIFS([0]!Chavez,[0]!Centro,B612,[0]!Turno,X$585)</f>
        <v>0</v>
      </c>
      <c r="Y610" s="69">
        <f>SUMIFS([0]!Chavez,[0]!Centro,B612,[0]!Turno,Y$585)</f>
        <v>0</v>
      </c>
    </row>
    <row r="611" spans="2:25" ht="15" customHeight="1" x14ac:dyDescent="0.2">
      <c r="B611" s="250"/>
      <c r="C611" s="92">
        <f>E611/SUM(E610:E612)</f>
        <v>0.42338709677419356</v>
      </c>
      <c r="D611" s="61" t="s">
        <v>1</v>
      </c>
      <c r="E611" s="62">
        <f t="shared" si="2004"/>
        <v>105</v>
      </c>
      <c r="F611" s="62">
        <f>SUMIFS([0]!Capriles,[0]!Centro,B612,[0]!Turno,F$585)</f>
        <v>19</v>
      </c>
      <c r="G611" s="62">
        <f>SUMIFS([0]!Capriles,[0]!Centro,B612,[0]!Turno,G$585)</f>
        <v>21</v>
      </c>
      <c r="H611" s="62">
        <f>SUMIFS([0]!Capriles,[0]!Centro,B612,[0]!Turno,H$585)</f>
        <v>19</v>
      </c>
      <c r="I611" s="62">
        <f>SUMIFS([0]!Capriles,[0]!Centro,B612,[0]!Turno,I$585)</f>
        <v>12</v>
      </c>
      <c r="J611" s="62">
        <f>SUMIFS([0]!Capriles,[0]!Centro,B612,[0]!Turno,J$585)</f>
        <v>6</v>
      </c>
      <c r="K611" s="62">
        <f>SUMIFS([0]!Capriles,[0]!Centro,B612,[0]!Turno,K$585)</f>
        <v>8</v>
      </c>
      <c r="L611" s="62">
        <f>SUMIFS([0]!Capriles,[0]!Centro,B612,[0]!Turno,L$585)</f>
        <v>7</v>
      </c>
      <c r="M611" s="62">
        <f>SUMIFS([0]!Capriles,[0]!Centro,B612,[0]!Turno,M$585)</f>
        <v>13</v>
      </c>
      <c r="N611" s="62">
        <f>SUMIFS([0]!Capriles,[0]!Centro,B612,[0]!Turno,N$585)</f>
        <v>0</v>
      </c>
      <c r="O611" s="62">
        <f>SUMIFS([0]!Capriles,[0]!Centro,B612,[0]!Turno,O$585)</f>
        <v>0</v>
      </c>
      <c r="P611" s="62">
        <f>SUMIFS([0]!Capriles,[0]!Centro,B612,[0]!Turno,P$585)</f>
        <v>0</v>
      </c>
      <c r="Q611" s="62">
        <f>SUMIFS([0]!Capriles,[0]!Centro,B612,[0]!Turno,Q$585)</f>
        <v>0</v>
      </c>
      <c r="R611" s="62">
        <f>SUMIFS([0]!Capriles,[0]!Centro,B612,[0]!Turno,R$585)</f>
        <v>0</v>
      </c>
      <c r="S611" s="62">
        <f>SUMIFS([0]!Capriles,[0]!Centro,B612,[0]!Turno,S$585)</f>
        <v>0</v>
      </c>
      <c r="T611" s="62">
        <f>SUMIFS([0]!Capriles,[0]!Centro,B612,[0]!Turno,T$585)</f>
        <v>0</v>
      </c>
      <c r="U611" s="62">
        <f>SUMIFS([0]!Capriles,[0]!Centro,B612,[0]!Turno,U$585)</f>
        <v>0</v>
      </c>
      <c r="V611" s="62">
        <f>SUMIFS([0]!Capriles,[0]!Centro,B612,[0]!Turno,V$585)</f>
        <v>0</v>
      </c>
      <c r="W611" s="62">
        <f>SUMIFS([0]!Capriles,[0]!Centro,B612,[0]!Turno,W$585)</f>
        <v>0</v>
      </c>
      <c r="X611" s="62">
        <f>SUMIFS([0]!Capriles,[0]!Centro,B612,[0]!Turno,X$585)</f>
        <v>0</v>
      </c>
      <c r="Y611" s="70">
        <f>SUMIFS([0]!Capriles,[0]!Centro,B612,[0]!Turno,Y$585)</f>
        <v>0</v>
      </c>
    </row>
    <row r="612" spans="2:25" ht="15" customHeight="1" thickBot="1" x14ac:dyDescent="0.25">
      <c r="B612" s="251">
        <v>84</v>
      </c>
      <c r="C612" s="100">
        <f>E612/SUM(E610:E612)</f>
        <v>3.2258064516129031E-2</v>
      </c>
      <c r="D612" s="71" t="s">
        <v>2</v>
      </c>
      <c r="E612" s="72">
        <f t="shared" si="2004"/>
        <v>8</v>
      </c>
      <c r="F612" s="72">
        <f>SUMIFS([0]!Otro,[0]!Centro,B612,[0]!Turno,F$585)</f>
        <v>1</v>
      </c>
      <c r="G612" s="72">
        <f>SUMIFS([0]!Otro,[0]!Centro,B612,[0]!Turno,G$585)</f>
        <v>3</v>
      </c>
      <c r="H612" s="72">
        <f>SUMIFS([0]!Otro,[0]!Centro,B612,[0]!Turno,H$585)</f>
        <v>2</v>
      </c>
      <c r="I612" s="72">
        <f>SUMIFS([0]!Otro,[0]!Centro,B612,[0]!Turno,I$585)</f>
        <v>0</v>
      </c>
      <c r="J612" s="72">
        <f>SUMIFS([0]!Otro,[0]!Centro,B612,[0]!Turno,J$585)</f>
        <v>0</v>
      </c>
      <c r="K612" s="72">
        <f>SUMIFS([0]!Otro,[0]!Centro,B612,[0]!Turno,K$585)</f>
        <v>0</v>
      </c>
      <c r="L612" s="72">
        <f>SUMIFS([0]!Otro,[0]!Centro,B612,[0]!Turno,L$585)</f>
        <v>0</v>
      </c>
      <c r="M612" s="72">
        <f>SUMIFS([0]!Otro,[0]!Centro,B612,[0]!Turno,M$585)</f>
        <v>2</v>
      </c>
      <c r="N612" s="72">
        <f>SUMIFS([0]!Otro,[0]!Centro,B612,[0]!Turno,N$585)</f>
        <v>0</v>
      </c>
      <c r="O612" s="72">
        <f>SUMIFS([0]!Otro,[0]!Centro,B612,[0]!Turno,O$585)</f>
        <v>0</v>
      </c>
      <c r="P612" s="72">
        <f>SUMIFS([0]!Otro,[0]!Centro,B612,[0]!Turno,P$585)</f>
        <v>0</v>
      </c>
      <c r="Q612" s="72">
        <f>SUMIFS([0]!Otro,[0]!Centro,B612,[0]!Turno,Q$585)</f>
        <v>0</v>
      </c>
      <c r="R612" s="72">
        <f>SUMIFS([0]!Otro,[0]!Centro,B612,[0]!Turno,R$585)</f>
        <v>0</v>
      </c>
      <c r="S612" s="72">
        <f>SUMIFS([0]!Otro,[0]!Centro,B612,[0]!Turno,S$585)</f>
        <v>0</v>
      </c>
      <c r="T612" s="72">
        <f>SUMIFS([0]!Otro,[0]!Centro,B612,[0]!Turno,T$585)</f>
        <v>0</v>
      </c>
      <c r="U612" s="72">
        <f>SUMIFS([0]!Otro,[0]!Centro,B612,[0]!Turno,U$585)</f>
        <v>0</v>
      </c>
      <c r="V612" s="72">
        <f>SUMIFS([0]!Otro,[0]!Centro,B612,[0]!Turno,V$585)</f>
        <v>0</v>
      </c>
      <c r="W612" s="72">
        <f>SUMIFS([0]!Otro,[0]!Centro,B612,[0]!Turno,W$585)</f>
        <v>0</v>
      </c>
      <c r="X612" s="72">
        <f>SUMIFS([0]!Otro,[0]!Centro,B612,[0]!Turno,X$585)</f>
        <v>0</v>
      </c>
      <c r="Y612" s="73">
        <f>SUMIFS([0]!Otro,[0]!Centro,B612,[0]!Turno,Y$585)</f>
        <v>0</v>
      </c>
    </row>
    <row r="613" spans="2:25" ht="15" customHeight="1" x14ac:dyDescent="0.2">
      <c r="B613" s="251"/>
      <c r="C613" s="94">
        <f>E613/SUM(E613:E615)</f>
        <v>0.54435483870967727</v>
      </c>
      <c r="D613" s="63" t="s">
        <v>0</v>
      </c>
      <c r="E613" s="150">
        <f>IF((E610+E611+E612)=0,0,(E610*$B614)/(E610+E611+E612))</f>
        <v>5.5343509346463017E-2</v>
      </c>
      <c r="F613" s="150">
        <f>IF((F610+F611+F612)=0,0,(F610*$B614)/(F610+F611+F612))</f>
        <v>5.648226468281E-2</v>
      </c>
      <c r="G613" s="150">
        <f t="shared" ref="G613:Y613" si="2025">IF((G610+G611+G612)=0,0,(G610*$B614)/(G610+G611+G612))</f>
        <v>5.6482264682809993E-2</v>
      </c>
      <c r="H613" s="150">
        <f t="shared" si="2025"/>
        <v>4.6923727582642148E-2</v>
      </c>
      <c r="I613" s="150">
        <f t="shared" si="2025"/>
        <v>4.0667230571623199E-2</v>
      </c>
      <c r="J613" s="150">
        <f t="shared" si="2025"/>
        <v>7.11676535003406E-2</v>
      </c>
      <c r="K613" s="150">
        <f t="shared" si="2025"/>
        <v>5.648226468281E-2</v>
      </c>
      <c r="L613" s="150">
        <f t="shared" si="2025"/>
        <v>5.9804750840622353E-2</v>
      </c>
      <c r="M613" s="150">
        <f t="shared" si="2025"/>
        <v>5.8096043673747426E-2</v>
      </c>
      <c r="N613" s="150">
        <f t="shared" si="2025"/>
        <v>0</v>
      </c>
      <c r="O613" s="150">
        <f t="shared" si="2025"/>
        <v>0</v>
      </c>
      <c r="P613" s="150">
        <f t="shared" si="2025"/>
        <v>0</v>
      </c>
      <c r="Q613" s="150">
        <f t="shared" si="2025"/>
        <v>0</v>
      </c>
      <c r="R613" s="150">
        <f t="shared" si="2025"/>
        <v>0</v>
      </c>
      <c r="S613" s="150">
        <f t="shared" si="2025"/>
        <v>0</v>
      </c>
      <c r="T613" s="150">
        <f t="shared" si="2025"/>
        <v>0</v>
      </c>
      <c r="U613" s="150">
        <f t="shared" si="2025"/>
        <v>0</v>
      </c>
      <c r="V613" s="150">
        <f t="shared" si="2025"/>
        <v>0</v>
      </c>
      <c r="W613" s="150">
        <f t="shared" si="2025"/>
        <v>0</v>
      </c>
      <c r="X613" s="150">
        <f t="shared" si="2025"/>
        <v>0</v>
      </c>
      <c r="Y613" s="163">
        <f t="shared" si="2025"/>
        <v>0</v>
      </c>
    </row>
    <row r="614" spans="2:25" ht="15" customHeight="1" x14ac:dyDescent="0.2">
      <c r="B614" s="252">
        <v>0.10166807642905799</v>
      </c>
      <c r="C614" s="92">
        <f>E614/SUM(E613:E615)</f>
        <v>0.42338709677419356</v>
      </c>
      <c r="D614" s="61" t="s">
        <v>1</v>
      </c>
      <c r="E614" s="154">
        <f>IF((E610+E611+E612)=0,0,(E611*$B614)/(E610+E611+E612))</f>
        <v>4.3044951713915688E-2</v>
      </c>
      <c r="F614" s="154">
        <f>IF((F610+F611+F612)=0,0,(F611*$B614)/(F610+F611+F612))</f>
        <v>4.2926521158935596E-2</v>
      </c>
      <c r="G614" s="154">
        <f t="shared" ref="G614:O614" si="2026">IF((G610+G611+G612)=0,0,(G611*$B614)/(G610+G611+G612))</f>
        <v>3.9537585277966997E-2</v>
      </c>
      <c r="H614" s="154">
        <f t="shared" si="2026"/>
        <v>4.9530601337233381E-2</v>
      </c>
      <c r="I614" s="154">
        <f t="shared" si="2026"/>
        <v>6.1000845857434795E-2</v>
      </c>
      <c r="J614" s="154">
        <f t="shared" si="2026"/>
        <v>3.0500422928717397E-2</v>
      </c>
      <c r="K614" s="154">
        <f t="shared" si="2026"/>
        <v>4.5185811746248E-2</v>
      </c>
      <c r="L614" s="154">
        <f t="shared" si="2026"/>
        <v>4.1863325588435647E-2</v>
      </c>
      <c r="M614" s="154">
        <f t="shared" si="2026"/>
        <v>3.776242838793583E-2</v>
      </c>
      <c r="N614" s="154">
        <f t="shared" si="2026"/>
        <v>0</v>
      </c>
      <c r="O614" s="154">
        <f t="shared" si="2026"/>
        <v>0</v>
      </c>
      <c r="P614" s="154">
        <f>IF((P610+P611+P612)=0,0,(P611*$B614)/(P610+P611+P612))</f>
        <v>0</v>
      </c>
      <c r="Q614" s="154">
        <f t="shared" ref="Q614:Y614" si="2027">IF((Q610+Q611+Q612)=0,0,(Q611*$B614)/(Q610+Q611+Q612))</f>
        <v>0</v>
      </c>
      <c r="R614" s="154">
        <f t="shared" si="2027"/>
        <v>0</v>
      </c>
      <c r="S614" s="154">
        <f t="shared" si="2027"/>
        <v>0</v>
      </c>
      <c r="T614" s="154">
        <f t="shared" si="2027"/>
        <v>0</v>
      </c>
      <c r="U614" s="154">
        <f t="shared" si="2027"/>
        <v>0</v>
      </c>
      <c r="V614" s="154">
        <f t="shared" si="2027"/>
        <v>0</v>
      </c>
      <c r="W614" s="154">
        <f t="shared" si="2027"/>
        <v>0</v>
      </c>
      <c r="X614" s="154">
        <f t="shared" si="2027"/>
        <v>0</v>
      </c>
      <c r="Y614" s="159">
        <f t="shared" si="2027"/>
        <v>0</v>
      </c>
    </row>
    <row r="615" spans="2:25" ht="15" customHeight="1" thickBot="1" x14ac:dyDescent="0.25">
      <c r="B615" s="253"/>
      <c r="C615" s="93">
        <f>E615/SUM(E613:E615)</f>
        <v>3.2258064516129031E-2</v>
      </c>
      <c r="D615" s="75" t="s">
        <v>2</v>
      </c>
      <c r="E615" s="155">
        <f>IF((E610+E611+E612)=0,0,(E612*$B614)/(E610+E611+E612))</f>
        <v>3.2796153686792903E-3</v>
      </c>
      <c r="F615" s="155">
        <f>IF((F610+F611+F612)=0,0,(F612*$B614)/(F610+F611+F612))</f>
        <v>2.2592905873123998E-3</v>
      </c>
      <c r="G615" s="155">
        <f t="shared" ref="G615:Y615" si="2028">IF((G610+G611+G612)=0,0,(G612*$B614)/(G610+G611+G612))</f>
        <v>5.6482264682809992E-3</v>
      </c>
      <c r="H615" s="155">
        <f t="shared" si="2028"/>
        <v>5.2137475091824613E-3</v>
      </c>
      <c r="I615" s="155">
        <f t="shared" si="2028"/>
        <v>0</v>
      </c>
      <c r="J615" s="155">
        <f t="shared" si="2028"/>
        <v>0</v>
      </c>
      <c r="K615" s="155">
        <f t="shared" si="2028"/>
        <v>0</v>
      </c>
      <c r="L615" s="155">
        <f t="shared" si="2028"/>
        <v>0</v>
      </c>
      <c r="M615" s="155">
        <f t="shared" si="2028"/>
        <v>5.8096043673747421E-3</v>
      </c>
      <c r="N615" s="155">
        <f t="shared" si="2028"/>
        <v>0</v>
      </c>
      <c r="O615" s="155">
        <f t="shared" si="2028"/>
        <v>0</v>
      </c>
      <c r="P615" s="155">
        <f t="shared" si="2028"/>
        <v>0</v>
      </c>
      <c r="Q615" s="155">
        <f t="shared" si="2028"/>
        <v>0</v>
      </c>
      <c r="R615" s="155">
        <f t="shared" si="2028"/>
        <v>0</v>
      </c>
      <c r="S615" s="155">
        <f t="shared" si="2028"/>
        <v>0</v>
      </c>
      <c r="T615" s="155">
        <f t="shared" si="2028"/>
        <v>0</v>
      </c>
      <c r="U615" s="155">
        <f t="shared" si="2028"/>
        <v>0</v>
      </c>
      <c r="V615" s="155">
        <f t="shared" si="2028"/>
        <v>0</v>
      </c>
      <c r="W615" s="155">
        <f t="shared" si="2028"/>
        <v>0</v>
      </c>
      <c r="X615" s="155">
        <f t="shared" si="2028"/>
        <v>0</v>
      </c>
      <c r="Y615" s="160">
        <f t="shared" si="2028"/>
        <v>0</v>
      </c>
    </row>
    <row r="616" spans="2:25" ht="15" customHeight="1" thickBot="1" x14ac:dyDescent="0.25">
      <c r="B616" s="18" t="s">
        <v>3</v>
      </c>
      <c r="C616" s="24" t="s">
        <v>226</v>
      </c>
      <c r="D616" s="25" t="s">
        <v>4</v>
      </c>
      <c r="E616" s="18" t="s">
        <v>225</v>
      </c>
      <c r="F616" s="19">
        <v>1</v>
      </c>
      <c r="G616" s="19">
        <v>2</v>
      </c>
      <c r="H616" s="19">
        <v>3</v>
      </c>
      <c r="I616" s="19">
        <v>4</v>
      </c>
      <c r="J616" s="19">
        <v>5</v>
      </c>
      <c r="K616" s="19">
        <v>6</v>
      </c>
      <c r="L616" s="19">
        <v>7</v>
      </c>
      <c r="M616" s="19">
        <v>8</v>
      </c>
      <c r="N616" s="19">
        <v>9</v>
      </c>
      <c r="O616" s="19">
        <v>10</v>
      </c>
      <c r="P616" s="19">
        <v>11</v>
      </c>
      <c r="Q616" s="19">
        <v>12</v>
      </c>
      <c r="R616" s="19">
        <v>13</v>
      </c>
      <c r="S616" s="19">
        <v>14</v>
      </c>
      <c r="T616" s="19">
        <v>15</v>
      </c>
      <c r="U616" s="19">
        <v>16</v>
      </c>
      <c r="V616" s="19">
        <v>17</v>
      </c>
      <c r="W616" s="19">
        <v>18</v>
      </c>
      <c r="X616" s="19">
        <v>19</v>
      </c>
      <c r="Y616" s="19">
        <v>20</v>
      </c>
    </row>
    <row r="617" spans="2:25" ht="15" customHeight="1" x14ac:dyDescent="0.2">
      <c r="B617" s="246" t="s">
        <v>39</v>
      </c>
      <c r="C617" s="95">
        <f>E617/SUM(E617:E619)</f>
        <v>0.46133682830930539</v>
      </c>
      <c r="D617" s="81" t="s">
        <v>0</v>
      </c>
      <c r="E617" s="82">
        <f>SUM(F617:Y617)</f>
        <v>1408</v>
      </c>
      <c r="F617" s="82">
        <f t="shared" ref="F617:Y617" si="2029">SUM(F623,F629,F635,F641,F647,F653,F659,F665,F671,F677,F683,F689,F695,F701,F707,F713)</f>
        <v>117</v>
      </c>
      <c r="G617" s="82">
        <f t="shared" si="2029"/>
        <v>108</v>
      </c>
      <c r="H617" s="82">
        <f t="shared" si="2029"/>
        <v>112</v>
      </c>
      <c r="I617" s="82">
        <f t="shared" si="2029"/>
        <v>111</v>
      </c>
      <c r="J617" s="82">
        <f t="shared" si="2029"/>
        <v>132</v>
      </c>
      <c r="K617" s="82">
        <f t="shared" si="2029"/>
        <v>105</v>
      </c>
      <c r="L617" s="82">
        <f t="shared" si="2029"/>
        <v>173</v>
      </c>
      <c r="M617" s="82">
        <f t="shared" ref="M617:M622" si="2030">SUM(M623,M629,M635,M641,M647,M653,M659,M665,M671,M677,M683,M689,M695,M701,M707,M713)</f>
        <v>198</v>
      </c>
      <c r="N617" s="82">
        <f t="shared" si="2029"/>
        <v>141</v>
      </c>
      <c r="O617" s="82">
        <f t="shared" si="2029"/>
        <v>88</v>
      </c>
      <c r="P617" s="82">
        <f t="shared" si="2029"/>
        <v>99</v>
      </c>
      <c r="Q617" s="82">
        <f t="shared" si="2029"/>
        <v>0</v>
      </c>
      <c r="R617" s="82">
        <f t="shared" si="2029"/>
        <v>24</v>
      </c>
      <c r="S617" s="82">
        <f t="shared" si="2029"/>
        <v>0</v>
      </c>
      <c r="T617" s="82">
        <f t="shared" si="2029"/>
        <v>0</v>
      </c>
      <c r="U617" s="82">
        <f t="shared" si="2029"/>
        <v>0</v>
      </c>
      <c r="V617" s="82">
        <f t="shared" si="2029"/>
        <v>0</v>
      </c>
      <c r="W617" s="82">
        <f t="shared" si="2029"/>
        <v>0</v>
      </c>
      <c r="X617" s="82">
        <f t="shared" si="2029"/>
        <v>0</v>
      </c>
      <c r="Y617" s="83">
        <f t="shared" si="2029"/>
        <v>0</v>
      </c>
    </row>
    <row r="618" spans="2:25" ht="15" customHeight="1" x14ac:dyDescent="0.2">
      <c r="B618" s="247"/>
      <c r="C618" s="96">
        <f>E618/SUM(E617:E619)</f>
        <v>0.51114023591087809</v>
      </c>
      <c r="D618" s="79" t="s">
        <v>1</v>
      </c>
      <c r="E618" s="80">
        <f t="shared" ref="E618:E679" si="2031">SUM(F618:Y618)</f>
        <v>1560</v>
      </c>
      <c r="F618" s="80">
        <f t="shared" ref="F618:Y618" si="2032">SUM(F624,F630,F636,F642,F648,F654,F660,F666,F672,F678,F684,F690,F696,F702,F708,F714)</f>
        <v>138</v>
      </c>
      <c r="G618" s="80">
        <f t="shared" si="2032"/>
        <v>140</v>
      </c>
      <c r="H618" s="80">
        <f t="shared" si="2032"/>
        <v>152</v>
      </c>
      <c r="I618" s="80">
        <f t="shared" si="2032"/>
        <v>174</v>
      </c>
      <c r="J618" s="80">
        <f t="shared" si="2032"/>
        <v>155</v>
      </c>
      <c r="K618" s="80">
        <f t="shared" si="2032"/>
        <v>121</v>
      </c>
      <c r="L618" s="80">
        <f t="shared" si="2032"/>
        <v>140</v>
      </c>
      <c r="M618" s="80">
        <f t="shared" si="2030"/>
        <v>154</v>
      </c>
      <c r="N618" s="80">
        <f t="shared" si="2032"/>
        <v>168</v>
      </c>
      <c r="O618" s="80">
        <f t="shared" si="2032"/>
        <v>81</v>
      </c>
      <c r="P618" s="80">
        <f t="shared" si="2032"/>
        <v>105</v>
      </c>
      <c r="Q618" s="80">
        <f t="shared" si="2032"/>
        <v>0</v>
      </c>
      <c r="R618" s="80">
        <f t="shared" si="2032"/>
        <v>32</v>
      </c>
      <c r="S618" s="80">
        <f t="shared" si="2032"/>
        <v>0</v>
      </c>
      <c r="T618" s="80">
        <f t="shared" si="2032"/>
        <v>0</v>
      </c>
      <c r="U618" s="80">
        <f t="shared" si="2032"/>
        <v>0</v>
      </c>
      <c r="V618" s="80">
        <f t="shared" si="2032"/>
        <v>0</v>
      </c>
      <c r="W618" s="80">
        <f t="shared" si="2032"/>
        <v>0</v>
      </c>
      <c r="X618" s="80">
        <f t="shared" si="2032"/>
        <v>0</v>
      </c>
      <c r="Y618" s="84">
        <f t="shared" si="2032"/>
        <v>0</v>
      </c>
    </row>
    <row r="619" spans="2:25" ht="15" customHeight="1" thickBot="1" x14ac:dyDescent="0.25">
      <c r="B619" s="247"/>
      <c r="C619" s="97">
        <f>E619/SUM(E617:E619)</f>
        <v>2.7522935779816515E-2</v>
      </c>
      <c r="D619" s="86" t="s">
        <v>2</v>
      </c>
      <c r="E619" s="87">
        <f t="shared" si="2031"/>
        <v>84</v>
      </c>
      <c r="F619" s="87">
        <f t="shared" ref="F619:Y619" si="2033">SUM(F625,F631,F637,F643,F649,F655,F661,F667,F673,F679,F685,F691,F697,F703,F709,F715)</f>
        <v>19</v>
      </c>
      <c r="G619" s="87">
        <f t="shared" si="2033"/>
        <v>1</v>
      </c>
      <c r="H619" s="87">
        <f t="shared" si="2033"/>
        <v>5</v>
      </c>
      <c r="I619" s="87">
        <f t="shared" si="2033"/>
        <v>10</v>
      </c>
      <c r="J619" s="87">
        <f t="shared" si="2033"/>
        <v>13</v>
      </c>
      <c r="K619" s="87">
        <f t="shared" si="2033"/>
        <v>10</v>
      </c>
      <c r="L619" s="87">
        <f t="shared" si="2033"/>
        <v>3</v>
      </c>
      <c r="M619" s="87">
        <f t="shared" si="2030"/>
        <v>12</v>
      </c>
      <c r="N619" s="87">
        <f t="shared" si="2033"/>
        <v>9</v>
      </c>
      <c r="O619" s="87">
        <f t="shared" si="2033"/>
        <v>0</v>
      </c>
      <c r="P619" s="87">
        <f t="shared" si="2033"/>
        <v>1</v>
      </c>
      <c r="Q619" s="87">
        <f t="shared" si="2033"/>
        <v>0</v>
      </c>
      <c r="R619" s="87">
        <f t="shared" si="2033"/>
        <v>1</v>
      </c>
      <c r="S619" s="87">
        <f t="shared" si="2033"/>
        <v>0</v>
      </c>
      <c r="T619" s="87">
        <f t="shared" si="2033"/>
        <v>0</v>
      </c>
      <c r="U619" s="87">
        <f t="shared" si="2033"/>
        <v>0</v>
      </c>
      <c r="V619" s="87">
        <f t="shared" si="2033"/>
        <v>0</v>
      </c>
      <c r="W619" s="87">
        <f t="shared" si="2033"/>
        <v>0</v>
      </c>
      <c r="X619" s="87">
        <f t="shared" si="2033"/>
        <v>0</v>
      </c>
      <c r="Y619" s="88">
        <f t="shared" si="2033"/>
        <v>0</v>
      </c>
    </row>
    <row r="620" spans="2:25" ht="15" customHeight="1" x14ac:dyDescent="0.2">
      <c r="B620" s="247"/>
      <c r="C620" s="98">
        <f>E620/SUM(E620:E622)</f>
        <v>0.40299658575487296</v>
      </c>
      <c r="D620" s="85" t="s">
        <v>0</v>
      </c>
      <c r="E620" s="151">
        <f t="shared" ref="E620" si="2034">SUM(E626,E632,E638,E644,E650,E656,E662,E668,E674,E680,E686,E692,E698,E704,E710,E716)</f>
        <v>0.37400242671409772</v>
      </c>
      <c r="F620" s="151">
        <f t="shared" ref="F620:Y620" si="2035">SUM(F626,F632,F638,F644,F650,F656,F662,F668,F674,F680,F686,F692,F698,F704,F710,F716)</f>
        <v>0.31387899140639458</v>
      </c>
      <c r="G620" s="151">
        <f t="shared" si="2035"/>
        <v>0.2392800818225885</v>
      </c>
      <c r="H620" s="151">
        <f t="shared" si="2035"/>
        <v>0.26846495826671291</v>
      </c>
      <c r="I620" s="151">
        <f t="shared" si="2035"/>
        <v>0.23910686490631927</v>
      </c>
      <c r="J620" s="151">
        <f t="shared" si="2035"/>
        <v>0.25234592239754439</v>
      </c>
      <c r="K620" s="151">
        <f t="shared" si="2035"/>
        <v>0.19686224491228232</v>
      </c>
      <c r="L620" s="151">
        <f t="shared" si="2035"/>
        <v>0.39814105728615545</v>
      </c>
      <c r="M620" s="151">
        <f t="shared" si="2030"/>
        <v>0.46543939921619049</v>
      </c>
      <c r="N620" s="151">
        <f t="shared" si="2035"/>
        <v>0.34077763309711556</v>
      </c>
      <c r="O620" s="151">
        <f t="shared" si="2035"/>
        <v>0.21267097783410946</v>
      </c>
      <c r="P620" s="151">
        <f t="shared" si="2035"/>
        <v>0.23850137901860113</v>
      </c>
      <c r="Q620" s="151">
        <f t="shared" si="2035"/>
        <v>0</v>
      </c>
      <c r="R620" s="151">
        <f t="shared" si="2035"/>
        <v>0.11388628099158871</v>
      </c>
      <c r="S620" s="151">
        <f t="shared" si="2035"/>
        <v>0</v>
      </c>
      <c r="T620" s="151">
        <f t="shared" si="2035"/>
        <v>0</v>
      </c>
      <c r="U620" s="151">
        <f t="shared" si="2035"/>
        <v>0</v>
      </c>
      <c r="V620" s="151">
        <f t="shared" si="2035"/>
        <v>0</v>
      </c>
      <c r="W620" s="151">
        <f t="shared" si="2035"/>
        <v>0</v>
      </c>
      <c r="X620" s="151">
        <f t="shared" si="2035"/>
        <v>0</v>
      </c>
      <c r="Y620" s="156">
        <f t="shared" si="2035"/>
        <v>0</v>
      </c>
    </row>
    <row r="621" spans="2:25" ht="15" customHeight="1" x14ac:dyDescent="0.2">
      <c r="B621" s="247"/>
      <c r="C621" s="96">
        <f>E621/SUM(E620:E622)</f>
        <v>0.57534752137354439</v>
      </c>
      <c r="D621" s="79" t="s">
        <v>1</v>
      </c>
      <c r="E621" s="152">
        <f t="shared" ref="E621" si="2036">SUM(E627,E633,E639,E645,E651,E657,E663,E669,E675,E681,E687,E693,E699,E705,E711,E717)</f>
        <v>0.53395333063326056</v>
      </c>
      <c r="F621" s="152">
        <f t="shared" ref="F621:Y621" si="2037">SUM(F627,F633,F639,F645,F651,F657,F663,F669,F675,F681,F687,F693,F699,F705,F711,F717)</f>
        <v>0.49505512854300893</v>
      </c>
      <c r="G621" s="152">
        <f t="shared" si="2037"/>
        <v>0.52174817967927012</v>
      </c>
      <c r="H621" s="152">
        <f t="shared" si="2037"/>
        <v>0.44759437543608005</v>
      </c>
      <c r="I621" s="152">
        <f t="shared" si="2037"/>
        <v>0.5285218364480665</v>
      </c>
      <c r="J621" s="152">
        <f t="shared" si="2037"/>
        <v>0.41333794737584489</v>
      </c>
      <c r="K621" s="152">
        <f t="shared" si="2037"/>
        <v>0.42876998453252246</v>
      </c>
      <c r="L621" s="152">
        <f t="shared" si="2037"/>
        <v>0.5156220687378853</v>
      </c>
      <c r="M621" s="152">
        <f t="shared" si="2030"/>
        <v>0.45176780144523249</v>
      </c>
      <c r="N621" s="152">
        <f t="shared" si="2037"/>
        <v>0.46615317998731393</v>
      </c>
      <c r="O621" s="152">
        <f t="shared" si="2037"/>
        <v>0.19067693062696495</v>
      </c>
      <c r="P621" s="152">
        <f t="shared" si="2037"/>
        <v>0.37318812392719719</v>
      </c>
      <c r="Q621" s="152">
        <f t="shared" si="2037"/>
        <v>0</v>
      </c>
      <c r="R621" s="152">
        <f t="shared" si="2037"/>
        <v>0.27609788244029643</v>
      </c>
      <c r="S621" s="152">
        <f t="shared" si="2037"/>
        <v>0</v>
      </c>
      <c r="T621" s="152">
        <f t="shared" si="2037"/>
        <v>0</v>
      </c>
      <c r="U621" s="152">
        <f t="shared" si="2037"/>
        <v>0</v>
      </c>
      <c r="V621" s="152">
        <f t="shared" si="2037"/>
        <v>0</v>
      </c>
      <c r="W621" s="152">
        <f t="shared" si="2037"/>
        <v>0</v>
      </c>
      <c r="X621" s="152">
        <f t="shared" si="2037"/>
        <v>0</v>
      </c>
      <c r="Y621" s="157">
        <f t="shared" si="2037"/>
        <v>0</v>
      </c>
    </row>
    <row r="622" spans="2:25" ht="15" customHeight="1" thickBot="1" x14ac:dyDescent="0.25">
      <c r="B622" s="248"/>
      <c r="C622" s="99">
        <f>E622/SUM(E620:E622)</f>
        <v>2.1655892871582733E-2</v>
      </c>
      <c r="D622" s="89" t="s">
        <v>2</v>
      </c>
      <c r="E622" s="153">
        <f t="shared" ref="E622" si="2038">SUM(E628,E634,E640,E646,E652,E658,E664,E670,E676,E682,E688,E694,E700,E706,E712,E718)</f>
        <v>2.0097829046023218E-2</v>
      </c>
      <c r="F622" s="153">
        <f t="shared" ref="F622:Y622" si="2039">SUM(F628,F634,F640,F646,F652,F658,F664,F670,F676,F682,F688,F694,F700,F706,F712,F718)</f>
        <v>2.5873724178212123E-2</v>
      </c>
      <c r="G622" s="153">
        <f t="shared" si="2039"/>
        <v>9.8218877299656492E-4</v>
      </c>
      <c r="H622" s="153">
        <f t="shared" si="2039"/>
        <v>1.1397649164821595E-2</v>
      </c>
      <c r="I622" s="153">
        <f t="shared" si="2039"/>
        <v>2.3848761159583596E-2</v>
      </c>
      <c r="J622" s="153">
        <f t="shared" si="2039"/>
        <v>2.5755117856908979E-2</v>
      </c>
      <c r="K622" s="153">
        <f t="shared" si="2039"/>
        <v>1.7621957869060505E-2</v>
      </c>
      <c r="L622" s="153">
        <f t="shared" si="2039"/>
        <v>1.4290460369340899E-2</v>
      </c>
      <c r="M622" s="153">
        <f t="shared" si="2030"/>
        <v>1.0846385731958579E-2</v>
      </c>
      <c r="N622" s="153">
        <f t="shared" si="2039"/>
        <v>1.9893357776431017E-2</v>
      </c>
      <c r="O622" s="153">
        <f t="shared" si="2039"/>
        <v>0</v>
      </c>
      <c r="P622" s="153">
        <f t="shared" si="2039"/>
        <v>1.5650674980445158E-3</v>
      </c>
      <c r="Q622" s="153">
        <f t="shared" si="2039"/>
        <v>0</v>
      </c>
      <c r="R622" s="153">
        <f t="shared" si="2039"/>
        <v>2.5961737980423824E-3</v>
      </c>
      <c r="S622" s="153">
        <f t="shared" si="2039"/>
        <v>0</v>
      </c>
      <c r="T622" s="153">
        <f t="shared" si="2039"/>
        <v>0</v>
      </c>
      <c r="U622" s="153">
        <f t="shared" si="2039"/>
        <v>0</v>
      </c>
      <c r="V622" s="153">
        <f t="shared" si="2039"/>
        <v>0</v>
      </c>
      <c r="W622" s="153">
        <f t="shared" si="2039"/>
        <v>0</v>
      </c>
      <c r="X622" s="153">
        <f t="shared" si="2039"/>
        <v>0</v>
      </c>
      <c r="Y622" s="158">
        <f t="shared" si="2039"/>
        <v>0</v>
      </c>
    </row>
    <row r="623" spans="2:25" ht="15" customHeight="1" x14ac:dyDescent="0.2">
      <c r="B623" s="249" t="s">
        <v>112</v>
      </c>
      <c r="C623" s="91">
        <f>E623/SUM(E623:E625)</f>
        <v>0.5547945205479452</v>
      </c>
      <c r="D623" s="67" t="s">
        <v>0</v>
      </c>
      <c r="E623" s="68">
        <f t="shared" si="2031"/>
        <v>81</v>
      </c>
      <c r="F623" s="68">
        <f>SUMIFS([0]!Chavez,[0]!Centro,B625,[0]!Turno,F$616)</f>
        <v>5</v>
      </c>
      <c r="G623" s="68">
        <f>SUMIFS([0]!Chavez,[0]!Centro,B625,[0]!Turno,G$616)</f>
        <v>0</v>
      </c>
      <c r="H623" s="68">
        <f>SUMIFS([0]!Chavez,[0]!Centro,B625,[0]!Turno,H$616)</f>
        <v>0</v>
      </c>
      <c r="I623" s="68">
        <f>SUMIFS([0]!Chavez,[0]!Centro,B625,[0]!Turno,I$616)</f>
        <v>0</v>
      </c>
      <c r="J623" s="68">
        <f>SUMIFS([0]!Chavez,[0]!Centro,B625,[0]!Turno,J$616)</f>
        <v>0</v>
      </c>
      <c r="K623" s="68">
        <f>SUMIFS([0]!Chavez,[0]!Centro,B625,[0]!Turno,K$616)</f>
        <v>0</v>
      </c>
      <c r="L623" s="68">
        <f>SUMIFS([0]!Chavez,[0]!Centro,B625,[0]!Turno,L$616)</f>
        <v>34</v>
      </c>
      <c r="M623" s="68">
        <f>SUMIFS([0]!Chavez,[0]!Centro,B625,[0]!Turno,M$616)</f>
        <v>16</v>
      </c>
      <c r="N623" s="68">
        <f>SUMIFS([0]!Chavez,[0]!Centro,B625,[0]!Turno,N$616)</f>
        <v>11</v>
      </c>
      <c r="O623" s="68">
        <f>SUMIFS([0]!Chavez,[0]!Centro,B625,[0]!Turno,O$616)</f>
        <v>15</v>
      </c>
      <c r="P623" s="68">
        <f>SUMIFS([0]!Chavez,[0]!Centro,B625,[0]!Turno,P$616)</f>
        <v>0</v>
      </c>
      <c r="Q623" s="68">
        <f>SUMIFS([0]!Chavez,[0]!Centro,B625,[0]!Turno,Q$616)</f>
        <v>0</v>
      </c>
      <c r="R623" s="68">
        <f>SUMIFS([0]!Chavez,[0]!Centro,B625,[0]!Turno,R$616)</f>
        <v>0</v>
      </c>
      <c r="S623" s="68">
        <f>SUMIFS([0]!Chavez,[0]!Centro,B625,[0]!Turno,S$616)</f>
        <v>0</v>
      </c>
      <c r="T623" s="68">
        <f>SUMIFS([0]!Chavez,[0]!Centro,B625,[0]!Turno,T$616)</f>
        <v>0</v>
      </c>
      <c r="U623" s="68">
        <f>SUMIFS([0]!Chavez,[0]!Centro,B625,[0]!Turno,U$616)</f>
        <v>0</v>
      </c>
      <c r="V623" s="68">
        <f>SUMIFS([0]!Chavez,[0]!Centro,B625,[0]!Turno,V$616)</f>
        <v>0</v>
      </c>
      <c r="W623" s="68">
        <f>SUMIFS([0]!Chavez,[0]!Centro,B625,[0]!Turno,W$616)</f>
        <v>0</v>
      </c>
      <c r="X623" s="68">
        <f>SUMIFS([0]!Chavez,[0]!Centro,B625,[0]!Turno,X$616)</f>
        <v>0</v>
      </c>
      <c r="Y623" s="69">
        <f>SUMIFS([0]!Chavez,[0]!Centro,B625,[0]!Turno,Y$616)</f>
        <v>0</v>
      </c>
    </row>
    <row r="624" spans="2:25" ht="15" customHeight="1" x14ac:dyDescent="0.2">
      <c r="B624" s="250"/>
      <c r="C624" s="92">
        <f>E624/SUM(E623:E625)</f>
        <v>0.28082191780821919</v>
      </c>
      <c r="D624" s="61" t="s">
        <v>1</v>
      </c>
      <c r="E624" s="62">
        <f t="shared" si="2031"/>
        <v>41</v>
      </c>
      <c r="F624" s="62">
        <f>SUMIFS([0]!Capriles,[0]!Centro,B625,[0]!Turno,F$616)</f>
        <v>0</v>
      </c>
      <c r="G624" s="62">
        <f>SUMIFS([0]!Capriles,[0]!Centro,B625,[0]!Turno,G$616)</f>
        <v>0</v>
      </c>
      <c r="H624" s="62">
        <f>SUMIFS([0]!Capriles,[0]!Centro,B625,[0]!Turno,H$616)</f>
        <v>0</v>
      </c>
      <c r="I624" s="62">
        <f>SUMIFS([0]!Capriles,[0]!Centro,B625,[0]!Turno,I$616)</f>
        <v>0</v>
      </c>
      <c r="J624" s="62">
        <f>SUMIFS([0]!Capriles,[0]!Centro,B625,[0]!Turno,J$616)</f>
        <v>0</v>
      </c>
      <c r="K624" s="62">
        <f>SUMIFS([0]!Capriles,[0]!Centro,B625,[0]!Turno,K$616)</f>
        <v>0</v>
      </c>
      <c r="L624" s="62">
        <f>SUMIFS([0]!Capriles,[0]!Centro,B625,[0]!Turno,L$616)</f>
        <v>18</v>
      </c>
      <c r="M624" s="62">
        <f>SUMIFS([0]!Capriles,[0]!Centro,B625,[0]!Turno,M$616)</f>
        <v>9</v>
      </c>
      <c r="N624" s="62">
        <f>SUMIFS([0]!Capriles,[0]!Centro,B625,[0]!Turno,N$616)</f>
        <v>9</v>
      </c>
      <c r="O624" s="62">
        <f>SUMIFS([0]!Capriles,[0]!Centro,B625,[0]!Turno,O$616)</f>
        <v>5</v>
      </c>
      <c r="P624" s="62">
        <f>SUMIFS([0]!Capriles,[0]!Centro,B625,[0]!Turno,P$616)</f>
        <v>0</v>
      </c>
      <c r="Q624" s="62">
        <f>SUMIFS([0]!Capriles,[0]!Centro,B625,[0]!Turno,Q$616)</f>
        <v>0</v>
      </c>
      <c r="R624" s="62">
        <f>SUMIFS([0]!Capriles,[0]!Centro,B625,[0]!Turno,R$616)</f>
        <v>0</v>
      </c>
      <c r="S624" s="62">
        <f>SUMIFS([0]!Capriles,[0]!Centro,B625,[0]!Turno,S$616)</f>
        <v>0</v>
      </c>
      <c r="T624" s="62">
        <f>SUMIFS([0]!Capriles,[0]!Centro,B625,[0]!Turno,T$616)</f>
        <v>0</v>
      </c>
      <c r="U624" s="62">
        <f>SUMIFS([0]!Capriles,[0]!Centro,B625,[0]!Turno,U$616)</f>
        <v>0</v>
      </c>
      <c r="V624" s="62">
        <f>SUMIFS([0]!Capriles,[0]!Centro,B625,[0]!Turno,V$616)</f>
        <v>0</v>
      </c>
      <c r="W624" s="62">
        <f>SUMIFS([0]!Capriles,[0]!Centro,B625,[0]!Turno,W$616)</f>
        <v>0</v>
      </c>
      <c r="X624" s="62">
        <f>SUMIFS([0]!Capriles,[0]!Centro,B625,[0]!Turno,X$616)</f>
        <v>0</v>
      </c>
      <c r="Y624" s="70">
        <f>SUMIFS([0]!Capriles,[0]!Centro,B625,[0]!Turno,Y$616)</f>
        <v>0</v>
      </c>
    </row>
    <row r="625" spans="2:25" ht="15" customHeight="1" thickBot="1" x14ac:dyDescent="0.25">
      <c r="B625" s="251">
        <v>85</v>
      </c>
      <c r="C625" s="100">
        <f>E625/SUM(E623:E625)</f>
        <v>0.16438356164383561</v>
      </c>
      <c r="D625" s="71" t="s">
        <v>2</v>
      </c>
      <c r="E625" s="72">
        <f t="shared" si="2031"/>
        <v>24</v>
      </c>
      <c r="F625" s="72">
        <f>SUMIFS([0]!Otro,[0]!Centro,B625,[0]!Turno,F$616)</f>
        <v>15</v>
      </c>
      <c r="G625" s="72">
        <f>SUMIFS([0]!Otro,[0]!Centro,B625,[0]!Turno,G$616)</f>
        <v>0</v>
      </c>
      <c r="H625" s="72">
        <f>SUMIFS([0]!Otro,[0]!Centro,B625,[0]!Turno,H$616)</f>
        <v>0</v>
      </c>
      <c r="I625" s="72">
        <f>SUMIFS([0]!Otro,[0]!Centro,B625,[0]!Turno,I$616)</f>
        <v>0</v>
      </c>
      <c r="J625" s="72">
        <f>SUMIFS([0]!Otro,[0]!Centro,B625,[0]!Turno,J$616)</f>
        <v>0</v>
      </c>
      <c r="K625" s="72">
        <f>SUMIFS([0]!Otro,[0]!Centro,B625,[0]!Turno,K$616)</f>
        <v>0</v>
      </c>
      <c r="L625" s="72">
        <f>SUMIFS([0]!Otro,[0]!Centro,B625,[0]!Turno,L$616)</f>
        <v>0</v>
      </c>
      <c r="M625" s="72">
        <f>SUMIFS([0]!Otro,[0]!Centro,B625,[0]!Turno,M$616)</f>
        <v>9</v>
      </c>
      <c r="N625" s="72">
        <f>SUMIFS([0]!Otro,[0]!Centro,B625,[0]!Turno,N$616)</f>
        <v>0</v>
      </c>
      <c r="O625" s="72">
        <f>SUMIFS([0]!Otro,[0]!Centro,B625,[0]!Turno,O$616)</f>
        <v>0</v>
      </c>
      <c r="P625" s="72">
        <f>SUMIFS([0]!Otro,[0]!Centro,B625,[0]!Turno,P$616)</f>
        <v>0</v>
      </c>
      <c r="Q625" s="72">
        <f>SUMIFS([0]!Otro,[0]!Centro,B625,[0]!Turno,Q$616)</f>
        <v>0</v>
      </c>
      <c r="R625" s="72">
        <f>SUMIFS([0]!Otro,[0]!Centro,B625,[0]!Turno,R$616)</f>
        <v>0</v>
      </c>
      <c r="S625" s="72">
        <f>SUMIFS([0]!Otro,[0]!Centro,B625,[0]!Turno,S$616)</f>
        <v>0</v>
      </c>
      <c r="T625" s="72">
        <f>SUMIFS([0]!Otro,[0]!Centro,B625,[0]!Turno,T$616)</f>
        <v>0</v>
      </c>
      <c r="U625" s="72">
        <f>SUMIFS([0]!Otro,[0]!Centro,B625,[0]!Turno,U$616)</f>
        <v>0</v>
      </c>
      <c r="V625" s="72">
        <f>SUMIFS([0]!Otro,[0]!Centro,B625,[0]!Turno,V$616)</f>
        <v>0</v>
      </c>
      <c r="W625" s="72">
        <f>SUMIFS([0]!Otro,[0]!Centro,B625,[0]!Turno,W$616)</f>
        <v>0</v>
      </c>
      <c r="X625" s="72">
        <f>SUMIFS([0]!Otro,[0]!Centro,B625,[0]!Turno,X$616)</f>
        <v>0</v>
      </c>
      <c r="Y625" s="73">
        <f>SUMIFS([0]!Otro,[0]!Centro,B625,[0]!Turno,Y$616)</f>
        <v>0</v>
      </c>
    </row>
    <row r="626" spans="2:25" ht="15" customHeight="1" x14ac:dyDescent="0.2">
      <c r="B626" s="251"/>
      <c r="C626" s="94">
        <f>E626/SUM(E626:E628)</f>
        <v>0.5547945205479452</v>
      </c>
      <c r="D626" s="63" t="s">
        <v>0</v>
      </c>
      <c r="E626" s="150">
        <f>IF((E623+E624+E625)=0,0,(E623*$B627)/(E623+E624+E625))</f>
        <v>1.6720862593748838E-2</v>
      </c>
      <c r="F626" s="150">
        <f>IF((F623+F624+F625)=0,0,(F623*$B627)/(F623+F624+F625))</f>
        <v>7.534709687306575E-3</v>
      </c>
      <c r="G626" s="150">
        <f t="shared" ref="G626:Y626" si="2040">IF((G623+G624+G625)=0,0,(G623*$B627)/(G623+G624+G625))</f>
        <v>0</v>
      </c>
      <c r="H626" s="150">
        <f t="shared" si="2040"/>
        <v>0</v>
      </c>
      <c r="I626" s="150">
        <f t="shared" si="2040"/>
        <v>0</v>
      </c>
      <c r="J626" s="150">
        <f t="shared" si="2040"/>
        <v>0</v>
      </c>
      <c r="K626" s="150">
        <f t="shared" si="2040"/>
        <v>0</v>
      </c>
      <c r="L626" s="150">
        <f t="shared" si="2040"/>
        <v>1.9706163797571043E-2</v>
      </c>
      <c r="M626" s="150">
        <f t="shared" si="2040"/>
        <v>1.4182982940812376E-2</v>
      </c>
      <c r="N626" s="150">
        <f t="shared" si="2040"/>
        <v>1.6576361312074465E-2</v>
      </c>
      <c r="O626" s="150">
        <f t="shared" si="2040"/>
        <v>2.2604129061919727E-2</v>
      </c>
      <c r="P626" s="150">
        <f t="shared" si="2040"/>
        <v>0</v>
      </c>
      <c r="Q626" s="150">
        <f t="shared" si="2040"/>
        <v>0</v>
      </c>
      <c r="R626" s="150">
        <f t="shared" si="2040"/>
        <v>0</v>
      </c>
      <c r="S626" s="150">
        <f t="shared" si="2040"/>
        <v>0</v>
      </c>
      <c r="T626" s="150">
        <f t="shared" si="2040"/>
        <v>0</v>
      </c>
      <c r="U626" s="150">
        <f t="shared" si="2040"/>
        <v>0</v>
      </c>
      <c r="V626" s="150">
        <f t="shared" si="2040"/>
        <v>0</v>
      </c>
      <c r="W626" s="150">
        <f t="shared" si="2040"/>
        <v>0</v>
      </c>
      <c r="X626" s="150">
        <f t="shared" si="2040"/>
        <v>0</v>
      </c>
      <c r="Y626" s="163">
        <f t="shared" si="2040"/>
        <v>0</v>
      </c>
    </row>
    <row r="627" spans="2:25" ht="15" customHeight="1" x14ac:dyDescent="0.2">
      <c r="B627" s="252">
        <v>3.01388387492263E-2</v>
      </c>
      <c r="C627" s="92">
        <f>E627/SUM(E626:E628)</f>
        <v>0.28082191780821919</v>
      </c>
      <c r="D627" s="61" t="s">
        <v>1</v>
      </c>
      <c r="E627" s="154">
        <f>IF((E623+E624+E625)=0,0,(E624*$B627)/(E623+E624+E625))</f>
        <v>8.4636464980703992E-3</v>
      </c>
      <c r="F627" s="154">
        <f>IF((F623+F624+F625)=0,0,(F624*$B627)/(F623+F624+F625))</f>
        <v>0</v>
      </c>
      <c r="G627" s="154">
        <f t="shared" ref="G627:O627" si="2041">IF((G623+G624+G625)=0,0,(G624*$B627)/(G623+G624+G625))</f>
        <v>0</v>
      </c>
      <c r="H627" s="154">
        <f t="shared" si="2041"/>
        <v>0</v>
      </c>
      <c r="I627" s="154">
        <f t="shared" si="2041"/>
        <v>0</v>
      </c>
      <c r="J627" s="154">
        <f t="shared" si="2041"/>
        <v>0</v>
      </c>
      <c r="K627" s="154">
        <f t="shared" si="2041"/>
        <v>0</v>
      </c>
      <c r="L627" s="154">
        <f t="shared" si="2041"/>
        <v>1.0432674951655257E-2</v>
      </c>
      <c r="M627" s="154">
        <f t="shared" si="2041"/>
        <v>7.977927904206962E-3</v>
      </c>
      <c r="N627" s="154">
        <f t="shared" si="2041"/>
        <v>1.3562477437151835E-2</v>
      </c>
      <c r="O627" s="154">
        <f t="shared" si="2041"/>
        <v>7.534709687306575E-3</v>
      </c>
      <c r="P627" s="154">
        <f>IF((P623+P624+P625)=0,0,(P624*$B627)/(P623+P624+P625))</f>
        <v>0</v>
      </c>
      <c r="Q627" s="154">
        <f t="shared" ref="Q627:Y627" si="2042">IF((Q623+Q624+Q625)=0,0,(Q624*$B627)/(Q623+Q624+Q625))</f>
        <v>0</v>
      </c>
      <c r="R627" s="154">
        <f t="shared" si="2042"/>
        <v>0</v>
      </c>
      <c r="S627" s="154">
        <f t="shared" si="2042"/>
        <v>0</v>
      </c>
      <c r="T627" s="154">
        <f t="shared" si="2042"/>
        <v>0</v>
      </c>
      <c r="U627" s="154">
        <f t="shared" si="2042"/>
        <v>0</v>
      </c>
      <c r="V627" s="154">
        <f t="shared" si="2042"/>
        <v>0</v>
      </c>
      <c r="W627" s="154">
        <f t="shared" si="2042"/>
        <v>0</v>
      </c>
      <c r="X627" s="154">
        <f t="shared" si="2042"/>
        <v>0</v>
      </c>
      <c r="Y627" s="159">
        <f t="shared" si="2042"/>
        <v>0</v>
      </c>
    </row>
    <row r="628" spans="2:25" ht="15" customHeight="1" thickBot="1" x14ac:dyDescent="0.25">
      <c r="B628" s="253"/>
      <c r="C628" s="93">
        <f>E628/SUM(E626:E628)</f>
        <v>0.16438356164383561</v>
      </c>
      <c r="D628" s="75" t="s">
        <v>2</v>
      </c>
      <c r="E628" s="155">
        <f>IF((E623+E624+E625)=0,0,(E625*$B627)/(E623+E624+E625))</f>
        <v>4.9543296574070632E-3</v>
      </c>
      <c r="F628" s="155">
        <f>IF((F623+F624+F625)=0,0,(F625*$B627)/(F623+F624+F625))</f>
        <v>2.2604129061919727E-2</v>
      </c>
      <c r="G628" s="155">
        <f t="shared" ref="G628:Y628" si="2043">IF((G623+G624+G625)=0,0,(G625*$B627)/(G623+G624+G625))</f>
        <v>0</v>
      </c>
      <c r="H628" s="155">
        <f t="shared" si="2043"/>
        <v>0</v>
      </c>
      <c r="I628" s="155">
        <f t="shared" si="2043"/>
        <v>0</v>
      </c>
      <c r="J628" s="155">
        <f t="shared" si="2043"/>
        <v>0</v>
      </c>
      <c r="K628" s="155">
        <f t="shared" si="2043"/>
        <v>0</v>
      </c>
      <c r="L628" s="155">
        <f t="shared" si="2043"/>
        <v>0</v>
      </c>
      <c r="M628" s="155">
        <f t="shared" si="2043"/>
        <v>7.977927904206962E-3</v>
      </c>
      <c r="N628" s="155">
        <f t="shared" si="2043"/>
        <v>0</v>
      </c>
      <c r="O628" s="155">
        <f t="shared" si="2043"/>
        <v>0</v>
      </c>
      <c r="P628" s="155">
        <f t="shared" si="2043"/>
        <v>0</v>
      </c>
      <c r="Q628" s="155">
        <f t="shared" si="2043"/>
        <v>0</v>
      </c>
      <c r="R628" s="155">
        <f t="shared" si="2043"/>
        <v>0</v>
      </c>
      <c r="S628" s="155">
        <f t="shared" si="2043"/>
        <v>0</v>
      </c>
      <c r="T628" s="155">
        <f t="shared" si="2043"/>
        <v>0</v>
      </c>
      <c r="U628" s="155">
        <f t="shared" si="2043"/>
        <v>0</v>
      </c>
      <c r="V628" s="155">
        <f t="shared" si="2043"/>
        <v>0</v>
      </c>
      <c r="W628" s="155">
        <f t="shared" si="2043"/>
        <v>0</v>
      </c>
      <c r="X628" s="155">
        <f t="shared" si="2043"/>
        <v>0</v>
      </c>
      <c r="Y628" s="160">
        <f t="shared" si="2043"/>
        <v>0</v>
      </c>
    </row>
    <row r="629" spans="2:25" ht="15" customHeight="1" x14ac:dyDescent="0.2">
      <c r="B629" s="249" t="s">
        <v>113</v>
      </c>
      <c r="C629" s="91">
        <f>E629/SUM(E629:E631)</f>
        <v>0.31372549019607843</v>
      </c>
      <c r="D629" s="67" t="s">
        <v>0</v>
      </c>
      <c r="E629" s="68">
        <f t="shared" si="2031"/>
        <v>48</v>
      </c>
      <c r="F629" s="68">
        <f>SUMIFS([0]!Chavez,[0]!Centro,B631,[0]!Turno,F$616)</f>
        <v>3</v>
      </c>
      <c r="G629" s="68">
        <f>SUMIFS([0]!Chavez,[0]!Centro,B631,[0]!Turno,G$616)</f>
        <v>3</v>
      </c>
      <c r="H629" s="68">
        <f>SUMIFS([0]!Chavez,[0]!Centro,B631,[0]!Turno,H$616)</f>
        <v>2</v>
      </c>
      <c r="I629" s="68">
        <f>SUMIFS([0]!Chavez,[0]!Centro,B631,[0]!Turno,I$616)</f>
        <v>4</v>
      </c>
      <c r="J629" s="68">
        <f>SUMIFS([0]!Chavez,[0]!Centro,B631,[0]!Turno,J$616)</f>
        <v>0</v>
      </c>
      <c r="K629" s="68">
        <f>SUMIFS([0]!Chavez,[0]!Centro,B631,[0]!Turno,K$616)</f>
        <v>0</v>
      </c>
      <c r="L629" s="68">
        <f>SUMIFS([0]!Chavez,[0]!Centro,B631,[0]!Turno,L$616)</f>
        <v>5</v>
      </c>
      <c r="M629" s="68">
        <f>SUMIFS([0]!Chavez,[0]!Centro,B631,[0]!Turno,M$616)</f>
        <v>8</v>
      </c>
      <c r="N629" s="68">
        <f>SUMIFS([0]!Chavez,[0]!Centro,B631,[0]!Turno,N$616)</f>
        <v>10</v>
      </c>
      <c r="O629" s="68">
        <f>SUMIFS([0]!Chavez,[0]!Centro,B631,[0]!Turno,O$616)</f>
        <v>13</v>
      </c>
      <c r="P629" s="68">
        <f>SUMIFS([0]!Chavez,[0]!Centro,B631,[0]!Turno,P$616)</f>
        <v>0</v>
      </c>
      <c r="Q629" s="68">
        <f>SUMIFS([0]!Chavez,[0]!Centro,B631,[0]!Turno,Q$616)</f>
        <v>0</v>
      </c>
      <c r="R629" s="68">
        <f>SUMIFS([0]!Chavez,[0]!Centro,B631,[0]!Turno,R$616)</f>
        <v>0</v>
      </c>
      <c r="S629" s="68">
        <f>SUMIFS([0]!Chavez,[0]!Centro,B631,[0]!Turno,S$616)</f>
        <v>0</v>
      </c>
      <c r="T629" s="68">
        <f>SUMIFS([0]!Chavez,[0]!Centro,B631,[0]!Turno,T$616)</f>
        <v>0</v>
      </c>
      <c r="U629" s="68">
        <f>SUMIFS([0]!Chavez,[0]!Centro,B631,[0]!Turno,U$616)</f>
        <v>0</v>
      </c>
      <c r="V629" s="68">
        <f>SUMIFS([0]!Chavez,[0]!Centro,B631,[0]!Turno,V$616)</f>
        <v>0</v>
      </c>
      <c r="W629" s="68">
        <f>SUMIFS([0]!Chavez,[0]!Centro,B631,[0]!Turno,W$616)</f>
        <v>0</v>
      </c>
      <c r="X629" s="68">
        <f>SUMIFS([0]!Chavez,[0]!Centro,B631,[0]!Turno,X$616)</f>
        <v>0</v>
      </c>
      <c r="Y629" s="69">
        <f>SUMIFS([0]!Chavez,[0]!Centro,B631,[0]!Turno,Y$616)</f>
        <v>0</v>
      </c>
    </row>
    <row r="630" spans="2:25" ht="15" customHeight="1" x14ac:dyDescent="0.2">
      <c r="B630" s="250"/>
      <c r="C630" s="92">
        <f>E630/SUM(E629:E631)</f>
        <v>0.66666666666666663</v>
      </c>
      <c r="D630" s="61" t="s">
        <v>1</v>
      </c>
      <c r="E630" s="62">
        <f t="shared" si="2031"/>
        <v>102</v>
      </c>
      <c r="F630" s="62">
        <f>SUMIFS([0]!Capriles,[0]!Centro,B631,[0]!Turno,F$616)</f>
        <v>17</v>
      </c>
      <c r="G630" s="62">
        <f>SUMIFS([0]!Capriles,[0]!Centro,B631,[0]!Turno,G$616)</f>
        <v>15</v>
      </c>
      <c r="H630" s="62">
        <f>SUMIFS([0]!Capriles,[0]!Centro,B631,[0]!Turno,H$616)</f>
        <v>17</v>
      </c>
      <c r="I630" s="62">
        <f>SUMIFS([0]!Capriles,[0]!Centro,B631,[0]!Turno,I$616)</f>
        <v>14</v>
      </c>
      <c r="J630" s="62">
        <f>SUMIFS([0]!Capriles,[0]!Centro,B631,[0]!Turno,J$616)</f>
        <v>0</v>
      </c>
      <c r="K630" s="62">
        <f>SUMIFS([0]!Capriles,[0]!Centro,B631,[0]!Turno,K$616)</f>
        <v>0</v>
      </c>
      <c r="L630" s="62">
        <f>SUMIFS([0]!Capriles,[0]!Centro,B631,[0]!Turno,L$616)</f>
        <v>15</v>
      </c>
      <c r="M630" s="62">
        <f>SUMIFS([0]!Capriles,[0]!Centro,B631,[0]!Turno,M$616)</f>
        <v>10</v>
      </c>
      <c r="N630" s="62">
        <f>SUMIFS([0]!Capriles,[0]!Centro,B631,[0]!Turno,N$616)</f>
        <v>7</v>
      </c>
      <c r="O630" s="62">
        <f>SUMIFS([0]!Capriles,[0]!Centro,B631,[0]!Turno,O$616)</f>
        <v>7</v>
      </c>
      <c r="P630" s="62">
        <f>SUMIFS([0]!Capriles,[0]!Centro,B631,[0]!Turno,P$616)</f>
        <v>0</v>
      </c>
      <c r="Q630" s="62">
        <f>SUMIFS([0]!Capriles,[0]!Centro,B631,[0]!Turno,Q$616)</f>
        <v>0</v>
      </c>
      <c r="R630" s="62">
        <f>SUMIFS([0]!Capriles,[0]!Centro,B631,[0]!Turno,R$616)</f>
        <v>0</v>
      </c>
      <c r="S630" s="62">
        <f>SUMIFS([0]!Capriles,[0]!Centro,B631,[0]!Turno,S$616)</f>
        <v>0</v>
      </c>
      <c r="T630" s="62">
        <f>SUMIFS([0]!Capriles,[0]!Centro,B631,[0]!Turno,T$616)</f>
        <v>0</v>
      </c>
      <c r="U630" s="62">
        <f>SUMIFS([0]!Capriles,[0]!Centro,B631,[0]!Turno,U$616)</f>
        <v>0</v>
      </c>
      <c r="V630" s="62">
        <f>SUMIFS([0]!Capriles,[0]!Centro,B631,[0]!Turno,V$616)</f>
        <v>0</v>
      </c>
      <c r="W630" s="62">
        <f>SUMIFS([0]!Capriles,[0]!Centro,B631,[0]!Turno,W$616)</f>
        <v>0</v>
      </c>
      <c r="X630" s="62">
        <f>SUMIFS([0]!Capriles,[0]!Centro,B631,[0]!Turno,X$616)</f>
        <v>0</v>
      </c>
      <c r="Y630" s="70">
        <f>SUMIFS([0]!Capriles,[0]!Centro,B631,[0]!Turno,Y$616)</f>
        <v>0</v>
      </c>
    </row>
    <row r="631" spans="2:25" ht="15" customHeight="1" thickBot="1" x14ac:dyDescent="0.25">
      <c r="B631" s="251">
        <v>86</v>
      </c>
      <c r="C631" s="100">
        <f>E631/SUM(E629:E631)</f>
        <v>1.9607843137254902E-2</v>
      </c>
      <c r="D631" s="71" t="s">
        <v>2</v>
      </c>
      <c r="E631" s="72">
        <f t="shared" si="2031"/>
        <v>3</v>
      </c>
      <c r="F631" s="72">
        <f>SUMIFS([0]!Otro,[0]!Centro,B631,[0]!Turno,F$616)</f>
        <v>0</v>
      </c>
      <c r="G631" s="72">
        <f>SUMIFS([0]!Otro,[0]!Centro,B631,[0]!Turno,G$616)</f>
        <v>0</v>
      </c>
      <c r="H631" s="72">
        <f>SUMIFS([0]!Otro,[0]!Centro,B631,[0]!Turno,H$616)</f>
        <v>1</v>
      </c>
      <c r="I631" s="72">
        <f>SUMIFS([0]!Otro,[0]!Centro,B631,[0]!Turno,I$616)</f>
        <v>2</v>
      </c>
      <c r="J631" s="72">
        <f>SUMIFS([0]!Otro,[0]!Centro,B631,[0]!Turno,J$616)</f>
        <v>0</v>
      </c>
      <c r="K631" s="72">
        <f>SUMIFS([0]!Otro,[0]!Centro,B631,[0]!Turno,K$616)</f>
        <v>0</v>
      </c>
      <c r="L631" s="72">
        <f>SUMIFS([0]!Otro,[0]!Centro,B631,[0]!Turno,L$616)</f>
        <v>0</v>
      </c>
      <c r="M631" s="72">
        <f>SUMIFS([0]!Otro,[0]!Centro,B631,[0]!Turno,M$616)</f>
        <v>0</v>
      </c>
      <c r="N631" s="72">
        <f>SUMIFS([0]!Otro,[0]!Centro,B631,[0]!Turno,N$616)</f>
        <v>0</v>
      </c>
      <c r="O631" s="72">
        <f>SUMIFS([0]!Otro,[0]!Centro,B631,[0]!Turno,O$616)</f>
        <v>0</v>
      </c>
      <c r="P631" s="72">
        <f>SUMIFS([0]!Otro,[0]!Centro,B631,[0]!Turno,P$616)</f>
        <v>0</v>
      </c>
      <c r="Q631" s="72">
        <f>SUMIFS([0]!Otro,[0]!Centro,B631,[0]!Turno,Q$616)</f>
        <v>0</v>
      </c>
      <c r="R631" s="72">
        <f>SUMIFS([0]!Otro,[0]!Centro,B631,[0]!Turno,R$616)</f>
        <v>0</v>
      </c>
      <c r="S631" s="72">
        <f>SUMIFS([0]!Otro,[0]!Centro,B631,[0]!Turno,S$616)</f>
        <v>0</v>
      </c>
      <c r="T631" s="72">
        <f>SUMIFS([0]!Otro,[0]!Centro,B631,[0]!Turno,T$616)</f>
        <v>0</v>
      </c>
      <c r="U631" s="72">
        <f>SUMIFS([0]!Otro,[0]!Centro,B631,[0]!Turno,U$616)</f>
        <v>0</v>
      </c>
      <c r="V631" s="72">
        <f>SUMIFS([0]!Otro,[0]!Centro,B631,[0]!Turno,V$616)</f>
        <v>0</v>
      </c>
      <c r="W631" s="72">
        <f>SUMIFS([0]!Otro,[0]!Centro,B631,[0]!Turno,W$616)</f>
        <v>0</v>
      </c>
      <c r="X631" s="72">
        <f>SUMIFS([0]!Otro,[0]!Centro,B631,[0]!Turno,X$616)</f>
        <v>0</v>
      </c>
      <c r="Y631" s="73">
        <f>SUMIFS([0]!Otro,[0]!Centro,B631,[0]!Turno,Y$616)</f>
        <v>0</v>
      </c>
    </row>
    <row r="632" spans="2:25" ht="15" customHeight="1" x14ac:dyDescent="0.2">
      <c r="B632" s="251"/>
      <c r="C632" s="94">
        <f>E632/SUM(E632:E634)</f>
        <v>0.31372549019607843</v>
      </c>
      <c r="D632" s="63" t="s">
        <v>0</v>
      </c>
      <c r="E632" s="150">
        <f>IF((E629+E630+E631)=0,0,(E629*$B633)/(E629+E630+E631))</f>
        <v>3.8660978397997488E-2</v>
      </c>
      <c r="F632" s="150">
        <f>IF((F629+F630+F631)=0,0,(F629*$B633)/(F629+F630+F631))</f>
        <v>1.848478029654255E-2</v>
      </c>
      <c r="G632" s="150">
        <f t="shared" ref="G632:Y632" si="2044">IF((G629+G630+G631)=0,0,(G629*$B633)/(G629+G630+G631))</f>
        <v>2.0538644773936167E-2</v>
      </c>
      <c r="H632" s="150">
        <f t="shared" si="2044"/>
        <v>1.23231868643617E-2</v>
      </c>
      <c r="I632" s="150">
        <f t="shared" si="2044"/>
        <v>2.46463737287234E-2</v>
      </c>
      <c r="J632" s="150">
        <f t="shared" si="2044"/>
        <v>0</v>
      </c>
      <c r="K632" s="150">
        <f t="shared" si="2044"/>
        <v>0</v>
      </c>
      <c r="L632" s="150">
        <f t="shared" si="2044"/>
        <v>3.0807967160904247E-2</v>
      </c>
      <c r="M632" s="150">
        <f t="shared" si="2044"/>
        <v>5.4769719397163109E-2</v>
      </c>
      <c r="N632" s="150">
        <f t="shared" si="2044"/>
        <v>7.2489334496245283E-2</v>
      </c>
      <c r="O632" s="150">
        <f t="shared" si="2044"/>
        <v>8.0100714618351054E-2</v>
      </c>
      <c r="P632" s="150">
        <f t="shared" si="2044"/>
        <v>0</v>
      </c>
      <c r="Q632" s="150">
        <f t="shared" si="2044"/>
        <v>0</v>
      </c>
      <c r="R632" s="150">
        <f t="shared" si="2044"/>
        <v>0</v>
      </c>
      <c r="S632" s="150">
        <f t="shared" si="2044"/>
        <v>0</v>
      </c>
      <c r="T632" s="150">
        <f t="shared" si="2044"/>
        <v>0</v>
      </c>
      <c r="U632" s="150">
        <f t="shared" si="2044"/>
        <v>0</v>
      </c>
      <c r="V632" s="150">
        <f t="shared" si="2044"/>
        <v>0</v>
      </c>
      <c r="W632" s="150">
        <f t="shared" si="2044"/>
        <v>0</v>
      </c>
      <c r="X632" s="150">
        <f t="shared" si="2044"/>
        <v>0</v>
      </c>
      <c r="Y632" s="163">
        <f t="shared" si="2044"/>
        <v>0</v>
      </c>
    </row>
    <row r="633" spans="2:25" ht="15" customHeight="1" x14ac:dyDescent="0.2">
      <c r="B633" s="252">
        <v>0.123231868643617</v>
      </c>
      <c r="C633" s="92">
        <f>E633/SUM(E632:E634)</f>
        <v>0.66666666666666674</v>
      </c>
      <c r="D633" s="61" t="s">
        <v>1</v>
      </c>
      <c r="E633" s="154">
        <f>IF((E629+E630+E631)=0,0,(E630*$B633)/(E629+E630+E631))</f>
        <v>8.2154579095744668E-2</v>
      </c>
      <c r="F633" s="154">
        <f>IF((F629+F630+F631)=0,0,(F630*$B633)/(F629+F630+F631))</f>
        <v>0.10474708834707444</v>
      </c>
      <c r="G633" s="154">
        <f t="shared" ref="G633:O633" si="2045">IF((G629+G630+G631)=0,0,(G630*$B633)/(G629+G630+G631))</f>
        <v>0.10269322386968084</v>
      </c>
      <c r="H633" s="154">
        <f t="shared" si="2045"/>
        <v>0.10474708834707444</v>
      </c>
      <c r="I633" s="154">
        <f t="shared" si="2045"/>
        <v>8.6262308050531894E-2</v>
      </c>
      <c r="J633" s="154">
        <f t="shared" si="2045"/>
        <v>0</v>
      </c>
      <c r="K633" s="154">
        <f t="shared" si="2045"/>
        <v>0</v>
      </c>
      <c r="L633" s="154">
        <f t="shared" si="2045"/>
        <v>9.2423901482712761E-2</v>
      </c>
      <c r="M633" s="154">
        <f t="shared" si="2045"/>
        <v>6.8462149246453885E-2</v>
      </c>
      <c r="N633" s="154">
        <f t="shared" si="2045"/>
        <v>5.0742534147371704E-2</v>
      </c>
      <c r="O633" s="154">
        <f t="shared" si="2045"/>
        <v>4.3131154025265947E-2</v>
      </c>
      <c r="P633" s="154">
        <f>IF((P629+P630+P631)=0,0,(P630*$B633)/(P629+P630+P631))</f>
        <v>0</v>
      </c>
      <c r="Q633" s="154">
        <f t="shared" ref="Q633:Y633" si="2046">IF((Q629+Q630+Q631)=0,0,(Q630*$B633)/(Q629+Q630+Q631))</f>
        <v>0</v>
      </c>
      <c r="R633" s="154">
        <f t="shared" si="2046"/>
        <v>0</v>
      </c>
      <c r="S633" s="154">
        <f t="shared" si="2046"/>
        <v>0</v>
      </c>
      <c r="T633" s="154">
        <f t="shared" si="2046"/>
        <v>0</v>
      </c>
      <c r="U633" s="154">
        <f t="shared" si="2046"/>
        <v>0</v>
      </c>
      <c r="V633" s="154">
        <f t="shared" si="2046"/>
        <v>0</v>
      </c>
      <c r="W633" s="154">
        <f t="shared" si="2046"/>
        <v>0</v>
      </c>
      <c r="X633" s="154">
        <f t="shared" si="2046"/>
        <v>0</v>
      </c>
      <c r="Y633" s="159">
        <f t="shared" si="2046"/>
        <v>0</v>
      </c>
    </row>
    <row r="634" spans="2:25" ht="15" customHeight="1" thickBot="1" x14ac:dyDescent="0.25">
      <c r="B634" s="253"/>
      <c r="C634" s="93">
        <f>E634/SUM(E632:E634)</f>
        <v>1.9607843137254902E-2</v>
      </c>
      <c r="D634" s="75" t="s">
        <v>2</v>
      </c>
      <c r="E634" s="155">
        <f>IF((E629+E630+E631)=0,0,(E631*$B633)/(E629+E630+E631))</f>
        <v>2.416311149874843E-3</v>
      </c>
      <c r="F634" s="155">
        <f>IF((F629+F630+F631)=0,0,(F631*$B633)/(F629+F630+F631))</f>
        <v>0</v>
      </c>
      <c r="G634" s="155">
        <f t="shared" ref="G634:Y634" si="2047">IF((G629+G630+G631)=0,0,(G631*$B633)/(G629+G630+G631))</f>
        <v>0</v>
      </c>
      <c r="H634" s="155">
        <f t="shared" si="2047"/>
        <v>6.1615934321808501E-3</v>
      </c>
      <c r="I634" s="155">
        <f t="shared" si="2047"/>
        <v>1.23231868643617E-2</v>
      </c>
      <c r="J634" s="155">
        <f t="shared" si="2047"/>
        <v>0</v>
      </c>
      <c r="K634" s="155">
        <f t="shared" si="2047"/>
        <v>0</v>
      </c>
      <c r="L634" s="155">
        <f t="shared" si="2047"/>
        <v>0</v>
      </c>
      <c r="M634" s="155">
        <f t="shared" si="2047"/>
        <v>0</v>
      </c>
      <c r="N634" s="155">
        <f t="shared" si="2047"/>
        <v>0</v>
      </c>
      <c r="O634" s="155">
        <f t="shared" si="2047"/>
        <v>0</v>
      </c>
      <c r="P634" s="155">
        <f t="shared" si="2047"/>
        <v>0</v>
      </c>
      <c r="Q634" s="155">
        <f t="shared" si="2047"/>
        <v>0</v>
      </c>
      <c r="R634" s="155">
        <f t="shared" si="2047"/>
        <v>0</v>
      </c>
      <c r="S634" s="155">
        <f t="shared" si="2047"/>
        <v>0</v>
      </c>
      <c r="T634" s="155">
        <f t="shared" si="2047"/>
        <v>0</v>
      </c>
      <c r="U634" s="155">
        <f t="shared" si="2047"/>
        <v>0</v>
      </c>
      <c r="V634" s="155">
        <f t="shared" si="2047"/>
        <v>0</v>
      </c>
      <c r="W634" s="155">
        <f t="shared" si="2047"/>
        <v>0</v>
      </c>
      <c r="X634" s="155">
        <f t="shared" si="2047"/>
        <v>0</v>
      </c>
      <c r="Y634" s="160">
        <f t="shared" si="2047"/>
        <v>0</v>
      </c>
    </row>
    <row r="635" spans="2:25" ht="15" customHeight="1" x14ac:dyDescent="0.2">
      <c r="B635" s="249" t="s">
        <v>114</v>
      </c>
      <c r="C635" s="91">
        <f>E635/SUM(E635:E637)</f>
        <v>0.5757575757575758</v>
      </c>
      <c r="D635" s="67" t="s">
        <v>0</v>
      </c>
      <c r="E635" s="68">
        <f t="shared" si="2031"/>
        <v>114</v>
      </c>
      <c r="F635" s="68">
        <f>SUMIFS([0]!Chavez,[0]!Centro,B637,[0]!Turno,F$616)</f>
        <v>18</v>
      </c>
      <c r="G635" s="68">
        <f>SUMIFS([0]!Chavez,[0]!Centro,B637,[0]!Turno,G$616)</f>
        <v>18</v>
      </c>
      <c r="H635" s="68">
        <f>SUMIFS([0]!Chavez,[0]!Centro,B637,[0]!Turno,H$616)</f>
        <v>12</v>
      </c>
      <c r="I635" s="68">
        <f>SUMIFS([0]!Chavez,[0]!Centro,B637,[0]!Turno,I$616)</f>
        <v>10</v>
      </c>
      <c r="J635" s="68">
        <f>SUMIFS([0]!Chavez,[0]!Centro,B637,[0]!Turno,J$616)</f>
        <v>0</v>
      </c>
      <c r="K635" s="68">
        <f>SUMIFS([0]!Chavez,[0]!Centro,B637,[0]!Turno,K$616)</f>
        <v>0</v>
      </c>
      <c r="L635" s="68">
        <f>SUMIFS([0]!Chavez,[0]!Centro,B637,[0]!Turno,L$616)</f>
        <v>12</v>
      </c>
      <c r="M635" s="68">
        <f>SUMIFS([0]!Chavez,[0]!Centro,B637,[0]!Turno,M$616)</f>
        <v>9</v>
      </c>
      <c r="N635" s="68">
        <f>SUMIFS([0]!Chavez,[0]!Centro,B637,[0]!Turno,N$616)</f>
        <v>19</v>
      </c>
      <c r="O635" s="68">
        <f>SUMIFS([0]!Chavez,[0]!Centro,B637,[0]!Turno,O$616)</f>
        <v>16</v>
      </c>
      <c r="P635" s="68">
        <f>SUMIFS([0]!Chavez,[0]!Centro,B637,[0]!Turno,P$616)</f>
        <v>0</v>
      </c>
      <c r="Q635" s="68">
        <f>SUMIFS([0]!Chavez,[0]!Centro,B637,[0]!Turno,Q$616)</f>
        <v>0</v>
      </c>
      <c r="R635" s="68">
        <f>SUMIFS([0]!Chavez,[0]!Centro,B637,[0]!Turno,R$616)</f>
        <v>0</v>
      </c>
      <c r="S635" s="68">
        <f>SUMIFS([0]!Chavez,[0]!Centro,B637,[0]!Turno,S$616)</f>
        <v>0</v>
      </c>
      <c r="T635" s="68">
        <f>SUMIFS([0]!Chavez,[0]!Centro,B637,[0]!Turno,T$616)</f>
        <v>0</v>
      </c>
      <c r="U635" s="68">
        <f>SUMIFS([0]!Chavez,[0]!Centro,B637,[0]!Turno,U$616)</f>
        <v>0</v>
      </c>
      <c r="V635" s="68">
        <f>SUMIFS([0]!Chavez,[0]!Centro,B637,[0]!Turno,V$616)</f>
        <v>0</v>
      </c>
      <c r="W635" s="68">
        <f>SUMIFS([0]!Chavez,[0]!Centro,B637,[0]!Turno,W$616)</f>
        <v>0</v>
      </c>
      <c r="X635" s="68">
        <f>SUMIFS([0]!Chavez,[0]!Centro,B637,[0]!Turno,X$616)</f>
        <v>0</v>
      </c>
      <c r="Y635" s="69">
        <f>SUMIFS([0]!Chavez,[0]!Centro,B637,[0]!Turno,Y$616)</f>
        <v>0</v>
      </c>
    </row>
    <row r="636" spans="2:25" ht="15" customHeight="1" x14ac:dyDescent="0.2">
      <c r="B636" s="250"/>
      <c r="C636" s="92">
        <f>E636/SUM(E635:E637)</f>
        <v>0.41414141414141414</v>
      </c>
      <c r="D636" s="61" t="s">
        <v>1</v>
      </c>
      <c r="E636" s="62">
        <f t="shared" si="2031"/>
        <v>82</v>
      </c>
      <c r="F636" s="62">
        <f>SUMIFS([0]!Capriles,[0]!Centro,B637,[0]!Turno,F$616)</f>
        <v>10</v>
      </c>
      <c r="G636" s="62">
        <f>SUMIFS([0]!Capriles,[0]!Centro,B637,[0]!Turno,G$616)</f>
        <v>16</v>
      </c>
      <c r="H636" s="62">
        <f>SUMIFS([0]!Capriles,[0]!Centro,B637,[0]!Turno,H$616)</f>
        <v>14</v>
      </c>
      <c r="I636" s="62">
        <f>SUMIFS([0]!Capriles,[0]!Centro,B637,[0]!Turno,I$616)</f>
        <v>9</v>
      </c>
      <c r="J636" s="62">
        <f>SUMIFS([0]!Capriles,[0]!Centro,B637,[0]!Turno,J$616)</f>
        <v>0</v>
      </c>
      <c r="K636" s="62">
        <f>SUMIFS([0]!Capriles,[0]!Centro,B637,[0]!Turno,K$616)</f>
        <v>0</v>
      </c>
      <c r="L636" s="62">
        <f>SUMIFS([0]!Capriles,[0]!Centro,B637,[0]!Turno,L$616)</f>
        <v>6</v>
      </c>
      <c r="M636" s="62">
        <f>SUMIFS([0]!Capriles,[0]!Centro,B637,[0]!Turno,M$616)</f>
        <v>4</v>
      </c>
      <c r="N636" s="62">
        <f>SUMIFS([0]!Capriles,[0]!Centro,B637,[0]!Turno,N$616)</f>
        <v>13</v>
      </c>
      <c r="O636" s="62">
        <f>SUMIFS([0]!Capriles,[0]!Centro,B637,[0]!Turno,O$616)</f>
        <v>10</v>
      </c>
      <c r="P636" s="62">
        <f>SUMIFS([0]!Capriles,[0]!Centro,B637,[0]!Turno,P$616)</f>
        <v>0</v>
      </c>
      <c r="Q636" s="62">
        <f>SUMIFS([0]!Capriles,[0]!Centro,B637,[0]!Turno,Q$616)</f>
        <v>0</v>
      </c>
      <c r="R636" s="62">
        <f>SUMIFS([0]!Capriles,[0]!Centro,B637,[0]!Turno,R$616)</f>
        <v>0</v>
      </c>
      <c r="S636" s="62">
        <f>SUMIFS([0]!Capriles,[0]!Centro,B637,[0]!Turno,S$616)</f>
        <v>0</v>
      </c>
      <c r="T636" s="62">
        <f>SUMIFS([0]!Capriles,[0]!Centro,B637,[0]!Turno,T$616)</f>
        <v>0</v>
      </c>
      <c r="U636" s="62">
        <f>SUMIFS([0]!Capriles,[0]!Centro,B637,[0]!Turno,U$616)</f>
        <v>0</v>
      </c>
      <c r="V636" s="62">
        <f>SUMIFS([0]!Capriles,[0]!Centro,B637,[0]!Turno,V$616)</f>
        <v>0</v>
      </c>
      <c r="W636" s="62">
        <f>SUMIFS([0]!Capriles,[0]!Centro,B637,[0]!Turno,W$616)</f>
        <v>0</v>
      </c>
      <c r="X636" s="62">
        <f>SUMIFS([0]!Capriles,[0]!Centro,B637,[0]!Turno,X$616)</f>
        <v>0</v>
      </c>
      <c r="Y636" s="70">
        <f>SUMIFS([0]!Capriles,[0]!Centro,B637,[0]!Turno,Y$616)</f>
        <v>0</v>
      </c>
    </row>
    <row r="637" spans="2:25" ht="15" customHeight="1" thickBot="1" x14ac:dyDescent="0.25">
      <c r="B637" s="251">
        <v>87</v>
      </c>
      <c r="C637" s="100">
        <f>E637/SUM(E635:E637)</f>
        <v>1.0101010101010102E-2</v>
      </c>
      <c r="D637" s="71" t="s">
        <v>2</v>
      </c>
      <c r="E637" s="72">
        <f t="shared" si="2031"/>
        <v>2</v>
      </c>
      <c r="F637" s="72">
        <f>SUMIFS([0]!Otro,[0]!Centro,B637,[0]!Turno,F$616)</f>
        <v>0</v>
      </c>
      <c r="G637" s="72">
        <f>SUMIFS([0]!Otro,[0]!Centro,B637,[0]!Turno,G$616)</f>
        <v>0</v>
      </c>
      <c r="H637" s="72">
        <f>SUMIFS([0]!Otro,[0]!Centro,B637,[0]!Turno,H$616)</f>
        <v>1</v>
      </c>
      <c r="I637" s="72">
        <f>SUMIFS([0]!Otro,[0]!Centro,B637,[0]!Turno,I$616)</f>
        <v>1</v>
      </c>
      <c r="J637" s="72">
        <f>SUMIFS([0]!Otro,[0]!Centro,B637,[0]!Turno,J$616)</f>
        <v>0</v>
      </c>
      <c r="K637" s="72">
        <f>SUMIFS([0]!Otro,[0]!Centro,B637,[0]!Turno,K$616)</f>
        <v>0</v>
      </c>
      <c r="L637" s="72">
        <f>SUMIFS([0]!Otro,[0]!Centro,B637,[0]!Turno,L$616)</f>
        <v>0</v>
      </c>
      <c r="M637" s="72">
        <f>SUMIFS([0]!Otro,[0]!Centro,B637,[0]!Turno,M$616)</f>
        <v>0</v>
      </c>
      <c r="N637" s="72">
        <f>SUMIFS([0]!Otro,[0]!Centro,B637,[0]!Turno,N$616)</f>
        <v>0</v>
      </c>
      <c r="O637" s="72">
        <f>SUMIFS([0]!Otro,[0]!Centro,B637,[0]!Turno,O$616)</f>
        <v>0</v>
      </c>
      <c r="P637" s="72">
        <f>SUMIFS([0]!Otro,[0]!Centro,B637,[0]!Turno,P$616)</f>
        <v>0</v>
      </c>
      <c r="Q637" s="72">
        <f>SUMIFS([0]!Otro,[0]!Centro,B637,[0]!Turno,Q$616)</f>
        <v>0</v>
      </c>
      <c r="R637" s="72">
        <f>SUMIFS([0]!Otro,[0]!Centro,B637,[0]!Turno,R$616)</f>
        <v>0</v>
      </c>
      <c r="S637" s="72">
        <f>SUMIFS([0]!Otro,[0]!Centro,B637,[0]!Turno,S$616)</f>
        <v>0</v>
      </c>
      <c r="T637" s="72">
        <f>SUMIFS([0]!Otro,[0]!Centro,B637,[0]!Turno,T$616)</f>
        <v>0</v>
      </c>
      <c r="U637" s="72">
        <f>SUMIFS([0]!Otro,[0]!Centro,B637,[0]!Turno,U$616)</f>
        <v>0</v>
      </c>
      <c r="V637" s="72">
        <f>SUMIFS([0]!Otro,[0]!Centro,B637,[0]!Turno,V$616)</f>
        <v>0</v>
      </c>
      <c r="W637" s="72">
        <f>SUMIFS([0]!Otro,[0]!Centro,B637,[0]!Turno,W$616)</f>
        <v>0</v>
      </c>
      <c r="X637" s="72">
        <f>SUMIFS([0]!Otro,[0]!Centro,B637,[0]!Turno,X$616)</f>
        <v>0</v>
      </c>
      <c r="Y637" s="73">
        <f>SUMIFS([0]!Otro,[0]!Centro,B637,[0]!Turno,Y$616)</f>
        <v>0</v>
      </c>
    </row>
    <row r="638" spans="2:25" ht="15" customHeight="1" x14ac:dyDescent="0.2">
      <c r="B638" s="251"/>
      <c r="C638" s="94">
        <f>E638/SUM(E638:E640)</f>
        <v>0.5757575757575758</v>
      </c>
      <c r="D638" s="63" t="s">
        <v>0</v>
      </c>
      <c r="E638" s="150">
        <f>IF((E635+E636+E637)=0,0,(E635*$B639)/(E635+E636+E637))</f>
        <v>1.2057262282688405E-2</v>
      </c>
      <c r="F638" s="150">
        <f>IF((F635+F636+F637)=0,0,(F635*$B639)/(F635+F636+F637))</f>
        <v>1.3462431947212241E-2</v>
      </c>
      <c r="G638" s="150">
        <f t="shared" ref="G638:Y638" si="2048">IF((G635+G636+G637)=0,0,(G635*$B639)/(G635+G636+G637))</f>
        <v>1.1086708662410082E-2</v>
      </c>
      <c r="H638" s="150">
        <f t="shared" si="2048"/>
        <v>9.3073603585664879E-3</v>
      </c>
      <c r="I638" s="150">
        <f t="shared" si="2048"/>
        <v>1.04707804033873E-2</v>
      </c>
      <c r="J638" s="150">
        <f t="shared" si="2048"/>
        <v>0</v>
      </c>
      <c r="K638" s="150">
        <f t="shared" si="2048"/>
        <v>0</v>
      </c>
      <c r="L638" s="150">
        <f t="shared" si="2048"/>
        <v>1.3961040537849733E-2</v>
      </c>
      <c r="M638" s="150">
        <f t="shared" si="2048"/>
        <v>1.4498003635459337E-2</v>
      </c>
      <c r="N638" s="150">
        <f t="shared" si="2048"/>
        <v>1.2434051729022419E-2</v>
      </c>
      <c r="O638" s="150">
        <f t="shared" si="2048"/>
        <v>1.2887114342630523E-2</v>
      </c>
      <c r="P638" s="150">
        <f t="shared" si="2048"/>
        <v>0</v>
      </c>
      <c r="Q638" s="150">
        <f t="shared" si="2048"/>
        <v>0</v>
      </c>
      <c r="R638" s="150">
        <f t="shared" si="2048"/>
        <v>0</v>
      </c>
      <c r="S638" s="150">
        <f t="shared" si="2048"/>
        <v>0</v>
      </c>
      <c r="T638" s="150">
        <f t="shared" si="2048"/>
        <v>0</v>
      </c>
      <c r="U638" s="150">
        <f t="shared" si="2048"/>
        <v>0</v>
      </c>
      <c r="V638" s="150">
        <f t="shared" si="2048"/>
        <v>0</v>
      </c>
      <c r="W638" s="150">
        <f t="shared" si="2048"/>
        <v>0</v>
      </c>
      <c r="X638" s="150">
        <f t="shared" si="2048"/>
        <v>0</v>
      </c>
      <c r="Y638" s="163">
        <f t="shared" si="2048"/>
        <v>0</v>
      </c>
    </row>
    <row r="639" spans="2:25" ht="15" customHeight="1" x14ac:dyDescent="0.2">
      <c r="B639" s="252">
        <v>2.09415608067746E-2</v>
      </c>
      <c r="C639" s="92">
        <f>E639/SUM(E638:E640)</f>
        <v>0.41414141414141425</v>
      </c>
      <c r="D639" s="61" t="s">
        <v>1</v>
      </c>
      <c r="E639" s="154">
        <f>IF((E635+E636+E637)=0,0,(E636*$B639)/(E635+E636+E637))</f>
        <v>8.672767606846047E-3</v>
      </c>
      <c r="F639" s="154">
        <f>IF((F635+F636+F637)=0,0,(F636*$B639)/(F635+F636+F637))</f>
        <v>7.4791288595623577E-3</v>
      </c>
      <c r="G639" s="154">
        <f t="shared" ref="G639:O639" si="2049">IF((G635+G636+G637)=0,0,(G636*$B639)/(G635+G636+G637))</f>
        <v>9.8548521443645176E-3</v>
      </c>
      <c r="H639" s="154">
        <f t="shared" si="2049"/>
        <v>1.0858587084994238E-2</v>
      </c>
      <c r="I639" s="154">
        <f t="shared" si="2049"/>
        <v>9.4237023630485695E-3</v>
      </c>
      <c r="J639" s="154">
        <f t="shared" si="2049"/>
        <v>0</v>
      </c>
      <c r="K639" s="154">
        <f t="shared" si="2049"/>
        <v>0</v>
      </c>
      <c r="L639" s="154">
        <f t="shared" si="2049"/>
        <v>6.9805202689248664E-3</v>
      </c>
      <c r="M639" s="154">
        <f t="shared" si="2049"/>
        <v>6.4435571713152614E-3</v>
      </c>
      <c r="N639" s="154">
        <f t="shared" si="2049"/>
        <v>8.5075090777521813E-3</v>
      </c>
      <c r="O639" s="154">
        <f t="shared" si="2049"/>
        <v>8.0544464641440772E-3</v>
      </c>
      <c r="P639" s="154">
        <f>IF((P635+P636+P637)=0,0,(P636*$B639)/(P635+P636+P637))</f>
        <v>0</v>
      </c>
      <c r="Q639" s="154">
        <f t="shared" ref="Q639:Y639" si="2050">IF((Q635+Q636+Q637)=0,0,(Q636*$B639)/(Q635+Q636+Q637))</f>
        <v>0</v>
      </c>
      <c r="R639" s="154">
        <f t="shared" si="2050"/>
        <v>0</v>
      </c>
      <c r="S639" s="154">
        <f t="shared" si="2050"/>
        <v>0</v>
      </c>
      <c r="T639" s="154">
        <f t="shared" si="2050"/>
        <v>0</v>
      </c>
      <c r="U639" s="154">
        <f t="shared" si="2050"/>
        <v>0</v>
      </c>
      <c r="V639" s="154">
        <f t="shared" si="2050"/>
        <v>0</v>
      </c>
      <c r="W639" s="154">
        <f t="shared" si="2050"/>
        <v>0</v>
      </c>
      <c r="X639" s="154">
        <f t="shared" si="2050"/>
        <v>0</v>
      </c>
      <c r="Y639" s="159">
        <f t="shared" si="2050"/>
        <v>0</v>
      </c>
    </row>
    <row r="640" spans="2:25" ht="15" customHeight="1" thickBot="1" x14ac:dyDescent="0.25">
      <c r="B640" s="253"/>
      <c r="C640" s="93">
        <f>E640/SUM(E638:E640)</f>
        <v>1.0101010101010102E-2</v>
      </c>
      <c r="D640" s="75" t="s">
        <v>2</v>
      </c>
      <c r="E640" s="155">
        <f>IF((E635+E636+E637)=0,0,(E637*$B639)/(E635+E636+E637))</f>
        <v>2.1153091724014747E-4</v>
      </c>
      <c r="F640" s="155">
        <f>IF((F635+F636+F637)=0,0,(F637*$B639)/(F635+F636+F637))</f>
        <v>0</v>
      </c>
      <c r="G640" s="155">
        <f t="shared" ref="G640:Y640" si="2051">IF((G635+G636+G637)=0,0,(G637*$B639)/(G635+G636+G637))</f>
        <v>0</v>
      </c>
      <c r="H640" s="155">
        <f t="shared" si="2051"/>
        <v>7.756133632138741E-4</v>
      </c>
      <c r="I640" s="155">
        <f t="shared" si="2051"/>
        <v>1.0470780403387301E-3</v>
      </c>
      <c r="J640" s="155">
        <f t="shared" si="2051"/>
        <v>0</v>
      </c>
      <c r="K640" s="155">
        <f t="shared" si="2051"/>
        <v>0</v>
      </c>
      <c r="L640" s="155">
        <f t="shared" si="2051"/>
        <v>0</v>
      </c>
      <c r="M640" s="155">
        <f t="shared" si="2051"/>
        <v>0</v>
      </c>
      <c r="N640" s="155">
        <f t="shared" si="2051"/>
        <v>0</v>
      </c>
      <c r="O640" s="155">
        <f t="shared" si="2051"/>
        <v>0</v>
      </c>
      <c r="P640" s="155">
        <f t="shared" si="2051"/>
        <v>0</v>
      </c>
      <c r="Q640" s="155">
        <f t="shared" si="2051"/>
        <v>0</v>
      </c>
      <c r="R640" s="155">
        <f t="shared" si="2051"/>
        <v>0</v>
      </c>
      <c r="S640" s="155">
        <f t="shared" si="2051"/>
        <v>0</v>
      </c>
      <c r="T640" s="155">
        <f t="shared" si="2051"/>
        <v>0</v>
      </c>
      <c r="U640" s="155">
        <f t="shared" si="2051"/>
        <v>0</v>
      </c>
      <c r="V640" s="155">
        <f t="shared" si="2051"/>
        <v>0</v>
      </c>
      <c r="W640" s="155">
        <f t="shared" si="2051"/>
        <v>0</v>
      </c>
      <c r="X640" s="155">
        <f t="shared" si="2051"/>
        <v>0</v>
      </c>
      <c r="Y640" s="160">
        <f t="shared" si="2051"/>
        <v>0</v>
      </c>
    </row>
    <row r="641" spans="2:25" ht="15" customHeight="1" x14ac:dyDescent="0.2">
      <c r="B641" s="249" t="s">
        <v>115</v>
      </c>
      <c r="C641" s="91">
        <f>E641/SUM(E641:E643)</f>
        <v>0.35</v>
      </c>
      <c r="D641" s="67" t="s">
        <v>0</v>
      </c>
      <c r="E641" s="68">
        <f t="shared" si="2031"/>
        <v>35</v>
      </c>
      <c r="F641" s="68">
        <f>SUMIFS([0]!Chavez,[0]!Centro,B643,[0]!Turno,F$616)</f>
        <v>3</v>
      </c>
      <c r="G641" s="68">
        <f>SUMIFS([0]!Chavez,[0]!Centro,B643,[0]!Turno,G$616)</f>
        <v>7</v>
      </c>
      <c r="H641" s="68">
        <f>SUMIFS([0]!Chavez,[0]!Centro,B643,[0]!Turno,H$616)</f>
        <v>0</v>
      </c>
      <c r="I641" s="68">
        <f>SUMIFS([0]!Chavez,[0]!Centro,B643,[0]!Turno,I$616)</f>
        <v>0</v>
      </c>
      <c r="J641" s="68">
        <f>SUMIFS([0]!Chavez,[0]!Centro,B643,[0]!Turno,J$616)</f>
        <v>0</v>
      </c>
      <c r="K641" s="68">
        <f>SUMIFS([0]!Chavez,[0]!Centro,B643,[0]!Turno,K$616)</f>
        <v>0</v>
      </c>
      <c r="L641" s="68">
        <f>SUMIFS([0]!Chavez,[0]!Centro,B643,[0]!Turno,L$616)</f>
        <v>13</v>
      </c>
      <c r="M641" s="68">
        <f>SUMIFS([0]!Chavez,[0]!Centro,B643,[0]!Turno,M$616)</f>
        <v>8</v>
      </c>
      <c r="N641" s="68">
        <f>SUMIFS([0]!Chavez,[0]!Centro,B643,[0]!Turno,N$616)</f>
        <v>4</v>
      </c>
      <c r="O641" s="68">
        <f>SUMIFS([0]!Chavez,[0]!Centro,B643,[0]!Turno,O$616)</f>
        <v>0</v>
      </c>
      <c r="P641" s="68">
        <f>SUMIFS([0]!Chavez,[0]!Centro,B643,[0]!Turno,P$616)</f>
        <v>0</v>
      </c>
      <c r="Q641" s="68">
        <f>SUMIFS([0]!Chavez,[0]!Centro,B643,[0]!Turno,Q$616)</f>
        <v>0</v>
      </c>
      <c r="R641" s="68">
        <f>SUMIFS([0]!Chavez,[0]!Centro,B643,[0]!Turno,R$616)</f>
        <v>0</v>
      </c>
      <c r="S641" s="68">
        <f>SUMIFS([0]!Chavez,[0]!Centro,B643,[0]!Turno,S$616)</f>
        <v>0</v>
      </c>
      <c r="T641" s="68">
        <f>SUMIFS([0]!Chavez,[0]!Centro,B643,[0]!Turno,T$616)</f>
        <v>0</v>
      </c>
      <c r="U641" s="68">
        <f>SUMIFS([0]!Chavez,[0]!Centro,B643,[0]!Turno,U$616)</f>
        <v>0</v>
      </c>
      <c r="V641" s="68">
        <f>SUMIFS([0]!Chavez,[0]!Centro,B643,[0]!Turno,V$616)</f>
        <v>0</v>
      </c>
      <c r="W641" s="68">
        <f>SUMIFS([0]!Chavez,[0]!Centro,B643,[0]!Turno,W$616)</f>
        <v>0</v>
      </c>
      <c r="X641" s="68">
        <f>SUMIFS([0]!Chavez,[0]!Centro,B643,[0]!Turno,X$616)</f>
        <v>0</v>
      </c>
      <c r="Y641" s="69">
        <f>SUMIFS([0]!Chavez,[0]!Centro,B643,[0]!Turno,Y$616)</f>
        <v>0</v>
      </c>
    </row>
    <row r="642" spans="2:25" ht="15" customHeight="1" x14ac:dyDescent="0.2">
      <c r="B642" s="250"/>
      <c r="C642" s="92">
        <f>E642/SUM(E641:E643)</f>
        <v>0.61</v>
      </c>
      <c r="D642" s="61" t="s">
        <v>1</v>
      </c>
      <c r="E642" s="62">
        <f t="shared" si="2031"/>
        <v>61</v>
      </c>
      <c r="F642" s="62">
        <f>SUMIFS([0]!Capriles,[0]!Centro,B643,[0]!Turno,F$616)</f>
        <v>16</v>
      </c>
      <c r="G642" s="62">
        <f>SUMIFS([0]!Capriles,[0]!Centro,B643,[0]!Turno,G$616)</f>
        <v>12</v>
      </c>
      <c r="H642" s="62">
        <f>SUMIFS([0]!Capriles,[0]!Centro,B643,[0]!Turno,H$616)</f>
        <v>0</v>
      </c>
      <c r="I642" s="62">
        <f>SUMIFS([0]!Capriles,[0]!Centro,B643,[0]!Turno,I$616)</f>
        <v>0</v>
      </c>
      <c r="J642" s="62">
        <f>SUMIFS([0]!Capriles,[0]!Centro,B643,[0]!Turno,J$616)</f>
        <v>0</v>
      </c>
      <c r="K642" s="62">
        <f>SUMIFS([0]!Capriles,[0]!Centro,B643,[0]!Turno,K$616)</f>
        <v>0</v>
      </c>
      <c r="L642" s="62">
        <f>SUMIFS([0]!Capriles,[0]!Centro,B643,[0]!Turno,L$616)</f>
        <v>7</v>
      </c>
      <c r="M642" s="62">
        <f>SUMIFS([0]!Capriles,[0]!Centro,B643,[0]!Turno,M$616)</f>
        <v>12</v>
      </c>
      <c r="N642" s="62">
        <f>SUMIFS([0]!Capriles,[0]!Centro,B643,[0]!Turno,N$616)</f>
        <v>14</v>
      </c>
      <c r="O642" s="62">
        <f>SUMIFS([0]!Capriles,[0]!Centro,B643,[0]!Turno,O$616)</f>
        <v>0</v>
      </c>
      <c r="P642" s="62">
        <f>SUMIFS([0]!Capriles,[0]!Centro,B643,[0]!Turno,P$616)</f>
        <v>0</v>
      </c>
      <c r="Q642" s="62">
        <f>SUMIFS([0]!Capriles,[0]!Centro,B643,[0]!Turno,Q$616)</f>
        <v>0</v>
      </c>
      <c r="R642" s="62">
        <f>SUMIFS([0]!Capriles,[0]!Centro,B643,[0]!Turno,R$616)</f>
        <v>0</v>
      </c>
      <c r="S642" s="62">
        <f>SUMIFS([0]!Capriles,[0]!Centro,B643,[0]!Turno,S$616)</f>
        <v>0</v>
      </c>
      <c r="T642" s="62">
        <f>SUMIFS([0]!Capriles,[0]!Centro,B643,[0]!Turno,T$616)</f>
        <v>0</v>
      </c>
      <c r="U642" s="62">
        <f>SUMIFS([0]!Capriles,[0]!Centro,B643,[0]!Turno,U$616)</f>
        <v>0</v>
      </c>
      <c r="V642" s="62">
        <f>SUMIFS([0]!Capriles,[0]!Centro,B643,[0]!Turno,V$616)</f>
        <v>0</v>
      </c>
      <c r="W642" s="62">
        <f>SUMIFS([0]!Capriles,[0]!Centro,B643,[0]!Turno,W$616)</f>
        <v>0</v>
      </c>
      <c r="X642" s="62">
        <f>SUMIFS([0]!Capriles,[0]!Centro,B643,[0]!Turno,X$616)</f>
        <v>0</v>
      </c>
      <c r="Y642" s="70">
        <f>SUMIFS([0]!Capriles,[0]!Centro,B643,[0]!Turno,Y$616)</f>
        <v>0</v>
      </c>
    </row>
    <row r="643" spans="2:25" ht="15" customHeight="1" thickBot="1" x14ac:dyDescent="0.25">
      <c r="B643" s="251">
        <v>88</v>
      </c>
      <c r="C643" s="100">
        <f>E643/SUM(E641:E643)</f>
        <v>0.04</v>
      </c>
      <c r="D643" s="71" t="s">
        <v>2</v>
      </c>
      <c r="E643" s="72">
        <f t="shared" si="2031"/>
        <v>4</v>
      </c>
      <c r="F643" s="72">
        <f>SUMIFS([0]!Otro,[0]!Centro,B643,[0]!Turno,F$616)</f>
        <v>1</v>
      </c>
      <c r="G643" s="72">
        <f>SUMIFS([0]!Otro,[0]!Centro,B643,[0]!Turno,G$616)</f>
        <v>1</v>
      </c>
      <c r="H643" s="72">
        <f>SUMIFS([0]!Otro,[0]!Centro,B643,[0]!Turno,H$616)</f>
        <v>0</v>
      </c>
      <c r="I643" s="72">
        <f>SUMIFS([0]!Otro,[0]!Centro,B643,[0]!Turno,I$616)</f>
        <v>0</v>
      </c>
      <c r="J643" s="72">
        <f>SUMIFS([0]!Otro,[0]!Centro,B643,[0]!Turno,J$616)</f>
        <v>0</v>
      </c>
      <c r="K643" s="72">
        <f>SUMIFS([0]!Otro,[0]!Centro,B643,[0]!Turno,K$616)</f>
        <v>0</v>
      </c>
      <c r="L643" s="72">
        <f>SUMIFS([0]!Otro,[0]!Centro,B643,[0]!Turno,L$616)</f>
        <v>0</v>
      </c>
      <c r="M643" s="72">
        <f>SUMIFS([0]!Otro,[0]!Centro,B643,[0]!Turno,M$616)</f>
        <v>0</v>
      </c>
      <c r="N643" s="72">
        <f>SUMIFS([0]!Otro,[0]!Centro,B643,[0]!Turno,N$616)</f>
        <v>2</v>
      </c>
      <c r="O643" s="72">
        <f>SUMIFS([0]!Otro,[0]!Centro,B643,[0]!Turno,O$616)</f>
        <v>0</v>
      </c>
      <c r="P643" s="72">
        <f>SUMIFS([0]!Otro,[0]!Centro,B643,[0]!Turno,P$616)</f>
        <v>0</v>
      </c>
      <c r="Q643" s="72">
        <f>SUMIFS([0]!Otro,[0]!Centro,B643,[0]!Turno,Q$616)</f>
        <v>0</v>
      </c>
      <c r="R643" s="72">
        <f>SUMIFS([0]!Otro,[0]!Centro,B643,[0]!Turno,R$616)</f>
        <v>0</v>
      </c>
      <c r="S643" s="72">
        <f>SUMIFS([0]!Otro,[0]!Centro,B643,[0]!Turno,S$616)</f>
        <v>0</v>
      </c>
      <c r="T643" s="72">
        <f>SUMIFS([0]!Otro,[0]!Centro,B643,[0]!Turno,T$616)</f>
        <v>0</v>
      </c>
      <c r="U643" s="72">
        <f>SUMIFS([0]!Otro,[0]!Centro,B643,[0]!Turno,U$616)</f>
        <v>0</v>
      </c>
      <c r="V643" s="72">
        <f>SUMIFS([0]!Otro,[0]!Centro,B643,[0]!Turno,V$616)</f>
        <v>0</v>
      </c>
      <c r="W643" s="72">
        <f>SUMIFS([0]!Otro,[0]!Centro,B643,[0]!Turno,W$616)</f>
        <v>0</v>
      </c>
      <c r="X643" s="72">
        <f>SUMIFS([0]!Otro,[0]!Centro,B643,[0]!Turno,X$616)</f>
        <v>0</v>
      </c>
      <c r="Y643" s="73">
        <f>SUMIFS([0]!Otro,[0]!Centro,B643,[0]!Turno,Y$616)</f>
        <v>0</v>
      </c>
    </row>
    <row r="644" spans="2:25" ht="15" customHeight="1" x14ac:dyDescent="0.2">
      <c r="B644" s="251"/>
      <c r="C644" s="94">
        <f>E644/SUM(E644:E646)</f>
        <v>0.35</v>
      </c>
      <c r="D644" s="63" t="s">
        <v>0</v>
      </c>
      <c r="E644" s="150">
        <f>IF((E641+E642+E643)=0,0,(E641*$B645)/(E641+E642+E643))</f>
        <v>6.8753214109759549E-3</v>
      </c>
      <c r="F644" s="150">
        <f>IF((F641+F642+F643)=0,0,(F641*$B645)/(F641+F642+F643))</f>
        <v>2.9465663189896948E-3</v>
      </c>
      <c r="G644" s="150">
        <f t="shared" ref="G644:Y644" si="2052">IF((G641+G642+G643)=0,0,(G641*$B645)/(G641+G642+G643))</f>
        <v>6.8753214109759557E-3</v>
      </c>
      <c r="H644" s="150">
        <f t="shared" si="2052"/>
        <v>0</v>
      </c>
      <c r="I644" s="150">
        <f t="shared" si="2052"/>
        <v>0</v>
      </c>
      <c r="J644" s="150">
        <f t="shared" si="2052"/>
        <v>0</v>
      </c>
      <c r="K644" s="150">
        <f t="shared" si="2052"/>
        <v>0</v>
      </c>
      <c r="L644" s="150">
        <f t="shared" si="2052"/>
        <v>1.2768454048955344E-2</v>
      </c>
      <c r="M644" s="150">
        <f t="shared" si="2052"/>
        <v>7.8575101839725194E-3</v>
      </c>
      <c r="N644" s="150">
        <f t="shared" si="2052"/>
        <v>3.9287550919862597E-3</v>
      </c>
      <c r="O644" s="150">
        <f t="shared" si="2052"/>
        <v>0</v>
      </c>
      <c r="P644" s="150">
        <f t="shared" si="2052"/>
        <v>0</v>
      </c>
      <c r="Q644" s="150">
        <f t="shared" si="2052"/>
        <v>0</v>
      </c>
      <c r="R644" s="150">
        <f t="shared" si="2052"/>
        <v>0</v>
      </c>
      <c r="S644" s="150">
        <f t="shared" si="2052"/>
        <v>0</v>
      </c>
      <c r="T644" s="150">
        <f t="shared" si="2052"/>
        <v>0</v>
      </c>
      <c r="U644" s="150">
        <f t="shared" si="2052"/>
        <v>0</v>
      </c>
      <c r="V644" s="150">
        <f t="shared" si="2052"/>
        <v>0</v>
      </c>
      <c r="W644" s="150">
        <f t="shared" si="2052"/>
        <v>0</v>
      </c>
      <c r="X644" s="150">
        <f t="shared" si="2052"/>
        <v>0</v>
      </c>
      <c r="Y644" s="163">
        <f t="shared" si="2052"/>
        <v>0</v>
      </c>
    </row>
    <row r="645" spans="2:25" ht="15" customHeight="1" x14ac:dyDescent="0.2">
      <c r="B645" s="252">
        <v>1.96437754599313E-2</v>
      </c>
      <c r="C645" s="92">
        <f>E645/SUM(E644:E646)</f>
        <v>0.61</v>
      </c>
      <c r="D645" s="61" t="s">
        <v>1</v>
      </c>
      <c r="E645" s="154">
        <f>IF((E641+E642+E643)=0,0,(E642*$B645)/(E641+E642+E643))</f>
        <v>1.1982703030558093E-2</v>
      </c>
      <c r="F645" s="154">
        <f>IF((F641+F642+F643)=0,0,(F642*$B645)/(F641+F642+F643))</f>
        <v>1.5715020367945039E-2</v>
      </c>
      <c r="G645" s="154">
        <f t="shared" ref="G645:O645" si="2053">IF((G641+G642+G643)=0,0,(G642*$B645)/(G641+G642+G643))</f>
        <v>1.1786265275958779E-2</v>
      </c>
      <c r="H645" s="154">
        <f t="shared" si="2053"/>
        <v>0</v>
      </c>
      <c r="I645" s="154">
        <f t="shared" si="2053"/>
        <v>0</v>
      </c>
      <c r="J645" s="154">
        <f t="shared" si="2053"/>
        <v>0</v>
      </c>
      <c r="K645" s="154">
        <f t="shared" si="2053"/>
        <v>0</v>
      </c>
      <c r="L645" s="154">
        <f t="shared" si="2053"/>
        <v>6.8753214109759557E-3</v>
      </c>
      <c r="M645" s="154">
        <f t="shared" si="2053"/>
        <v>1.1786265275958779E-2</v>
      </c>
      <c r="N645" s="154">
        <f t="shared" si="2053"/>
        <v>1.3750642821951911E-2</v>
      </c>
      <c r="O645" s="154">
        <f t="shared" si="2053"/>
        <v>0</v>
      </c>
      <c r="P645" s="154">
        <f>IF((P641+P642+P643)=0,0,(P642*$B645)/(P641+P642+P643))</f>
        <v>0</v>
      </c>
      <c r="Q645" s="154">
        <f t="shared" ref="Q645:Y645" si="2054">IF((Q641+Q642+Q643)=0,0,(Q642*$B645)/(Q641+Q642+Q643))</f>
        <v>0</v>
      </c>
      <c r="R645" s="154">
        <f t="shared" si="2054"/>
        <v>0</v>
      </c>
      <c r="S645" s="154">
        <f t="shared" si="2054"/>
        <v>0</v>
      </c>
      <c r="T645" s="154">
        <f t="shared" si="2054"/>
        <v>0</v>
      </c>
      <c r="U645" s="154">
        <f t="shared" si="2054"/>
        <v>0</v>
      </c>
      <c r="V645" s="154">
        <f t="shared" si="2054"/>
        <v>0</v>
      </c>
      <c r="W645" s="154">
        <f t="shared" si="2054"/>
        <v>0</v>
      </c>
      <c r="X645" s="154">
        <f t="shared" si="2054"/>
        <v>0</v>
      </c>
      <c r="Y645" s="159">
        <f t="shared" si="2054"/>
        <v>0</v>
      </c>
    </row>
    <row r="646" spans="2:25" ht="15" customHeight="1" thickBot="1" x14ac:dyDescent="0.25">
      <c r="B646" s="253"/>
      <c r="C646" s="93">
        <f>E646/SUM(E644:E646)</f>
        <v>0.04</v>
      </c>
      <c r="D646" s="75" t="s">
        <v>2</v>
      </c>
      <c r="E646" s="155">
        <f>IF((E641+E642+E643)=0,0,(E643*$B645)/(E641+E642+E643))</f>
        <v>7.8575101839725204E-4</v>
      </c>
      <c r="F646" s="155">
        <f>IF((F641+F642+F643)=0,0,(F643*$B645)/(F641+F642+F643))</f>
        <v>9.8218877299656492E-4</v>
      </c>
      <c r="G646" s="155">
        <f t="shared" ref="G646:Y646" si="2055">IF((G641+G642+G643)=0,0,(G643*$B645)/(G641+G642+G643))</f>
        <v>9.8218877299656492E-4</v>
      </c>
      <c r="H646" s="155">
        <f t="shared" si="2055"/>
        <v>0</v>
      </c>
      <c r="I646" s="155">
        <f t="shared" si="2055"/>
        <v>0</v>
      </c>
      <c r="J646" s="155">
        <f t="shared" si="2055"/>
        <v>0</v>
      </c>
      <c r="K646" s="155">
        <f t="shared" si="2055"/>
        <v>0</v>
      </c>
      <c r="L646" s="155">
        <f t="shared" si="2055"/>
        <v>0</v>
      </c>
      <c r="M646" s="155">
        <f t="shared" si="2055"/>
        <v>0</v>
      </c>
      <c r="N646" s="155">
        <f t="shared" si="2055"/>
        <v>1.9643775459931298E-3</v>
      </c>
      <c r="O646" s="155">
        <f t="shared" si="2055"/>
        <v>0</v>
      </c>
      <c r="P646" s="155">
        <f t="shared" si="2055"/>
        <v>0</v>
      </c>
      <c r="Q646" s="155">
        <f t="shared" si="2055"/>
        <v>0</v>
      </c>
      <c r="R646" s="155">
        <f t="shared" si="2055"/>
        <v>0</v>
      </c>
      <c r="S646" s="155">
        <f t="shared" si="2055"/>
        <v>0</v>
      </c>
      <c r="T646" s="155">
        <f t="shared" si="2055"/>
        <v>0</v>
      </c>
      <c r="U646" s="155">
        <f t="shared" si="2055"/>
        <v>0</v>
      </c>
      <c r="V646" s="155">
        <f t="shared" si="2055"/>
        <v>0</v>
      </c>
      <c r="W646" s="155">
        <f t="shared" si="2055"/>
        <v>0</v>
      </c>
      <c r="X646" s="155">
        <f t="shared" si="2055"/>
        <v>0</v>
      </c>
      <c r="Y646" s="160">
        <f t="shared" si="2055"/>
        <v>0</v>
      </c>
    </row>
    <row r="647" spans="2:25" ht="15" customHeight="1" x14ac:dyDescent="0.2">
      <c r="B647" s="249" t="s">
        <v>116</v>
      </c>
      <c r="C647" s="91" t="e">
        <f>E647/SUM(E647:E649)</f>
        <v>#DIV/0!</v>
      </c>
      <c r="D647" s="67" t="s">
        <v>0</v>
      </c>
      <c r="E647" s="68">
        <f t="shared" si="2031"/>
        <v>0</v>
      </c>
      <c r="F647" s="68">
        <f>SUMIFS([0]!Chavez,[0]!Centro,B649,[0]!Turno,F$616)</f>
        <v>0</v>
      </c>
      <c r="G647" s="68">
        <f>SUMIFS([0]!Chavez,[0]!Centro,B649,[0]!Turno,G$616)</f>
        <v>0</v>
      </c>
      <c r="H647" s="68">
        <f>SUMIFS([0]!Chavez,[0]!Centro,B649,[0]!Turno,H$616)</f>
        <v>0</v>
      </c>
      <c r="I647" s="68">
        <f>SUMIFS([0]!Chavez,[0]!Centro,B649,[0]!Turno,I$616)</f>
        <v>0</v>
      </c>
      <c r="J647" s="68">
        <f>SUMIFS([0]!Chavez,[0]!Centro,B649,[0]!Turno,J$616)</f>
        <v>0</v>
      </c>
      <c r="K647" s="68">
        <f>SUMIFS([0]!Chavez,[0]!Centro,B649,[0]!Turno,K$616)</f>
        <v>0</v>
      </c>
      <c r="L647" s="68">
        <f>SUMIFS([0]!Chavez,[0]!Centro,B649,[0]!Turno,L$616)</f>
        <v>0</v>
      </c>
      <c r="M647" s="68">
        <f>SUMIFS([0]!Chavez,[0]!Centro,B649,[0]!Turno,M$616)</f>
        <v>0</v>
      </c>
      <c r="N647" s="68">
        <f>SUMIFS([0]!Chavez,[0]!Centro,B649,[0]!Turno,N$616)</f>
        <v>0</v>
      </c>
      <c r="O647" s="68">
        <f>SUMIFS([0]!Chavez,[0]!Centro,B649,[0]!Turno,O$616)</f>
        <v>0</v>
      </c>
      <c r="P647" s="68">
        <f>SUMIFS([0]!Chavez,[0]!Centro,B649,[0]!Turno,P$616)</f>
        <v>0</v>
      </c>
      <c r="Q647" s="68">
        <f>SUMIFS([0]!Chavez,[0]!Centro,B649,[0]!Turno,Q$616)</f>
        <v>0</v>
      </c>
      <c r="R647" s="68">
        <f>SUMIFS([0]!Chavez,[0]!Centro,B649,[0]!Turno,R$616)</f>
        <v>0</v>
      </c>
      <c r="S647" s="68">
        <f>SUMIFS([0]!Chavez,[0]!Centro,B649,[0]!Turno,S$616)</f>
        <v>0</v>
      </c>
      <c r="T647" s="68">
        <f>SUMIFS([0]!Chavez,[0]!Centro,B649,[0]!Turno,T$616)</f>
        <v>0</v>
      </c>
      <c r="U647" s="68">
        <f>SUMIFS([0]!Chavez,[0]!Centro,B649,[0]!Turno,U$616)</f>
        <v>0</v>
      </c>
      <c r="V647" s="68">
        <f>SUMIFS([0]!Chavez,[0]!Centro,B649,[0]!Turno,V$616)</f>
        <v>0</v>
      </c>
      <c r="W647" s="68">
        <f>SUMIFS([0]!Chavez,[0]!Centro,B649,[0]!Turno,W$616)</f>
        <v>0</v>
      </c>
      <c r="X647" s="68">
        <f>SUMIFS([0]!Chavez,[0]!Centro,B649,[0]!Turno,X$616)</f>
        <v>0</v>
      </c>
      <c r="Y647" s="69">
        <f>SUMIFS([0]!Chavez,[0]!Centro,B649,[0]!Turno,Y$616)</f>
        <v>0</v>
      </c>
    </row>
    <row r="648" spans="2:25" ht="15" customHeight="1" x14ac:dyDescent="0.2">
      <c r="B648" s="250"/>
      <c r="C648" s="92" t="e">
        <f>E648/SUM(E647:E649)</f>
        <v>#DIV/0!</v>
      </c>
      <c r="D648" s="61" t="s">
        <v>1</v>
      </c>
      <c r="E648" s="62">
        <f t="shared" si="2031"/>
        <v>0</v>
      </c>
      <c r="F648" s="62">
        <f>SUMIFS([0]!Capriles,[0]!Centro,B649,[0]!Turno,F$616)</f>
        <v>0</v>
      </c>
      <c r="G648" s="62">
        <f>SUMIFS([0]!Capriles,[0]!Centro,B649,[0]!Turno,G$616)</f>
        <v>0</v>
      </c>
      <c r="H648" s="62">
        <f>SUMIFS([0]!Capriles,[0]!Centro,B649,[0]!Turno,H$616)</f>
        <v>0</v>
      </c>
      <c r="I648" s="62">
        <f>SUMIFS([0]!Capriles,[0]!Centro,B649,[0]!Turno,I$616)</f>
        <v>0</v>
      </c>
      <c r="J648" s="62">
        <f>SUMIFS([0]!Capriles,[0]!Centro,B649,[0]!Turno,J$616)</f>
        <v>0</v>
      </c>
      <c r="K648" s="62">
        <f>SUMIFS([0]!Capriles,[0]!Centro,B649,[0]!Turno,K$616)</f>
        <v>0</v>
      </c>
      <c r="L648" s="62">
        <f>SUMIFS([0]!Capriles,[0]!Centro,B649,[0]!Turno,L$616)</f>
        <v>0</v>
      </c>
      <c r="M648" s="62">
        <f>SUMIFS([0]!Capriles,[0]!Centro,B649,[0]!Turno,M$616)</f>
        <v>0</v>
      </c>
      <c r="N648" s="62">
        <f>SUMIFS([0]!Capriles,[0]!Centro,B649,[0]!Turno,N$616)</f>
        <v>0</v>
      </c>
      <c r="O648" s="62">
        <f>SUMIFS([0]!Capriles,[0]!Centro,B649,[0]!Turno,O$616)</f>
        <v>0</v>
      </c>
      <c r="P648" s="62">
        <f>SUMIFS([0]!Capriles,[0]!Centro,B649,[0]!Turno,P$616)</f>
        <v>0</v>
      </c>
      <c r="Q648" s="62">
        <f>SUMIFS([0]!Capriles,[0]!Centro,B649,[0]!Turno,Q$616)</f>
        <v>0</v>
      </c>
      <c r="R648" s="62">
        <f>SUMIFS([0]!Capriles,[0]!Centro,B649,[0]!Turno,R$616)</f>
        <v>0</v>
      </c>
      <c r="S648" s="62">
        <f>SUMIFS([0]!Capriles,[0]!Centro,B649,[0]!Turno,S$616)</f>
        <v>0</v>
      </c>
      <c r="T648" s="62">
        <f>SUMIFS([0]!Capriles,[0]!Centro,B649,[0]!Turno,T$616)</f>
        <v>0</v>
      </c>
      <c r="U648" s="62">
        <f>SUMIFS([0]!Capriles,[0]!Centro,B649,[0]!Turno,U$616)</f>
        <v>0</v>
      </c>
      <c r="V648" s="62">
        <f>SUMIFS([0]!Capriles,[0]!Centro,B649,[0]!Turno,V$616)</f>
        <v>0</v>
      </c>
      <c r="W648" s="62">
        <f>SUMIFS([0]!Capriles,[0]!Centro,B649,[0]!Turno,W$616)</f>
        <v>0</v>
      </c>
      <c r="X648" s="62">
        <f>SUMIFS([0]!Capriles,[0]!Centro,B649,[0]!Turno,X$616)</f>
        <v>0</v>
      </c>
      <c r="Y648" s="70">
        <f>SUMIFS([0]!Capriles,[0]!Centro,B649,[0]!Turno,Y$616)</f>
        <v>0</v>
      </c>
    </row>
    <row r="649" spans="2:25" ht="15" customHeight="1" thickBot="1" x14ac:dyDescent="0.25">
      <c r="B649" s="251">
        <v>89</v>
      </c>
      <c r="C649" s="100" t="e">
        <f>E649/SUM(E647:E649)</f>
        <v>#DIV/0!</v>
      </c>
      <c r="D649" s="71" t="s">
        <v>2</v>
      </c>
      <c r="E649" s="72">
        <f t="shared" si="2031"/>
        <v>0</v>
      </c>
      <c r="F649" s="72">
        <f>SUMIFS([0]!Otro,[0]!Centro,B649,[0]!Turno,F$616)</f>
        <v>0</v>
      </c>
      <c r="G649" s="72">
        <f>SUMIFS([0]!Otro,[0]!Centro,B649,[0]!Turno,G$616)</f>
        <v>0</v>
      </c>
      <c r="H649" s="72">
        <f>SUMIFS([0]!Otro,[0]!Centro,B649,[0]!Turno,H$616)</f>
        <v>0</v>
      </c>
      <c r="I649" s="72">
        <f>SUMIFS([0]!Otro,[0]!Centro,B649,[0]!Turno,I$616)</f>
        <v>0</v>
      </c>
      <c r="J649" s="72">
        <f>SUMIFS([0]!Otro,[0]!Centro,B649,[0]!Turno,J$616)</f>
        <v>0</v>
      </c>
      <c r="K649" s="72">
        <f>SUMIFS([0]!Otro,[0]!Centro,B649,[0]!Turno,K$616)</f>
        <v>0</v>
      </c>
      <c r="L649" s="72">
        <f>SUMIFS([0]!Otro,[0]!Centro,B649,[0]!Turno,L$616)</f>
        <v>0</v>
      </c>
      <c r="M649" s="72">
        <f>SUMIFS([0]!Otro,[0]!Centro,B649,[0]!Turno,M$616)</f>
        <v>0</v>
      </c>
      <c r="N649" s="72">
        <f>SUMIFS([0]!Otro,[0]!Centro,B649,[0]!Turno,N$616)</f>
        <v>0</v>
      </c>
      <c r="O649" s="72">
        <f>SUMIFS([0]!Otro,[0]!Centro,B649,[0]!Turno,O$616)</f>
        <v>0</v>
      </c>
      <c r="P649" s="72">
        <f>SUMIFS([0]!Otro,[0]!Centro,B649,[0]!Turno,P$616)</f>
        <v>0</v>
      </c>
      <c r="Q649" s="72">
        <f>SUMIFS([0]!Otro,[0]!Centro,B649,[0]!Turno,Q$616)</f>
        <v>0</v>
      </c>
      <c r="R649" s="72">
        <f>SUMIFS([0]!Otro,[0]!Centro,B649,[0]!Turno,R$616)</f>
        <v>0</v>
      </c>
      <c r="S649" s="72">
        <f>SUMIFS([0]!Otro,[0]!Centro,B649,[0]!Turno,S$616)</f>
        <v>0</v>
      </c>
      <c r="T649" s="72">
        <f>SUMIFS([0]!Otro,[0]!Centro,B649,[0]!Turno,T$616)</f>
        <v>0</v>
      </c>
      <c r="U649" s="72">
        <f>SUMIFS([0]!Otro,[0]!Centro,B649,[0]!Turno,U$616)</f>
        <v>0</v>
      </c>
      <c r="V649" s="72">
        <f>SUMIFS([0]!Otro,[0]!Centro,B649,[0]!Turno,V$616)</f>
        <v>0</v>
      </c>
      <c r="W649" s="72">
        <f>SUMIFS([0]!Otro,[0]!Centro,B649,[0]!Turno,W$616)</f>
        <v>0</v>
      </c>
      <c r="X649" s="72">
        <f>SUMIFS([0]!Otro,[0]!Centro,B649,[0]!Turno,X$616)</f>
        <v>0</v>
      </c>
      <c r="Y649" s="73">
        <f>SUMIFS([0]!Otro,[0]!Centro,B649,[0]!Turno,Y$616)</f>
        <v>0</v>
      </c>
    </row>
    <row r="650" spans="2:25" ht="15" customHeight="1" x14ac:dyDescent="0.2">
      <c r="B650" s="251"/>
      <c r="C650" s="94" t="e">
        <f>E650/SUM(E650:E652)</f>
        <v>#DIV/0!</v>
      </c>
      <c r="D650" s="63" t="s">
        <v>0</v>
      </c>
      <c r="E650" s="150">
        <f>IF((E647+E648+E649)=0,0,(E647*$B651)/(E647+E648+E649))</f>
        <v>0</v>
      </c>
      <c r="F650" s="150">
        <f>IF((F647+F648+F649)=0,0,(F647*$B651)/(F647+F648+F649))</f>
        <v>0</v>
      </c>
      <c r="G650" s="150">
        <f t="shared" ref="G650:Y650" si="2056">IF((G647+G648+G649)=0,0,(G647*$B651)/(G647+G648+G649))</f>
        <v>0</v>
      </c>
      <c r="H650" s="150">
        <f t="shared" si="2056"/>
        <v>0</v>
      </c>
      <c r="I650" s="150">
        <f t="shared" si="2056"/>
        <v>0</v>
      </c>
      <c r="J650" s="150">
        <f t="shared" si="2056"/>
        <v>0</v>
      </c>
      <c r="K650" s="150">
        <f t="shared" si="2056"/>
        <v>0</v>
      </c>
      <c r="L650" s="150">
        <f t="shared" si="2056"/>
        <v>0</v>
      </c>
      <c r="M650" s="150">
        <f t="shared" si="2056"/>
        <v>0</v>
      </c>
      <c r="N650" s="150">
        <f t="shared" si="2056"/>
        <v>0</v>
      </c>
      <c r="O650" s="150">
        <f t="shared" si="2056"/>
        <v>0</v>
      </c>
      <c r="P650" s="150">
        <f t="shared" si="2056"/>
        <v>0</v>
      </c>
      <c r="Q650" s="150">
        <f t="shared" si="2056"/>
        <v>0</v>
      </c>
      <c r="R650" s="150">
        <f t="shared" si="2056"/>
        <v>0</v>
      </c>
      <c r="S650" s="150">
        <f t="shared" si="2056"/>
        <v>0</v>
      </c>
      <c r="T650" s="150">
        <f t="shared" si="2056"/>
        <v>0</v>
      </c>
      <c r="U650" s="150">
        <f t="shared" si="2056"/>
        <v>0</v>
      </c>
      <c r="V650" s="150">
        <f t="shared" si="2056"/>
        <v>0</v>
      </c>
      <c r="W650" s="150">
        <f t="shared" si="2056"/>
        <v>0</v>
      </c>
      <c r="X650" s="150">
        <f t="shared" si="2056"/>
        <v>0</v>
      </c>
      <c r="Y650" s="163">
        <f t="shared" si="2056"/>
        <v>0</v>
      </c>
    </row>
    <row r="651" spans="2:25" ht="15" customHeight="1" x14ac:dyDescent="0.2">
      <c r="B651" s="252">
        <v>4.4308712105881998E-2</v>
      </c>
      <c r="C651" s="92" t="e">
        <f>E651/SUM(E650:E652)</f>
        <v>#DIV/0!</v>
      </c>
      <c r="D651" s="61" t="s">
        <v>1</v>
      </c>
      <c r="E651" s="154">
        <f>IF((E647+E648+E649)=0,0,(E648*$B651)/(E647+E648+E649))</f>
        <v>0</v>
      </c>
      <c r="F651" s="154">
        <f>IF((F647+F648+F649)=0,0,(F648*$B651)/(F647+F648+F649))</f>
        <v>0</v>
      </c>
      <c r="G651" s="154">
        <f t="shared" ref="G651:O651" si="2057">IF((G647+G648+G649)=0,0,(G648*$B651)/(G647+G648+G649))</f>
        <v>0</v>
      </c>
      <c r="H651" s="154">
        <f t="shared" si="2057"/>
        <v>0</v>
      </c>
      <c r="I651" s="154">
        <f t="shared" si="2057"/>
        <v>0</v>
      </c>
      <c r="J651" s="154">
        <f t="shared" si="2057"/>
        <v>0</v>
      </c>
      <c r="K651" s="154">
        <f t="shared" si="2057"/>
        <v>0</v>
      </c>
      <c r="L651" s="154">
        <f t="shared" si="2057"/>
        <v>0</v>
      </c>
      <c r="M651" s="154">
        <f t="shared" si="2057"/>
        <v>0</v>
      </c>
      <c r="N651" s="154">
        <f t="shared" si="2057"/>
        <v>0</v>
      </c>
      <c r="O651" s="154">
        <f t="shared" si="2057"/>
        <v>0</v>
      </c>
      <c r="P651" s="154">
        <f>IF((P647+P648+P649)=0,0,(P648*$B651)/(P647+P648+P649))</f>
        <v>0</v>
      </c>
      <c r="Q651" s="154">
        <f t="shared" ref="Q651:Y651" si="2058">IF((Q647+Q648+Q649)=0,0,(Q648*$B651)/(Q647+Q648+Q649))</f>
        <v>0</v>
      </c>
      <c r="R651" s="154">
        <f t="shared" si="2058"/>
        <v>0</v>
      </c>
      <c r="S651" s="154">
        <f t="shared" si="2058"/>
        <v>0</v>
      </c>
      <c r="T651" s="154">
        <f t="shared" si="2058"/>
        <v>0</v>
      </c>
      <c r="U651" s="154">
        <f t="shared" si="2058"/>
        <v>0</v>
      </c>
      <c r="V651" s="154">
        <f t="shared" si="2058"/>
        <v>0</v>
      </c>
      <c r="W651" s="154">
        <f t="shared" si="2058"/>
        <v>0</v>
      </c>
      <c r="X651" s="154">
        <f t="shared" si="2058"/>
        <v>0</v>
      </c>
      <c r="Y651" s="159">
        <f t="shared" si="2058"/>
        <v>0</v>
      </c>
    </row>
    <row r="652" spans="2:25" ht="15" customHeight="1" thickBot="1" x14ac:dyDescent="0.25">
      <c r="B652" s="253"/>
      <c r="C652" s="93" t="e">
        <f>E652/SUM(E650:E652)</f>
        <v>#DIV/0!</v>
      </c>
      <c r="D652" s="75" t="s">
        <v>2</v>
      </c>
      <c r="E652" s="155">
        <f>IF((E647+E648+E649)=0,0,(E649*$B651)/(E647+E648+E649))</f>
        <v>0</v>
      </c>
      <c r="F652" s="155">
        <f>IF((F647+F648+F649)=0,0,(F649*$B651)/(F647+F648+F649))</f>
        <v>0</v>
      </c>
      <c r="G652" s="155">
        <f t="shared" ref="G652:Y652" si="2059">IF((G647+G648+G649)=0,0,(G649*$B651)/(G647+G648+G649))</f>
        <v>0</v>
      </c>
      <c r="H652" s="155">
        <f t="shared" si="2059"/>
        <v>0</v>
      </c>
      <c r="I652" s="155">
        <f t="shared" si="2059"/>
        <v>0</v>
      </c>
      <c r="J652" s="155">
        <f t="shared" si="2059"/>
        <v>0</v>
      </c>
      <c r="K652" s="155">
        <f t="shared" si="2059"/>
        <v>0</v>
      </c>
      <c r="L652" s="155">
        <f t="shared" si="2059"/>
        <v>0</v>
      </c>
      <c r="M652" s="155">
        <f t="shared" si="2059"/>
        <v>0</v>
      </c>
      <c r="N652" s="155">
        <f t="shared" si="2059"/>
        <v>0</v>
      </c>
      <c r="O652" s="155">
        <f t="shared" si="2059"/>
        <v>0</v>
      </c>
      <c r="P652" s="155">
        <f t="shared" si="2059"/>
        <v>0</v>
      </c>
      <c r="Q652" s="155">
        <f t="shared" si="2059"/>
        <v>0</v>
      </c>
      <c r="R652" s="155">
        <f t="shared" si="2059"/>
        <v>0</v>
      </c>
      <c r="S652" s="155">
        <f t="shared" si="2059"/>
        <v>0</v>
      </c>
      <c r="T652" s="155">
        <f t="shared" si="2059"/>
        <v>0</v>
      </c>
      <c r="U652" s="155">
        <f t="shared" si="2059"/>
        <v>0</v>
      </c>
      <c r="V652" s="155">
        <f t="shared" si="2059"/>
        <v>0</v>
      </c>
      <c r="W652" s="155">
        <f t="shared" si="2059"/>
        <v>0</v>
      </c>
      <c r="X652" s="155">
        <f t="shared" si="2059"/>
        <v>0</v>
      </c>
      <c r="Y652" s="160">
        <f t="shared" si="2059"/>
        <v>0</v>
      </c>
    </row>
    <row r="653" spans="2:25" ht="15" customHeight="1" x14ac:dyDescent="0.2">
      <c r="B653" s="249" t="s">
        <v>117</v>
      </c>
      <c r="C653" s="91">
        <f>E653/SUM(E653:E655)</f>
        <v>0.73134328358208955</v>
      </c>
      <c r="D653" s="67" t="s">
        <v>0</v>
      </c>
      <c r="E653" s="68">
        <f t="shared" si="2031"/>
        <v>49</v>
      </c>
      <c r="F653" s="68">
        <f>SUMIFS([0]!Chavez,[0]!Centro,B655,[0]!Turno,F$616)</f>
        <v>15</v>
      </c>
      <c r="G653" s="68">
        <f>SUMIFS([0]!Chavez,[0]!Centro,B655,[0]!Turno,G$616)</f>
        <v>0</v>
      </c>
      <c r="H653" s="68">
        <f>SUMIFS([0]!Chavez,[0]!Centro,B655,[0]!Turno,H$616)</f>
        <v>0</v>
      </c>
      <c r="I653" s="68">
        <f>SUMIFS([0]!Chavez,[0]!Centro,B655,[0]!Turno,I$616)</f>
        <v>0</v>
      </c>
      <c r="J653" s="68">
        <f>SUMIFS([0]!Chavez,[0]!Centro,B655,[0]!Turno,J$616)</f>
        <v>0</v>
      </c>
      <c r="K653" s="68">
        <f>SUMIFS([0]!Chavez,[0]!Centro,B655,[0]!Turno,K$616)</f>
        <v>0</v>
      </c>
      <c r="L653" s="68">
        <f>SUMIFS([0]!Chavez,[0]!Centro,B655,[0]!Turno,L$616)</f>
        <v>15</v>
      </c>
      <c r="M653" s="68">
        <f>SUMIFS([0]!Chavez,[0]!Centro,B655,[0]!Turno,M$616)</f>
        <v>13</v>
      </c>
      <c r="N653" s="68">
        <f>SUMIFS([0]!Chavez,[0]!Centro,B655,[0]!Turno,N$616)</f>
        <v>6</v>
      </c>
      <c r="O653" s="68">
        <f>SUMIFS([0]!Chavez,[0]!Centro,B655,[0]!Turno,O$616)</f>
        <v>0</v>
      </c>
      <c r="P653" s="68">
        <f>SUMIFS([0]!Chavez,[0]!Centro,B655,[0]!Turno,P$616)</f>
        <v>0</v>
      </c>
      <c r="Q653" s="68">
        <f>SUMIFS([0]!Chavez,[0]!Centro,B655,[0]!Turno,Q$616)</f>
        <v>0</v>
      </c>
      <c r="R653" s="68">
        <f>SUMIFS([0]!Chavez,[0]!Centro,B655,[0]!Turno,R$616)</f>
        <v>0</v>
      </c>
      <c r="S653" s="68">
        <f>SUMIFS([0]!Chavez,[0]!Centro,B655,[0]!Turno,S$616)</f>
        <v>0</v>
      </c>
      <c r="T653" s="68">
        <f>SUMIFS([0]!Chavez,[0]!Centro,B655,[0]!Turno,T$616)</f>
        <v>0</v>
      </c>
      <c r="U653" s="68">
        <f>SUMIFS([0]!Chavez,[0]!Centro,B655,[0]!Turno,U$616)</f>
        <v>0</v>
      </c>
      <c r="V653" s="68">
        <f>SUMIFS([0]!Chavez,[0]!Centro,B655,[0]!Turno,V$616)</f>
        <v>0</v>
      </c>
      <c r="W653" s="68">
        <f>SUMIFS([0]!Chavez,[0]!Centro,B655,[0]!Turno,W$616)</f>
        <v>0</v>
      </c>
      <c r="X653" s="68">
        <f>SUMIFS([0]!Chavez,[0]!Centro,B655,[0]!Turno,X$616)</f>
        <v>0</v>
      </c>
      <c r="Y653" s="69">
        <f>SUMIFS([0]!Chavez,[0]!Centro,B655,[0]!Turno,Y$616)</f>
        <v>0</v>
      </c>
    </row>
    <row r="654" spans="2:25" ht="15" customHeight="1" x14ac:dyDescent="0.2">
      <c r="B654" s="250"/>
      <c r="C654" s="92">
        <f>E654/SUM(E653:E655)</f>
        <v>0.26865671641791045</v>
      </c>
      <c r="D654" s="61" t="s">
        <v>1</v>
      </c>
      <c r="E654" s="62">
        <f t="shared" si="2031"/>
        <v>18</v>
      </c>
      <c r="F654" s="62">
        <f>SUMIFS([0]!Capriles,[0]!Centro,B655,[0]!Turno,F$616)</f>
        <v>0</v>
      </c>
      <c r="G654" s="62">
        <f>SUMIFS([0]!Capriles,[0]!Centro,B655,[0]!Turno,G$616)</f>
        <v>0</v>
      </c>
      <c r="H654" s="62">
        <f>SUMIFS([0]!Capriles,[0]!Centro,B655,[0]!Turno,H$616)</f>
        <v>0</v>
      </c>
      <c r="I654" s="62">
        <f>SUMIFS([0]!Capriles,[0]!Centro,B655,[0]!Turno,I$616)</f>
        <v>0</v>
      </c>
      <c r="J654" s="62">
        <f>SUMIFS([0]!Capriles,[0]!Centro,B655,[0]!Turno,J$616)</f>
        <v>0</v>
      </c>
      <c r="K654" s="62">
        <f>SUMIFS([0]!Capriles,[0]!Centro,B655,[0]!Turno,K$616)</f>
        <v>0</v>
      </c>
      <c r="L654" s="62">
        <f>SUMIFS([0]!Capriles,[0]!Centro,B655,[0]!Turno,L$616)</f>
        <v>2</v>
      </c>
      <c r="M654" s="62">
        <f>SUMIFS([0]!Capriles,[0]!Centro,B655,[0]!Turno,M$616)</f>
        <v>6</v>
      </c>
      <c r="N654" s="62">
        <f>SUMIFS([0]!Capriles,[0]!Centro,B655,[0]!Turno,N$616)</f>
        <v>10</v>
      </c>
      <c r="O654" s="62">
        <f>SUMIFS([0]!Capriles,[0]!Centro,B655,[0]!Turno,O$616)</f>
        <v>0</v>
      </c>
      <c r="P654" s="62">
        <f>SUMIFS([0]!Capriles,[0]!Centro,B655,[0]!Turno,P$616)</f>
        <v>0</v>
      </c>
      <c r="Q654" s="62">
        <f>SUMIFS([0]!Capriles,[0]!Centro,B655,[0]!Turno,Q$616)</f>
        <v>0</v>
      </c>
      <c r="R654" s="62">
        <f>SUMIFS([0]!Capriles,[0]!Centro,B655,[0]!Turno,R$616)</f>
        <v>0</v>
      </c>
      <c r="S654" s="62">
        <f>SUMIFS([0]!Capriles,[0]!Centro,B655,[0]!Turno,S$616)</f>
        <v>0</v>
      </c>
      <c r="T654" s="62">
        <f>SUMIFS([0]!Capriles,[0]!Centro,B655,[0]!Turno,T$616)</f>
        <v>0</v>
      </c>
      <c r="U654" s="62">
        <f>SUMIFS([0]!Capriles,[0]!Centro,B655,[0]!Turno,U$616)</f>
        <v>0</v>
      </c>
      <c r="V654" s="62">
        <f>SUMIFS([0]!Capriles,[0]!Centro,B655,[0]!Turno,V$616)</f>
        <v>0</v>
      </c>
      <c r="W654" s="62">
        <f>SUMIFS([0]!Capriles,[0]!Centro,B655,[0]!Turno,W$616)</f>
        <v>0</v>
      </c>
      <c r="X654" s="62">
        <f>SUMIFS([0]!Capriles,[0]!Centro,B655,[0]!Turno,X$616)</f>
        <v>0</v>
      </c>
      <c r="Y654" s="70">
        <f>SUMIFS([0]!Capriles,[0]!Centro,B655,[0]!Turno,Y$616)</f>
        <v>0</v>
      </c>
    </row>
    <row r="655" spans="2:25" ht="15" customHeight="1" thickBot="1" x14ac:dyDescent="0.25">
      <c r="B655" s="251">
        <v>90</v>
      </c>
      <c r="C655" s="100">
        <f>E655/SUM(E653:E655)</f>
        <v>0</v>
      </c>
      <c r="D655" s="71" t="s">
        <v>2</v>
      </c>
      <c r="E655" s="72">
        <f t="shared" si="2031"/>
        <v>0</v>
      </c>
      <c r="F655" s="72">
        <f>SUMIFS([0]!Otro,[0]!Centro,B655,[0]!Turno,F$616)</f>
        <v>0</v>
      </c>
      <c r="G655" s="72">
        <f>SUMIFS([0]!Otro,[0]!Centro,B655,[0]!Turno,G$616)</f>
        <v>0</v>
      </c>
      <c r="H655" s="72">
        <f>SUMIFS([0]!Otro,[0]!Centro,B655,[0]!Turno,H$616)</f>
        <v>0</v>
      </c>
      <c r="I655" s="72">
        <f>SUMIFS([0]!Otro,[0]!Centro,B655,[0]!Turno,I$616)</f>
        <v>0</v>
      </c>
      <c r="J655" s="72">
        <f>SUMIFS([0]!Otro,[0]!Centro,B655,[0]!Turno,J$616)</f>
        <v>0</v>
      </c>
      <c r="K655" s="72">
        <f>SUMIFS([0]!Otro,[0]!Centro,B655,[0]!Turno,K$616)</f>
        <v>0</v>
      </c>
      <c r="L655" s="72">
        <f>SUMIFS([0]!Otro,[0]!Centro,B655,[0]!Turno,L$616)</f>
        <v>0</v>
      </c>
      <c r="M655" s="72">
        <f>SUMIFS([0]!Otro,[0]!Centro,B655,[0]!Turno,M$616)</f>
        <v>0</v>
      </c>
      <c r="N655" s="72">
        <f>SUMIFS([0]!Otro,[0]!Centro,B655,[0]!Turno,N$616)</f>
        <v>0</v>
      </c>
      <c r="O655" s="72">
        <f>SUMIFS([0]!Otro,[0]!Centro,B655,[0]!Turno,O$616)</f>
        <v>0</v>
      </c>
      <c r="P655" s="72">
        <f>SUMIFS([0]!Otro,[0]!Centro,B655,[0]!Turno,P$616)</f>
        <v>0</v>
      </c>
      <c r="Q655" s="72">
        <f>SUMIFS([0]!Otro,[0]!Centro,B655,[0]!Turno,Q$616)</f>
        <v>0</v>
      </c>
      <c r="R655" s="72">
        <f>SUMIFS([0]!Otro,[0]!Centro,B655,[0]!Turno,R$616)</f>
        <v>0</v>
      </c>
      <c r="S655" s="72">
        <f>SUMIFS([0]!Otro,[0]!Centro,B655,[0]!Turno,S$616)</f>
        <v>0</v>
      </c>
      <c r="T655" s="72">
        <f>SUMIFS([0]!Otro,[0]!Centro,B655,[0]!Turno,T$616)</f>
        <v>0</v>
      </c>
      <c r="U655" s="72">
        <f>SUMIFS([0]!Otro,[0]!Centro,B655,[0]!Turno,U$616)</f>
        <v>0</v>
      </c>
      <c r="V655" s="72">
        <f>SUMIFS([0]!Otro,[0]!Centro,B655,[0]!Turno,V$616)</f>
        <v>0</v>
      </c>
      <c r="W655" s="72">
        <f>SUMIFS([0]!Otro,[0]!Centro,B655,[0]!Turno,W$616)</f>
        <v>0</v>
      </c>
      <c r="X655" s="72">
        <f>SUMIFS([0]!Otro,[0]!Centro,B655,[0]!Turno,X$616)</f>
        <v>0</v>
      </c>
      <c r="Y655" s="73">
        <f>SUMIFS([0]!Otro,[0]!Centro,B655,[0]!Turno,Y$616)</f>
        <v>0</v>
      </c>
    </row>
    <row r="656" spans="2:25" ht="15" customHeight="1" x14ac:dyDescent="0.2">
      <c r="B656" s="251"/>
      <c r="C656" s="94">
        <f>E656/SUM(E656:E658)</f>
        <v>0.73134328358208955</v>
      </c>
      <c r="D656" s="63" t="s">
        <v>0</v>
      </c>
      <c r="E656" s="150">
        <f>IF((E653+E654+E655)=0,0,(E653*$B657)/(E653+E654+E655))</f>
        <v>3.119804776228613E-2</v>
      </c>
      <c r="F656" s="150">
        <f>IF((F653+F654+F655)=0,0,(F653*$B657)/(F653+F654+F655))</f>
        <v>4.2658555103534099E-2</v>
      </c>
      <c r="G656" s="150">
        <f t="shared" ref="G656:Y656" si="2060">IF((G653+G654+G655)=0,0,(G653*$B657)/(G653+G654+G655))</f>
        <v>0</v>
      </c>
      <c r="H656" s="150">
        <f t="shared" si="2060"/>
        <v>0</v>
      </c>
      <c r="I656" s="150">
        <f t="shared" si="2060"/>
        <v>0</v>
      </c>
      <c r="J656" s="150">
        <f t="shared" si="2060"/>
        <v>0</v>
      </c>
      <c r="K656" s="150">
        <f t="shared" si="2060"/>
        <v>0</v>
      </c>
      <c r="L656" s="150">
        <f t="shared" si="2060"/>
        <v>3.7639901561941851E-2</v>
      </c>
      <c r="M656" s="150">
        <f t="shared" si="2060"/>
        <v>2.9187432439260169E-2</v>
      </c>
      <c r="N656" s="150">
        <f t="shared" si="2060"/>
        <v>1.5996958163825285E-2</v>
      </c>
      <c r="O656" s="150">
        <f t="shared" si="2060"/>
        <v>0</v>
      </c>
      <c r="P656" s="150">
        <f t="shared" si="2060"/>
        <v>0</v>
      </c>
      <c r="Q656" s="150">
        <f t="shared" si="2060"/>
        <v>0</v>
      </c>
      <c r="R656" s="150">
        <f t="shared" si="2060"/>
        <v>0</v>
      </c>
      <c r="S656" s="150">
        <f t="shared" si="2060"/>
        <v>0</v>
      </c>
      <c r="T656" s="150">
        <f t="shared" si="2060"/>
        <v>0</v>
      </c>
      <c r="U656" s="150">
        <f t="shared" si="2060"/>
        <v>0</v>
      </c>
      <c r="V656" s="150">
        <f t="shared" si="2060"/>
        <v>0</v>
      </c>
      <c r="W656" s="150">
        <f t="shared" si="2060"/>
        <v>0</v>
      </c>
      <c r="X656" s="150">
        <f t="shared" si="2060"/>
        <v>0</v>
      </c>
      <c r="Y656" s="163">
        <f t="shared" si="2060"/>
        <v>0</v>
      </c>
    </row>
    <row r="657" spans="2:25" ht="15" customHeight="1" x14ac:dyDescent="0.2">
      <c r="B657" s="252">
        <v>4.2658555103534099E-2</v>
      </c>
      <c r="C657" s="92">
        <f>E657/SUM(E656:E658)</f>
        <v>0.26865671641791045</v>
      </c>
      <c r="D657" s="61" t="s">
        <v>1</v>
      </c>
      <c r="E657" s="154">
        <f>IF((E653+E654+E655)=0,0,(E654*$B657)/(E653+E654+E655))</f>
        <v>1.1460507341247967E-2</v>
      </c>
      <c r="F657" s="154">
        <f>IF((F653+F654+F655)=0,0,(F654*$B657)/(F653+F654+F655))</f>
        <v>0</v>
      </c>
      <c r="G657" s="154">
        <f t="shared" ref="G657:O657" si="2061">IF((G653+G654+G655)=0,0,(G654*$B657)/(G653+G654+G655))</f>
        <v>0</v>
      </c>
      <c r="H657" s="154">
        <f t="shared" si="2061"/>
        <v>0</v>
      </c>
      <c r="I657" s="154">
        <f t="shared" si="2061"/>
        <v>0</v>
      </c>
      <c r="J657" s="154">
        <f t="shared" si="2061"/>
        <v>0</v>
      </c>
      <c r="K657" s="154">
        <f t="shared" si="2061"/>
        <v>0</v>
      </c>
      <c r="L657" s="154">
        <f t="shared" si="2061"/>
        <v>5.0186535415922473E-3</v>
      </c>
      <c r="M657" s="154">
        <f t="shared" si="2061"/>
        <v>1.3471122664273924E-2</v>
      </c>
      <c r="N657" s="154">
        <f t="shared" si="2061"/>
        <v>2.6661596939708813E-2</v>
      </c>
      <c r="O657" s="154">
        <f t="shared" si="2061"/>
        <v>0</v>
      </c>
      <c r="P657" s="154">
        <f>IF((P653+P654+P655)=0,0,(P654*$B657)/(P653+P654+P655))</f>
        <v>0</v>
      </c>
      <c r="Q657" s="154">
        <f t="shared" ref="Q657:Y657" si="2062">IF((Q653+Q654+Q655)=0,0,(Q654*$B657)/(Q653+Q654+Q655))</f>
        <v>0</v>
      </c>
      <c r="R657" s="154">
        <f t="shared" si="2062"/>
        <v>0</v>
      </c>
      <c r="S657" s="154">
        <f t="shared" si="2062"/>
        <v>0</v>
      </c>
      <c r="T657" s="154">
        <f t="shared" si="2062"/>
        <v>0</v>
      </c>
      <c r="U657" s="154">
        <f t="shared" si="2062"/>
        <v>0</v>
      </c>
      <c r="V657" s="154">
        <f t="shared" si="2062"/>
        <v>0</v>
      </c>
      <c r="W657" s="154">
        <f t="shared" si="2062"/>
        <v>0</v>
      </c>
      <c r="X657" s="154">
        <f t="shared" si="2062"/>
        <v>0</v>
      </c>
      <c r="Y657" s="159">
        <f t="shared" si="2062"/>
        <v>0</v>
      </c>
    </row>
    <row r="658" spans="2:25" ht="15" customHeight="1" thickBot="1" x14ac:dyDescent="0.25">
      <c r="B658" s="253"/>
      <c r="C658" s="93">
        <f>E658/SUM(E656:E658)</f>
        <v>0</v>
      </c>
      <c r="D658" s="75" t="s">
        <v>2</v>
      </c>
      <c r="E658" s="155">
        <f>IF((E653+E654+E655)=0,0,(E655*$B657)/(E653+E654+E655))</f>
        <v>0</v>
      </c>
      <c r="F658" s="155">
        <f>IF((F653+F654+F655)=0,0,(F655*$B657)/(F653+F654+F655))</f>
        <v>0</v>
      </c>
      <c r="G658" s="155">
        <f t="shared" ref="G658:Y658" si="2063">IF((G653+G654+G655)=0,0,(G655*$B657)/(G653+G654+G655))</f>
        <v>0</v>
      </c>
      <c r="H658" s="155">
        <f t="shared" si="2063"/>
        <v>0</v>
      </c>
      <c r="I658" s="155">
        <f t="shared" si="2063"/>
        <v>0</v>
      </c>
      <c r="J658" s="155">
        <f t="shared" si="2063"/>
        <v>0</v>
      </c>
      <c r="K658" s="155">
        <f t="shared" si="2063"/>
        <v>0</v>
      </c>
      <c r="L658" s="155">
        <f t="shared" si="2063"/>
        <v>0</v>
      </c>
      <c r="M658" s="155">
        <f t="shared" si="2063"/>
        <v>0</v>
      </c>
      <c r="N658" s="155">
        <f t="shared" si="2063"/>
        <v>0</v>
      </c>
      <c r="O658" s="155">
        <f t="shared" si="2063"/>
        <v>0</v>
      </c>
      <c r="P658" s="155">
        <f t="shared" si="2063"/>
        <v>0</v>
      </c>
      <c r="Q658" s="155">
        <f t="shared" si="2063"/>
        <v>0</v>
      </c>
      <c r="R658" s="155">
        <f t="shared" si="2063"/>
        <v>0</v>
      </c>
      <c r="S658" s="155">
        <f t="shared" si="2063"/>
        <v>0</v>
      </c>
      <c r="T658" s="155">
        <f t="shared" si="2063"/>
        <v>0</v>
      </c>
      <c r="U658" s="155">
        <f t="shared" si="2063"/>
        <v>0</v>
      </c>
      <c r="V658" s="155">
        <f t="shared" si="2063"/>
        <v>0</v>
      </c>
      <c r="W658" s="155">
        <f t="shared" si="2063"/>
        <v>0</v>
      </c>
      <c r="X658" s="155">
        <f t="shared" si="2063"/>
        <v>0</v>
      </c>
      <c r="Y658" s="160">
        <f t="shared" si="2063"/>
        <v>0</v>
      </c>
    </row>
    <row r="659" spans="2:25" ht="15" customHeight="1" x14ac:dyDescent="0.2">
      <c r="B659" s="249" t="s">
        <v>118</v>
      </c>
      <c r="C659" s="91" t="e">
        <f>E659/SUM(E659:E661)</f>
        <v>#DIV/0!</v>
      </c>
      <c r="D659" s="67" t="s">
        <v>0</v>
      </c>
      <c r="E659" s="68">
        <f t="shared" si="2031"/>
        <v>0</v>
      </c>
      <c r="F659" s="68">
        <f>SUMIFS([0]!Chavez,[0]!Centro,B661,[0]!Turno,F$616)</f>
        <v>0</v>
      </c>
      <c r="G659" s="68">
        <f>SUMIFS([0]!Chavez,[0]!Centro,B661,[0]!Turno,G$616)</f>
        <v>0</v>
      </c>
      <c r="H659" s="68">
        <f>SUMIFS([0]!Chavez,[0]!Centro,B661,[0]!Turno,H$616)</f>
        <v>0</v>
      </c>
      <c r="I659" s="68">
        <f>SUMIFS([0]!Chavez,[0]!Centro,B661,[0]!Turno,I$616)</f>
        <v>0</v>
      </c>
      <c r="J659" s="68">
        <f>SUMIFS([0]!Chavez,[0]!Centro,B661,[0]!Turno,J$616)</f>
        <v>0</v>
      </c>
      <c r="K659" s="68">
        <f>SUMIFS([0]!Chavez,[0]!Centro,B661,[0]!Turno,K$616)</f>
        <v>0</v>
      </c>
      <c r="L659" s="68">
        <f>SUMIFS([0]!Chavez,[0]!Centro,B661,[0]!Turno,L$616)</f>
        <v>0</v>
      </c>
      <c r="M659" s="68">
        <f>SUMIFS([0]!Chavez,[0]!Centro,B661,[0]!Turno,M$616)</f>
        <v>0</v>
      </c>
      <c r="N659" s="68">
        <f>SUMIFS([0]!Chavez,[0]!Centro,B661,[0]!Turno,N$616)</f>
        <v>0</v>
      </c>
      <c r="O659" s="68">
        <f>SUMIFS([0]!Chavez,[0]!Centro,B661,[0]!Turno,O$616)</f>
        <v>0</v>
      </c>
      <c r="P659" s="68">
        <f>SUMIFS([0]!Chavez,[0]!Centro,B661,[0]!Turno,P$616)</f>
        <v>0</v>
      </c>
      <c r="Q659" s="68">
        <f>SUMIFS([0]!Chavez,[0]!Centro,B661,[0]!Turno,Q$616)</f>
        <v>0</v>
      </c>
      <c r="R659" s="68">
        <f>SUMIFS([0]!Chavez,[0]!Centro,B661,[0]!Turno,R$616)</f>
        <v>0</v>
      </c>
      <c r="S659" s="68">
        <f>SUMIFS([0]!Chavez,[0]!Centro,B661,[0]!Turno,S$616)</f>
        <v>0</v>
      </c>
      <c r="T659" s="68">
        <f>SUMIFS([0]!Chavez,[0]!Centro,B661,[0]!Turno,T$616)</f>
        <v>0</v>
      </c>
      <c r="U659" s="68">
        <f>SUMIFS([0]!Chavez,[0]!Centro,B661,[0]!Turno,U$616)</f>
        <v>0</v>
      </c>
      <c r="V659" s="68">
        <f>SUMIFS([0]!Chavez,[0]!Centro,B661,[0]!Turno,V$616)</f>
        <v>0</v>
      </c>
      <c r="W659" s="68">
        <f>SUMIFS([0]!Chavez,[0]!Centro,B661,[0]!Turno,W$616)</f>
        <v>0</v>
      </c>
      <c r="X659" s="68">
        <f>SUMIFS([0]!Chavez,[0]!Centro,B661,[0]!Turno,X$616)</f>
        <v>0</v>
      </c>
      <c r="Y659" s="69">
        <f>SUMIFS([0]!Chavez,[0]!Centro,B661,[0]!Turno,Y$616)</f>
        <v>0</v>
      </c>
    </row>
    <row r="660" spans="2:25" ht="15" customHeight="1" x14ac:dyDescent="0.2">
      <c r="B660" s="250"/>
      <c r="C660" s="92" t="e">
        <f>E660/SUM(E659:E661)</f>
        <v>#DIV/0!</v>
      </c>
      <c r="D660" s="61" t="s">
        <v>1</v>
      </c>
      <c r="E660" s="62">
        <f t="shared" si="2031"/>
        <v>0</v>
      </c>
      <c r="F660" s="62">
        <f>SUMIFS([0]!Capriles,[0]!Centro,B661,[0]!Turno,F$616)</f>
        <v>0</v>
      </c>
      <c r="G660" s="62">
        <f>SUMIFS([0]!Capriles,[0]!Centro,B661,[0]!Turno,G$616)</f>
        <v>0</v>
      </c>
      <c r="H660" s="62">
        <f>SUMIFS([0]!Capriles,[0]!Centro,B661,[0]!Turno,H$616)</f>
        <v>0</v>
      </c>
      <c r="I660" s="62">
        <f>SUMIFS([0]!Capriles,[0]!Centro,B661,[0]!Turno,I$616)</f>
        <v>0</v>
      </c>
      <c r="J660" s="62">
        <f>SUMIFS([0]!Capriles,[0]!Centro,B661,[0]!Turno,J$616)</f>
        <v>0</v>
      </c>
      <c r="K660" s="62">
        <f>SUMIFS([0]!Capriles,[0]!Centro,B661,[0]!Turno,K$616)</f>
        <v>0</v>
      </c>
      <c r="L660" s="62">
        <f>SUMIFS([0]!Capriles,[0]!Centro,B661,[0]!Turno,L$616)</f>
        <v>0</v>
      </c>
      <c r="M660" s="62">
        <f>SUMIFS([0]!Capriles,[0]!Centro,B661,[0]!Turno,M$616)</f>
        <v>0</v>
      </c>
      <c r="N660" s="62">
        <f>SUMIFS([0]!Capriles,[0]!Centro,B661,[0]!Turno,N$616)</f>
        <v>0</v>
      </c>
      <c r="O660" s="62">
        <f>SUMIFS([0]!Capriles,[0]!Centro,B661,[0]!Turno,O$616)</f>
        <v>0</v>
      </c>
      <c r="P660" s="62">
        <f>SUMIFS([0]!Capriles,[0]!Centro,B661,[0]!Turno,P$616)</f>
        <v>0</v>
      </c>
      <c r="Q660" s="62">
        <f>SUMIFS([0]!Capriles,[0]!Centro,B661,[0]!Turno,Q$616)</f>
        <v>0</v>
      </c>
      <c r="R660" s="62">
        <f>SUMIFS([0]!Capriles,[0]!Centro,B661,[0]!Turno,R$616)</f>
        <v>0</v>
      </c>
      <c r="S660" s="62">
        <f>SUMIFS([0]!Capriles,[0]!Centro,B661,[0]!Turno,S$616)</f>
        <v>0</v>
      </c>
      <c r="T660" s="62">
        <f>SUMIFS([0]!Capriles,[0]!Centro,B661,[0]!Turno,T$616)</f>
        <v>0</v>
      </c>
      <c r="U660" s="62">
        <f>SUMIFS([0]!Capriles,[0]!Centro,B661,[0]!Turno,U$616)</f>
        <v>0</v>
      </c>
      <c r="V660" s="62">
        <f>SUMIFS([0]!Capriles,[0]!Centro,B661,[0]!Turno,V$616)</f>
        <v>0</v>
      </c>
      <c r="W660" s="62">
        <f>SUMIFS([0]!Capriles,[0]!Centro,B661,[0]!Turno,W$616)</f>
        <v>0</v>
      </c>
      <c r="X660" s="62">
        <f>SUMIFS([0]!Capriles,[0]!Centro,B661,[0]!Turno,X$616)</f>
        <v>0</v>
      </c>
      <c r="Y660" s="70">
        <f>SUMIFS([0]!Capriles,[0]!Centro,B661,[0]!Turno,Y$616)</f>
        <v>0</v>
      </c>
    </row>
    <row r="661" spans="2:25" ht="15" customHeight="1" thickBot="1" x14ac:dyDescent="0.25">
      <c r="B661" s="251">
        <v>91</v>
      </c>
      <c r="C661" s="100" t="e">
        <f>E661/SUM(E659:E661)</f>
        <v>#DIV/0!</v>
      </c>
      <c r="D661" s="71" t="s">
        <v>2</v>
      </c>
      <c r="E661" s="72">
        <f t="shared" si="2031"/>
        <v>0</v>
      </c>
      <c r="F661" s="72">
        <f>SUMIFS([0]!Otro,[0]!Centro,B661,[0]!Turno,F$616)</f>
        <v>0</v>
      </c>
      <c r="G661" s="72">
        <f>SUMIFS([0]!Otro,[0]!Centro,B661,[0]!Turno,G$616)</f>
        <v>0</v>
      </c>
      <c r="H661" s="72">
        <f>SUMIFS([0]!Otro,[0]!Centro,B661,[0]!Turno,H$616)</f>
        <v>0</v>
      </c>
      <c r="I661" s="72">
        <f>SUMIFS([0]!Otro,[0]!Centro,B661,[0]!Turno,I$616)</f>
        <v>0</v>
      </c>
      <c r="J661" s="72">
        <f>SUMIFS([0]!Otro,[0]!Centro,B661,[0]!Turno,J$616)</f>
        <v>0</v>
      </c>
      <c r="K661" s="72">
        <f>SUMIFS([0]!Otro,[0]!Centro,B661,[0]!Turno,K$616)</f>
        <v>0</v>
      </c>
      <c r="L661" s="72">
        <f>SUMIFS([0]!Otro,[0]!Centro,B661,[0]!Turno,L$616)</f>
        <v>0</v>
      </c>
      <c r="M661" s="72">
        <f>SUMIFS([0]!Otro,[0]!Centro,B661,[0]!Turno,M$616)</f>
        <v>0</v>
      </c>
      <c r="N661" s="72">
        <f>SUMIFS([0]!Otro,[0]!Centro,B661,[0]!Turno,N$616)</f>
        <v>0</v>
      </c>
      <c r="O661" s="72">
        <f>SUMIFS([0]!Otro,[0]!Centro,B661,[0]!Turno,O$616)</f>
        <v>0</v>
      </c>
      <c r="P661" s="72">
        <f>SUMIFS([0]!Otro,[0]!Centro,B661,[0]!Turno,P$616)</f>
        <v>0</v>
      </c>
      <c r="Q661" s="72">
        <f>SUMIFS([0]!Otro,[0]!Centro,B661,[0]!Turno,Q$616)</f>
        <v>0</v>
      </c>
      <c r="R661" s="72">
        <f>SUMIFS([0]!Otro,[0]!Centro,B661,[0]!Turno,R$616)</f>
        <v>0</v>
      </c>
      <c r="S661" s="72">
        <f>SUMIFS([0]!Otro,[0]!Centro,B661,[0]!Turno,S$616)</f>
        <v>0</v>
      </c>
      <c r="T661" s="72">
        <f>SUMIFS([0]!Otro,[0]!Centro,B661,[0]!Turno,T$616)</f>
        <v>0</v>
      </c>
      <c r="U661" s="72">
        <f>SUMIFS([0]!Otro,[0]!Centro,B661,[0]!Turno,U$616)</f>
        <v>0</v>
      </c>
      <c r="V661" s="72">
        <f>SUMIFS([0]!Otro,[0]!Centro,B661,[0]!Turno,V$616)</f>
        <v>0</v>
      </c>
      <c r="W661" s="72">
        <f>SUMIFS([0]!Otro,[0]!Centro,B661,[0]!Turno,W$616)</f>
        <v>0</v>
      </c>
      <c r="X661" s="72">
        <f>SUMIFS([0]!Otro,[0]!Centro,B661,[0]!Turno,X$616)</f>
        <v>0</v>
      </c>
      <c r="Y661" s="73">
        <f>SUMIFS([0]!Otro,[0]!Centro,B661,[0]!Turno,Y$616)</f>
        <v>0</v>
      </c>
    </row>
    <row r="662" spans="2:25" ht="15" customHeight="1" x14ac:dyDescent="0.2">
      <c r="B662" s="251"/>
      <c r="C662" s="94" t="e">
        <f>E662/SUM(E662:E664)</f>
        <v>#DIV/0!</v>
      </c>
      <c r="D662" s="63" t="s">
        <v>0</v>
      </c>
      <c r="E662" s="150">
        <f>IF((E659+E660+E661)=0,0,(E659*$B663)/(E659+E660+E661))</f>
        <v>0</v>
      </c>
      <c r="F662" s="150">
        <f>IF((F659+F660+F661)=0,0,(F659*$B663)/(F659+F660+F661))</f>
        <v>0</v>
      </c>
      <c r="G662" s="150">
        <f t="shared" ref="G662:Y662" si="2064">IF((G659+G660+G661)=0,0,(G659*$B663)/(G659+G660+G661))</f>
        <v>0</v>
      </c>
      <c r="H662" s="150">
        <f t="shared" si="2064"/>
        <v>0</v>
      </c>
      <c r="I662" s="150">
        <f t="shared" si="2064"/>
        <v>0</v>
      </c>
      <c r="J662" s="150">
        <f t="shared" si="2064"/>
        <v>0</v>
      </c>
      <c r="K662" s="150">
        <f t="shared" si="2064"/>
        <v>0</v>
      </c>
      <c r="L662" s="150">
        <f t="shared" si="2064"/>
        <v>0</v>
      </c>
      <c r="M662" s="150">
        <f t="shared" si="2064"/>
        <v>0</v>
      </c>
      <c r="N662" s="150">
        <f t="shared" si="2064"/>
        <v>0</v>
      </c>
      <c r="O662" s="150">
        <f t="shared" si="2064"/>
        <v>0</v>
      </c>
      <c r="P662" s="150">
        <f t="shared" si="2064"/>
        <v>0</v>
      </c>
      <c r="Q662" s="150">
        <f t="shared" si="2064"/>
        <v>0</v>
      </c>
      <c r="R662" s="150">
        <f t="shared" si="2064"/>
        <v>0</v>
      </c>
      <c r="S662" s="150">
        <f t="shared" si="2064"/>
        <v>0</v>
      </c>
      <c r="T662" s="150">
        <f t="shared" si="2064"/>
        <v>0</v>
      </c>
      <c r="U662" s="150">
        <f t="shared" si="2064"/>
        <v>0</v>
      </c>
      <c r="V662" s="150">
        <f t="shared" si="2064"/>
        <v>0</v>
      </c>
      <c r="W662" s="150">
        <f t="shared" si="2064"/>
        <v>0</v>
      </c>
      <c r="X662" s="150">
        <f t="shared" si="2064"/>
        <v>0</v>
      </c>
      <c r="Y662" s="163">
        <f t="shared" si="2064"/>
        <v>0</v>
      </c>
    </row>
    <row r="663" spans="2:25" ht="15" customHeight="1" x14ac:dyDescent="0.2">
      <c r="B663" s="252">
        <v>2.76377015007363E-2</v>
      </c>
      <c r="C663" s="92" t="e">
        <f>E663/SUM(E662:E664)</f>
        <v>#DIV/0!</v>
      </c>
      <c r="D663" s="61" t="s">
        <v>1</v>
      </c>
      <c r="E663" s="154">
        <f>IF((E659+E660+E661)=0,0,(E660*$B663)/(E659+E660+E661))</f>
        <v>0</v>
      </c>
      <c r="F663" s="154">
        <f>IF((F659+F660+F661)=0,0,(F660*$B663)/(F659+F660+F661))</f>
        <v>0</v>
      </c>
      <c r="G663" s="154">
        <f t="shared" ref="G663:O663" si="2065">IF((G659+G660+G661)=0,0,(G660*$B663)/(G659+G660+G661))</f>
        <v>0</v>
      </c>
      <c r="H663" s="154">
        <f t="shared" si="2065"/>
        <v>0</v>
      </c>
      <c r="I663" s="154">
        <f t="shared" si="2065"/>
        <v>0</v>
      </c>
      <c r="J663" s="154">
        <f t="shared" si="2065"/>
        <v>0</v>
      </c>
      <c r="K663" s="154">
        <f t="shared" si="2065"/>
        <v>0</v>
      </c>
      <c r="L663" s="154">
        <f t="shared" si="2065"/>
        <v>0</v>
      </c>
      <c r="M663" s="154">
        <f t="shared" si="2065"/>
        <v>0</v>
      </c>
      <c r="N663" s="154">
        <f t="shared" si="2065"/>
        <v>0</v>
      </c>
      <c r="O663" s="154">
        <f t="shared" si="2065"/>
        <v>0</v>
      </c>
      <c r="P663" s="154">
        <f>IF((P659+P660+P661)=0,0,(P660*$B663)/(P659+P660+P661))</f>
        <v>0</v>
      </c>
      <c r="Q663" s="154">
        <f t="shared" ref="Q663:Y663" si="2066">IF((Q659+Q660+Q661)=0,0,(Q660*$B663)/(Q659+Q660+Q661))</f>
        <v>0</v>
      </c>
      <c r="R663" s="154">
        <f t="shared" si="2066"/>
        <v>0</v>
      </c>
      <c r="S663" s="154">
        <f t="shared" si="2066"/>
        <v>0</v>
      </c>
      <c r="T663" s="154">
        <f t="shared" si="2066"/>
        <v>0</v>
      </c>
      <c r="U663" s="154">
        <f t="shared" si="2066"/>
        <v>0</v>
      </c>
      <c r="V663" s="154">
        <f t="shared" si="2066"/>
        <v>0</v>
      </c>
      <c r="W663" s="154">
        <f t="shared" si="2066"/>
        <v>0</v>
      </c>
      <c r="X663" s="154">
        <f t="shared" si="2066"/>
        <v>0</v>
      </c>
      <c r="Y663" s="159">
        <f t="shared" si="2066"/>
        <v>0</v>
      </c>
    </row>
    <row r="664" spans="2:25" ht="15" customHeight="1" thickBot="1" x14ac:dyDescent="0.25">
      <c r="B664" s="253"/>
      <c r="C664" s="93" t="e">
        <f>E664/SUM(E662:E664)</f>
        <v>#DIV/0!</v>
      </c>
      <c r="D664" s="75" t="s">
        <v>2</v>
      </c>
      <c r="E664" s="155">
        <f>IF((E659+E660+E661)=0,0,(E661*$B663)/(E659+E660+E661))</f>
        <v>0</v>
      </c>
      <c r="F664" s="155">
        <f>IF((F659+F660+F661)=0,0,(F661*$B663)/(F659+F660+F661))</f>
        <v>0</v>
      </c>
      <c r="G664" s="155">
        <f t="shared" ref="G664:Y664" si="2067">IF((G659+G660+G661)=0,0,(G661*$B663)/(G659+G660+G661))</f>
        <v>0</v>
      </c>
      <c r="H664" s="155">
        <f t="shared" si="2067"/>
        <v>0</v>
      </c>
      <c r="I664" s="155">
        <f t="shared" si="2067"/>
        <v>0</v>
      </c>
      <c r="J664" s="155">
        <f t="shared" si="2067"/>
        <v>0</v>
      </c>
      <c r="K664" s="155">
        <f t="shared" si="2067"/>
        <v>0</v>
      </c>
      <c r="L664" s="155">
        <f t="shared" si="2067"/>
        <v>0</v>
      </c>
      <c r="M664" s="155">
        <f t="shared" si="2067"/>
        <v>0</v>
      </c>
      <c r="N664" s="155">
        <f t="shared" si="2067"/>
        <v>0</v>
      </c>
      <c r="O664" s="155">
        <f t="shared" si="2067"/>
        <v>0</v>
      </c>
      <c r="P664" s="155">
        <f t="shared" si="2067"/>
        <v>0</v>
      </c>
      <c r="Q664" s="155">
        <f t="shared" si="2067"/>
        <v>0</v>
      </c>
      <c r="R664" s="155">
        <f t="shared" si="2067"/>
        <v>0</v>
      </c>
      <c r="S664" s="155">
        <f t="shared" si="2067"/>
        <v>0</v>
      </c>
      <c r="T664" s="155">
        <f t="shared" si="2067"/>
        <v>0</v>
      </c>
      <c r="U664" s="155">
        <f t="shared" si="2067"/>
        <v>0</v>
      </c>
      <c r="V664" s="155">
        <f t="shared" si="2067"/>
        <v>0</v>
      </c>
      <c r="W664" s="155">
        <f t="shared" si="2067"/>
        <v>0</v>
      </c>
      <c r="X664" s="155">
        <f t="shared" si="2067"/>
        <v>0</v>
      </c>
      <c r="Y664" s="160">
        <f t="shared" si="2067"/>
        <v>0</v>
      </c>
    </row>
    <row r="665" spans="2:25" ht="15" customHeight="1" x14ac:dyDescent="0.2">
      <c r="B665" s="249" t="s">
        <v>119</v>
      </c>
      <c r="C665" s="91">
        <f>E665/SUM(E665:E667)</f>
        <v>0.45064377682403434</v>
      </c>
      <c r="D665" s="67" t="s">
        <v>0</v>
      </c>
      <c r="E665" s="68">
        <f t="shared" si="2031"/>
        <v>210</v>
      </c>
      <c r="F665" s="68">
        <f>SUMIFS([0]!Chavez,[0]!Centro,B667,[0]!Turno,F$616)</f>
        <v>16</v>
      </c>
      <c r="G665" s="68">
        <f>SUMIFS([0]!Chavez,[0]!Centro,B667,[0]!Turno,G$616)</f>
        <v>30</v>
      </c>
      <c r="H665" s="68">
        <f>SUMIFS([0]!Chavez,[0]!Centro,B667,[0]!Turno,H$616)</f>
        <v>32</v>
      </c>
      <c r="I665" s="68">
        <f>SUMIFS([0]!Chavez,[0]!Centro,B667,[0]!Turno,I$616)</f>
        <v>17</v>
      </c>
      <c r="J665" s="68">
        <f>SUMIFS([0]!Chavez,[0]!Centro,B667,[0]!Turno,J$616)</f>
        <v>30</v>
      </c>
      <c r="K665" s="68">
        <f>SUMIFS([0]!Chavez,[0]!Centro,B667,[0]!Turno,K$616)</f>
        <v>11</v>
      </c>
      <c r="L665" s="68">
        <f>SUMIFS([0]!Chavez,[0]!Centro,B667,[0]!Turno,L$616)</f>
        <v>11</v>
      </c>
      <c r="M665" s="68">
        <f>SUMIFS([0]!Chavez,[0]!Centro,B667,[0]!Turno,M$616)</f>
        <v>10</v>
      </c>
      <c r="N665" s="68">
        <f>SUMIFS([0]!Chavez,[0]!Centro,B667,[0]!Turno,N$616)</f>
        <v>0</v>
      </c>
      <c r="O665" s="68">
        <f>SUMIFS([0]!Chavez,[0]!Centro,B667,[0]!Turno,O$616)</f>
        <v>8</v>
      </c>
      <c r="P665" s="68">
        <f>SUMIFS([0]!Chavez,[0]!Centro,B667,[0]!Turno,P$616)</f>
        <v>32</v>
      </c>
      <c r="Q665" s="68">
        <f>SUMIFS([0]!Chavez,[0]!Centro,B667,[0]!Turno,Q$616)</f>
        <v>0</v>
      </c>
      <c r="R665" s="68">
        <f>SUMIFS([0]!Chavez,[0]!Centro,B667,[0]!Turno,R$616)</f>
        <v>13</v>
      </c>
      <c r="S665" s="68">
        <f>SUMIFS([0]!Chavez,[0]!Centro,B667,[0]!Turno,S$616)</f>
        <v>0</v>
      </c>
      <c r="T665" s="68">
        <f>SUMIFS([0]!Chavez,[0]!Centro,B667,[0]!Turno,T$616)</f>
        <v>0</v>
      </c>
      <c r="U665" s="68">
        <f>SUMIFS([0]!Chavez,[0]!Centro,B667,[0]!Turno,U$616)</f>
        <v>0</v>
      </c>
      <c r="V665" s="68">
        <f>SUMIFS([0]!Chavez,[0]!Centro,B667,[0]!Turno,V$616)</f>
        <v>0</v>
      </c>
      <c r="W665" s="68">
        <f>SUMIFS([0]!Chavez,[0]!Centro,B667,[0]!Turno,W$616)</f>
        <v>0</v>
      </c>
      <c r="X665" s="68">
        <f>SUMIFS([0]!Chavez,[0]!Centro,B667,[0]!Turno,X$616)</f>
        <v>0</v>
      </c>
      <c r="Y665" s="69">
        <f>SUMIFS([0]!Chavez,[0]!Centro,B667,[0]!Turno,Y$616)</f>
        <v>0</v>
      </c>
    </row>
    <row r="666" spans="2:25" ht="15" customHeight="1" x14ac:dyDescent="0.2">
      <c r="B666" s="250"/>
      <c r="C666" s="92">
        <f>E666/SUM(E665:E667)</f>
        <v>0.5429184549356223</v>
      </c>
      <c r="D666" s="61" t="s">
        <v>1</v>
      </c>
      <c r="E666" s="62">
        <f t="shared" si="2031"/>
        <v>253</v>
      </c>
      <c r="F666" s="62">
        <f>SUMIFS([0]!Capriles,[0]!Centro,B667,[0]!Turno,F$616)</f>
        <v>14</v>
      </c>
      <c r="G666" s="62">
        <f>SUMIFS([0]!Capriles,[0]!Centro,B667,[0]!Turno,G$616)</f>
        <v>26</v>
      </c>
      <c r="H666" s="62">
        <f>SUMIFS([0]!Capriles,[0]!Centro,B667,[0]!Turno,H$616)</f>
        <v>48</v>
      </c>
      <c r="I666" s="62">
        <f>SUMIFS([0]!Capriles,[0]!Centro,B667,[0]!Turno,I$616)</f>
        <v>40</v>
      </c>
      <c r="J666" s="62">
        <f>SUMIFS([0]!Capriles,[0]!Centro,B667,[0]!Turno,J$616)</f>
        <v>31</v>
      </c>
      <c r="K666" s="62">
        <f>SUMIFS([0]!Capriles,[0]!Centro,B667,[0]!Turno,K$616)</f>
        <v>9</v>
      </c>
      <c r="L666" s="62">
        <f>SUMIFS([0]!Capriles,[0]!Centro,B667,[0]!Turno,L$616)</f>
        <v>8</v>
      </c>
      <c r="M666" s="62">
        <f>SUMIFS([0]!Capriles,[0]!Centro,B667,[0]!Turno,M$616)</f>
        <v>24</v>
      </c>
      <c r="N666" s="62">
        <f>SUMIFS([0]!Capriles,[0]!Centro,B667,[0]!Turno,N$616)</f>
        <v>0</v>
      </c>
      <c r="O666" s="62">
        <f>SUMIFS([0]!Capriles,[0]!Centro,B667,[0]!Turno,O$616)</f>
        <v>12</v>
      </c>
      <c r="P666" s="62">
        <f>SUMIFS([0]!Capriles,[0]!Centro,B667,[0]!Turno,P$616)</f>
        <v>34</v>
      </c>
      <c r="Q666" s="62">
        <f>SUMIFS([0]!Capriles,[0]!Centro,B667,[0]!Turno,Q$616)</f>
        <v>0</v>
      </c>
      <c r="R666" s="62">
        <f>SUMIFS([0]!Capriles,[0]!Centro,B667,[0]!Turno,R$616)</f>
        <v>7</v>
      </c>
      <c r="S666" s="62">
        <f>SUMIFS([0]!Capriles,[0]!Centro,B667,[0]!Turno,S$616)</f>
        <v>0</v>
      </c>
      <c r="T666" s="62">
        <f>SUMIFS([0]!Capriles,[0]!Centro,B667,[0]!Turno,T$616)</f>
        <v>0</v>
      </c>
      <c r="U666" s="62">
        <f>SUMIFS([0]!Capriles,[0]!Centro,B667,[0]!Turno,U$616)</f>
        <v>0</v>
      </c>
      <c r="V666" s="62">
        <f>SUMIFS([0]!Capriles,[0]!Centro,B667,[0]!Turno,V$616)</f>
        <v>0</v>
      </c>
      <c r="W666" s="62">
        <f>SUMIFS([0]!Capriles,[0]!Centro,B667,[0]!Turno,W$616)</f>
        <v>0</v>
      </c>
      <c r="X666" s="62">
        <f>SUMIFS([0]!Capriles,[0]!Centro,B667,[0]!Turno,X$616)</f>
        <v>0</v>
      </c>
      <c r="Y666" s="70">
        <f>SUMIFS([0]!Capriles,[0]!Centro,B667,[0]!Turno,Y$616)</f>
        <v>0</v>
      </c>
    </row>
    <row r="667" spans="2:25" ht="15" customHeight="1" thickBot="1" x14ac:dyDescent="0.25">
      <c r="B667" s="251">
        <v>92</v>
      </c>
      <c r="C667" s="100">
        <f>E667/SUM(E665:E667)</f>
        <v>6.4377682403433476E-3</v>
      </c>
      <c r="D667" s="71" t="s">
        <v>2</v>
      </c>
      <c r="E667" s="72">
        <f t="shared" si="2031"/>
        <v>3</v>
      </c>
      <c r="F667" s="72">
        <f>SUMIFS([0]!Otro,[0]!Centro,B667,[0]!Turno,F$616)</f>
        <v>0</v>
      </c>
      <c r="G667" s="72">
        <f>SUMIFS([0]!Otro,[0]!Centro,B667,[0]!Turno,G$616)</f>
        <v>0</v>
      </c>
      <c r="H667" s="72">
        <f>SUMIFS([0]!Otro,[0]!Centro,B667,[0]!Turno,H$616)</f>
        <v>0</v>
      </c>
      <c r="I667" s="72">
        <f>SUMIFS([0]!Otro,[0]!Centro,B667,[0]!Turno,I$616)</f>
        <v>3</v>
      </c>
      <c r="J667" s="72">
        <f>SUMIFS([0]!Otro,[0]!Centro,B667,[0]!Turno,J$616)</f>
        <v>0</v>
      </c>
      <c r="K667" s="72">
        <f>SUMIFS([0]!Otro,[0]!Centro,B667,[0]!Turno,K$616)</f>
        <v>0</v>
      </c>
      <c r="L667" s="72">
        <f>SUMIFS([0]!Otro,[0]!Centro,B667,[0]!Turno,L$616)</f>
        <v>0</v>
      </c>
      <c r="M667" s="72">
        <f>SUMIFS([0]!Otro,[0]!Centro,B667,[0]!Turno,M$616)</f>
        <v>0</v>
      </c>
      <c r="N667" s="72">
        <f>SUMIFS([0]!Otro,[0]!Centro,B667,[0]!Turno,N$616)</f>
        <v>0</v>
      </c>
      <c r="O667" s="72">
        <f>SUMIFS([0]!Otro,[0]!Centro,B667,[0]!Turno,O$616)</f>
        <v>0</v>
      </c>
      <c r="P667" s="72">
        <f>SUMIFS([0]!Otro,[0]!Centro,B667,[0]!Turno,P$616)</f>
        <v>0</v>
      </c>
      <c r="Q667" s="72">
        <f>SUMIFS([0]!Otro,[0]!Centro,B667,[0]!Turno,Q$616)</f>
        <v>0</v>
      </c>
      <c r="R667" s="72">
        <f>SUMIFS([0]!Otro,[0]!Centro,B667,[0]!Turno,R$616)</f>
        <v>0</v>
      </c>
      <c r="S667" s="72">
        <f>SUMIFS([0]!Otro,[0]!Centro,B667,[0]!Turno,S$616)</f>
        <v>0</v>
      </c>
      <c r="T667" s="72">
        <f>SUMIFS([0]!Otro,[0]!Centro,B667,[0]!Turno,T$616)</f>
        <v>0</v>
      </c>
      <c r="U667" s="72">
        <f>SUMIFS([0]!Otro,[0]!Centro,B667,[0]!Turno,U$616)</f>
        <v>0</v>
      </c>
      <c r="V667" s="72">
        <f>SUMIFS([0]!Otro,[0]!Centro,B667,[0]!Turno,V$616)</f>
        <v>0</v>
      </c>
      <c r="W667" s="72">
        <f>SUMIFS([0]!Otro,[0]!Centro,B667,[0]!Turno,W$616)</f>
        <v>0</v>
      </c>
      <c r="X667" s="72">
        <f>SUMIFS([0]!Otro,[0]!Centro,B667,[0]!Turno,X$616)</f>
        <v>0</v>
      </c>
      <c r="Y667" s="73">
        <f>SUMIFS([0]!Otro,[0]!Centro,B667,[0]!Turno,Y$616)</f>
        <v>0</v>
      </c>
    </row>
    <row r="668" spans="2:25" ht="15" customHeight="1" x14ac:dyDescent="0.2">
      <c r="B668" s="251"/>
      <c r="C668" s="94">
        <f>E668/SUM(E668:E670)</f>
        <v>0.45064377682403428</v>
      </c>
      <c r="D668" s="63" t="s">
        <v>0</v>
      </c>
      <c r="E668" s="150">
        <f>IF((E665+E666+E667)=0,0,(E665*$B669)/(E665+E666+E667))</f>
        <v>4.5618406141264826E-2</v>
      </c>
      <c r="F668" s="150">
        <f>IF((F665+F666+F667)=0,0,(F665*$B669)/(F665+F666+F667))</f>
        <v>5.3989021617344535E-2</v>
      </c>
      <c r="G668" s="150">
        <f t="shared" ref="G668:Y668" si="2068">IF((G665+G666+G667)=0,0,(G665*$B669)/(G665+G666+G667))</f>
        <v>5.4230044035279104E-2</v>
      </c>
      <c r="H668" s="150">
        <f t="shared" si="2068"/>
        <v>4.0491766213008401E-2</v>
      </c>
      <c r="I668" s="150">
        <f t="shared" si="2068"/>
        <v>2.8681667734214284E-2</v>
      </c>
      <c r="J668" s="150">
        <f t="shared" si="2068"/>
        <v>4.9784958458616885E-2</v>
      </c>
      <c r="K668" s="150">
        <f t="shared" si="2068"/>
        <v>5.5676178542886555E-2</v>
      </c>
      <c r="L668" s="150">
        <f t="shared" si="2068"/>
        <v>5.8606503729354269E-2</v>
      </c>
      <c r="M668" s="150">
        <f t="shared" si="2068"/>
        <v>2.9773357509565002E-2</v>
      </c>
      <c r="N668" s="150">
        <f t="shared" si="2068"/>
        <v>0</v>
      </c>
      <c r="O668" s="150">
        <f t="shared" si="2068"/>
        <v>4.0491766213008401E-2</v>
      </c>
      <c r="P668" s="150">
        <f t="shared" si="2068"/>
        <v>4.9080928743040486E-2</v>
      </c>
      <c r="Q668" s="150">
        <f t="shared" si="2068"/>
        <v>0</v>
      </c>
      <c r="R668" s="150">
        <f t="shared" si="2068"/>
        <v>6.5799120096138655E-2</v>
      </c>
      <c r="S668" s="150">
        <f t="shared" si="2068"/>
        <v>0</v>
      </c>
      <c r="T668" s="150">
        <f t="shared" si="2068"/>
        <v>0</v>
      </c>
      <c r="U668" s="150">
        <f t="shared" si="2068"/>
        <v>0</v>
      </c>
      <c r="V668" s="150">
        <f t="shared" si="2068"/>
        <v>0</v>
      </c>
      <c r="W668" s="150">
        <f t="shared" si="2068"/>
        <v>0</v>
      </c>
      <c r="X668" s="150">
        <f t="shared" si="2068"/>
        <v>0</v>
      </c>
      <c r="Y668" s="163">
        <f t="shared" si="2068"/>
        <v>0</v>
      </c>
    </row>
    <row r="669" spans="2:25" ht="15" customHeight="1" x14ac:dyDescent="0.2">
      <c r="B669" s="252">
        <v>0.101229415532521</v>
      </c>
      <c r="C669" s="92">
        <f>E669/SUM(E668:E670)</f>
        <v>0.5429184549356223</v>
      </c>
      <c r="D669" s="61" t="s">
        <v>1</v>
      </c>
      <c r="E669" s="154">
        <f>IF((E665+E666+E667)=0,0,(E666*$B669)/(E665+E666+E667))</f>
        <v>5.4959317874952389E-2</v>
      </c>
      <c r="F669" s="154">
        <f>IF((F665+F666+F667)=0,0,(F666*$B669)/(F665+F666+F667))</f>
        <v>4.7240393915176468E-2</v>
      </c>
      <c r="G669" s="154">
        <f t="shared" ref="G669:O669" si="2069">IF((G665+G666+G667)=0,0,(G666*$B669)/(G665+G666+G667))</f>
        <v>4.6999371497241892E-2</v>
      </c>
      <c r="H669" s="154">
        <f t="shared" si="2069"/>
        <v>6.0737649319512602E-2</v>
      </c>
      <c r="I669" s="154">
        <f t="shared" si="2069"/>
        <v>6.7486277021680668E-2</v>
      </c>
      <c r="J669" s="154">
        <f t="shared" si="2069"/>
        <v>5.1444457073904118E-2</v>
      </c>
      <c r="K669" s="154">
        <f t="shared" si="2069"/>
        <v>4.5553236989634448E-2</v>
      </c>
      <c r="L669" s="154">
        <f t="shared" si="2069"/>
        <v>4.2622911803166741E-2</v>
      </c>
      <c r="M669" s="154">
        <f t="shared" si="2069"/>
        <v>7.1456058022956001E-2</v>
      </c>
      <c r="N669" s="154">
        <f t="shared" si="2069"/>
        <v>0</v>
      </c>
      <c r="O669" s="154">
        <f t="shared" si="2069"/>
        <v>6.0737649319512602E-2</v>
      </c>
      <c r="P669" s="154">
        <f>IF((P665+P666+P667)=0,0,(P666*$B669)/(P665+P666+P667))</f>
        <v>5.2148486789480517E-2</v>
      </c>
      <c r="Q669" s="154">
        <f t="shared" ref="Q669:Y669" si="2070">IF((Q665+Q666+Q667)=0,0,(Q666*$B669)/(Q665+Q666+Q667))</f>
        <v>0</v>
      </c>
      <c r="R669" s="154">
        <f t="shared" si="2070"/>
        <v>3.5430295436382354E-2</v>
      </c>
      <c r="S669" s="154">
        <f t="shared" si="2070"/>
        <v>0</v>
      </c>
      <c r="T669" s="154">
        <f t="shared" si="2070"/>
        <v>0</v>
      </c>
      <c r="U669" s="154">
        <f t="shared" si="2070"/>
        <v>0</v>
      </c>
      <c r="V669" s="154">
        <f t="shared" si="2070"/>
        <v>0</v>
      </c>
      <c r="W669" s="154">
        <f t="shared" si="2070"/>
        <v>0</v>
      </c>
      <c r="X669" s="154">
        <f t="shared" si="2070"/>
        <v>0</v>
      </c>
      <c r="Y669" s="159">
        <f t="shared" si="2070"/>
        <v>0</v>
      </c>
    </row>
    <row r="670" spans="2:25" ht="15" customHeight="1" thickBot="1" x14ac:dyDescent="0.25">
      <c r="B670" s="253"/>
      <c r="C670" s="93">
        <f>E670/SUM(E668:E670)</f>
        <v>6.4377682403433476E-3</v>
      </c>
      <c r="D670" s="75" t="s">
        <v>2</v>
      </c>
      <c r="E670" s="155">
        <f>IF((E665+E666+E667)=0,0,(E667*$B669)/(E665+E666+E667))</f>
        <v>6.5169151630378329E-4</v>
      </c>
      <c r="F670" s="155">
        <f>IF((F665+F666+F667)=0,0,(F667*$B669)/(F665+F666+F667))</f>
        <v>0</v>
      </c>
      <c r="G670" s="155">
        <f t="shared" ref="G670:Y670" si="2071">IF((G665+G666+G667)=0,0,(G667*$B669)/(G665+G666+G667))</f>
        <v>0</v>
      </c>
      <c r="H670" s="155">
        <f t="shared" si="2071"/>
        <v>0</v>
      </c>
      <c r="I670" s="155">
        <f t="shared" si="2071"/>
        <v>5.0614707766260501E-3</v>
      </c>
      <c r="J670" s="155">
        <f t="shared" si="2071"/>
        <v>0</v>
      </c>
      <c r="K670" s="155">
        <f t="shared" si="2071"/>
        <v>0</v>
      </c>
      <c r="L670" s="155">
        <f t="shared" si="2071"/>
        <v>0</v>
      </c>
      <c r="M670" s="155">
        <f t="shared" si="2071"/>
        <v>0</v>
      </c>
      <c r="N670" s="155">
        <f t="shared" si="2071"/>
        <v>0</v>
      </c>
      <c r="O670" s="155">
        <f t="shared" si="2071"/>
        <v>0</v>
      </c>
      <c r="P670" s="155">
        <f t="shared" si="2071"/>
        <v>0</v>
      </c>
      <c r="Q670" s="155">
        <f t="shared" si="2071"/>
        <v>0</v>
      </c>
      <c r="R670" s="155">
        <f t="shared" si="2071"/>
        <v>0</v>
      </c>
      <c r="S670" s="155">
        <f t="shared" si="2071"/>
        <v>0</v>
      </c>
      <c r="T670" s="155">
        <f t="shared" si="2071"/>
        <v>0</v>
      </c>
      <c r="U670" s="155">
        <f t="shared" si="2071"/>
        <v>0</v>
      </c>
      <c r="V670" s="155">
        <f t="shared" si="2071"/>
        <v>0</v>
      </c>
      <c r="W670" s="155">
        <f t="shared" si="2071"/>
        <v>0</v>
      </c>
      <c r="X670" s="155">
        <f t="shared" si="2071"/>
        <v>0</v>
      </c>
      <c r="Y670" s="160">
        <f t="shared" si="2071"/>
        <v>0</v>
      </c>
    </row>
    <row r="671" spans="2:25" ht="15" customHeight="1" x14ac:dyDescent="0.2">
      <c r="B671" s="249" t="s">
        <v>120</v>
      </c>
      <c r="C671" s="91">
        <f>E671/SUM(E671:E673)</f>
        <v>0.65895953757225434</v>
      </c>
      <c r="D671" s="67" t="s">
        <v>0</v>
      </c>
      <c r="E671" s="68">
        <f t="shared" si="2031"/>
        <v>114</v>
      </c>
      <c r="F671" s="68">
        <f>SUMIFS([0]!Chavez,[0]!Centro,B673,[0]!Turno,F$616)</f>
        <v>0</v>
      </c>
      <c r="G671" s="68">
        <f>SUMIFS([0]!Chavez,[0]!Centro,B673,[0]!Turno,G$616)</f>
        <v>0</v>
      </c>
      <c r="H671" s="68">
        <f>SUMIFS([0]!Chavez,[0]!Centro,B673,[0]!Turno,H$616)</f>
        <v>7</v>
      </c>
      <c r="I671" s="68">
        <f>SUMIFS([0]!Chavez,[0]!Centro,B673,[0]!Turno,I$616)</f>
        <v>8</v>
      </c>
      <c r="J671" s="68">
        <f>SUMIFS([0]!Chavez,[0]!Centro,B673,[0]!Turno,J$616)</f>
        <v>9</v>
      </c>
      <c r="K671" s="68">
        <f>SUMIFS([0]!Chavez,[0]!Centro,B673,[0]!Turno,K$616)</f>
        <v>20</v>
      </c>
      <c r="L671" s="68">
        <f>SUMIFS([0]!Chavez,[0]!Centro,B673,[0]!Turno,L$616)</f>
        <v>16</v>
      </c>
      <c r="M671" s="68">
        <f>SUMIFS([0]!Chavez,[0]!Centro,B673,[0]!Turno,M$616)</f>
        <v>24</v>
      </c>
      <c r="N671" s="68">
        <f>SUMIFS([0]!Chavez,[0]!Centro,B673,[0]!Turno,N$616)</f>
        <v>12</v>
      </c>
      <c r="O671" s="68">
        <f>SUMIFS([0]!Chavez,[0]!Centro,B673,[0]!Turno,O$616)</f>
        <v>0</v>
      </c>
      <c r="P671" s="68">
        <f>SUMIFS([0]!Chavez,[0]!Centro,B673,[0]!Turno,P$616)</f>
        <v>18</v>
      </c>
      <c r="Q671" s="68">
        <f>SUMIFS([0]!Chavez,[0]!Centro,B673,[0]!Turno,Q$616)</f>
        <v>0</v>
      </c>
      <c r="R671" s="68">
        <f>SUMIFS([0]!Chavez,[0]!Centro,B673,[0]!Turno,R$616)</f>
        <v>0</v>
      </c>
      <c r="S671" s="68">
        <f>SUMIFS([0]!Chavez,[0]!Centro,B673,[0]!Turno,S$616)</f>
        <v>0</v>
      </c>
      <c r="T671" s="68">
        <f>SUMIFS([0]!Chavez,[0]!Centro,B673,[0]!Turno,T$616)</f>
        <v>0</v>
      </c>
      <c r="U671" s="68">
        <f>SUMIFS([0]!Chavez,[0]!Centro,B673,[0]!Turno,U$616)</f>
        <v>0</v>
      </c>
      <c r="V671" s="68">
        <f>SUMIFS([0]!Chavez,[0]!Centro,B673,[0]!Turno,V$616)</f>
        <v>0</v>
      </c>
      <c r="W671" s="68">
        <f>SUMIFS([0]!Chavez,[0]!Centro,B673,[0]!Turno,W$616)</f>
        <v>0</v>
      </c>
      <c r="X671" s="68">
        <f>SUMIFS([0]!Chavez,[0]!Centro,B673,[0]!Turno,X$616)</f>
        <v>0</v>
      </c>
      <c r="Y671" s="69">
        <f>SUMIFS([0]!Chavez,[0]!Centro,B673,[0]!Turno,Y$616)</f>
        <v>0</v>
      </c>
    </row>
    <row r="672" spans="2:25" ht="15" customHeight="1" x14ac:dyDescent="0.2">
      <c r="B672" s="250"/>
      <c r="C672" s="92">
        <f>E672/SUM(E671:E673)</f>
        <v>0.30057803468208094</v>
      </c>
      <c r="D672" s="61" t="s">
        <v>1</v>
      </c>
      <c r="E672" s="62">
        <f t="shared" si="2031"/>
        <v>52</v>
      </c>
      <c r="F672" s="62">
        <f>SUMIFS([0]!Capriles,[0]!Centro,B673,[0]!Turno,F$616)</f>
        <v>0</v>
      </c>
      <c r="G672" s="62">
        <f>SUMIFS([0]!Capriles,[0]!Centro,B673,[0]!Turno,G$616)</f>
        <v>0</v>
      </c>
      <c r="H672" s="62">
        <f>SUMIFS([0]!Capriles,[0]!Centro,B673,[0]!Turno,H$616)</f>
        <v>5</v>
      </c>
      <c r="I672" s="62">
        <f>SUMIFS([0]!Capriles,[0]!Centro,B673,[0]!Turno,I$616)</f>
        <v>7</v>
      </c>
      <c r="J672" s="62">
        <f>SUMIFS([0]!Capriles,[0]!Centro,B673,[0]!Turno,J$616)</f>
        <v>10</v>
      </c>
      <c r="K672" s="62">
        <f>SUMIFS([0]!Capriles,[0]!Centro,B673,[0]!Turno,K$616)</f>
        <v>7</v>
      </c>
      <c r="L672" s="62">
        <f>SUMIFS([0]!Capriles,[0]!Centro,B673,[0]!Turno,L$616)</f>
        <v>2</v>
      </c>
      <c r="M672" s="62">
        <f>SUMIFS([0]!Capriles,[0]!Centro,B673,[0]!Turno,M$616)</f>
        <v>11</v>
      </c>
      <c r="N672" s="62">
        <f>SUMIFS([0]!Capriles,[0]!Centro,B673,[0]!Turno,N$616)</f>
        <v>6</v>
      </c>
      <c r="O672" s="62">
        <f>SUMIFS([0]!Capriles,[0]!Centro,B673,[0]!Turno,O$616)</f>
        <v>0</v>
      </c>
      <c r="P672" s="62">
        <f>SUMIFS([0]!Capriles,[0]!Centro,B673,[0]!Turno,P$616)</f>
        <v>4</v>
      </c>
      <c r="Q672" s="62">
        <f>SUMIFS([0]!Capriles,[0]!Centro,B673,[0]!Turno,Q$616)</f>
        <v>0</v>
      </c>
      <c r="R672" s="62">
        <f>SUMIFS([0]!Capriles,[0]!Centro,B673,[0]!Turno,R$616)</f>
        <v>0</v>
      </c>
      <c r="S672" s="62">
        <f>SUMIFS([0]!Capriles,[0]!Centro,B673,[0]!Turno,S$616)</f>
        <v>0</v>
      </c>
      <c r="T672" s="62">
        <f>SUMIFS([0]!Capriles,[0]!Centro,B673,[0]!Turno,T$616)</f>
        <v>0</v>
      </c>
      <c r="U672" s="62">
        <f>SUMIFS([0]!Capriles,[0]!Centro,B673,[0]!Turno,U$616)</f>
        <v>0</v>
      </c>
      <c r="V672" s="62">
        <f>SUMIFS([0]!Capriles,[0]!Centro,B673,[0]!Turno,V$616)</f>
        <v>0</v>
      </c>
      <c r="W672" s="62">
        <f>SUMIFS([0]!Capriles,[0]!Centro,B673,[0]!Turno,W$616)</f>
        <v>0</v>
      </c>
      <c r="X672" s="62">
        <f>SUMIFS([0]!Capriles,[0]!Centro,B673,[0]!Turno,X$616)</f>
        <v>0</v>
      </c>
      <c r="Y672" s="70">
        <f>SUMIFS([0]!Capriles,[0]!Centro,B673,[0]!Turno,Y$616)</f>
        <v>0</v>
      </c>
    </row>
    <row r="673" spans="2:25" ht="15" customHeight="1" thickBot="1" x14ac:dyDescent="0.25">
      <c r="B673" s="251">
        <v>93</v>
      </c>
      <c r="C673" s="100">
        <f>E673/SUM(E671:E673)</f>
        <v>4.046242774566474E-2</v>
      </c>
      <c r="D673" s="71" t="s">
        <v>2</v>
      </c>
      <c r="E673" s="72">
        <f t="shared" si="2031"/>
        <v>7</v>
      </c>
      <c r="F673" s="72">
        <f>SUMIFS([0]!Otro,[0]!Centro,B673,[0]!Turno,F$616)</f>
        <v>0</v>
      </c>
      <c r="G673" s="72">
        <f>SUMIFS([0]!Otro,[0]!Centro,B673,[0]!Turno,G$616)</f>
        <v>0</v>
      </c>
      <c r="H673" s="72">
        <f>SUMIFS([0]!Otro,[0]!Centro,B673,[0]!Turno,H$616)</f>
        <v>0</v>
      </c>
      <c r="I673" s="72">
        <f>SUMIFS([0]!Otro,[0]!Centro,B673,[0]!Turno,I$616)</f>
        <v>1</v>
      </c>
      <c r="J673" s="72">
        <f>SUMIFS([0]!Otro,[0]!Centro,B673,[0]!Turno,J$616)</f>
        <v>2</v>
      </c>
      <c r="K673" s="72">
        <f>SUMIFS([0]!Otro,[0]!Centro,B673,[0]!Turno,K$616)</f>
        <v>1</v>
      </c>
      <c r="L673" s="72">
        <f>SUMIFS([0]!Otro,[0]!Centro,B673,[0]!Turno,L$616)</f>
        <v>0</v>
      </c>
      <c r="M673" s="72">
        <f>SUMIFS([0]!Otro,[0]!Centro,B673,[0]!Turno,M$616)</f>
        <v>0</v>
      </c>
      <c r="N673" s="72">
        <f>SUMIFS([0]!Otro,[0]!Centro,B673,[0]!Turno,N$616)</f>
        <v>3</v>
      </c>
      <c r="O673" s="72">
        <f>SUMIFS([0]!Otro,[0]!Centro,B673,[0]!Turno,O$616)</f>
        <v>0</v>
      </c>
      <c r="P673" s="72">
        <f>SUMIFS([0]!Otro,[0]!Centro,B673,[0]!Turno,P$616)</f>
        <v>0</v>
      </c>
      <c r="Q673" s="72">
        <f>SUMIFS([0]!Otro,[0]!Centro,B673,[0]!Turno,Q$616)</f>
        <v>0</v>
      </c>
      <c r="R673" s="72">
        <f>SUMIFS([0]!Otro,[0]!Centro,B673,[0]!Turno,R$616)</f>
        <v>0</v>
      </c>
      <c r="S673" s="72">
        <f>SUMIFS([0]!Otro,[0]!Centro,B673,[0]!Turno,S$616)</f>
        <v>0</v>
      </c>
      <c r="T673" s="72">
        <f>SUMIFS([0]!Otro,[0]!Centro,B673,[0]!Turno,T$616)</f>
        <v>0</v>
      </c>
      <c r="U673" s="72">
        <f>SUMIFS([0]!Otro,[0]!Centro,B673,[0]!Turno,U$616)</f>
        <v>0</v>
      </c>
      <c r="V673" s="72">
        <f>SUMIFS([0]!Otro,[0]!Centro,B673,[0]!Turno,V$616)</f>
        <v>0</v>
      </c>
      <c r="W673" s="72">
        <f>SUMIFS([0]!Otro,[0]!Centro,B673,[0]!Turno,W$616)</f>
        <v>0</v>
      </c>
      <c r="X673" s="72">
        <f>SUMIFS([0]!Otro,[0]!Centro,B673,[0]!Turno,X$616)</f>
        <v>0</v>
      </c>
      <c r="Y673" s="73">
        <f>SUMIFS([0]!Otro,[0]!Centro,B673,[0]!Turno,Y$616)</f>
        <v>0</v>
      </c>
    </row>
    <row r="674" spans="2:25" ht="15" customHeight="1" x14ac:dyDescent="0.2">
      <c r="B674" s="251"/>
      <c r="C674" s="94">
        <f>E674/SUM(E674:E676)</f>
        <v>0.65895953757225434</v>
      </c>
      <c r="D674" s="63" t="s">
        <v>0</v>
      </c>
      <c r="E674" s="150">
        <f>IF((E671+E672+E673)=0,0,(E671*$B675)/(E671+E672+E673))</f>
        <v>3.2362021951972179E-2</v>
      </c>
      <c r="F674" s="150">
        <f>IF((F671+F672+F673)=0,0,(F671*$B675)/(F671+F672+F673))</f>
        <v>0</v>
      </c>
      <c r="G674" s="150">
        <f t="shared" ref="G674:Y674" si="2072">IF((G671+G672+G673)=0,0,(G671*$B675)/(G671+G672+G673))</f>
        <v>0</v>
      </c>
      <c r="H674" s="150">
        <f t="shared" si="2072"/>
        <v>2.8647959491109876E-2</v>
      </c>
      <c r="I674" s="150">
        <f t="shared" si="2072"/>
        <v>2.4555393849522749E-2</v>
      </c>
      <c r="J674" s="150">
        <f t="shared" si="2072"/>
        <v>2.1047480442448068E-2</v>
      </c>
      <c r="K674" s="150">
        <f t="shared" si="2072"/>
        <v>3.5079134070746788E-2</v>
      </c>
      <c r="L674" s="150">
        <f t="shared" si="2072"/>
        <v>4.3654033510262667E-2</v>
      </c>
      <c r="M674" s="150">
        <f t="shared" si="2072"/>
        <v>3.3675968707916913E-2</v>
      </c>
      <c r="N674" s="150">
        <f t="shared" si="2072"/>
        <v>2.8063307256597426E-2</v>
      </c>
      <c r="O674" s="150">
        <f t="shared" si="2072"/>
        <v>0</v>
      </c>
      <c r="P674" s="150">
        <f t="shared" si="2072"/>
        <v>4.0181553571946312E-2</v>
      </c>
      <c r="Q674" s="150">
        <f t="shared" si="2072"/>
        <v>0</v>
      </c>
      <c r="R674" s="150">
        <f t="shared" si="2072"/>
        <v>0</v>
      </c>
      <c r="S674" s="150">
        <f t="shared" si="2072"/>
        <v>0</v>
      </c>
      <c r="T674" s="150">
        <f t="shared" si="2072"/>
        <v>0</v>
      </c>
      <c r="U674" s="150">
        <f t="shared" si="2072"/>
        <v>0</v>
      </c>
      <c r="V674" s="150">
        <f t="shared" si="2072"/>
        <v>0</v>
      </c>
      <c r="W674" s="150">
        <f t="shared" si="2072"/>
        <v>0</v>
      </c>
      <c r="X674" s="150">
        <f t="shared" si="2072"/>
        <v>0</v>
      </c>
      <c r="Y674" s="163">
        <f t="shared" si="2072"/>
        <v>0</v>
      </c>
    </row>
    <row r="675" spans="2:25" ht="15" customHeight="1" x14ac:dyDescent="0.2">
      <c r="B675" s="252">
        <v>4.9110787699045498E-2</v>
      </c>
      <c r="C675" s="92">
        <f>E675/SUM(E674:E676)</f>
        <v>0.30057803468208089</v>
      </c>
      <c r="D675" s="61" t="s">
        <v>1</v>
      </c>
      <c r="E675" s="154">
        <f>IF((E671+E672+E673)=0,0,(E672*$B675)/(E671+E672+E673))</f>
        <v>1.476162404826801E-2</v>
      </c>
      <c r="F675" s="154">
        <f>IF((F671+F672+F673)=0,0,(F672*$B675)/(F671+F672+F673))</f>
        <v>0</v>
      </c>
      <c r="G675" s="154">
        <f t="shared" ref="G675:O675" si="2073">IF((G671+G672+G673)=0,0,(G672*$B675)/(G671+G672+G673))</f>
        <v>0</v>
      </c>
      <c r="H675" s="154">
        <f t="shared" si="2073"/>
        <v>2.0462828207935626E-2</v>
      </c>
      <c r="I675" s="154">
        <f t="shared" si="2073"/>
        <v>2.1485969618332407E-2</v>
      </c>
      <c r="J675" s="154">
        <f t="shared" si="2073"/>
        <v>2.3386089380497858E-2</v>
      </c>
      <c r="K675" s="154">
        <f t="shared" si="2073"/>
        <v>1.2277696924761375E-2</v>
      </c>
      <c r="L675" s="154">
        <f t="shared" si="2073"/>
        <v>5.4567541887828334E-3</v>
      </c>
      <c r="M675" s="154">
        <f t="shared" si="2073"/>
        <v>1.5434818991128587E-2</v>
      </c>
      <c r="N675" s="154">
        <f t="shared" si="2073"/>
        <v>1.4031653628298713E-2</v>
      </c>
      <c r="O675" s="154">
        <f t="shared" si="2073"/>
        <v>0</v>
      </c>
      <c r="P675" s="154">
        <f>IF((P671+P672+P673)=0,0,(P672*$B675)/(P671+P672+P673))</f>
        <v>8.9292341270991813E-3</v>
      </c>
      <c r="Q675" s="154">
        <f t="shared" ref="Q675:Y675" si="2074">IF((Q671+Q672+Q673)=0,0,(Q672*$B675)/(Q671+Q672+Q673))</f>
        <v>0</v>
      </c>
      <c r="R675" s="154">
        <f t="shared" si="2074"/>
        <v>0</v>
      </c>
      <c r="S675" s="154">
        <f t="shared" si="2074"/>
        <v>0</v>
      </c>
      <c r="T675" s="154">
        <f t="shared" si="2074"/>
        <v>0</v>
      </c>
      <c r="U675" s="154">
        <f t="shared" si="2074"/>
        <v>0</v>
      </c>
      <c r="V675" s="154">
        <f t="shared" si="2074"/>
        <v>0</v>
      </c>
      <c r="W675" s="154">
        <f t="shared" si="2074"/>
        <v>0</v>
      </c>
      <c r="X675" s="154">
        <f t="shared" si="2074"/>
        <v>0</v>
      </c>
      <c r="Y675" s="159">
        <f t="shared" si="2074"/>
        <v>0</v>
      </c>
    </row>
    <row r="676" spans="2:25" ht="15" customHeight="1" thickBot="1" x14ac:dyDescent="0.25">
      <c r="B676" s="253"/>
      <c r="C676" s="93">
        <f>E676/SUM(E674:E676)</f>
        <v>4.046242774566474E-2</v>
      </c>
      <c r="D676" s="75" t="s">
        <v>2</v>
      </c>
      <c r="E676" s="155">
        <f>IF((E671+E672+E673)=0,0,(E673*$B675)/(E671+E672+E673))</f>
        <v>1.9871416988053092E-3</v>
      </c>
      <c r="F676" s="155">
        <f>IF((F671+F672+F673)=0,0,(F673*$B675)/(F671+F672+F673))</f>
        <v>0</v>
      </c>
      <c r="G676" s="155">
        <f t="shared" ref="G676:Y676" si="2075">IF((G671+G672+G673)=0,0,(G673*$B675)/(G671+G672+G673))</f>
        <v>0</v>
      </c>
      <c r="H676" s="155">
        <f t="shared" si="2075"/>
        <v>0</v>
      </c>
      <c r="I676" s="155">
        <f t="shared" si="2075"/>
        <v>3.0694242311903436E-3</v>
      </c>
      <c r="J676" s="155">
        <f t="shared" si="2075"/>
        <v>4.6772178760995714E-3</v>
      </c>
      <c r="K676" s="155">
        <f t="shared" si="2075"/>
        <v>1.7539567035373392E-3</v>
      </c>
      <c r="L676" s="155">
        <f t="shared" si="2075"/>
        <v>0</v>
      </c>
      <c r="M676" s="155">
        <f t="shared" si="2075"/>
        <v>0</v>
      </c>
      <c r="N676" s="155">
        <f t="shared" si="2075"/>
        <v>7.0158268141493566E-3</v>
      </c>
      <c r="O676" s="155">
        <f t="shared" si="2075"/>
        <v>0</v>
      </c>
      <c r="P676" s="155">
        <f t="shared" si="2075"/>
        <v>0</v>
      </c>
      <c r="Q676" s="155">
        <f t="shared" si="2075"/>
        <v>0</v>
      </c>
      <c r="R676" s="155">
        <f t="shared" si="2075"/>
        <v>0</v>
      </c>
      <c r="S676" s="155">
        <f t="shared" si="2075"/>
        <v>0</v>
      </c>
      <c r="T676" s="155">
        <f t="shared" si="2075"/>
        <v>0</v>
      </c>
      <c r="U676" s="155">
        <f t="shared" si="2075"/>
        <v>0</v>
      </c>
      <c r="V676" s="155">
        <f t="shared" si="2075"/>
        <v>0</v>
      </c>
      <c r="W676" s="155">
        <f t="shared" si="2075"/>
        <v>0</v>
      </c>
      <c r="X676" s="155">
        <f t="shared" si="2075"/>
        <v>0</v>
      </c>
      <c r="Y676" s="160">
        <f t="shared" si="2075"/>
        <v>0</v>
      </c>
    </row>
    <row r="677" spans="2:25" ht="15" customHeight="1" x14ac:dyDescent="0.2">
      <c r="B677" s="249" t="s">
        <v>121</v>
      </c>
      <c r="C677" s="91">
        <f>E677/SUM(E677:E679)</f>
        <v>0.6404109589041096</v>
      </c>
      <c r="D677" s="67" t="s">
        <v>0</v>
      </c>
      <c r="E677" s="68">
        <f t="shared" si="2031"/>
        <v>187</v>
      </c>
      <c r="F677" s="68">
        <f>SUMIFS([0]!Chavez,[0]!Centro,B679,[0]!Turno,F$616)</f>
        <v>15</v>
      </c>
      <c r="G677" s="68">
        <f>SUMIFS([0]!Chavez,[0]!Centro,B679,[0]!Turno,G$616)</f>
        <v>17</v>
      </c>
      <c r="H677" s="68">
        <f>SUMIFS([0]!Chavez,[0]!Centro,B679,[0]!Turno,H$616)</f>
        <v>29</v>
      </c>
      <c r="I677" s="68">
        <f>SUMIFS([0]!Chavez,[0]!Centro,B679,[0]!Turno,I$616)</f>
        <v>41</v>
      </c>
      <c r="J677" s="68">
        <f>SUMIFS([0]!Chavez,[0]!Centro,B679,[0]!Turno,J$616)</f>
        <v>27</v>
      </c>
      <c r="K677" s="68">
        <f>SUMIFS([0]!Chavez,[0]!Centro,B679,[0]!Turno,K$616)</f>
        <v>0</v>
      </c>
      <c r="L677" s="68">
        <f>SUMIFS([0]!Chavez,[0]!Centro,B679,[0]!Turno,L$616)</f>
        <v>0</v>
      </c>
      <c r="M677" s="68">
        <f>SUMIFS([0]!Chavez,[0]!Centro,B679,[0]!Turno,M$616)</f>
        <v>23</v>
      </c>
      <c r="N677" s="68">
        <f>SUMIFS([0]!Chavez,[0]!Centro,B679,[0]!Turno,N$616)</f>
        <v>12</v>
      </c>
      <c r="O677" s="68">
        <f>SUMIFS([0]!Chavez,[0]!Centro,B679,[0]!Turno,O$616)</f>
        <v>0</v>
      </c>
      <c r="P677" s="68">
        <f>SUMIFS([0]!Chavez,[0]!Centro,B679,[0]!Turno,P$616)</f>
        <v>23</v>
      </c>
      <c r="Q677" s="68">
        <f>SUMIFS([0]!Chavez,[0]!Centro,B679,[0]!Turno,Q$616)</f>
        <v>0</v>
      </c>
      <c r="R677" s="68">
        <f>SUMIFS([0]!Chavez,[0]!Centro,B679,[0]!Turno,R$616)</f>
        <v>0</v>
      </c>
      <c r="S677" s="68">
        <f>SUMIFS([0]!Chavez,[0]!Centro,B679,[0]!Turno,S$616)</f>
        <v>0</v>
      </c>
      <c r="T677" s="68">
        <f>SUMIFS([0]!Chavez,[0]!Centro,B679,[0]!Turno,T$616)</f>
        <v>0</v>
      </c>
      <c r="U677" s="68">
        <f>SUMIFS([0]!Chavez,[0]!Centro,B679,[0]!Turno,U$616)</f>
        <v>0</v>
      </c>
      <c r="V677" s="68">
        <f>SUMIFS([0]!Chavez,[0]!Centro,B679,[0]!Turno,V$616)</f>
        <v>0</v>
      </c>
      <c r="W677" s="68">
        <f>SUMIFS([0]!Chavez,[0]!Centro,B679,[0]!Turno,W$616)</f>
        <v>0</v>
      </c>
      <c r="X677" s="68">
        <f>SUMIFS([0]!Chavez,[0]!Centro,B679,[0]!Turno,X$616)</f>
        <v>0</v>
      </c>
      <c r="Y677" s="69">
        <f>SUMIFS([0]!Chavez,[0]!Centro,B679,[0]!Turno,Y$616)</f>
        <v>0</v>
      </c>
    </row>
    <row r="678" spans="2:25" ht="15" customHeight="1" x14ac:dyDescent="0.2">
      <c r="B678" s="250"/>
      <c r="C678" s="92">
        <f>E678/SUM(E677:E679)</f>
        <v>0.3595890410958904</v>
      </c>
      <c r="D678" s="61" t="s">
        <v>1</v>
      </c>
      <c r="E678" s="62">
        <f t="shared" si="2031"/>
        <v>105</v>
      </c>
      <c r="F678" s="62">
        <f>SUMIFS([0]!Capriles,[0]!Centro,B679,[0]!Turno,F$616)</f>
        <v>7</v>
      </c>
      <c r="G678" s="62">
        <f>SUMIFS([0]!Capriles,[0]!Centro,B679,[0]!Turno,G$616)</f>
        <v>3</v>
      </c>
      <c r="H678" s="62">
        <f>SUMIFS([0]!Capriles,[0]!Centro,B679,[0]!Turno,H$616)</f>
        <v>11</v>
      </c>
      <c r="I678" s="62">
        <f>SUMIFS([0]!Capriles,[0]!Centro,B679,[0]!Turno,I$616)</f>
        <v>24</v>
      </c>
      <c r="J678" s="62">
        <f>SUMIFS([0]!Capriles,[0]!Centro,B679,[0]!Turno,J$616)</f>
        <v>18</v>
      </c>
      <c r="K678" s="62">
        <f>SUMIFS([0]!Capriles,[0]!Centro,B679,[0]!Turno,K$616)</f>
        <v>0</v>
      </c>
      <c r="L678" s="62">
        <f>SUMIFS([0]!Capriles,[0]!Centro,B679,[0]!Turno,L$616)</f>
        <v>10</v>
      </c>
      <c r="M678" s="62">
        <f>SUMIFS([0]!Capriles,[0]!Centro,B679,[0]!Turno,M$616)</f>
        <v>13</v>
      </c>
      <c r="N678" s="62">
        <f>SUMIFS([0]!Capriles,[0]!Centro,B679,[0]!Turno,N$616)</f>
        <v>6</v>
      </c>
      <c r="O678" s="62">
        <f>SUMIFS([0]!Capriles,[0]!Centro,B679,[0]!Turno,O$616)</f>
        <v>0</v>
      </c>
      <c r="P678" s="62">
        <f>SUMIFS([0]!Capriles,[0]!Centro,B679,[0]!Turno,P$616)</f>
        <v>13</v>
      </c>
      <c r="Q678" s="62">
        <f>SUMIFS([0]!Capriles,[0]!Centro,B679,[0]!Turno,Q$616)</f>
        <v>0</v>
      </c>
      <c r="R678" s="62">
        <f>SUMIFS([0]!Capriles,[0]!Centro,B679,[0]!Turno,R$616)</f>
        <v>0</v>
      </c>
      <c r="S678" s="62">
        <f>SUMIFS([0]!Capriles,[0]!Centro,B679,[0]!Turno,S$616)</f>
        <v>0</v>
      </c>
      <c r="T678" s="62">
        <f>SUMIFS([0]!Capriles,[0]!Centro,B679,[0]!Turno,T$616)</f>
        <v>0</v>
      </c>
      <c r="U678" s="62">
        <f>SUMIFS([0]!Capriles,[0]!Centro,B679,[0]!Turno,U$616)</f>
        <v>0</v>
      </c>
      <c r="V678" s="62">
        <f>SUMIFS([0]!Capriles,[0]!Centro,B679,[0]!Turno,V$616)</f>
        <v>0</v>
      </c>
      <c r="W678" s="62">
        <f>SUMIFS([0]!Capriles,[0]!Centro,B679,[0]!Turno,W$616)</f>
        <v>0</v>
      </c>
      <c r="X678" s="62">
        <f>SUMIFS([0]!Capriles,[0]!Centro,B679,[0]!Turno,X$616)</f>
        <v>0</v>
      </c>
      <c r="Y678" s="70">
        <f>SUMIFS([0]!Capriles,[0]!Centro,B679,[0]!Turno,Y$616)</f>
        <v>0</v>
      </c>
    </row>
    <row r="679" spans="2:25" ht="15" customHeight="1" thickBot="1" x14ac:dyDescent="0.25">
      <c r="B679" s="251">
        <v>94</v>
      </c>
      <c r="C679" s="100">
        <f>E679/SUM(E677:E679)</f>
        <v>0</v>
      </c>
      <c r="D679" s="71" t="s">
        <v>2</v>
      </c>
      <c r="E679" s="72">
        <f t="shared" si="2031"/>
        <v>0</v>
      </c>
      <c r="F679" s="72">
        <f>SUMIFS([0]!Otro,[0]!Centro,B679,[0]!Turno,F$616)</f>
        <v>0</v>
      </c>
      <c r="G679" s="72">
        <f>SUMIFS([0]!Otro,[0]!Centro,B679,[0]!Turno,G$616)</f>
        <v>0</v>
      </c>
      <c r="H679" s="72">
        <f>SUMIFS([0]!Otro,[0]!Centro,B679,[0]!Turno,H$616)</f>
        <v>0</v>
      </c>
      <c r="I679" s="72">
        <f>SUMIFS([0]!Otro,[0]!Centro,B679,[0]!Turno,I$616)</f>
        <v>0</v>
      </c>
      <c r="J679" s="72">
        <f>SUMIFS([0]!Otro,[0]!Centro,B679,[0]!Turno,J$616)</f>
        <v>0</v>
      </c>
      <c r="K679" s="72">
        <f>SUMIFS([0]!Otro,[0]!Centro,B679,[0]!Turno,K$616)</f>
        <v>0</v>
      </c>
      <c r="L679" s="72">
        <f>SUMIFS([0]!Otro,[0]!Centro,B679,[0]!Turno,L$616)</f>
        <v>0</v>
      </c>
      <c r="M679" s="72">
        <f>SUMIFS([0]!Otro,[0]!Centro,B679,[0]!Turno,M$616)</f>
        <v>0</v>
      </c>
      <c r="N679" s="72">
        <f>SUMIFS([0]!Otro,[0]!Centro,B679,[0]!Turno,N$616)</f>
        <v>0</v>
      </c>
      <c r="O679" s="72">
        <f>SUMIFS([0]!Otro,[0]!Centro,B679,[0]!Turno,O$616)</f>
        <v>0</v>
      </c>
      <c r="P679" s="72">
        <f>SUMIFS([0]!Otro,[0]!Centro,B679,[0]!Turno,P$616)</f>
        <v>0</v>
      </c>
      <c r="Q679" s="72">
        <f>SUMIFS([0]!Otro,[0]!Centro,B679,[0]!Turno,Q$616)</f>
        <v>0</v>
      </c>
      <c r="R679" s="72">
        <f>SUMIFS([0]!Otro,[0]!Centro,B679,[0]!Turno,R$616)</f>
        <v>0</v>
      </c>
      <c r="S679" s="72">
        <f>SUMIFS([0]!Otro,[0]!Centro,B679,[0]!Turno,S$616)</f>
        <v>0</v>
      </c>
      <c r="T679" s="72">
        <f>SUMIFS([0]!Otro,[0]!Centro,B679,[0]!Turno,T$616)</f>
        <v>0</v>
      </c>
      <c r="U679" s="72">
        <f>SUMIFS([0]!Otro,[0]!Centro,B679,[0]!Turno,U$616)</f>
        <v>0</v>
      </c>
      <c r="V679" s="72">
        <f>SUMIFS([0]!Otro,[0]!Centro,B679,[0]!Turno,V$616)</f>
        <v>0</v>
      </c>
      <c r="W679" s="72">
        <f>SUMIFS([0]!Otro,[0]!Centro,B679,[0]!Turno,W$616)</f>
        <v>0</v>
      </c>
      <c r="X679" s="72">
        <f>SUMIFS([0]!Otro,[0]!Centro,B679,[0]!Turno,X$616)</f>
        <v>0</v>
      </c>
      <c r="Y679" s="73">
        <f>SUMIFS([0]!Otro,[0]!Centro,B679,[0]!Turno,Y$616)</f>
        <v>0</v>
      </c>
    </row>
    <row r="680" spans="2:25" ht="15" customHeight="1" x14ac:dyDescent="0.2">
      <c r="B680" s="251"/>
      <c r="C680" s="94">
        <f>E680/SUM(E680:E682)</f>
        <v>0.6404109589041096</v>
      </c>
      <c r="D680" s="63" t="s">
        <v>0</v>
      </c>
      <c r="E680" s="150">
        <f>IF((E677+E678+E679)=0,0,(E677*$B681)/(E677+E678+E679))</f>
        <v>3.0858074175249901E-2</v>
      </c>
      <c r="F680" s="150">
        <f>IF((F677+F678+F679)=0,0,(F677*$B681)/(F677+F678+F679))</f>
        <v>3.2853272943022496E-2</v>
      </c>
      <c r="G680" s="150">
        <f t="shared" ref="G680:Y680" si="2076">IF((G677+G678+G679)=0,0,(G677*$B681)/(G677+G678+G679))</f>
        <v>4.0957080268968049E-2</v>
      </c>
      <c r="H680" s="150">
        <f t="shared" si="2076"/>
        <v>3.4933980229413922E-2</v>
      </c>
      <c r="I680" s="150">
        <f t="shared" si="2076"/>
        <v>3.039348943036543E-2</v>
      </c>
      <c r="J680" s="150">
        <f t="shared" si="2076"/>
        <v>2.8910880189859798E-2</v>
      </c>
      <c r="K680" s="150">
        <f t="shared" si="2076"/>
        <v>0</v>
      </c>
      <c r="L680" s="150">
        <f t="shared" si="2076"/>
        <v>0</v>
      </c>
      <c r="M680" s="150">
        <f t="shared" si="2076"/>
        <v>3.0784733535498859E-2</v>
      </c>
      <c r="N680" s="150">
        <f t="shared" si="2076"/>
        <v>3.2123200210955334E-2</v>
      </c>
      <c r="O680" s="150">
        <f t="shared" si="2076"/>
        <v>0</v>
      </c>
      <c r="P680" s="150">
        <f t="shared" si="2076"/>
        <v>3.0784733535498859E-2</v>
      </c>
      <c r="Q680" s="150">
        <f t="shared" si="2076"/>
        <v>0</v>
      </c>
      <c r="R680" s="150">
        <f t="shared" si="2076"/>
        <v>0</v>
      </c>
      <c r="S680" s="150">
        <f t="shared" si="2076"/>
        <v>0</v>
      </c>
      <c r="T680" s="150">
        <f t="shared" si="2076"/>
        <v>0</v>
      </c>
      <c r="U680" s="150">
        <f t="shared" si="2076"/>
        <v>0</v>
      </c>
      <c r="V680" s="150">
        <f t="shared" si="2076"/>
        <v>0</v>
      </c>
      <c r="W680" s="150">
        <f t="shared" si="2076"/>
        <v>0</v>
      </c>
      <c r="X680" s="150">
        <f t="shared" si="2076"/>
        <v>0</v>
      </c>
      <c r="Y680" s="163">
        <f t="shared" si="2076"/>
        <v>0</v>
      </c>
    </row>
    <row r="681" spans="2:25" ht="15" customHeight="1" x14ac:dyDescent="0.2">
      <c r="B681" s="252">
        <v>4.8184800316432998E-2</v>
      </c>
      <c r="C681" s="92">
        <f>E681/SUM(E680:E682)</f>
        <v>0.3595890410958904</v>
      </c>
      <c r="D681" s="61" t="s">
        <v>1</v>
      </c>
      <c r="E681" s="154">
        <f>IF((E677+E678+E679)=0,0,(E678*$B681)/(E677+E678+E679))</f>
        <v>1.7326726141183097E-2</v>
      </c>
      <c r="F681" s="154">
        <f>IF((F677+F678+F679)=0,0,(F678*$B681)/(F677+F678+F679))</f>
        <v>1.5331527373410498E-2</v>
      </c>
      <c r="G681" s="154">
        <f t="shared" ref="G681:O681" si="2077">IF((G677+G678+G679)=0,0,(G678*$B681)/(G677+G678+G679))</f>
        <v>7.2277200474649504E-3</v>
      </c>
      <c r="H681" s="154">
        <f t="shared" si="2077"/>
        <v>1.3250820087019074E-2</v>
      </c>
      <c r="I681" s="154">
        <f t="shared" si="2077"/>
        <v>1.7791310886067568E-2</v>
      </c>
      <c r="J681" s="154">
        <f t="shared" si="2077"/>
        <v>1.92739201265732E-2</v>
      </c>
      <c r="K681" s="154">
        <f t="shared" si="2077"/>
        <v>0</v>
      </c>
      <c r="L681" s="154">
        <f t="shared" si="2077"/>
        <v>4.8184800316432998E-2</v>
      </c>
      <c r="M681" s="154">
        <f t="shared" si="2077"/>
        <v>1.7400066780934139E-2</v>
      </c>
      <c r="N681" s="154">
        <f t="shared" si="2077"/>
        <v>1.6061600105477667E-2</v>
      </c>
      <c r="O681" s="154">
        <f t="shared" si="2077"/>
        <v>0</v>
      </c>
      <c r="P681" s="154">
        <f>IF((P677+P678+P679)=0,0,(P678*$B681)/(P677+P678+P679))</f>
        <v>1.7400066780934139E-2</v>
      </c>
      <c r="Q681" s="154">
        <f t="shared" ref="Q681:Y681" si="2078">IF((Q677+Q678+Q679)=0,0,(Q678*$B681)/(Q677+Q678+Q679))</f>
        <v>0</v>
      </c>
      <c r="R681" s="154">
        <f t="shared" si="2078"/>
        <v>0</v>
      </c>
      <c r="S681" s="154">
        <f t="shared" si="2078"/>
        <v>0</v>
      </c>
      <c r="T681" s="154">
        <f t="shared" si="2078"/>
        <v>0</v>
      </c>
      <c r="U681" s="154">
        <f t="shared" si="2078"/>
        <v>0</v>
      </c>
      <c r="V681" s="154">
        <f t="shared" si="2078"/>
        <v>0</v>
      </c>
      <c r="W681" s="154">
        <f t="shared" si="2078"/>
        <v>0</v>
      </c>
      <c r="X681" s="154">
        <f t="shared" si="2078"/>
        <v>0</v>
      </c>
      <c r="Y681" s="159">
        <f t="shared" si="2078"/>
        <v>0</v>
      </c>
    </row>
    <row r="682" spans="2:25" ht="15" customHeight="1" thickBot="1" x14ac:dyDescent="0.25">
      <c r="B682" s="253"/>
      <c r="C682" s="93">
        <f>E682/SUM(E680:E682)</f>
        <v>0</v>
      </c>
      <c r="D682" s="75" t="s">
        <v>2</v>
      </c>
      <c r="E682" s="155">
        <f>IF((E677+E678+E679)=0,0,(E679*$B681)/(E677+E678+E679))</f>
        <v>0</v>
      </c>
      <c r="F682" s="155">
        <f>IF((F677+F678+F679)=0,0,(F679*$B681)/(F677+F678+F679))</f>
        <v>0</v>
      </c>
      <c r="G682" s="155">
        <f t="shared" ref="G682:Y682" si="2079">IF((G677+G678+G679)=0,0,(G679*$B681)/(G677+G678+G679))</f>
        <v>0</v>
      </c>
      <c r="H682" s="155">
        <f t="shared" si="2079"/>
        <v>0</v>
      </c>
      <c r="I682" s="155">
        <f t="shared" si="2079"/>
        <v>0</v>
      </c>
      <c r="J682" s="155">
        <f t="shared" si="2079"/>
        <v>0</v>
      </c>
      <c r="K682" s="155">
        <f t="shared" si="2079"/>
        <v>0</v>
      </c>
      <c r="L682" s="155">
        <f t="shared" si="2079"/>
        <v>0</v>
      </c>
      <c r="M682" s="155">
        <f t="shared" si="2079"/>
        <v>0</v>
      </c>
      <c r="N682" s="155">
        <f t="shared" si="2079"/>
        <v>0</v>
      </c>
      <c r="O682" s="155">
        <f t="shared" si="2079"/>
        <v>0</v>
      </c>
      <c r="P682" s="155">
        <f t="shared" si="2079"/>
        <v>0</v>
      </c>
      <c r="Q682" s="155">
        <f t="shared" si="2079"/>
        <v>0</v>
      </c>
      <c r="R682" s="155">
        <f t="shared" si="2079"/>
        <v>0</v>
      </c>
      <c r="S682" s="155">
        <f t="shared" si="2079"/>
        <v>0</v>
      </c>
      <c r="T682" s="155">
        <f t="shared" si="2079"/>
        <v>0</v>
      </c>
      <c r="U682" s="155">
        <f t="shared" si="2079"/>
        <v>0</v>
      </c>
      <c r="V682" s="155">
        <f t="shared" si="2079"/>
        <v>0</v>
      </c>
      <c r="W682" s="155">
        <f t="shared" si="2079"/>
        <v>0</v>
      </c>
      <c r="X682" s="155">
        <f t="shared" si="2079"/>
        <v>0</v>
      </c>
      <c r="Y682" s="160">
        <f t="shared" si="2079"/>
        <v>0</v>
      </c>
    </row>
    <row r="683" spans="2:25" ht="15" customHeight="1" x14ac:dyDescent="0.2">
      <c r="B683" s="249" t="s">
        <v>122</v>
      </c>
      <c r="C683" s="91">
        <f>E683/SUM(E683:E685)</f>
        <v>0.18100890207715134</v>
      </c>
      <c r="D683" s="67" t="s">
        <v>0</v>
      </c>
      <c r="E683" s="68">
        <f t="shared" ref="E683:E715" si="2080">SUM(F683:Y683)</f>
        <v>61</v>
      </c>
      <c r="F683" s="68">
        <f>SUMIFS([0]!Chavez,[0]!Centro,B685,[0]!Turno,F$616)</f>
        <v>5</v>
      </c>
      <c r="G683" s="68">
        <f>SUMIFS([0]!Chavez,[0]!Centro,B685,[0]!Turno,G$616)</f>
        <v>2</v>
      </c>
      <c r="H683" s="68">
        <f>SUMIFS([0]!Chavez,[0]!Centro,B685,[0]!Turno,H$616)</f>
        <v>0</v>
      </c>
      <c r="I683" s="68">
        <f>SUMIFS([0]!Chavez,[0]!Centro,B685,[0]!Turno,I$616)</f>
        <v>10</v>
      </c>
      <c r="J683" s="68">
        <f>SUMIFS([0]!Chavez,[0]!Centro,B685,[0]!Turno,J$616)</f>
        <v>7</v>
      </c>
      <c r="K683" s="68">
        <f>SUMIFS([0]!Chavez,[0]!Centro,B685,[0]!Turno,K$616)</f>
        <v>12</v>
      </c>
      <c r="L683" s="68">
        <f>SUMIFS([0]!Chavez,[0]!Centro,B685,[0]!Turno,L$616)</f>
        <v>3</v>
      </c>
      <c r="M683" s="68">
        <f>SUMIFS([0]!Chavez,[0]!Centro,B685,[0]!Turno,M$616)</f>
        <v>12</v>
      </c>
      <c r="N683" s="68">
        <f>SUMIFS([0]!Chavez,[0]!Centro,B685,[0]!Turno,N$616)</f>
        <v>6</v>
      </c>
      <c r="O683" s="68">
        <f>SUMIFS([0]!Chavez,[0]!Centro,B685,[0]!Turno,O$616)</f>
        <v>1</v>
      </c>
      <c r="P683" s="68">
        <f>SUMIFS([0]!Chavez,[0]!Centro,B685,[0]!Turno,P$616)</f>
        <v>3</v>
      </c>
      <c r="Q683" s="68">
        <f>SUMIFS([0]!Chavez,[0]!Centro,B685,[0]!Turno,Q$616)</f>
        <v>0</v>
      </c>
      <c r="R683" s="68">
        <f>SUMIFS([0]!Chavez,[0]!Centro,B685,[0]!Turno,R$616)</f>
        <v>0</v>
      </c>
      <c r="S683" s="68">
        <f>SUMIFS([0]!Chavez,[0]!Centro,B685,[0]!Turno,S$616)</f>
        <v>0</v>
      </c>
      <c r="T683" s="68">
        <f>SUMIFS([0]!Chavez,[0]!Centro,B685,[0]!Turno,T$616)</f>
        <v>0</v>
      </c>
      <c r="U683" s="68">
        <f>SUMIFS([0]!Chavez,[0]!Centro,B685,[0]!Turno,U$616)</f>
        <v>0</v>
      </c>
      <c r="V683" s="68">
        <f>SUMIFS([0]!Chavez,[0]!Centro,B685,[0]!Turno,V$616)</f>
        <v>0</v>
      </c>
      <c r="W683" s="68">
        <f>SUMIFS([0]!Chavez,[0]!Centro,B685,[0]!Turno,W$616)</f>
        <v>0</v>
      </c>
      <c r="X683" s="68">
        <f>SUMIFS([0]!Chavez,[0]!Centro,B685,[0]!Turno,X$616)</f>
        <v>0</v>
      </c>
      <c r="Y683" s="69">
        <f>SUMIFS([0]!Chavez,[0]!Centro,B685,[0]!Turno,Y$616)</f>
        <v>0</v>
      </c>
    </row>
    <row r="684" spans="2:25" ht="15" customHeight="1" x14ac:dyDescent="0.2">
      <c r="B684" s="250"/>
      <c r="C684" s="92">
        <f>E684/SUM(E683:E685)</f>
        <v>0.76557863501483681</v>
      </c>
      <c r="D684" s="61" t="s">
        <v>1</v>
      </c>
      <c r="E684" s="62">
        <f t="shared" si="2080"/>
        <v>258</v>
      </c>
      <c r="F684" s="62">
        <f>SUMIFS([0]!Capriles,[0]!Centro,B685,[0]!Turno,F$616)</f>
        <v>31</v>
      </c>
      <c r="G684" s="62">
        <f>SUMIFS([0]!Capriles,[0]!Centro,B685,[0]!Turno,G$616)</f>
        <v>18</v>
      </c>
      <c r="H684" s="62">
        <f>SUMIFS([0]!Capriles,[0]!Centro,B685,[0]!Turno,H$616)</f>
        <v>17</v>
      </c>
      <c r="I684" s="62">
        <f>SUMIFS([0]!Capriles,[0]!Centro,B685,[0]!Turno,I$616)</f>
        <v>25</v>
      </c>
      <c r="J684" s="62">
        <f>SUMIFS([0]!Capriles,[0]!Centro,B685,[0]!Turno,J$616)</f>
        <v>30</v>
      </c>
      <c r="K684" s="62">
        <f>SUMIFS([0]!Capriles,[0]!Centro,B685,[0]!Turno,K$616)</f>
        <v>23</v>
      </c>
      <c r="L684" s="62">
        <f>SUMIFS([0]!Capriles,[0]!Centro,B685,[0]!Turno,L$616)</f>
        <v>27</v>
      </c>
      <c r="M684" s="62">
        <f>SUMIFS([0]!Capriles,[0]!Centro,B685,[0]!Turno,M$616)</f>
        <v>23</v>
      </c>
      <c r="N684" s="62">
        <f>SUMIFS([0]!Capriles,[0]!Centro,B685,[0]!Turno,N$616)</f>
        <v>30</v>
      </c>
      <c r="O684" s="62">
        <f>SUMIFS([0]!Capriles,[0]!Centro,B685,[0]!Turno,O$616)</f>
        <v>19</v>
      </c>
      <c r="P684" s="62">
        <f>SUMIFS([0]!Capriles,[0]!Centro,B685,[0]!Turno,P$616)</f>
        <v>15</v>
      </c>
      <c r="Q684" s="62">
        <f>SUMIFS([0]!Capriles,[0]!Centro,B685,[0]!Turno,Q$616)</f>
        <v>0</v>
      </c>
      <c r="R684" s="62">
        <f>SUMIFS([0]!Capriles,[0]!Centro,B685,[0]!Turno,R$616)</f>
        <v>0</v>
      </c>
      <c r="S684" s="62">
        <f>SUMIFS([0]!Capriles,[0]!Centro,B685,[0]!Turno,S$616)</f>
        <v>0</v>
      </c>
      <c r="T684" s="62">
        <f>SUMIFS([0]!Capriles,[0]!Centro,B685,[0]!Turno,T$616)</f>
        <v>0</v>
      </c>
      <c r="U684" s="62">
        <f>SUMIFS([0]!Capriles,[0]!Centro,B685,[0]!Turno,U$616)</f>
        <v>0</v>
      </c>
      <c r="V684" s="62">
        <f>SUMIFS([0]!Capriles,[0]!Centro,B685,[0]!Turno,V$616)</f>
        <v>0</v>
      </c>
      <c r="W684" s="62">
        <f>SUMIFS([0]!Capriles,[0]!Centro,B685,[0]!Turno,W$616)</f>
        <v>0</v>
      </c>
      <c r="X684" s="62">
        <f>SUMIFS([0]!Capriles,[0]!Centro,B685,[0]!Turno,X$616)</f>
        <v>0</v>
      </c>
      <c r="Y684" s="70">
        <f>SUMIFS([0]!Capriles,[0]!Centro,B685,[0]!Turno,Y$616)</f>
        <v>0</v>
      </c>
    </row>
    <row r="685" spans="2:25" ht="15" customHeight="1" thickBot="1" x14ac:dyDescent="0.25">
      <c r="B685" s="251">
        <v>95</v>
      </c>
      <c r="C685" s="100">
        <f>E685/SUM(E683:E685)</f>
        <v>5.3412462908011868E-2</v>
      </c>
      <c r="D685" s="71" t="s">
        <v>2</v>
      </c>
      <c r="E685" s="72">
        <f t="shared" si="2080"/>
        <v>18</v>
      </c>
      <c r="F685" s="72">
        <f>SUMIFS([0]!Otro,[0]!Centro,B685,[0]!Turno,F$616)</f>
        <v>3</v>
      </c>
      <c r="G685" s="72">
        <f>SUMIFS([0]!Otro,[0]!Centro,B685,[0]!Turno,G$616)</f>
        <v>0</v>
      </c>
      <c r="H685" s="72">
        <f>SUMIFS([0]!Otro,[0]!Centro,B685,[0]!Turno,H$616)</f>
        <v>3</v>
      </c>
      <c r="I685" s="72">
        <f>SUMIFS([0]!Otro,[0]!Centro,B685,[0]!Turno,I$616)</f>
        <v>3</v>
      </c>
      <c r="J685" s="72">
        <f>SUMIFS([0]!Otro,[0]!Centro,B685,[0]!Turno,J$616)</f>
        <v>1</v>
      </c>
      <c r="K685" s="72">
        <f>SUMIFS([0]!Otro,[0]!Centro,B685,[0]!Turno,K$616)</f>
        <v>4</v>
      </c>
      <c r="L685" s="72">
        <f>SUMIFS([0]!Otro,[0]!Centro,B685,[0]!Turno,L$616)</f>
        <v>0</v>
      </c>
      <c r="M685" s="72">
        <f>SUMIFS([0]!Otro,[0]!Centro,B685,[0]!Turno,M$616)</f>
        <v>2</v>
      </c>
      <c r="N685" s="72">
        <f>SUMIFS([0]!Otro,[0]!Centro,B685,[0]!Turno,N$616)</f>
        <v>1</v>
      </c>
      <c r="O685" s="72">
        <f>SUMIFS([0]!Otro,[0]!Centro,B685,[0]!Turno,O$616)</f>
        <v>0</v>
      </c>
      <c r="P685" s="72">
        <f>SUMIFS([0]!Otro,[0]!Centro,B685,[0]!Turno,P$616)</f>
        <v>1</v>
      </c>
      <c r="Q685" s="72">
        <f>SUMIFS([0]!Otro,[0]!Centro,B685,[0]!Turno,Q$616)</f>
        <v>0</v>
      </c>
      <c r="R685" s="72">
        <f>SUMIFS([0]!Otro,[0]!Centro,B685,[0]!Turno,R$616)</f>
        <v>0</v>
      </c>
      <c r="S685" s="72">
        <f>SUMIFS([0]!Otro,[0]!Centro,B685,[0]!Turno,S$616)</f>
        <v>0</v>
      </c>
      <c r="T685" s="72">
        <f>SUMIFS([0]!Otro,[0]!Centro,B685,[0]!Turno,T$616)</f>
        <v>0</v>
      </c>
      <c r="U685" s="72">
        <f>SUMIFS([0]!Otro,[0]!Centro,B685,[0]!Turno,U$616)</f>
        <v>0</v>
      </c>
      <c r="V685" s="72">
        <f>SUMIFS([0]!Otro,[0]!Centro,B685,[0]!Turno,V$616)</f>
        <v>0</v>
      </c>
      <c r="W685" s="72">
        <f>SUMIFS([0]!Otro,[0]!Centro,B685,[0]!Turno,W$616)</f>
        <v>0</v>
      </c>
      <c r="X685" s="72">
        <f>SUMIFS([0]!Otro,[0]!Centro,B685,[0]!Turno,X$616)</f>
        <v>0</v>
      </c>
      <c r="Y685" s="73">
        <f>SUMIFS([0]!Otro,[0]!Centro,B685,[0]!Turno,Y$616)</f>
        <v>0</v>
      </c>
    </row>
    <row r="686" spans="2:25" ht="15" customHeight="1" x14ac:dyDescent="0.2">
      <c r="B686" s="251"/>
      <c r="C686" s="94">
        <f>E686/SUM(E686:E688)</f>
        <v>0.18100890207715134</v>
      </c>
      <c r="D686" s="63" t="s">
        <v>0</v>
      </c>
      <c r="E686" s="150">
        <f>IF((E683+E684+E685)=0,0,(E683*$B687)/(E683+E684+E685))</f>
        <v>5.3825318404557678E-3</v>
      </c>
      <c r="F686" s="150">
        <f>IF((F683+F684+F685)=0,0,(F683*$B687)/(F683+F684+F685))</f>
        <v>3.8123439054930509E-3</v>
      </c>
      <c r="G686" s="150">
        <f t="shared" ref="G686:Y686" si="2081">IF((G683+G684+G685)=0,0,(G683*$B687)/(G683+G684+G685))</f>
        <v>2.9736282462845798E-3</v>
      </c>
      <c r="H686" s="150">
        <f t="shared" si="2081"/>
        <v>0</v>
      </c>
      <c r="I686" s="150">
        <f t="shared" si="2081"/>
        <v>7.8253374902225777E-3</v>
      </c>
      <c r="J686" s="150">
        <f t="shared" si="2081"/>
        <v>5.4777362431558049E-3</v>
      </c>
      <c r="K686" s="150">
        <f t="shared" si="2081"/>
        <v>9.1496253731833243E-3</v>
      </c>
      <c r="L686" s="150">
        <f t="shared" si="2081"/>
        <v>2.9736282462845803E-3</v>
      </c>
      <c r="M686" s="150">
        <f t="shared" si="2081"/>
        <v>9.6441997176797186E-3</v>
      </c>
      <c r="N686" s="150">
        <f t="shared" si="2081"/>
        <v>4.8220998588398593E-3</v>
      </c>
      <c r="O686" s="150">
        <f t="shared" si="2081"/>
        <v>1.4868141231422899E-3</v>
      </c>
      <c r="P686" s="150">
        <f t="shared" si="2081"/>
        <v>4.6952024941335473E-3</v>
      </c>
      <c r="Q686" s="150">
        <f t="shared" si="2081"/>
        <v>0</v>
      </c>
      <c r="R686" s="150">
        <f t="shared" si="2081"/>
        <v>0</v>
      </c>
      <c r="S686" s="150">
        <f t="shared" si="2081"/>
        <v>0</v>
      </c>
      <c r="T686" s="150">
        <f t="shared" si="2081"/>
        <v>0</v>
      </c>
      <c r="U686" s="150">
        <f t="shared" si="2081"/>
        <v>0</v>
      </c>
      <c r="V686" s="150">
        <f t="shared" si="2081"/>
        <v>0</v>
      </c>
      <c r="W686" s="150">
        <f t="shared" si="2081"/>
        <v>0</v>
      </c>
      <c r="X686" s="150">
        <f t="shared" si="2081"/>
        <v>0</v>
      </c>
      <c r="Y686" s="163">
        <f t="shared" si="2081"/>
        <v>0</v>
      </c>
    </row>
    <row r="687" spans="2:25" ht="15" customHeight="1" x14ac:dyDescent="0.2">
      <c r="B687" s="252">
        <v>2.9736282462845799E-2</v>
      </c>
      <c r="C687" s="92">
        <f>E687/SUM(E686:E688)</f>
        <v>0.76557863501483681</v>
      </c>
      <c r="D687" s="61" t="s">
        <v>1</v>
      </c>
      <c r="E687" s="154">
        <f>IF((E683+E684+E685)=0,0,(E684*$B687)/(E683+E684+E685))</f>
        <v>2.2765462538321117E-2</v>
      </c>
      <c r="F687" s="154">
        <f>IF((F683+F684+F685)=0,0,(F684*$B687)/(F683+F684+F685))</f>
        <v>2.363653221405692E-2</v>
      </c>
      <c r="G687" s="154">
        <f t="shared" ref="G687:O687" si="2082">IF((G683+G684+G685)=0,0,(G684*$B687)/(G683+G684+G685))</f>
        <v>2.6762654216561221E-2</v>
      </c>
      <c r="H687" s="154">
        <f t="shared" si="2082"/>
        <v>2.5275840093418926E-2</v>
      </c>
      <c r="I687" s="154">
        <f t="shared" si="2082"/>
        <v>1.9563343725556449E-2</v>
      </c>
      <c r="J687" s="154">
        <f t="shared" si="2082"/>
        <v>2.3476012470667735E-2</v>
      </c>
      <c r="K687" s="154">
        <f t="shared" si="2082"/>
        <v>1.7536781965268033E-2</v>
      </c>
      <c r="L687" s="154">
        <f t="shared" si="2082"/>
        <v>2.6762654216561217E-2</v>
      </c>
      <c r="M687" s="154">
        <f t="shared" si="2082"/>
        <v>1.8484716125552792E-2</v>
      </c>
      <c r="N687" s="154">
        <f t="shared" si="2082"/>
        <v>2.4110499294199294E-2</v>
      </c>
      <c r="O687" s="154">
        <f t="shared" si="2082"/>
        <v>2.8249468339703508E-2</v>
      </c>
      <c r="P687" s="154">
        <f>IF((P683+P684+P685)=0,0,(P684*$B687)/(P683+P684+P685))</f>
        <v>2.3476012470667735E-2</v>
      </c>
      <c r="Q687" s="154">
        <f t="shared" ref="Q687:Y687" si="2083">IF((Q683+Q684+Q685)=0,0,(Q684*$B687)/(Q683+Q684+Q685))</f>
        <v>0</v>
      </c>
      <c r="R687" s="154">
        <f t="shared" si="2083"/>
        <v>0</v>
      </c>
      <c r="S687" s="154">
        <f t="shared" si="2083"/>
        <v>0</v>
      </c>
      <c r="T687" s="154">
        <f t="shared" si="2083"/>
        <v>0</v>
      </c>
      <c r="U687" s="154">
        <f t="shared" si="2083"/>
        <v>0</v>
      </c>
      <c r="V687" s="154">
        <f t="shared" si="2083"/>
        <v>0</v>
      </c>
      <c r="W687" s="154">
        <f t="shared" si="2083"/>
        <v>0</v>
      </c>
      <c r="X687" s="154">
        <f t="shared" si="2083"/>
        <v>0</v>
      </c>
      <c r="Y687" s="159">
        <f t="shared" si="2083"/>
        <v>0</v>
      </c>
    </row>
    <row r="688" spans="2:25" ht="15" customHeight="1" thickBot="1" x14ac:dyDescent="0.25">
      <c r="B688" s="253"/>
      <c r="C688" s="93">
        <f>E688/SUM(E686:E688)</f>
        <v>5.3412462908011875E-2</v>
      </c>
      <c r="D688" s="75" t="s">
        <v>2</v>
      </c>
      <c r="E688" s="155">
        <f>IF((E683+E684+E685)=0,0,(E685*$B687)/(E683+E684+E685))</f>
        <v>1.5882880840689152E-3</v>
      </c>
      <c r="F688" s="155">
        <f>IF((F683+F684+F685)=0,0,(F685*$B687)/(F683+F684+F685))</f>
        <v>2.2874063432958311E-3</v>
      </c>
      <c r="G688" s="155">
        <f t="shared" ref="G688:Y688" si="2084">IF((G683+G684+G685)=0,0,(G685*$B687)/(G683+G684+G685))</f>
        <v>0</v>
      </c>
      <c r="H688" s="155">
        <f t="shared" si="2084"/>
        <v>4.4604423694268704E-3</v>
      </c>
      <c r="I688" s="155">
        <f t="shared" si="2084"/>
        <v>2.3476012470667737E-3</v>
      </c>
      <c r="J688" s="155">
        <f t="shared" si="2084"/>
        <v>7.8253374902225792E-4</v>
      </c>
      <c r="K688" s="155">
        <f t="shared" si="2084"/>
        <v>3.049875124394441E-3</v>
      </c>
      <c r="L688" s="155">
        <f t="shared" si="2084"/>
        <v>0</v>
      </c>
      <c r="M688" s="155">
        <f t="shared" si="2084"/>
        <v>1.6073666196132865E-3</v>
      </c>
      <c r="N688" s="155">
        <f t="shared" si="2084"/>
        <v>8.0368330980664325E-4</v>
      </c>
      <c r="O688" s="155">
        <f t="shared" si="2084"/>
        <v>0</v>
      </c>
      <c r="P688" s="155">
        <f t="shared" si="2084"/>
        <v>1.5650674980445158E-3</v>
      </c>
      <c r="Q688" s="155">
        <f t="shared" si="2084"/>
        <v>0</v>
      </c>
      <c r="R688" s="155">
        <f t="shared" si="2084"/>
        <v>0</v>
      </c>
      <c r="S688" s="155">
        <f t="shared" si="2084"/>
        <v>0</v>
      </c>
      <c r="T688" s="155">
        <f t="shared" si="2084"/>
        <v>0</v>
      </c>
      <c r="U688" s="155">
        <f t="shared" si="2084"/>
        <v>0</v>
      </c>
      <c r="V688" s="155">
        <f t="shared" si="2084"/>
        <v>0</v>
      </c>
      <c r="W688" s="155">
        <f t="shared" si="2084"/>
        <v>0</v>
      </c>
      <c r="X688" s="155">
        <f t="shared" si="2084"/>
        <v>0</v>
      </c>
      <c r="Y688" s="160">
        <f t="shared" si="2084"/>
        <v>0</v>
      </c>
    </row>
    <row r="689" spans="2:25" ht="15" customHeight="1" x14ac:dyDescent="0.2">
      <c r="B689" s="249" t="s">
        <v>123</v>
      </c>
      <c r="C689" s="91">
        <f>E689/SUM(E689:E691)</f>
        <v>0.78494623655913975</v>
      </c>
      <c r="D689" s="67" t="s">
        <v>0</v>
      </c>
      <c r="E689" s="68">
        <f t="shared" si="2080"/>
        <v>146</v>
      </c>
      <c r="F689" s="68">
        <f>SUMIFS([0]!Chavez,[0]!Centro,B691,[0]!Turno,F$616)</f>
        <v>5</v>
      </c>
      <c r="G689" s="68">
        <f>SUMIFS([0]!Chavez,[0]!Centro,B691,[0]!Turno,G$616)</f>
        <v>11</v>
      </c>
      <c r="H689" s="68">
        <f>SUMIFS([0]!Chavez,[0]!Centro,B691,[0]!Turno,H$616)</f>
        <v>6</v>
      </c>
      <c r="I689" s="68">
        <f>SUMIFS([0]!Chavez,[0]!Centro,B691,[0]!Turno,I$616)</f>
        <v>6</v>
      </c>
      <c r="J689" s="68">
        <f>SUMIFS([0]!Chavez,[0]!Centro,B691,[0]!Turno,J$616)</f>
        <v>20</v>
      </c>
      <c r="K689" s="68">
        <f>SUMIFS([0]!Chavez,[0]!Centro,B691,[0]!Turno,K$616)</f>
        <v>26</v>
      </c>
      <c r="L689" s="68">
        <f>SUMIFS([0]!Chavez,[0]!Centro,B691,[0]!Turno,L$616)</f>
        <v>20</v>
      </c>
      <c r="M689" s="68">
        <f>SUMIFS([0]!Chavez,[0]!Centro,B691,[0]!Turno,M$616)</f>
        <v>23</v>
      </c>
      <c r="N689" s="68">
        <f>SUMIFS([0]!Chavez,[0]!Centro,B691,[0]!Turno,N$616)</f>
        <v>15</v>
      </c>
      <c r="O689" s="68">
        <f>SUMIFS([0]!Chavez,[0]!Centro,B691,[0]!Turno,O$616)</f>
        <v>14</v>
      </c>
      <c r="P689" s="68">
        <f>SUMIFS([0]!Chavez,[0]!Centro,B691,[0]!Turno,P$616)</f>
        <v>0</v>
      </c>
      <c r="Q689" s="68">
        <f>SUMIFS([0]!Chavez,[0]!Centro,B691,[0]!Turno,Q$616)</f>
        <v>0</v>
      </c>
      <c r="R689" s="68">
        <f>SUMIFS([0]!Chavez,[0]!Centro,B691,[0]!Turno,R$616)</f>
        <v>0</v>
      </c>
      <c r="S689" s="68">
        <f>SUMIFS([0]!Chavez,[0]!Centro,B691,[0]!Turno,S$616)</f>
        <v>0</v>
      </c>
      <c r="T689" s="68">
        <f>SUMIFS([0]!Chavez,[0]!Centro,B691,[0]!Turno,T$616)</f>
        <v>0</v>
      </c>
      <c r="U689" s="68">
        <f>SUMIFS([0]!Chavez,[0]!Centro,B691,[0]!Turno,U$616)</f>
        <v>0</v>
      </c>
      <c r="V689" s="68">
        <f>SUMIFS([0]!Chavez,[0]!Centro,B691,[0]!Turno,V$616)</f>
        <v>0</v>
      </c>
      <c r="W689" s="68">
        <f>SUMIFS([0]!Chavez,[0]!Centro,B691,[0]!Turno,W$616)</f>
        <v>0</v>
      </c>
      <c r="X689" s="68">
        <f>SUMIFS([0]!Chavez,[0]!Centro,B691,[0]!Turno,X$616)</f>
        <v>0</v>
      </c>
      <c r="Y689" s="69">
        <f>SUMIFS([0]!Chavez,[0]!Centro,B691,[0]!Turno,Y$616)</f>
        <v>0</v>
      </c>
    </row>
    <row r="690" spans="2:25" ht="15" customHeight="1" x14ac:dyDescent="0.2">
      <c r="B690" s="250"/>
      <c r="C690" s="92">
        <f>E690/SUM(E689:E691)</f>
        <v>0.20967741935483872</v>
      </c>
      <c r="D690" s="61" t="s">
        <v>1</v>
      </c>
      <c r="E690" s="62">
        <f t="shared" si="2080"/>
        <v>39</v>
      </c>
      <c r="F690" s="62">
        <f>SUMIFS([0]!Capriles,[0]!Centro,B691,[0]!Turno,F$616)</f>
        <v>0</v>
      </c>
      <c r="G690" s="62">
        <f>SUMIFS([0]!Capriles,[0]!Centro,B691,[0]!Turno,G$616)</f>
        <v>0</v>
      </c>
      <c r="H690" s="62">
        <f>SUMIFS([0]!Capriles,[0]!Centro,B691,[0]!Turno,H$616)</f>
        <v>2</v>
      </c>
      <c r="I690" s="62">
        <f>SUMIFS([0]!Capriles,[0]!Centro,B691,[0]!Turno,I$616)</f>
        <v>1</v>
      </c>
      <c r="J690" s="62">
        <f>SUMIFS([0]!Capriles,[0]!Centro,B691,[0]!Turno,J$616)</f>
        <v>2</v>
      </c>
      <c r="K690" s="62">
        <f>SUMIFS([0]!Capriles,[0]!Centro,B691,[0]!Turno,K$616)</f>
        <v>16</v>
      </c>
      <c r="L690" s="62">
        <f>SUMIFS([0]!Capriles,[0]!Centro,B691,[0]!Turno,L$616)</f>
        <v>4</v>
      </c>
      <c r="M690" s="62">
        <f>SUMIFS([0]!Capriles,[0]!Centro,B691,[0]!Turno,M$616)</f>
        <v>3</v>
      </c>
      <c r="N690" s="62">
        <f>SUMIFS([0]!Capriles,[0]!Centro,B691,[0]!Turno,N$616)</f>
        <v>5</v>
      </c>
      <c r="O690" s="62">
        <f>SUMIFS([0]!Capriles,[0]!Centro,B691,[0]!Turno,O$616)</f>
        <v>6</v>
      </c>
      <c r="P690" s="62">
        <f>SUMIFS([0]!Capriles,[0]!Centro,B691,[0]!Turno,P$616)</f>
        <v>0</v>
      </c>
      <c r="Q690" s="62">
        <f>SUMIFS([0]!Capriles,[0]!Centro,B691,[0]!Turno,Q$616)</f>
        <v>0</v>
      </c>
      <c r="R690" s="62">
        <f>SUMIFS([0]!Capriles,[0]!Centro,B691,[0]!Turno,R$616)</f>
        <v>0</v>
      </c>
      <c r="S690" s="62">
        <f>SUMIFS([0]!Capriles,[0]!Centro,B691,[0]!Turno,S$616)</f>
        <v>0</v>
      </c>
      <c r="T690" s="62">
        <f>SUMIFS([0]!Capriles,[0]!Centro,B691,[0]!Turno,T$616)</f>
        <v>0</v>
      </c>
      <c r="U690" s="62">
        <f>SUMIFS([0]!Capriles,[0]!Centro,B691,[0]!Turno,U$616)</f>
        <v>0</v>
      </c>
      <c r="V690" s="62">
        <f>SUMIFS([0]!Capriles,[0]!Centro,B691,[0]!Turno,V$616)</f>
        <v>0</v>
      </c>
      <c r="W690" s="62">
        <f>SUMIFS([0]!Capriles,[0]!Centro,B691,[0]!Turno,W$616)</f>
        <v>0</v>
      </c>
      <c r="X690" s="62">
        <f>SUMIFS([0]!Capriles,[0]!Centro,B691,[0]!Turno,X$616)</f>
        <v>0</v>
      </c>
      <c r="Y690" s="70">
        <f>SUMIFS([0]!Capriles,[0]!Centro,B691,[0]!Turno,Y$616)</f>
        <v>0</v>
      </c>
    </row>
    <row r="691" spans="2:25" ht="15" customHeight="1" thickBot="1" x14ac:dyDescent="0.25">
      <c r="B691" s="251">
        <v>96</v>
      </c>
      <c r="C691" s="100">
        <f>E691/SUM(E689:E691)</f>
        <v>5.3763440860215058E-3</v>
      </c>
      <c r="D691" s="71" t="s">
        <v>2</v>
      </c>
      <c r="E691" s="72">
        <f t="shared" si="2080"/>
        <v>1</v>
      </c>
      <c r="F691" s="72">
        <f>SUMIFS([0]!Otro,[0]!Centro,B691,[0]!Turno,F$616)</f>
        <v>0</v>
      </c>
      <c r="G691" s="72">
        <f>SUMIFS([0]!Otro,[0]!Centro,B691,[0]!Turno,G$616)</f>
        <v>0</v>
      </c>
      <c r="H691" s="72">
        <f>SUMIFS([0]!Otro,[0]!Centro,B691,[0]!Turno,H$616)</f>
        <v>0</v>
      </c>
      <c r="I691" s="72">
        <f>SUMIFS([0]!Otro,[0]!Centro,B691,[0]!Turno,I$616)</f>
        <v>0</v>
      </c>
      <c r="J691" s="72">
        <f>SUMIFS([0]!Otro,[0]!Centro,B691,[0]!Turno,J$616)</f>
        <v>0</v>
      </c>
      <c r="K691" s="72">
        <f>SUMIFS([0]!Otro,[0]!Centro,B691,[0]!Turno,K$616)</f>
        <v>0</v>
      </c>
      <c r="L691" s="72">
        <f>SUMIFS([0]!Otro,[0]!Centro,B691,[0]!Turno,L$616)</f>
        <v>0</v>
      </c>
      <c r="M691" s="72">
        <f>SUMIFS([0]!Otro,[0]!Centro,B691,[0]!Turno,M$616)</f>
        <v>1</v>
      </c>
      <c r="N691" s="72">
        <f>SUMIFS([0]!Otro,[0]!Centro,B691,[0]!Turno,N$616)</f>
        <v>0</v>
      </c>
      <c r="O691" s="72">
        <f>SUMIFS([0]!Otro,[0]!Centro,B691,[0]!Turno,O$616)</f>
        <v>0</v>
      </c>
      <c r="P691" s="72">
        <f>SUMIFS([0]!Otro,[0]!Centro,B691,[0]!Turno,P$616)</f>
        <v>0</v>
      </c>
      <c r="Q691" s="72">
        <f>SUMIFS([0]!Otro,[0]!Centro,B691,[0]!Turno,Q$616)</f>
        <v>0</v>
      </c>
      <c r="R691" s="72">
        <f>SUMIFS([0]!Otro,[0]!Centro,B691,[0]!Turno,R$616)</f>
        <v>0</v>
      </c>
      <c r="S691" s="72">
        <f>SUMIFS([0]!Otro,[0]!Centro,B691,[0]!Turno,S$616)</f>
        <v>0</v>
      </c>
      <c r="T691" s="72">
        <f>SUMIFS([0]!Otro,[0]!Centro,B691,[0]!Turno,T$616)</f>
        <v>0</v>
      </c>
      <c r="U691" s="72">
        <f>SUMIFS([0]!Otro,[0]!Centro,B691,[0]!Turno,U$616)</f>
        <v>0</v>
      </c>
      <c r="V691" s="72">
        <f>SUMIFS([0]!Otro,[0]!Centro,B691,[0]!Turno,V$616)</f>
        <v>0</v>
      </c>
      <c r="W691" s="72">
        <f>SUMIFS([0]!Otro,[0]!Centro,B691,[0]!Turno,W$616)</f>
        <v>0</v>
      </c>
      <c r="X691" s="72">
        <f>SUMIFS([0]!Otro,[0]!Centro,B691,[0]!Turno,X$616)</f>
        <v>0</v>
      </c>
      <c r="Y691" s="73">
        <f>SUMIFS([0]!Otro,[0]!Centro,B691,[0]!Turno,Y$616)</f>
        <v>0</v>
      </c>
    </row>
    <row r="692" spans="2:25" ht="15" customHeight="1" x14ac:dyDescent="0.2">
      <c r="B692" s="251"/>
      <c r="C692" s="94">
        <f>E692/SUM(E692:E694)</f>
        <v>0.78494623655913986</v>
      </c>
      <c r="D692" s="63" t="s">
        <v>0</v>
      </c>
      <c r="E692" s="150">
        <f>IF((E689+E690+E691)=0,0,(E689*$B693)/(E689+E690+E691))</f>
        <v>2.6726997540222019E-2</v>
      </c>
      <c r="F692" s="150">
        <f>IF((F689+F690+F691)=0,0,(F689*$B693)/(F689+F690+F691))</f>
        <v>3.4049462619734898E-2</v>
      </c>
      <c r="G692" s="150">
        <f t="shared" ref="G692:Y692" si="2085">IF((G689+G690+G691)=0,0,(G689*$B693)/(G689+G690+G691))</f>
        <v>3.4049462619734898E-2</v>
      </c>
      <c r="H692" s="150">
        <f t="shared" si="2085"/>
        <v>2.5537096964801172E-2</v>
      </c>
      <c r="I692" s="150">
        <f t="shared" si="2085"/>
        <v>2.918525367405848E-2</v>
      </c>
      <c r="J692" s="150">
        <f t="shared" si="2085"/>
        <v>3.0954056927031726E-2</v>
      </c>
      <c r="K692" s="150">
        <f t="shared" si="2085"/>
        <v>2.1078238764597794E-2</v>
      </c>
      <c r="L692" s="150">
        <f t="shared" si="2085"/>
        <v>2.8374552183112415E-2</v>
      </c>
      <c r="M692" s="150">
        <f t="shared" si="2085"/>
        <v>2.9005097787181581E-2</v>
      </c>
      <c r="N692" s="150">
        <f t="shared" si="2085"/>
        <v>2.5537096964801175E-2</v>
      </c>
      <c r="O692" s="150">
        <f t="shared" si="2085"/>
        <v>2.3834623833814426E-2</v>
      </c>
      <c r="P692" s="150">
        <f t="shared" si="2085"/>
        <v>0</v>
      </c>
      <c r="Q692" s="150">
        <f t="shared" si="2085"/>
        <v>0</v>
      </c>
      <c r="R692" s="150">
        <f t="shared" si="2085"/>
        <v>0</v>
      </c>
      <c r="S692" s="150">
        <f t="shared" si="2085"/>
        <v>0</v>
      </c>
      <c r="T692" s="150">
        <f t="shared" si="2085"/>
        <v>0</v>
      </c>
      <c r="U692" s="150">
        <f t="shared" si="2085"/>
        <v>0</v>
      </c>
      <c r="V692" s="150">
        <f t="shared" si="2085"/>
        <v>0</v>
      </c>
      <c r="W692" s="150">
        <f t="shared" si="2085"/>
        <v>0</v>
      </c>
      <c r="X692" s="150">
        <f t="shared" si="2085"/>
        <v>0</v>
      </c>
      <c r="Y692" s="163">
        <f t="shared" si="2085"/>
        <v>0</v>
      </c>
    </row>
    <row r="693" spans="2:25" ht="15" customHeight="1" x14ac:dyDescent="0.2">
      <c r="B693" s="252">
        <v>3.4049462619734898E-2</v>
      </c>
      <c r="C693" s="92">
        <f>E693/SUM(E692:E694)</f>
        <v>0.20967741935483869</v>
      </c>
      <c r="D693" s="61" t="s">
        <v>1</v>
      </c>
      <c r="E693" s="154">
        <f>IF((E689+E690+E691)=0,0,(E690*$B693)/(E689+E690+E691))</f>
        <v>7.139403452525059E-3</v>
      </c>
      <c r="F693" s="154">
        <f>IF((F689+F690+F691)=0,0,(F690*$B693)/(F689+F690+F691))</f>
        <v>0</v>
      </c>
      <c r="G693" s="154">
        <f t="shared" ref="G693:O693" si="2086">IF((G689+G690+G691)=0,0,(G690*$B693)/(G689+G690+G691))</f>
        <v>0</v>
      </c>
      <c r="H693" s="154">
        <f t="shared" si="2086"/>
        <v>8.5123656549337245E-3</v>
      </c>
      <c r="I693" s="154">
        <f t="shared" si="2086"/>
        <v>4.864208945676414E-3</v>
      </c>
      <c r="J693" s="154">
        <f t="shared" si="2086"/>
        <v>3.0954056927031725E-3</v>
      </c>
      <c r="K693" s="154">
        <f t="shared" si="2086"/>
        <v>1.2971223855137104E-2</v>
      </c>
      <c r="L693" s="154">
        <f t="shared" si="2086"/>
        <v>5.674910436622483E-3</v>
      </c>
      <c r="M693" s="154">
        <f t="shared" si="2086"/>
        <v>3.7832736244149882E-3</v>
      </c>
      <c r="N693" s="154">
        <f t="shared" si="2086"/>
        <v>8.5123656549337245E-3</v>
      </c>
      <c r="O693" s="154">
        <f t="shared" si="2086"/>
        <v>1.0214838785920468E-2</v>
      </c>
      <c r="P693" s="154">
        <f>IF((P689+P690+P691)=0,0,(P690*$B693)/(P689+P690+P691))</f>
        <v>0</v>
      </c>
      <c r="Q693" s="154">
        <f t="shared" ref="Q693:Y693" si="2087">IF((Q689+Q690+Q691)=0,0,(Q690*$B693)/(Q689+Q690+Q691))</f>
        <v>0</v>
      </c>
      <c r="R693" s="154">
        <f t="shared" si="2087"/>
        <v>0</v>
      </c>
      <c r="S693" s="154">
        <f t="shared" si="2087"/>
        <v>0</v>
      </c>
      <c r="T693" s="154">
        <f t="shared" si="2087"/>
        <v>0</v>
      </c>
      <c r="U693" s="154">
        <f t="shared" si="2087"/>
        <v>0</v>
      </c>
      <c r="V693" s="154">
        <f t="shared" si="2087"/>
        <v>0</v>
      </c>
      <c r="W693" s="154">
        <f t="shared" si="2087"/>
        <v>0</v>
      </c>
      <c r="X693" s="154">
        <f t="shared" si="2087"/>
        <v>0</v>
      </c>
      <c r="Y693" s="159">
        <f t="shared" si="2087"/>
        <v>0</v>
      </c>
    </row>
    <row r="694" spans="2:25" ht="15" customHeight="1" thickBot="1" x14ac:dyDescent="0.25">
      <c r="B694" s="253"/>
      <c r="C694" s="93">
        <f>E694/SUM(E692:E694)</f>
        <v>5.3763440860215049E-3</v>
      </c>
      <c r="D694" s="75" t="s">
        <v>2</v>
      </c>
      <c r="E694" s="155">
        <f>IF((E689+E690+E691)=0,0,(E691*$B693)/(E689+E690+E691))</f>
        <v>1.8306162698782203E-4</v>
      </c>
      <c r="F694" s="155">
        <f>IF((F689+F690+F691)=0,0,(F691*$B693)/(F689+F690+F691))</f>
        <v>0</v>
      </c>
      <c r="G694" s="155">
        <f t="shared" ref="G694:Y694" si="2088">IF((G689+G690+G691)=0,0,(G691*$B693)/(G689+G690+G691))</f>
        <v>0</v>
      </c>
      <c r="H694" s="155">
        <f t="shared" si="2088"/>
        <v>0</v>
      </c>
      <c r="I694" s="155">
        <f t="shared" si="2088"/>
        <v>0</v>
      </c>
      <c r="J694" s="155">
        <f t="shared" si="2088"/>
        <v>0</v>
      </c>
      <c r="K694" s="155">
        <f t="shared" si="2088"/>
        <v>0</v>
      </c>
      <c r="L694" s="155">
        <f t="shared" si="2088"/>
        <v>0</v>
      </c>
      <c r="M694" s="155">
        <f t="shared" si="2088"/>
        <v>1.2610912081383295E-3</v>
      </c>
      <c r="N694" s="155">
        <f t="shared" si="2088"/>
        <v>0</v>
      </c>
      <c r="O694" s="155">
        <f t="shared" si="2088"/>
        <v>0</v>
      </c>
      <c r="P694" s="155">
        <f t="shared" si="2088"/>
        <v>0</v>
      </c>
      <c r="Q694" s="155">
        <f t="shared" si="2088"/>
        <v>0</v>
      </c>
      <c r="R694" s="155">
        <f t="shared" si="2088"/>
        <v>0</v>
      </c>
      <c r="S694" s="155">
        <f t="shared" si="2088"/>
        <v>0</v>
      </c>
      <c r="T694" s="155">
        <f t="shared" si="2088"/>
        <v>0</v>
      </c>
      <c r="U694" s="155">
        <f t="shared" si="2088"/>
        <v>0</v>
      </c>
      <c r="V694" s="155">
        <f t="shared" si="2088"/>
        <v>0</v>
      </c>
      <c r="W694" s="155">
        <f t="shared" si="2088"/>
        <v>0</v>
      </c>
      <c r="X694" s="155">
        <f t="shared" si="2088"/>
        <v>0</v>
      </c>
      <c r="Y694" s="160">
        <f t="shared" si="2088"/>
        <v>0</v>
      </c>
    </row>
    <row r="695" spans="2:25" ht="15" customHeight="1" x14ac:dyDescent="0.2">
      <c r="B695" s="249" t="s">
        <v>124</v>
      </c>
      <c r="C695" s="91">
        <f>E695/SUM(E695:E697)</f>
        <v>0.48205128205128206</v>
      </c>
      <c r="D695" s="67" t="s">
        <v>0</v>
      </c>
      <c r="E695" s="68">
        <f t="shared" si="2080"/>
        <v>94</v>
      </c>
      <c r="F695" s="68">
        <f>SUMIFS([0]!Chavez,[0]!Centro,B697,[0]!Turno,F$616)</f>
        <v>8</v>
      </c>
      <c r="G695" s="68">
        <f>SUMIFS([0]!Chavez,[0]!Centro,B697,[0]!Turno,G$616)</f>
        <v>7</v>
      </c>
      <c r="H695" s="68">
        <f>SUMIFS([0]!Chavez,[0]!Centro,B697,[0]!Turno,H$616)</f>
        <v>11</v>
      </c>
      <c r="I695" s="68">
        <f>SUMIFS([0]!Chavez,[0]!Centro,B697,[0]!Turno,I$616)</f>
        <v>6</v>
      </c>
      <c r="J695" s="68">
        <f>SUMIFS([0]!Chavez,[0]!Centro,B697,[0]!Turno,J$616)</f>
        <v>10</v>
      </c>
      <c r="K695" s="68">
        <f>SUMIFS([0]!Chavez,[0]!Centro,B697,[0]!Turno,K$616)</f>
        <v>8</v>
      </c>
      <c r="L695" s="68">
        <f>SUMIFS([0]!Chavez,[0]!Centro,B697,[0]!Turno,L$616)</f>
        <v>12</v>
      </c>
      <c r="M695" s="68">
        <f>SUMIFS([0]!Chavez,[0]!Centro,B697,[0]!Turno,M$616)</f>
        <v>15</v>
      </c>
      <c r="N695" s="68">
        <f>SUMIFS([0]!Chavez,[0]!Centro,B697,[0]!Turno,N$616)</f>
        <v>10</v>
      </c>
      <c r="O695" s="68">
        <f>SUMIFS([0]!Chavez,[0]!Centro,B697,[0]!Turno,O$616)</f>
        <v>0</v>
      </c>
      <c r="P695" s="68">
        <f>SUMIFS([0]!Chavez,[0]!Centro,B697,[0]!Turno,P$616)</f>
        <v>7</v>
      </c>
      <c r="Q695" s="68">
        <f>SUMIFS([0]!Chavez,[0]!Centro,B697,[0]!Turno,Q$616)</f>
        <v>0</v>
      </c>
      <c r="R695" s="68">
        <f>SUMIFS([0]!Chavez,[0]!Centro,B697,[0]!Turno,R$616)</f>
        <v>0</v>
      </c>
      <c r="S695" s="68">
        <f>SUMIFS([0]!Chavez,[0]!Centro,B697,[0]!Turno,S$616)</f>
        <v>0</v>
      </c>
      <c r="T695" s="68">
        <f>SUMIFS([0]!Chavez,[0]!Centro,B697,[0]!Turno,T$616)</f>
        <v>0</v>
      </c>
      <c r="U695" s="68">
        <f>SUMIFS([0]!Chavez,[0]!Centro,B697,[0]!Turno,U$616)</f>
        <v>0</v>
      </c>
      <c r="V695" s="68">
        <f>SUMIFS([0]!Chavez,[0]!Centro,B697,[0]!Turno,V$616)</f>
        <v>0</v>
      </c>
      <c r="W695" s="68">
        <f>SUMIFS([0]!Chavez,[0]!Centro,B697,[0]!Turno,W$616)</f>
        <v>0</v>
      </c>
      <c r="X695" s="68">
        <f>SUMIFS([0]!Chavez,[0]!Centro,B697,[0]!Turno,X$616)</f>
        <v>0</v>
      </c>
      <c r="Y695" s="69">
        <f>SUMIFS([0]!Chavez,[0]!Centro,B697,[0]!Turno,Y$616)</f>
        <v>0</v>
      </c>
    </row>
    <row r="696" spans="2:25" ht="15" customHeight="1" x14ac:dyDescent="0.2">
      <c r="B696" s="250"/>
      <c r="C696" s="92">
        <f>E696/SUM(E695:E697)</f>
        <v>0.46666666666666667</v>
      </c>
      <c r="D696" s="61" t="s">
        <v>1</v>
      </c>
      <c r="E696" s="62">
        <f t="shared" si="2080"/>
        <v>91</v>
      </c>
      <c r="F696" s="62">
        <f>SUMIFS([0]!Capriles,[0]!Centro,B697,[0]!Turno,F$616)</f>
        <v>2</v>
      </c>
      <c r="G696" s="62">
        <f>SUMIFS([0]!Capriles,[0]!Centro,B697,[0]!Turno,G$616)</f>
        <v>11</v>
      </c>
      <c r="H696" s="62">
        <f>SUMIFS([0]!Capriles,[0]!Centro,B697,[0]!Turno,H$616)</f>
        <v>11</v>
      </c>
      <c r="I696" s="62">
        <f>SUMIFS([0]!Capriles,[0]!Centro,B697,[0]!Turno,I$616)</f>
        <v>14</v>
      </c>
      <c r="J696" s="62">
        <f>SUMIFS([0]!Capriles,[0]!Centro,B697,[0]!Turno,J$616)</f>
        <v>15</v>
      </c>
      <c r="K696" s="62">
        <f>SUMIFS([0]!Capriles,[0]!Centro,B697,[0]!Turno,K$616)</f>
        <v>9</v>
      </c>
      <c r="L696" s="62">
        <f>SUMIFS([0]!Capriles,[0]!Centro,B697,[0]!Turno,L$616)</f>
        <v>13</v>
      </c>
      <c r="M696" s="62">
        <f>SUMIFS([0]!Capriles,[0]!Centro,B697,[0]!Turno,M$616)</f>
        <v>5</v>
      </c>
      <c r="N696" s="62">
        <f>SUMIFS([0]!Capriles,[0]!Centro,B697,[0]!Turno,N$616)</f>
        <v>4</v>
      </c>
      <c r="O696" s="62">
        <f>SUMIFS([0]!Capriles,[0]!Centro,B697,[0]!Turno,O$616)</f>
        <v>0</v>
      </c>
      <c r="P696" s="62">
        <f>SUMIFS([0]!Capriles,[0]!Centro,B697,[0]!Turno,P$616)</f>
        <v>7</v>
      </c>
      <c r="Q696" s="62">
        <f>SUMIFS([0]!Capriles,[0]!Centro,B697,[0]!Turno,Q$616)</f>
        <v>0</v>
      </c>
      <c r="R696" s="62">
        <f>SUMIFS([0]!Capriles,[0]!Centro,B697,[0]!Turno,R$616)</f>
        <v>0</v>
      </c>
      <c r="S696" s="62">
        <f>SUMIFS([0]!Capriles,[0]!Centro,B697,[0]!Turno,S$616)</f>
        <v>0</v>
      </c>
      <c r="T696" s="62">
        <f>SUMIFS([0]!Capriles,[0]!Centro,B697,[0]!Turno,T$616)</f>
        <v>0</v>
      </c>
      <c r="U696" s="62">
        <f>SUMIFS([0]!Capriles,[0]!Centro,B697,[0]!Turno,U$616)</f>
        <v>0</v>
      </c>
      <c r="V696" s="62">
        <f>SUMIFS([0]!Capriles,[0]!Centro,B697,[0]!Turno,V$616)</f>
        <v>0</v>
      </c>
      <c r="W696" s="62">
        <f>SUMIFS([0]!Capriles,[0]!Centro,B697,[0]!Turno,W$616)</f>
        <v>0</v>
      </c>
      <c r="X696" s="62">
        <f>SUMIFS([0]!Capriles,[0]!Centro,B697,[0]!Turno,X$616)</f>
        <v>0</v>
      </c>
      <c r="Y696" s="70">
        <f>SUMIFS([0]!Capriles,[0]!Centro,B697,[0]!Turno,Y$616)</f>
        <v>0</v>
      </c>
    </row>
    <row r="697" spans="2:25" ht="15" customHeight="1" thickBot="1" x14ac:dyDescent="0.25">
      <c r="B697" s="251">
        <v>97</v>
      </c>
      <c r="C697" s="100">
        <f>E697/SUM(E695:E697)</f>
        <v>5.128205128205128E-2</v>
      </c>
      <c r="D697" s="71" t="s">
        <v>2</v>
      </c>
      <c r="E697" s="72">
        <f t="shared" si="2080"/>
        <v>10</v>
      </c>
      <c r="F697" s="72">
        <f>SUMIFS([0]!Otro,[0]!Centro,B697,[0]!Turno,F$616)</f>
        <v>0</v>
      </c>
      <c r="G697" s="72">
        <f>SUMIFS([0]!Otro,[0]!Centro,B697,[0]!Turno,G$616)</f>
        <v>0</v>
      </c>
      <c r="H697" s="72">
        <f>SUMIFS([0]!Otro,[0]!Centro,B697,[0]!Turno,H$616)</f>
        <v>0</v>
      </c>
      <c r="I697" s="72">
        <f>SUMIFS([0]!Otro,[0]!Centro,B697,[0]!Turno,I$616)</f>
        <v>0</v>
      </c>
      <c r="J697" s="72">
        <f>SUMIFS([0]!Otro,[0]!Centro,B697,[0]!Turno,J$616)</f>
        <v>5</v>
      </c>
      <c r="K697" s="72">
        <f>SUMIFS([0]!Otro,[0]!Centro,B697,[0]!Turno,K$616)</f>
        <v>2</v>
      </c>
      <c r="L697" s="72">
        <f>SUMIFS([0]!Otro,[0]!Centro,B697,[0]!Turno,L$616)</f>
        <v>2</v>
      </c>
      <c r="M697" s="72">
        <f>SUMIFS([0]!Otro,[0]!Centro,B697,[0]!Turno,M$616)</f>
        <v>0</v>
      </c>
      <c r="N697" s="72">
        <f>SUMIFS([0]!Otro,[0]!Centro,B697,[0]!Turno,N$616)</f>
        <v>1</v>
      </c>
      <c r="O697" s="72">
        <f>SUMIFS([0]!Otro,[0]!Centro,B697,[0]!Turno,O$616)</f>
        <v>0</v>
      </c>
      <c r="P697" s="72">
        <f>SUMIFS([0]!Otro,[0]!Centro,B697,[0]!Turno,P$616)</f>
        <v>0</v>
      </c>
      <c r="Q697" s="72">
        <f>SUMIFS([0]!Otro,[0]!Centro,B697,[0]!Turno,Q$616)</f>
        <v>0</v>
      </c>
      <c r="R697" s="72">
        <f>SUMIFS([0]!Otro,[0]!Centro,B697,[0]!Turno,R$616)</f>
        <v>0</v>
      </c>
      <c r="S697" s="72">
        <f>SUMIFS([0]!Otro,[0]!Centro,B697,[0]!Turno,S$616)</f>
        <v>0</v>
      </c>
      <c r="T697" s="72">
        <f>SUMIFS([0]!Otro,[0]!Centro,B697,[0]!Turno,T$616)</f>
        <v>0</v>
      </c>
      <c r="U697" s="72">
        <f>SUMIFS([0]!Otro,[0]!Centro,B697,[0]!Turno,U$616)</f>
        <v>0</v>
      </c>
      <c r="V697" s="72">
        <f>SUMIFS([0]!Otro,[0]!Centro,B697,[0]!Turno,V$616)</f>
        <v>0</v>
      </c>
      <c r="W697" s="72">
        <f>SUMIFS([0]!Otro,[0]!Centro,B697,[0]!Turno,W$616)</f>
        <v>0</v>
      </c>
      <c r="X697" s="72">
        <f>SUMIFS([0]!Otro,[0]!Centro,B697,[0]!Turno,X$616)</f>
        <v>0</v>
      </c>
      <c r="Y697" s="73">
        <f>SUMIFS([0]!Otro,[0]!Centro,B697,[0]!Turno,Y$616)</f>
        <v>0</v>
      </c>
    </row>
    <row r="698" spans="2:25" ht="15" customHeight="1" x14ac:dyDescent="0.2">
      <c r="B698" s="251"/>
      <c r="C698" s="94">
        <f>E698/SUM(E698:E700)</f>
        <v>0.48205128205128206</v>
      </c>
      <c r="D698" s="63" t="s">
        <v>0</v>
      </c>
      <c r="E698" s="150">
        <f>IF((E695+E696+E697)=0,0,(E695*$B699)/(E695+E696+E697))</f>
        <v>3.5554578152102251E-2</v>
      </c>
      <c r="F698" s="150">
        <f>IF((F695+F696+F697)=0,0,(F695*$B699)/(F695+F696+F697))</f>
        <v>5.9005470124765438E-2</v>
      </c>
      <c r="G698" s="150">
        <f t="shared" ref="G698:Y698" si="2089">IF((G695+G696+G697)=0,0,(G695*$B699)/(G695+G696+G697))</f>
        <v>2.8683214643983199E-2</v>
      </c>
      <c r="H698" s="150">
        <f t="shared" si="2089"/>
        <v>3.6878418827978397E-2</v>
      </c>
      <c r="I698" s="150">
        <f t="shared" si="2089"/>
        <v>2.2127051296787038E-2</v>
      </c>
      <c r="J698" s="150">
        <f t="shared" si="2089"/>
        <v>2.4585612551985599E-2</v>
      </c>
      <c r="K698" s="150">
        <f t="shared" si="2089"/>
        <v>3.1055510591981809E-2</v>
      </c>
      <c r="L698" s="150">
        <f t="shared" si="2089"/>
        <v>3.2780816735980794E-2</v>
      </c>
      <c r="M698" s="150">
        <f t="shared" si="2089"/>
        <v>5.5317628241967599E-2</v>
      </c>
      <c r="N698" s="150">
        <f t="shared" si="2089"/>
        <v>4.9171225103971199E-2</v>
      </c>
      <c r="O698" s="150">
        <f t="shared" si="2089"/>
        <v>0</v>
      </c>
      <c r="P698" s="150">
        <f t="shared" si="2089"/>
        <v>3.6878418827978397E-2</v>
      </c>
      <c r="Q698" s="150">
        <f t="shared" si="2089"/>
        <v>0</v>
      </c>
      <c r="R698" s="150">
        <f t="shared" si="2089"/>
        <v>0</v>
      </c>
      <c r="S698" s="150">
        <f t="shared" si="2089"/>
        <v>0</v>
      </c>
      <c r="T698" s="150">
        <f t="shared" si="2089"/>
        <v>0</v>
      </c>
      <c r="U698" s="150">
        <f t="shared" si="2089"/>
        <v>0</v>
      </c>
      <c r="V698" s="150">
        <f t="shared" si="2089"/>
        <v>0</v>
      </c>
      <c r="W698" s="150">
        <f t="shared" si="2089"/>
        <v>0</v>
      </c>
      <c r="X698" s="150">
        <f t="shared" si="2089"/>
        <v>0</v>
      </c>
      <c r="Y698" s="163">
        <f t="shared" si="2089"/>
        <v>0</v>
      </c>
    </row>
    <row r="699" spans="2:25" ht="15" customHeight="1" x14ac:dyDescent="0.2">
      <c r="B699" s="252">
        <v>7.3756837655956795E-2</v>
      </c>
      <c r="C699" s="92">
        <f>E699/SUM(E698:E700)</f>
        <v>0.46666666666666662</v>
      </c>
      <c r="D699" s="61" t="s">
        <v>1</v>
      </c>
      <c r="E699" s="154">
        <f>IF((E695+E696+E697)=0,0,(E696*$B699)/(E695+E696+E697))</f>
        <v>3.4419857572779836E-2</v>
      </c>
      <c r="F699" s="154">
        <f>IF((F695+F696+F697)=0,0,(F696*$B699)/(F695+F696+F697))</f>
        <v>1.475136753119136E-2</v>
      </c>
      <c r="G699" s="154">
        <f t="shared" ref="G699:O699" si="2090">IF((G695+G696+G697)=0,0,(G696*$B699)/(G695+G696+G697))</f>
        <v>4.5073623011973596E-2</v>
      </c>
      <c r="H699" s="154">
        <f t="shared" si="2090"/>
        <v>3.6878418827978397E-2</v>
      </c>
      <c r="I699" s="154">
        <f t="shared" si="2090"/>
        <v>5.162978635916976E-2</v>
      </c>
      <c r="J699" s="154">
        <f t="shared" si="2090"/>
        <v>3.6878418827978397E-2</v>
      </c>
      <c r="K699" s="154">
        <f t="shared" si="2090"/>
        <v>3.4937449415979531E-2</v>
      </c>
      <c r="L699" s="154">
        <f t="shared" si="2090"/>
        <v>3.5512551463979199E-2</v>
      </c>
      <c r="M699" s="154">
        <f t="shared" si="2090"/>
        <v>1.8439209413989199E-2</v>
      </c>
      <c r="N699" s="154">
        <f t="shared" si="2090"/>
        <v>1.9668490041588479E-2</v>
      </c>
      <c r="O699" s="154">
        <f t="shared" si="2090"/>
        <v>0</v>
      </c>
      <c r="P699" s="154">
        <f>IF((P695+P696+P697)=0,0,(P696*$B699)/(P695+P696+P697))</f>
        <v>3.6878418827978397E-2</v>
      </c>
      <c r="Q699" s="154">
        <f t="shared" ref="Q699:Y699" si="2091">IF((Q695+Q696+Q697)=0,0,(Q696*$B699)/(Q695+Q696+Q697))</f>
        <v>0</v>
      </c>
      <c r="R699" s="154">
        <f t="shared" si="2091"/>
        <v>0</v>
      </c>
      <c r="S699" s="154">
        <f t="shared" si="2091"/>
        <v>0</v>
      </c>
      <c r="T699" s="154">
        <f t="shared" si="2091"/>
        <v>0</v>
      </c>
      <c r="U699" s="154">
        <f t="shared" si="2091"/>
        <v>0</v>
      </c>
      <c r="V699" s="154">
        <f t="shared" si="2091"/>
        <v>0</v>
      </c>
      <c r="W699" s="154">
        <f t="shared" si="2091"/>
        <v>0</v>
      </c>
      <c r="X699" s="154">
        <f t="shared" si="2091"/>
        <v>0</v>
      </c>
      <c r="Y699" s="159">
        <f t="shared" si="2091"/>
        <v>0</v>
      </c>
    </row>
    <row r="700" spans="2:25" ht="15" customHeight="1" thickBot="1" x14ac:dyDescent="0.25">
      <c r="B700" s="253"/>
      <c r="C700" s="93">
        <f>E700/SUM(E698:E700)</f>
        <v>5.1282051282051287E-2</v>
      </c>
      <c r="D700" s="75" t="s">
        <v>2</v>
      </c>
      <c r="E700" s="155">
        <f>IF((E695+E696+E697)=0,0,(E697*$B699)/(E695+E696+E697))</f>
        <v>3.7824019310747077E-3</v>
      </c>
      <c r="F700" s="155">
        <f>IF((F695+F696+F697)=0,0,(F697*$B699)/(F695+F696+F697))</f>
        <v>0</v>
      </c>
      <c r="G700" s="155">
        <f t="shared" ref="G700:Y700" si="2092">IF((G695+G696+G697)=0,0,(G697*$B699)/(G695+G696+G697))</f>
        <v>0</v>
      </c>
      <c r="H700" s="155">
        <f t="shared" si="2092"/>
        <v>0</v>
      </c>
      <c r="I700" s="155">
        <f t="shared" si="2092"/>
        <v>0</v>
      </c>
      <c r="J700" s="155">
        <f t="shared" si="2092"/>
        <v>1.22928062759928E-2</v>
      </c>
      <c r="K700" s="155">
        <f t="shared" si="2092"/>
        <v>7.7638776479954522E-3</v>
      </c>
      <c r="L700" s="155">
        <f t="shared" si="2092"/>
        <v>5.4634694559967997E-3</v>
      </c>
      <c r="M700" s="155">
        <f t="shared" si="2092"/>
        <v>0</v>
      </c>
      <c r="N700" s="155">
        <f t="shared" si="2092"/>
        <v>4.9171225103971199E-3</v>
      </c>
      <c r="O700" s="155">
        <f t="shared" si="2092"/>
        <v>0</v>
      </c>
      <c r="P700" s="155">
        <f t="shared" si="2092"/>
        <v>0</v>
      </c>
      <c r="Q700" s="155">
        <f t="shared" si="2092"/>
        <v>0</v>
      </c>
      <c r="R700" s="155">
        <f t="shared" si="2092"/>
        <v>0</v>
      </c>
      <c r="S700" s="155">
        <f t="shared" si="2092"/>
        <v>0</v>
      </c>
      <c r="T700" s="155">
        <f t="shared" si="2092"/>
        <v>0</v>
      </c>
      <c r="U700" s="155">
        <f t="shared" si="2092"/>
        <v>0</v>
      </c>
      <c r="V700" s="155">
        <f t="shared" si="2092"/>
        <v>0</v>
      </c>
      <c r="W700" s="155">
        <f t="shared" si="2092"/>
        <v>0</v>
      </c>
      <c r="X700" s="155">
        <f t="shared" si="2092"/>
        <v>0</v>
      </c>
      <c r="Y700" s="160">
        <f t="shared" si="2092"/>
        <v>0</v>
      </c>
    </row>
    <row r="701" spans="2:25" ht="15" customHeight="1" x14ac:dyDescent="0.2">
      <c r="B701" s="249" t="s">
        <v>55</v>
      </c>
      <c r="C701" s="91">
        <f>E701/SUM(E701:E703)</f>
        <v>0.15584415584415584</v>
      </c>
      <c r="D701" s="67" t="s">
        <v>0</v>
      </c>
      <c r="E701" s="68">
        <f t="shared" si="2080"/>
        <v>48</v>
      </c>
      <c r="F701" s="68">
        <f>SUMIFS([0]!Chavez,[0]!Centro,B703,[0]!Turno,F$616)</f>
        <v>1</v>
      </c>
      <c r="G701" s="68">
        <f>SUMIFS([0]!Chavez,[0]!Centro,B703,[0]!Turno,G$616)</f>
        <v>1</v>
      </c>
      <c r="H701" s="68">
        <f>SUMIFS([0]!Chavez,[0]!Centro,B703,[0]!Turno,H$616)</f>
        <v>13</v>
      </c>
      <c r="I701" s="68">
        <f>SUMIFS([0]!Chavez,[0]!Centro,B703,[0]!Turno,I$616)</f>
        <v>3</v>
      </c>
      <c r="J701" s="68">
        <f>SUMIFS([0]!Chavez,[0]!Centro,B703,[0]!Turno,J$616)</f>
        <v>7</v>
      </c>
      <c r="K701" s="68">
        <f>SUMIFS([0]!Chavez,[0]!Centro,B703,[0]!Turno,K$616)</f>
        <v>0</v>
      </c>
      <c r="L701" s="68">
        <f>SUMIFS([0]!Chavez,[0]!Centro,B703,[0]!Turno,L$616)</f>
        <v>5</v>
      </c>
      <c r="M701" s="68">
        <f>SUMIFS([0]!Chavez,[0]!Centro,B703,[0]!Turno,M$616)</f>
        <v>8</v>
      </c>
      <c r="N701" s="68">
        <f>SUMIFS([0]!Chavez,[0]!Centro,B703,[0]!Turno,N$616)</f>
        <v>4</v>
      </c>
      <c r="O701" s="68">
        <f>SUMIFS([0]!Chavez,[0]!Centro,B703,[0]!Turno,O$616)</f>
        <v>0</v>
      </c>
      <c r="P701" s="68">
        <f>SUMIFS([0]!Chavez,[0]!Centro,B703,[0]!Turno,P$616)</f>
        <v>4</v>
      </c>
      <c r="Q701" s="68">
        <f>SUMIFS([0]!Chavez,[0]!Centro,B703,[0]!Turno,Q$616)</f>
        <v>0</v>
      </c>
      <c r="R701" s="68">
        <f>SUMIFS([0]!Chavez,[0]!Centro,B703,[0]!Turno,R$616)</f>
        <v>2</v>
      </c>
      <c r="S701" s="68">
        <f>SUMIFS([0]!Chavez,[0]!Centro,B703,[0]!Turno,S$616)</f>
        <v>0</v>
      </c>
      <c r="T701" s="68">
        <f>SUMIFS([0]!Chavez,[0]!Centro,B703,[0]!Turno,T$616)</f>
        <v>0</v>
      </c>
      <c r="U701" s="68">
        <f>SUMIFS([0]!Chavez,[0]!Centro,B703,[0]!Turno,U$616)</f>
        <v>0</v>
      </c>
      <c r="V701" s="68">
        <f>SUMIFS([0]!Chavez,[0]!Centro,B703,[0]!Turno,V$616)</f>
        <v>0</v>
      </c>
      <c r="W701" s="68">
        <f>SUMIFS([0]!Chavez,[0]!Centro,B703,[0]!Turno,W$616)</f>
        <v>0</v>
      </c>
      <c r="X701" s="68">
        <f>SUMIFS([0]!Chavez,[0]!Centro,B703,[0]!Turno,X$616)</f>
        <v>0</v>
      </c>
      <c r="Y701" s="69">
        <f>SUMIFS([0]!Chavez,[0]!Centro,B703,[0]!Turno,Y$616)</f>
        <v>0</v>
      </c>
    </row>
    <row r="702" spans="2:25" ht="15" customHeight="1" x14ac:dyDescent="0.2">
      <c r="B702" s="250"/>
      <c r="C702" s="92">
        <f>E702/SUM(E701:E703)</f>
        <v>0.8441558441558441</v>
      </c>
      <c r="D702" s="61" t="s">
        <v>1</v>
      </c>
      <c r="E702" s="62">
        <f t="shared" si="2080"/>
        <v>260</v>
      </c>
      <c r="F702" s="62">
        <f>SUMIFS([0]!Capriles,[0]!Centro,B703,[0]!Turno,F$616)</f>
        <v>19</v>
      </c>
      <c r="G702" s="62">
        <f>SUMIFS([0]!Capriles,[0]!Centro,B703,[0]!Turno,G$616)</f>
        <v>26</v>
      </c>
      <c r="H702" s="62">
        <f>SUMIFS([0]!Capriles,[0]!Centro,B703,[0]!Turno,H$616)</f>
        <v>27</v>
      </c>
      <c r="I702" s="62">
        <f>SUMIFS([0]!Capriles,[0]!Centro,B703,[0]!Turno,I$616)</f>
        <v>37</v>
      </c>
      <c r="J702" s="62">
        <f>SUMIFS([0]!Capriles,[0]!Centro,B703,[0]!Turno,J$616)</f>
        <v>33</v>
      </c>
      <c r="K702" s="62">
        <f>SUMIFS([0]!Capriles,[0]!Centro,B703,[0]!Turno,K$616)</f>
        <v>20</v>
      </c>
      <c r="L702" s="62">
        <f>SUMIFS([0]!Capriles,[0]!Centro,B703,[0]!Turno,L$616)</f>
        <v>15</v>
      </c>
      <c r="M702" s="62">
        <f>SUMIFS([0]!Capriles,[0]!Centro,B703,[0]!Turno,M$616)</f>
        <v>13</v>
      </c>
      <c r="N702" s="62">
        <f>SUMIFS([0]!Capriles,[0]!Centro,B703,[0]!Turno,N$616)</f>
        <v>36</v>
      </c>
      <c r="O702" s="62">
        <f>SUMIFS([0]!Capriles,[0]!Centro,B703,[0]!Turno,O$616)</f>
        <v>0</v>
      </c>
      <c r="P702" s="62">
        <f>SUMIFS([0]!Capriles,[0]!Centro,B703,[0]!Turno,P$616)</f>
        <v>16</v>
      </c>
      <c r="Q702" s="62">
        <f>SUMIFS([0]!Capriles,[0]!Centro,B703,[0]!Turno,Q$616)</f>
        <v>0</v>
      </c>
      <c r="R702" s="62">
        <f>SUMIFS([0]!Capriles,[0]!Centro,B703,[0]!Turno,R$616)</f>
        <v>18</v>
      </c>
      <c r="S702" s="62">
        <f>SUMIFS([0]!Capriles,[0]!Centro,B703,[0]!Turno,S$616)</f>
        <v>0</v>
      </c>
      <c r="T702" s="62">
        <f>SUMIFS([0]!Capriles,[0]!Centro,B703,[0]!Turno,T$616)</f>
        <v>0</v>
      </c>
      <c r="U702" s="62">
        <f>SUMIFS([0]!Capriles,[0]!Centro,B703,[0]!Turno,U$616)</f>
        <v>0</v>
      </c>
      <c r="V702" s="62">
        <f>SUMIFS([0]!Capriles,[0]!Centro,B703,[0]!Turno,V$616)</f>
        <v>0</v>
      </c>
      <c r="W702" s="62">
        <f>SUMIFS([0]!Capriles,[0]!Centro,B703,[0]!Turno,W$616)</f>
        <v>0</v>
      </c>
      <c r="X702" s="62">
        <f>SUMIFS([0]!Capriles,[0]!Centro,B703,[0]!Turno,X$616)</f>
        <v>0</v>
      </c>
      <c r="Y702" s="70">
        <f>SUMIFS([0]!Capriles,[0]!Centro,B703,[0]!Turno,Y$616)</f>
        <v>0</v>
      </c>
    </row>
    <row r="703" spans="2:25" ht="15" customHeight="1" thickBot="1" x14ac:dyDescent="0.25">
      <c r="B703" s="251">
        <v>98</v>
      </c>
      <c r="C703" s="100">
        <f>E703/SUM(E701:E703)</f>
        <v>0</v>
      </c>
      <c r="D703" s="71" t="s">
        <v>2</v>
      </c>
      <c r="E703" s="72">
        <f t="shared" si="2080"/>
        <v>0</v>
      </c>
      <c r="F703" s="72">
        <f>SUMIFS([0]!Otro,[0]!Centro,B703,[0]!Turno,F$616)</f>
        <v>0</v>
      </c>
      <c r="G703" s="72">
        <f>SUMIFS([0]!Otro,[0]!Centro,B703,[0]!Turno,G$616)</f>
        <v>0</v>
      </c>
      <c r="H703" s="72">
        <f>SUMIFS([0]!Otro,[0]!Centro,B703,[0]!Turno,H$616)</f>
        <v>0</v>
      </c>
      <c r="I703" s="72">
        <f>SUMIFS([0]!Otro,[0]!Centro,B703,[0]!Turno,I$616)</f>
        <v>0</v>
      </c>
      <c r="J703" s="72">
        <f>SUMIFS([0]!Otro,[0]!Centro,B703,[0]!Turno,J$616)</f>
        <v>0</v>
      </c>
      <c r="K703" s="72">
        <f>SUMIFS([0]!Otro,[0]!Centro,B703,[0]!Turno,K$616)</f>
        <v>0</v>
      </c>
      <c r="L703" s="72">
        <f>SUMIFS([0]!Otro,[0]!Centro,B703,[0]!Turno,L$616)</f>
        <v>0</v>
      </c>
      <c r="M703" s="72">
        <f>SUMIFS([0]!Otro,[0]!Centro,B703,[0]!Turno,M$616)</f>
        <v>0</v>
      </c>
      <c r="N703" s="72">
        <f>SUMIFS([0]!Otro,[0]!Centro,B703,[0]!Turno,N$616)</f>
        <v>0</v>
      </c>
      <c r="O703" s="72">
        <f>SUMIFS([0]!Otro,[0]!Centro,B703,[0]!Turno,O$616)</f>
        <v>0</v>
      </c>
      <c r="P703" s="72">
        <f>SUMIFS([0]!Otro,[0]!Centro,B703,[0]!Turno,P$616)</f>
        <v>0</v>
      </c>
      <c r="Q703" s="72">
        <f>SUMIFS([0]!Otro,[0]!Centro,B703,[0]!Turno,Q$616)</f>
        <v>0</v>
      </c>
      <c r="R703" s="72">
        <f>SUMIFS([0]!Otro,[0]!Centro,B703,[0]!Turno,R$616)</f>
        <v>0</v>
      </c>
      <c r="S703" s="72">
        <f>SUMIFS([0]!Otro,[0]!Centro,B703,[0]!Turno,S$616)</f>
        <v>0</v>
      </c>
      <c r="T703" s="72">
        <f>SUMIFS([0]!Otro,[0]!Centro,B703,[0]!Turno,T$616)</f>
        <v>0</v>
      </c>
      <c r="U703" s="72">
        <f>SUMIFS([0]!Otro,[0]!Centro,B703,[0]!Turno,U$616)</f>
        <v>0</v>
      </c>
      <c r="V703" s="72">
        <f>SUMIFS([0]!Otro,[0]!Centro,B703,[0]!Turno,V$616)</f>
        <v>0</v>
      </c>
      <c r="W703" s="72">
        <f>SUMIFS([0]!Otro,[0]!Centro,B703,[0]!Turno,W$616)</f>
        <v>0</v>
      </c>
      <c r="X703" s="72">
        <f>SUMIFS([0]!Otro,[0]!Centro,B703,[0]!Turno,X$616)</f>
        <v>0</v>
      </c>
      <c r="Y703" s="73">
        <f>SUMIFS([0]!Otro,[0]!Centro,B703,[0]!Turno,Y$616)</f>
        <v>0</v>
      </c>
    </row>
    <row r="704" spans="2:25" ht="15" customHeight="1" x14ac:dyDescent="0.2">
      <c r="B704" s="251"/>
      <c r="C704" s="94">
        <f>E704/SUM(E704:E706)</f>
        <v>0.15584415584415587</v>
      </c>
      <c r="D704" s="63" t="s">
        <v>0</v>
      </c>
      <c r="E704" s="150">
        <f>IF((E701+E702+E703)=0,0,(E701*$B705)/(E701+E702+E703))</f>
        <v>3.8527163708678341E-2</v>
      </c>
      <c r="F704" s="150">
        <f>IF((F701+F702+F703)=0,0,(F701*$B705)/(F701+F702+F703))</f>
        <v>1.23607983565343E-2</v>
      </c>
      <c r="G704" s="150">
        <f t="shared" ref="G704:Y704" si="2093">IF((G701+G702+G703)=0,0,(G701*$B705)/(G701+G702+G703))</f>
        <v>9.1561469307661486E-3</v>
      </c>
      <c r="H704" s="150">
        <f t="shared" si="2093"/>
        <v>8.0345189317472948E-2</v>
      </c>
      <c r="I704" s="150">
        <f t="shared" si="2093"/>
        <v>1.8541197534801452E-2</v>
      </c>
      <c r="J704" s="150">
        <f t="shared" si="2093"/>
        <v>4.3262794247870051E-2</v>
      </c>
      <c r="K704" s="150">
        <f t="shared" si="2093"/>
        <v>0</v>
      </c>
      <c r="L704" s="150">
        <f t="shared" si="2093"/>
        <v>6.18039917826715E-2</v>
      </c>
      <c r="M704" s="150">
        <f t="shared" si="2093"/>
        <v>9.4177511287880378E-2</v>
      </c>
      <c r="N704" s="150">
        <f t="shared" si="2093"/>
        <v>2.4721596713068599E-2</v>
      </c>
      <c r="O704" s="150">
        <f t="shared" si="2093"/>
        <v>0</v>
      </c>
      <c r="P704" s="150">
        <f t="shared" si="2093"/>
        <v>4.9443193426137198E-2</v>
      </c>
      <c r="Q704" s="150">
        <f t="shared" si="2093"/>
        <v>0</v>
      </c>
      <c r="R704" s="150">
        <f t="shared" si="2093"/>
        <v>2.4721596713068599E-2</v>
      </c>
      <c r="S704" s="150">
        <f t="shared" si="2093"/>
        <v>0</v>
      </c>
      <c r="T704" s="150">
        <f t="shared" si="2093"/>
        <v>0</v>
      </c>
      <c r="U704" s="150">
        <f t="shared" si="2093"/>
        <v>0</v>
      </c>
      <c r="V704" s="150">
        <f t="shared" si="2093"/>
        <v>0</v>
      </c>
      <c r="W704" s="150">
        <f t="shared" si="2093"/>
        <v>0</v>
      </c>
      <c r="X704" s="150">
        <f t="shared" si="2093"/>
        <v>0</v>
      </c>
      <c r="Y704" s="163">
        <f t="shared" si="2093"/>
        <v>0</v>
      </c>
    </row>
    <row r="705" spans="2:25" ht="15" customHeight="1" x14ac:dyDescent="0.2">
      <c r="B705" s="252">
        <v>0.247215967130686</v>
      </c>
      <c r="C705" s="92">
        <f>E705/SUM(E704:E706)</f>
        <v>0.8441558441558441</v>
      </c>
      <c r="D705" s="61" t="s">
        <v>1</v>
      </c>
      <c r="E705" s="154">
        <f>IF((E701+E702+E703)=0,0,(E702*$B705)/(E701+E702+E703))</f>
        <v>0.20868880342200766</v>
      </c>
      <c r="F705" s="154">
        <f>IF((F701+F702+F703)=0,0,(F702*$B705)/(F701+F702+F703))</f>
        <v>0.23485516877415172</v>
      </c>
      <c r="G705" s="154">
        <f t="shared" ref="G705:O705" si="2094">IF((G701+G702+G703)=0,0,(G702*$B705)/(G701+G702+G703))</f>
        <v>0.23805982019991986</v>
      </c>
      <c r="H705" s="154">
        <f t="shared" si="2094"/>
        <v>0.16687077781321305</v>
      </c>
      <c r="I705" s="154">
        <f t="shared" si="2094"/>
        <v>0.22867476959588454</v>
      </c>
      <c r="J705" s="154">
        <f t="shared" si="2094"/>
        <v>0.20395317288281595</v>
      </c>
      <c r="K705" s="154">
        <f t="shared" si="2094"/>
        <v>0.247215967130686</v>
      </c>
      <c r="L705" s="154">
        <f t="shared" si="2094"/>
        <v>0.18541197534801451</v>
      </c>
      <c r="M705" s="154">
        <f t="shared" si="2094"/>
        <v>0.15303845584280562</v>
      </c>
      <c r="N705" s="154">
        <f t="shared" si="2094"/>
        <v>0.22249437041761738</v>
      </c>
      <c r="O705" s="154">
        <f t="shared" si="2094"/>
        <v>0</v>
      </c>
      <c r="P705" s="154">
        <f>IF((P701+P702+P703)=0,0,(P702*$B705)/(P701+P702+P703))</f>
        <v>0.19777277370454879</v>
      </c>
      <c r="Q705" s="154">
        <f t="shared" ref="Q705:Y705" si="2095">IF((Q701+Q702+Q703)=0,0,(Q702*$B705)/(Q701+Q702+Q703))</f>
        <v>0</v>
      </c>
      <c r="R705" s="154">
        <f t="shared" si="2095"/>
        <v>0.22249437041761738</v>
      </c>
      <c r="S705" s="154">
        <f t="shared" si="2095"/>
        <v>0</v>
      </c>
      <c r="T705" s="154">
        <f t="shared" si="2095"/>
        <v>0</v>
      </c>
      <c r="U705" s="154">
        <f t="shared" si="2095"/>
        <v>0</v>
      </c>
      <c r="V705" s="154">
        <f t="shared" si="2095"/>
        <v>0</v>
      </c>
      <c r="W705" s="154">
        <f t="shared" si="2095"/>
        <v>0</v>
      </c>
      <c r="X705" s="154">
        <f t="shared" si="2095"/>
        <v>0</v>
      </c>
      <c r="Y705" s="159">
        <f t="shared" si="2095"/>
        <v>0</v>
      </c>
    </row>
    <row r="706" spans="2:25" ht="15" customHeight="1" thickBot="1" x14ac:dyDescent="0.25">
      <c r="B706" s="253"/>
      <c r="C706" s="93">
        <f>E706/SUM(E704:E706)</f>
        <v>0</v>
      </c>
      <c r="D706" s="75" t="s">
        <v>2</v>
      </c>
      <c r="E706" s="155">
        <f>IF((E701+E702+E703)=0,0,(E703*$B705)/(E701+E702+E703))</f>
        <v>0</v>
      </c>
      <c r="F706" s="155">
        <f>IF((F701+F702+F703)=0,0,(F703*$B705)/(F701+F702+F703))</f>
        <v>0</v>
      </c>
      <c r="G706" s="155">
        <f t="shared" ref="G706:Y706" si="2096">IF((G701+G702+G703)=0,0,(G703*$B705)/(G701+G702+G703))</f>
        <v>0</v>
      </c>
      <c r="H706" s="155">
        <f t="shared" si="2096"/>
        <v>0</v>
      </c>
      <c r="I706" s="155">
        <f t="shared" si="2096"/>
        <v>0</v>
      </c>
      <c r="J706" s="155">
        <f t="shared" si="2096"/>
        <v>0</v>
      </c>
      <c r="K706" s="155">
        <f t="shared" si="2096"/>
        <v>0</v>
      </c>
      <c r="L706" s="155">
        <f t="shared" si="2096"/>
        <v>0</v>
      </c>
      <c r="M706" s="155">
        <f t="shared" si="2096"/>
        <v>0</v>
      </c>
      <c r="N706" s="155">
        <f t="shared" si="2096"/>
        <v>0</v>
      </c>
      <c r="O706" s="155">
        <f t="shared" si="2096"/>
        <v>0</v>
      </c>
      <c r="P706" s="155">
        <f t="shared" si="2096"/>
        <v>0</v>
      </c>
      <c r="Q706" s="155">
        <f t="shared" si="2096"/>
        <v>0</v>
      </c>
      <c r="R706" s="155">
        <f t="shared" si="2096"/>
        <v>0</v>
      </c>
      <c r="S706" s="155">
        <f t="shared" si="2096"/>
        <v>0</v>
      </c>
      <c r="T706" s="155">
        <f t="shared" si="2096"/>
        <v>0</v>
      </c>
      <c r="U706" s="155">
        <f t="shared" si="2096"/>
        <v>0</v>
      </c>
      <c r="V706" s="155">
        <f t="shared" si="2096"/>
        <v>0</v>
      </c>
      <c r="W706" s="155">
        <f t="shared" si="2096"/>
        <v>0</v>
      </c>
      <c r="X706" s="155">
        <f t="shared" si="2096"/>
        <v>0</v>
      </c>
      <c r="Y706" s="160">
        <f t="shared" si="2096"/>
        <v>0</v>
      </c>
    </row>
    <row r="707" spans="2:25" ht="15" customHeight="1" x14ac:dyDescent="0.2">
      <c r="B707" s="249" t="s">
        <v>108</v>
      </c>
      <c r="C707" s="91">
        <f>E707/SUM(E707:E709)</f>
        <v>0.44186046511627908</v>
      </c>
      <c r="D707" s="67" t="s">
        <v>0</v>
      </c>
      <c r="E707" s="68">
        <f t="shared" si="2080"/>
        <v>38</v>
      </c>
      <c r="F707" s="68">
        <f>SUMIFS([0]!Chavez,[0]!Centro,B709,[0]!Turno,F$616)</f>
        <v>0</v>
      </c>
      <c r="G707" s="68">
        <f>SUMIFS([0]!Chavez,[0]!Centro,B709,[0]!Turno,G$616)</f>
        <v>0</v>
      </c>
      <c r="H707" s="68">
        <f>SUMIFS([0]!Chavez,[0]!Centro,B709,[0]!Turno,H$616)</f>
        <v>0</v>
      </c>
      <c r="I707" s="68">
        <f>SUMIFS([0]!Chavez,[0]!Centro,B709,[0]!Turno,I$616)</f>
        <v>0</v>
      </c>
      <c r="J707" s="68">
        <f>SUMIFS([0]!Chavez,[0]!Centro,B709,[0]!Turno,J$616)</f>
        <v>1</v>
      </c>
      <c r="K707" s="68">
        <f>SUMIFS([0]!Chavez,[0]!Centro,B709,[0]!Turno,K$616)</f>
        <v>11</v>
      </c>
      <c r="L707" s="68">
        <f>SUMIFS([0]!Chavez,[0]!Centro,B709,[0]!Turno,L$616)</f>
        <v>1</v>
      </c>
      <c r="M707" s="68">
        <f>SUMIFS([0]!Chavez,[0]!Centro,B709,[0]!Turno,M$616)</f>
        <v>8</v>
      </c>
      <c r="N707" s="68">
        <f>SUMIFS([0]!Chavez,[0]!Centro,B709,[0]!Turno,N$616)</f>
        <v>8</v>
      </c>
      <c r="O707" s="68">
        <f>SUMIFS([0]!Chavez,[0]!Centro,B709,[0]!Turno,O$616)</f>
        <v>0</v>
      </c>
      <c r="P707" s="68">
        <f>SUMIFS([0]!Chavez,[0]!Centro,B709,[0]!Turno,P$616)</f>
        <v>0</v>
      </c>
      <c r="Q707" s="68">
        <f>SUMIFS([0]!Chavez,[0]!Centro,B709,[0]!Turno,Q$616)</f>
        <v>0</v>
      </c>
      <c r="R707" s="68">
        <f>SUMIFS([0]!Chavez,[0]!Centro,B709,[0]!Turno,R$616)</f>
        <v>9</v>
      </c>
      <c r="S707" s="68">
        <f>SUMIFS([0]!Chavez,[0]!Centro,B709,[0]!Turno,S$616)</f>
        <v>0</v>
      </c>
      <c r="T707" s="68">
        <f>SUMIFS([0]!Chavez,[0]!Centro,B709,[0]!Turno,T$616)</f>
        <v>0</v>
      </c>
      <c r="U707" s="68">
        <f>SUMIFS([0]!Chavez,[0]!Centro,B709,[0]!Turno,U$616)</f>
        <v>0</v>
      </c>
      <c r="V707" s="68">
        <f>SUMIFS([0]!Chavez,[0]!Centro,B709,[0]!Turno,V$616)</f>
        <v>0</v>
      </c>
      <c r="W707" s="68">
        <f>SUMIFS([0]!Chavez,[0]!Centro,B709,[0]!Turno,W$616)</f>
        <v>0</v>
      </c>
      <c r="X707" s="68">
        <f>SUMIFS([0]!Chavez,[0]!Centro,B709,[0]!Turno,X$616)</f>
        <v>0</v>
      </c>
      <c r="Y707" s="69">
        <f>SUMIFS([0]!Chavez,[0]!Centro,B709,[0]!Turno,Y$616)</f>
        <v>0</v>
      </c>
    </row>
    <row r="708" spans="2:25" ht="15" customHeight="1" x14ac:dyDescent="0.2">
      <c r="B708" s="250"/>
      <c r="C708" s="92">
        <f>E708/SUM(E707:E709)</f>
        <v>0.51162790697674421</v>
      </c>
      <c r="D708" s="61" t="s">
        <v>1</v>
      </c>
      <c r="E708" s="62">
        <f t="shared" si="2080"/>
        <v>44</v>
      </c>
      <c r="F708" s="62">
        <f>SUMIFS([0]!Capriles,[0]!Centro,B709,[0]!Turno,F$616)</f>
        <v>0</v>
      </c>
      <c r="G708" s="62">
        <f>SUMIFS([0]!Capriles,[0]!Centro,B709,[0]!Turno,G$616)</f>
        <v>0</v>
      </c>
      <c r="H708" s="62">
        <f>SUMIFS([0]!Capriles,[0]!Centro,B709,[0]!Turno,H$616)</f>
        <v>0</v>
      </c>
      <c r="I708" s="62">
        <f>SUMIFS([0]!Capriles,[0]!Centro,B709,[0]!Turno,I$616)</f>
        <v>0</v>
      </c>
      <c r="J708" s="62">
        <f>SUMIFS([0]!Capriles,[0]!Centro,B709,[0]!Turno,J$616)</f>
        <v>2</v>
      </c>
      <c r="K708" s="62">
        <f>SUMIFS([0]!Capriles,[0]!Centro,B709,[0]!Turno,K$616)</f>
        <v>19</v>
      </c>
      <c r="L708" s="62">
        <f>SUMIFS([0]!Capriles,[0]!Centro,B709,[0]!Turno,L$616)</f>
        <v>3</v>
      </c>
      <c r="M708" s="62">
        <f>SUMIFS([0]!Capriles,[0]!Centro,B709,[0]!Turno,M$616)</f>
        <v>6</v>
      </c>
      <c r="N708" s="62">
        <f>SUMIFS([0]!Capriles,[0]!Centro,B709,[0]!Turno,N$616)</f>
        <v>7</v>
      </c>
      <c r="O708" s="62">
        <f>SUMIFS([0]!Capriles,[0]!Centro,B709,[0]!Turno,O$616)</f>
        <v>0</v>
      </c>
      <c r="P708" s="62">
        <f>SUMIFS([0]!Capriles,[0]!Centro,B709,[0]!Turno,P$616)</f>
        <v>0</v>
      </c>
      <c r="Q708" s="62">
        <f>SUMIFS([0]!Capriles,[0]!Centro,B709,[0]!Turno,Q$616)</f>
        <v>0</v>
      </c>
      <c r="R708" s="62">
        <f>SUMIFS([0]!Capriles,[0]!Centro,B709,[0]!Turno,R$616)</f>
        <v>7</v>
      </c>
      <c r="S708" s="62">
        <f>SUMIFS([0]!Capriles,[0]!Centro,B709,[0]!Turno,S$616)</f>
        <v>0</v>
      </c>
      <c r="T708" s="62">
        <f>SUMIFS([0]!Capriles,[0]!Centro,B709,[0]!Turno,T$616)</f>
        <v>0</v>
      </c>
      <c r="U708" s="62">
        <f>SUMIFS([0]!Capriles,[0]!Centro,B709,[0]!Turno,U$616)</f>
        <v>0</v>
      </c>
      <c r="V708" s="62">
        <f>SUMIFS([0]!Capriles,[0]!Centro,B709,[0]!Turno,V$616)</f>
        <v>0</v>
      </c>
      <c r="W708" s="62">
        <f>SUMIFS([0]!Capriles,[0]!Centro,B709,[0]!Turno,W$616)</f>
        <v>0</v>
      </c>
      <c r="X708" s="62">
        <f>SUMIFS([0]!Capriles,[0]!Centro,B709,[0]!Turno,X$616)</f>
        <v>0</v>
      </c>
      <c r="Y708" s="70">
        <f>SUMIFS([0]!Capriles,[0]!Centro,B709,[0]!Turno,Y$616)</f>
        <v>0</v>
      </c>
    </row>
    <row r="709" spans="2:25" ht="15" customHeight="1" thickBot="1" x14ac:dyDescent="0.25">
      <c r="B709" s="251">
        <v>99</v>
      </c>
      <c r="C709" s="100">
        <f>E709/SUM(E707:E709)</f>
        <v>4.6511627906976744E-2</v>
      </c>
      <c r="D709" s="71" t="s">
        <v>2</v>
      </c>
      <c r="E709" s="72">
        <f t="shared" si="2080"/>
        <v>4</v>
      </c>
      <c r="F709" s="72">
        <f>SUMIFS([0]!Otro,[0]!Centro,B709,[0]!Turno,F$616)</f>
        <v>0</v>
      </c>
      <c r="G709" s="72">
        <f>SUMIFS([0]!Otro,[0]!Centro,B709,[0]!Turno,G$616)</f>
        <v>0</v>
      </c>
      <c r="H709" s="72">
        <f>SUMIFS([0]!Otro,[0]!Centro,B709,[0]!Turno,H$616)</f>
        <v>0</v>
      </c>
      <c r="I709" s="72">
        <f>SUMIFS([0]!Otro,[0]!Centro,B709,[0]!Turno,I$616)</f>
        <v>0</v>
      </c>
      <c r="J709" s="72">
        <f>SUMIFS([0]!Otro,[0]!Centro,B709,[0]!Turno,J$616)</f>
        <v>0</v>
      </c>
      <c r="K709" s="72">
        <f>SUMIFS([0]!Otro,[0]!Centro,B709,[0]!Turno,K$616)</f>
        <v>0</v>
      </c>
      <c r="L709" s="72">
        <f>SUMIFS([0]!Otro,[0]!Centro,B709,[0]!Turno,L$616)</f>
        <v>1</v>
      </c>
      <c r="M709" s="72">
        <f>SUMIFS([0]!Otro,[0]!Centro,B709,[0]!Turno,M$616)</f>
        <v>0</v>
      </c>
      <c r="N709" s="72">
        <f>SUMIFS([0]!Otro,[0]!Centro,B709,[0]!Turno,N$616)</f>
        <v>2</v>
      </c>
      <c r="O709" s="72">
        <f>SUMIFS([0]!Otro,[0]!Centro,B709,[0]!Turno,O$616)</f>
        <v>0</v>
      </c>
      <c r="P709" s="72">
        <f>SUMIFS([0]!Otro,[0]!Centro,B709,[0]!Turno,P$616)</f>
        <v>0</v>
      </c>
      <c r="Q709" s="72">
        <f>SUMIFS([0]!Otro,[0]!Centro,B709,[0]!Turno,Q$616)</f>
        <v>0</v>
      </c>
      <c r="R709" s="72">
        <f>SUMIFS([0]!Otro,[0]!Centro,B709,[0]!Turno,R$616)</f>
        <v>1</v>
      </c>
      <c r="S709" s="72">
        <f>SUMIFS([0]!Otro,[0]!Centro,B709,[0]!Turno,S$616)</f>
        <v>0</v>
      </c>
      <c r="T709" s="72">
        <f>SUMIFS([0]!Otro,[0]!Centro,B709,[0]!Turno,T$616)</f>
        <v>0</v>
      </c>
      <c r="U709" s="72">
        <f>SUMIFS([0]!Otro,[0]!Centro,B709,[0]!Turno,U$616)</f>
        <v>0</v>
      </c>
      <c r="V709" s="72">
        <f>SUMIFS([0]!Otro,[0]!Centro,B709,[0]!Turno,V$616)</f>
        <v>0</v>
      </c>
      <c r="W709" s="72">
        <f>SUMIFS([0]!Otro,[0]!Centro,B709,[0]!Turno,W$616)</f>
        <v>0</v>
      </c>
      <c r="X709" s="72">
        <f>SUMIFS([0]!Otro,[0]!Centro,B709,[0]!Turno,X$616)</f>
        <v>0</v>
      </c>
      <c r="Y709" s="73">
        <f>SUMIFS([0]!Otro,[0]!Centro,B709,[0]!Turno,Y$616)</f>
        <v>0</v>
      </c>
    </row>
    <row r="710" spans="2:25" ht="15" customHeight="1" x14ac:dyDescent="0.2">
      <c r="B710" s="251"/>
      <c r="C710" s="94">
        <f>E710/SUM(E710:E712)</f>
        <v>0.44186046511627902</v>
      </c>
      <c r="D710" s="63" t="s">
        <v>0</v>
      </c>
      <c r="E710" s="150">
        <f>IF((E707+E708+E709)=0,0,(E707*$B711)/(E707+E708+E709))</f>
        <v>1.9501491552736963E-2</v>
      </c>
      <c r="F710" s="150">
        <f>IF((F707+F708+F709)=0,0,(F707*$B711)/(F707+F708+F709))</f>
        <v>0</v>
      </c>
      <c r="G710" s="150">
        <f t="shared" ref="G710:Y710" si="2097">IF((G707+G708+G709)=0,0,(G707*$B711)/(G707+G708+G709))</f>
        <v>0</v>
      </c>
      <c r="H710" s="150">
        <f t="shared" si="2097"/>
        <v>0</v>
      </c>
      <c r="I710" s="150">
        <f t="shared" si="2097"/>
        <v>0</v>
      </c>
      <c r="J710" s="150">
        <f t="shared" si="2097"/>
        <v>1.4711651522240167E-2</v>
      </c>
      <c r="K710" s="150">
        <f t="shared" si="2097"/>
        <v>1.6182816674464185E-2</v>
      </c>
      <c r="L710" s="150">
        <f t="shared" si="2097"/>
        <v>8.8269909133440998E-3</v>
      </c>
      <c r="M710" s="150">
        <f t="shared" si="2097"/>
        <v>2.5219974038126002E-2</v>
      </c>
      <c r="N710" s="150">
        <f t="shared" si="2097"/>
        <v>2.0769390384339059E-2</v>
      </c>
      <c r="O710" s="150">
        <f t="shared" si="2097"/>
        <v>0</v>
      </c>
      <c r="P710" s="150">
        <f t="shared" si="2097"/>
        <v>0</v>
      </c>
      <c r="Q710" s="150">
        <f t="shared" si="2097"/>
        <v>0</v>
      </c>
      <c r="R710" s="150">
        <f t="shared" si="2097"/>
        <v>2.3365564182381442E-2</v>
      </c>
      <c r="S710" s="150">
        <f t="shared" si="2097"/>
        <v>0</v>
      </c>
      <c r="T710" s="150">
        <f t="shared" si="2097"/>
        <v>0</v>
      </c>
      <c r="U710" s="150">
        <f t="shared" si="2097"/>
        <v>0</v>
      </c>
      <c r="V710" s="150">
        <f t="shared" si="2097"/>
        <v>0</v>
      </c>
      <c r="W710" s="150">
        <f t="shared" si="2097"/>
        <v>0</v>
      </c>
      <c r="X710" s="150">
        <f t="shared" si="2097"/>
        <v>0</v>
      </c>
      <c r="Y710" s="163">
        <f t="shared" si="2097"/>
        <v>0</v>
      </c>
    </row>
    <row r="711" spans="2:25" ht="15" customHeight="1" x14ac:dyDescent="0.2">
      <c r="B711" s="252">
        <v>4.4134954566720501E-2</v>
      </c>
      <c r="C711" s="92">
        <f>E711/SUM(E710:E712)</f>
        <v>0.51162790697674421</v>
      </c>
      <c r="D711" s="61" t="s">
        <v>1</v>
      </c>
      <c r="E711" s="154">
        <f>IF((E707+E708+E709)=0,0,(E708*$B711)/(E707+E708+E709))</f>
        <v>2.2580674429484908E-2</v>
      </c>
      <c r="F711" s="154">
        <f>IF((F707+F708+F709)=0,0,(F708*$B711)/(F707+F708+F709))</f>
        <v>0</v>
      </c>
      <c r="G711" s="154">
        <f t="shared" ref="G711:O711" si="2098">IF((G707+G708+G709)=0,0,(G708*$B711)/(G707+G708+G709))</f>
        <v>0</v>
      </c>
      <c r="H711" s="154">
        <f t="shared" si="2098"/>
        <v>0</v>
      </c>
      <c r="I711" s="154">
        <f t="shared" si="2098"/>
        <v>0</v>
      </c>
      <c r="J711" s="154">
        <f t="shared" si="2098"/>
        <v>2.9423303044480334E-2</v>
      </c>
      <c r="K711" s="154">
        <f t="shared" si="2098"/>
        <v>2.7952137892256316E-2</v>
      </c>
      <c r="L711" s="154">
        <f t="shared" si="2098"/>
        <v>2.6480972740032298E-2</v>
      </c>
      <c r="M711" s="154">
        <f t="shared" si="2098"/>
        <v>1.8914980528594499E-2</v>
      </c>
      <c r="N711" s="154">
        <f t="shared" si="2098"/>
        <v>1.8173216586296677E-2</v>
      </c>
      <c r="O711" s="154">
        <f t="shared" si="2098"/>
        <v>0</v>
      </c>
      <c r="P711" s="154">
        <f>IF((P707+P708+P709)=0,0,(P708*$B711)/(P707+P708+P709))</f>
        <v>0</v>
      </c>
      <c r="Q711" s="154">
        <f t="shared" ref="Q711:Y711" si="2099">IF((Q707+Q708+Q709)=0,0,(Q708*$B711)/(Q707+Q708+Q709))</f>
        <v>0</v>
      </c>
      <c r="R711" s="154">
        <f t="shared" si="2099"/>
        <v>1.8173216586296677E-2</v>
      </c>
      <c r="S711" s="154">
        <f t="shared" si="2099"/>
        <v>0</v>
      </c>
      <c r="T711" s="154">
        <f t="shared" si="2099"/>
        <v>0</v>
      </c>
      <c r="U711" s="154">
        <f t="shared" si="2099"/>
        <v>0</v>
      </c>
      <c r="V711" s="154">
        <f t="shared" si="2099"/>
        <v>0</v>
      </c>
      <c r="W711" s="154">
        <f t="shared" si="2099"/>
        <v>0</v>
      </c>
      <c r="X711" s="154">
        <f t="shared" si="2099"/>
        <v>0</v>
      </c>
      <c r="Y711" s="159">
        <f t="shared" si="2099"/>
        <v>0</v>
      </c>
    </row>
    <row r="712" spans="2:25" ht="15" customHeight="1" thickBot="1" x14ac:dyDescent="0.25">
      <c r="B712" s="253"/>
      <c r="C712" s="93">
        <f>E712/SUM(E710:E712)</f>
        <v>4.651162790697675E-2</v>
      </c>
      <c r="D712" s="75" t="s">
        <v>2</v>
      </c>
      <c r="E712" s="155">
        <f>IF((E707+E708+E709)=0,0,(E709*$B711)/(E707+E708+E709))</f>
        <v>2.0527885844986282E-3</v>
      </c>
      <c r="F712" s="155">
        <f>IF((F707+F708+F709)=0,0,(F709*$B711)/(F707+F708+F709))</f>
        <v>0</v>
      </c>
      <c r="G712" s="155">
        <f t="shared" ref="G712:Y712" si="2100">IF((G707+G708+G709)=0,0,(G709*$B711)/(G707+G708+G709))</f>
        <v>0</v>
      </c>
      <c r="H712" s="155">
        <f t="shared" si="2100"/>
        <v>0</v>
      </c>
      <c r="I712" s="155">
        <f t="shared" si="2100"/>
        <v>0</v>
      </c>
      <c r="J712" s="155">
        <f t="shared" si="2100"/>
        <v>0</v>
      </c>
      <c r="K712" s="155">
        <f t="shared" si="2100"/>
        <v>0</v>
      </c>
      <c r="L712" s="155">
        <f t="shared" si="2100"/>
        <v>8.8269909133440998E-3</v>
      </c>
      <c r="M712" s="155">
        <f t="shared" si="2100"/>
        <v>0</v>
      </c>
      <c r="N712" s="155">
        <f t="shared" si="2100"/>
        <v>5.1923475960847648E-3</v>
      </c>
      <c r="O712" s="155">
        <f t="shared" si="2100"/>
        <v>0</v>
      </c>
      <c r="P712" s="155">
        <f t="shared" si="2100"/>
        <v>0</v>
      </c>
      <c r="Q712" s="155">
        <f t="shared" si="2100"/>
        <v>0</v>
      </c>
      <c r="R712" s="155">
        <f t="shared" si="2100"/>
        <v>2.5961737980423824E-3</v>
      </c>
      <c r="S712" s="155">
        <f t="shared" si="2100"/>
        <v>0</v>
      </c>
      <c r="T712" s="155">
        <f t="shared" si="2100"/>
        <v>0</v>
      </c>
      <c r="U712" s="155">
        <f t="shared" si="2100"/>
        <v>0</v>
      </c>
      <c r="V712" s="155">
        <f t="shared" si="2100"/>
        <v>0</v>
      </c>
      <c r="W712" s="155">
        <f t="shared" si="2100"/>
        <v>0</v>
      </c>
      <c r="X712" s="155">
        <f t="shared" si="2100"/>
        <v>0</v>
      </c>
      <c r="Y712" s="160">
        <f t="shared" si="2100"/>
        <v>0</v>
      </c>
    </row>
    <row r="713" spans="2:25" ht="15" customHeight="1" x14ac:dyDescent="0.2">
      <c r="B713" s="249" t="s">
        <v>56</v>
      </c>
      <c r="C713" s="91">
        <f>E713/SUM(E713:E715)</f>
        <v>0.5304347826086957</v>
      </c>
      <c r="D713" s="67" t="s">
        <v>0</v>
      </c>
      <c r="E713" s="68">
        <f t="shared" si="2080"/>
        <v>183</v>
      </c>
      <c r="F713" s="68">
        <f>SUMIFS([0]!Chavez,[0]!Centro,B715,[0]!Turno,F$616)</f>
        <v>23</v>
      </c>
      <c r="G713" s="68">
        <f>SUMIFS([0]!Chavez,[0]!Centro,B715,[0]!Turno,G$616)</f>
        <v>12</v>
      </c>
      <c r="H713" s="68">
        <f>SUMIFS([0]!Chavez,[0]!Centro,B715,[0]!Turno,H$616)</f>
        <v>0</v>
      </c>
      <c r="I713" s="68">
        <f>SUMIFS([0]!Chavez,[0]!Centro,B715,[0]!Turno,I$616)</f>
        <v>6</v>
      </c>
      <c r="J713" s="68">
        <f>SUMIFS([0]!Chavez,[0]!Centro,B715,[0]!Turno,J$616)</f>
        <v>21</v>
      </c>
      <c r="K713" s="68">
        <f>SUMIFS([0]!Chavez,[0]!Centro,B715,[0]!Turno,K$616)</f>
        <v>17</v>
      </c>
      <c r="L713" s="68">
        <f>SUMIFS([0]!Chavez,[0]!Centro,B715,[0]!Turno,L$616)</f>
        <v>26</v>
      </c>
      <c r="M713" s="68">
        <f>SUMIFS([0]!Chavez,[0]!Centro,B715,[0]!Turno,M$616)</f>
        <v>21</v>
      </c>
      <c r="N713" s="68">
        <f>SUMIFS([0]!Chavez,[0]!Centro,B715,[0]!Turno,N$616)</f>
        <v>24</v>
      </c>
      <c r="O713" s="68">
        <f>SUMIFS([0]!Chavez,[0]!Centro,B715,[0]!Turno,O$616)</f>
        <v>21</v>
      </c>
      <c r="P713" s="68">
        <f>SUMIFS([0]!Chavez,[0]!Centro,B715,[0]!Turno,P$616)</f>
        <v>12</v>
      </c>
      <c r="Q713" s="68">
        <f>SUMIFS([0]!Chavez,[0]!Centro,B715,[0]!Turno,Q$616)</f>
        <v>0</v>
      </c>
      <c r="R713" s="68">
        <f>SUMIFS([0]!Chavez,[0]!Centro,B715,[0]!Turno,R$616)</f>
        <v>0</v>
      </c>
      <c r="S713" s="68">
        <f>SUMIFS([0]!Chavez,[0]!Centro,B715,[0]!Turno,S$616)</f>
        <v>0</v>
      </c>
      <c r="T713" s="68">
        <f>SUMIFS([0]!Chavez,[0]!Centro,B715,[0]!Turno,T$616)</f>
        <v>0</v>
      </c>
      <c r="U713" s="68">
        <f>SUMIFS([0]!Chavez,[0]!Centro,B715,[0]!Turno,U$616)</f>
        <v>0</v>
      </c>
      <c r="V713" s="68">
        <f>SUMIFS([0]!Chavez,[0]!Centro,B715,[0]!Turno,V$616)</f>
        <v>0</v>
      </c>
      <c r="W713" s="68">
        <f>SUMIFS([0]!Chavez,[0]!Centro,B715,[0]!Turno,W$616)</f>
        <v>0</v>
      </c>
      <c r="X713" s="68">
        <f>SUMIFS([0]!Chavez,[0]!Centro,B715,[0]!Turno,X$616)</f>
        <v>0</v>
      </c>
      <c r="Y713" s="69">
        <f>SUMIFS([0]!Chavez,[0]!Centro,B715,[0]!Turno,Y$616)</f>
        <v>0</v>
      </c>
    </row>
    <row r="714" spans="2:25" ht="15" customHeight="1" x14ac:dyDescent="0.2">
      <c r="B714" s="250"/>
      <c r="C714" s="92">
        <f>E714/SUM(E713:E715)</f>
        <v>0.44637681159420289</v>
      </c>
      <c r="D714" s="61" t="s">
        <v>1</v>
      </c>
      <c r="E714" s="62">
        <f t="shared" si="2080"/>
        <v>154</v>
      </c>
      <c r="F714" s="62">
        <f>SUMIFS([0]!Capriles,[0]!Centro,B715,[0]!Turno,F$616)</f>
        <v>22</v>
      </c>
      <c r="G714" s="62">
        <f>SUMIFS([0]!Capriles,[0]!Centro,B715,[0]!Turno,G$616)</f>
        <v>13</v>
      </c>
      <c r="H714" s="62">
        <f>SUMIFS([0]!Capriles,[0]!Centro,B715,[0]!Turno,H$616)</f>
        <v>0</v>
      </c>
      <c r="I714" s="62">
        <f>SUMIFS([0]!Capriles,[0]!Centro,B715,[0]!Turno,I$616)</f>
        <v>3</v>
      </c>
      <c r="J714" s="62">
        <f>SUMIFS([0]!Capriles,[0]!Centro,B715,[0]!Turno,J$616)</f>
        <v>14</v>
      </c>
      <c r="K714" s="62">
        <f>SUMIFS([0]!Capriles,[0]!Centro,B715,[0]!Turno,K$616)</f>
        <v>18</v>
      </c>
      <c r="L714" s="62">
        <f>SUMIFS([0]!Capriles,[0]!Centro,B715,[0]!Turno,L$616)</f>
        <v>10</v>
      </c>
      <c r="M714" s="62">
        <f>SUMIFS([0]!Capriles,[0]!Centro,B715,[0]!Turno,M$616)</f>
        <v>15</v>
      </c>
      <c r="N714" s="62">
        <f>SUMIFS([0]!Capriles,[0]!Centro,B715,[0]!Turno,N$616)</f>
        <v>21</v>
      </c>
      <c r="O714" s="62">
        <f>SUMIFS([0]!Capriles,[0]!Centro,B715,[0]!Turno,O$616)</f>
        <v>22</v>
      </c>
      <c r="P714" s="62">
        <f>SUMIFS([0]!Capriles,[0]!Centro,B715,[0]!Turno,P$616)</f>
        <v>16</v>
      </c>
      <c r="Q714" s="62">
        <f>SUMIFS([0]!Capriles,[0]!Centro,B715,[0]!Turno,Q$616)</f>
        <v>0</v>
      </c>
      <c r="R714" s="62">
        <f>SUMIFS([0]!Capriles,[0]!Centro,B715,[0]!Turno,R$616)</f>
        <v>0</v>
      </c>
      <c r="S714" s="62">
        <f>SUMIFS([0]!Capriles,[0]!Centro,B715,[0]!Turno,S$616)</f>
        <v>0</v>
      </c>
      <c r="T714" s="62">
        <f>SUMIFS([0]!Capriles,[0]!Centro,B715,[0]!Turno,T$616)</f>
        <v>0</v>
      </c>
      <c r="U714" s="62">
        <f>SUMIFS([0]!Capriles,[0]!Centro,B715,[0]!Turno,U$616)</f>
        <v>0</v>
      </c>
      <c r="V714" s="62">
        <f>SUMIFS([0]!Capriles,[0]!Centro,B715,[0]!Turno,V$616)</f>
        <v>0</v>
      </c>
      <c r="W714" s="62">
        <f>SUMIFS([0]!Capriles,[0]!Centro,B715,[0]!Turno,W$616)</f>
        <v>0</v>
      </c>
      <c r="X714" s="62">
        <f>SUMIFS([0]!Capriles,[0]!Centro,B715,[0]!Turno,X$616)</f>
        <v>0</v>
      </c>
      <c r="Y714" s="70">
        <f>SUMIFS([0]!Capriles,[0]!Centro,B715,[0]!Turno,Y$616)</f>
        <v>0</v>
      </c>
    </row>
    <row r="715" spans="2:25" ht="15" customHeight="1" thickBot="1" x14ac:dyDescent="0.25">
      <c r="B715" s="251">
        <v>100</v>
      </c>
      <c r="C715" s="100">
        <f>E715/SUM(E713:E715)</f>
        <v>2.318840579710145E-2</v>
      </c>
      <c r="D715" s="71" t="s">
        <v>2</v>
      </c>
      <c r="E715" s="72">
        <f t="shared" si="2080"/>
        <v>8</v>
      </c>
      <c r="F715" s="72">
        <f>SUMIFS([0]!Otro,[0]!Centro,B715,[0]!Turno,F$616)</f>
        <v>0</v>
      </c>
      <c r="G715" s="72">
        <f>SUMIFS([0]!Otro,[0]!Centro,B715,[0]!Turno,G$616)</f>
        <v>0</v>
      </c>
      <c r="H715" s="72">
        <f>SUMIFS([0]!Otro,[0]!Centro,B715,[0]!Turno,H$616)</f>
        <v>0</v>
      </c>
      <c r="I715" s="72">
        <f>SUMIFS([0]!Otro,[0]!Centro,B715,[0]!Turno,I$616)</f>
        <v>0</v>
      </c>
      <c r="J715" s="72">
        <f>SUMIFS([0]!Otro,[0]!Centro,B715,[0]!Turno,J$616)</f>
        <v>5</v>
      </c>
      <c r="K715" s="72">
        <f>SUMIFS([0]!Otro,[0]!Centro,B715,[0]!Turno,K$616)</f>
        <v>3</v>
      </c>
      <c r="L715" s="72">
        <f>SUMIFS([0]!Otro,[0]!Centro,B715,[0]!Turno,L$616)</f>
        <v>0</v>
      </c>
      <c r="M715" s="72">
        <f>SUMIFS([0]!Otro,[0]!Centro,B715,[0]!Turno,M$616)</f>
        <v>0</v>
      </c>
      <c r="N715" s="72">
        <f>SUMIFS([0]!Otro,[0]!Centro,B715,[0]!Turno,N$616)</f>
        <v>0</v>
      </c>
      <c r="O715" s="72">
        <f>SUMIFS([0]!Otro,[0]!Centro,B715,[0]!Turno,O$616)</f>
        <v>0</v>
      </c>
      <c r="P715" s="72">
        <f>SUMIFS([0]!Otro,[0]!Centro,B715,[0]!Turno,P$616)</f>
        <v>0</v>
      </c>
      <c r="Q715" s="72">
        <f>SUMIFS([0]!Otro,[0]!Centro,B715,[0]!Turno,Q$616)</f>
        <v>0</v>
      </c>
      <c r="R715" s="72">
        <f>SUMIFS([0]!Otro,[0]!Centro,B715,[0]!Turno,R$616)</f>
        <v>0</v>
      </c>
      <c r="S715" s="72">
        <f>SUMIFS([0]!Otro,[0]!Centro,B715,[0]!Turno,S$616)</f>
        <v>0</v>
      </c>
      <c r="T715" s="72">
        <f>SUMIFS([0]!Otro,[0]!Centro,B715,[0]!Turno,T$616)</f>
        <v>0</v>
      </c>
      <c r="U715" s="72">
        <f>SUMIFS([0]!Otro,[0]!Centro,B715,[0]!Turno,U$616)</f>
        <v>0</v>
      </c>
      <c r="V715" s="72">
        <f>SUMIFS([0]!Otro,[0]!Centro,B715,[0]!Turno,V$616)</f>
        <v>0</v>
      </c>
      <c r="W715" s="72">
        <f>SUMIFS([0]!Otro,[0]!Centro,B715,[0]!Turno,W$616)</f>
        <v>0</v>
      </c>
      <c r="X715" s="72">
        <f>SUMIFS([0]!Otro,[0]!Centro,B715,[0]!Turno,X$616)</f>
        <v>0</v>
      </c>
      <c r="Y715" s="73">
        <f>SUMIFS([0]!Otro,[0]!Centro,B715,[0]!Turno,Y$616)</f>
        <v>0</v>
      </c>
    </row>
    <row r="716" spans="2:25" ht="15" customHeight="1" x14ac:dyDescent="0.2">
      <c r="B716" s="251"/>
      <c r="C716" s="94">
        <f>E716/SUM(E716:E718)</f>
        <v>0.53043478260869559</v>
      </c>
      <c r="D716" s="63" t="s">
        <v>0</v>
      </c>
      <c r="E716" s="150">
        <f>IF((E713+E714+E715)=0,0,(E713*$B717)/(E713+E714+E715))</f>
        <v>3.3958689203718632E-2</v>
      </c>
      <c r="F716" s="150">
        <f>IF((F713+F714+F715)=0,0,(F713*$B717)/(F713+F714+F715))</f>
        <v>3.2721578485914671E-2</v>
      </c>
      <c r="G716" s="150">
        <f t="shared" ref="G716:Y716" si="2101">IF((G713+G714+G715)=0,0,(G713*$B717)/(G713+G714+G715))</f>
        <v>3.0729830230250301E-2</v>
      </c>
      <c r="H716" s="150">
        <f t="shared" si="2101"/>
        <v>0</v>
      </c>
      <c r="I716" s="150">
        <f t="shared" si="2101"/>
        <v>4.268031976423653E-2</v>
      </c>
      <c r="J716" s="150">
        <f t="shared" si="2101"/>
        <v>3.3610751814336266E-2</v>
      </c>
      <c r="K716" s="150">
        <f t="shared" si="2101"/>
        <v>2.8640740894421882E-2</v>
      </c>
      <c r="L716" s="150">
        <f t="shared" si="2101"/>
        <v>4.6237013077922912E-2</v>
      </c>
      <c r="M716" s="150">
        <f t="shared" si="2101"/>
        <v>3.7345279793706963E-2</v>
      </c>
      <c r="N716" s="150">
        <f t="shared" si="2101"/>
        <v>3.4144255811389225E-2</v>
      </c>
      <c r="O716" s="150">
        <f t="shared" si="2101"/>
        <v>3.126581564124304E-2</v>
      </c>
      <c r="P716" s="150">
        <f t="shared" si="2101"/>
        <v>2.743734841986634E-2</v>
      </c>
      <c r="Q716" s="150">
        <f t="shared" si="2101"/>
        <v>0</v>
      </c>
      <c r="R716" s="150">
        <f t="shared" si="2101"/>
        <v>0</v>
      </c>
      <c r="S716" s="150">
        <f t="shared" si="2101"/>
        <v>0</v>
      </c>
      <c r="T716" s="150">
        <f t="shared" si="2101"/>
        <v>0</v>
      </c>
      <c r="U716" s="150">
        <f t="shared" si="2101"/>
        <v>0</v>
      </c>
      <c r="V716" s="150">
        <f t="shared" si="2101"/>
        <v>0</v>
      </c>
      <c r="W716" s="150">
        <f t="shared" si="2101"/>
        <v>0</v>
      </c>
      <c r="X716" s="150">
        <f t="shared" si="2101"/>
        <v>0</v>
      </c>
      <c r="Y716" s="163">
        <f t="shared" si="2101"/>
        <v>0</v>
      </c>
    </row>
    <row r="717" spans="2:25" ht="15" customHeight="1" x14ac:dyDescent="0.2">
      <c r="B717" s="252">
        <v>6.4020479646354794E-2</v>
      </c>
      <c r="C717" s="92">
        <f>E717/SUM(E716:E718)</f>
        <v>0.44637681159420284</v>
      </c>
      <c r="D717" s="61" t="s">
        <v>1</v>
      </c>
      <c r="E717" s="154">
        <f>IF((E713+E714+E715)=0,0,(E714*$B717)/(E713+E714+E715))</f>
        <v>2.8577257581271418E-2</v>
      </c>
      <c r="F717" s="154">
        <f>IF((F713+F714+F715)=0,0,(F714*$B717)/(F713+F714+F715))</f>
        <v>3.1298901160440123E-2</v>
      </c>
      <c r="G717" s="154">
        <f t="shared" ref="G717:O717" si="2102">IF((G713+G714+G715)=0,0,(G714*$B717)/(G713+G714+G715))</f>
        <v>3.3290649416104497E-2</v>
      </c>
      <c r="H717" s="154">
        <f t="shared" si="2102"/>
        <v>0</v>
      </c>
      <c r="I717" s="154">
        <f t="shared" si="2102"/>
        <v>2.1340159882118265E-2</v>
      </c>
      <c r="J717" s="154">
        <f t="shared" si="2102"/>
        <v>2.2407167876224175E-2</v>
      </c>
      <c r="K717" s="154">
        <f t="shared" si="2102"/>
        <v>3.0325490358799639E-2</v>
      </c>
      <c r="L717" s="154">
        <f t="shared" si="2102"/>
        <v>1.778346656843189E-2</v>
      </c>
      <c r="M717" s="154">
        <f t="shared" si="2102"/>
        <v>2.6675199852647831E-2</v>
      </c>
      <c r="N717" s="154">
        <f t="shared" si="2102"/>
        <v>2.9876223834965569E-2</v>
      </c>
      <c r="O717" s="154">
        <f t="shared" si="2102"/>
        <v>3.2754664005111754E-2</v>
      </c>
      <c r="P717" s="154">
        <f>IF((P713+P714+P715)=0,0,(P714*$B717)/(P713+P714+P715))</f>
        <v>3.6583131226488451E-2</v>
      </c>
      <c r="Q717" s="154">
        <f t="shared" ref="Q717:Y717" si="2103">IF((Q713+Q714+Q715)=0,0,(Q714*$B717)/(Q713+Q714+Q715))</f>
        <v>0</v>
      </c>
      <c r="R717" s="154">
        <f t="shared" si="2103"/>
        <v>0</v>
      </c>
      <c r="S717" s="154">
        <f t="shared" si="2103"/>
        <v>0</v>
      </c>
      <c r="T717" s="154">
        <f t="shared" si="2103"/>
        <v>0</v>
      </c>
      <c r="U717" s="154">
        <f t="shared" si="2103"/>
        <v>0</v>
      </c>
      <c r="V717" s="154">
        <f t="shared" si="2103"/>
        <v>0</v>
      </c>
      <c r="W717" s="154">
        <f t="shared" si="2103"/>
        <v>0</v>
      </c>
      <c r="X717" s="154">
        <f t="shared" si="2103"/>
        <v>0</v>
      </c>
      <c r="Y717" s="159">
        <f t="shared" si="2103"/>
        <v>0</v>
      </c>
    </row>
    <row r="718" spans="2:25" ht="15" customHeight="1" thickBot="1" x14ac:dyDescent="0.25">
      <c r="B718" s="253"/>
      <c r="C718" s="93">
        <f>E718/SUM(E716:E718)</f>
        <v>2.3188405797101443E-2</v>
      </c>
      <c r="D718" s="75" t="s">
        <v>2</v>
      </c>
      <c r="E718" s="155">
        <f>IF((E713+E714+E715)=0,0,(E715*$B717)/(E713+E714+E715))</f>
        <v>1.4845328613647488E-3</v>
      </c>
      <c r="F718" s="155">
        <f>IF((F713+F714+F715)=0,0,(F715*$B717)/(F713+F714+F715))</f>
        <v>0</v>
      </c>
      <c r="G718" s="155">
        <f t="shared" ref="G718:Y718" si="2104">IF((G713+G714+G715)=0,0,(G715*$B717)/(G713+G714+G715))</f>
        <v>0</v>
      </c>
      <c r="H718" s="155">
        <f t="shared" si="2104"/>
        <v>0</v>
      </c>
      <c r="I718" s="155">
        <f t="shared" si="2104"/>
        <v>0</v>
      </c>
      <c r="J718" s="155">
        <f t="shared" si="2104"/>
        <v>8.0025599557943493E-3</v>
      </c>
      <c r="K718" s="155">
        <f t="shared" si="2104"/>
        <v>5.0542483931332732E-3</v>
      </c>
      <c r="L718" s="155">
        <f t="shared" si="2104"/>
        <v>0</v>
      </c>
      <c r="M718" s="155">
        <f t="shared" si="2104"/>
        <v>0</v>
      </c>
      <c r="N718" s="155">
        <f t="shared" si="2104"/>
        <v>0</v>
      </c>
      <c r="O718" s="155">
        <f t="shared" si="2104"/>
        <v>0</v>
      </c>
      <c r="P718" s="155">
        <f t="shared" si="2104"/>
        <v>0</v>
      </c>
      <c r="Q718" s="155">
        <f t="shared" si="2104"/>
        <v>0</v>
      </c>
      <c r="R718" s="155">
        <f t="shared" si="2104"/>
        <v>0</v>
      </c>
      <c r="S718" s="155">
        <f t="shared" si="2104"/>
        <v>0</v>
      </c>
      <c r="T718" s="155">
        <f t="shared" si="2104"/>
        <v>0</v>
      </c>
      <c r="U718" s="155">
        <f t="shared" si="2104"/>
        <v>0</v>
      </c>
      <c r="V718" s="155">
        <f t="shared" si="2104"/>
        <v>0</v>
      </c>
      <c r="W718" s="155">
        <f t="shared" si="2104"/>
        <v>0</v>
      </c>
      <c r="X718" s="155">
        <f t="shared" si="2104"/>
        <v>0</v>
      </c>
      <c r="Y718" s="160">
        <f t="shared" si="2104"/>
        <v>0</v>
      </c>
    </row>
    <row r="719" spans="2:25" ht="15" customHeight="1" thickBot="1" x14ac:dyDescent="0.25">
      <c r="B719" s="18" t="s">
        <v>3</v>
      </c>
      <c r="C719" s="24" t="s">
        <v>226</v>
      </c>
      <c r="D719" s="25" t="s">
        <v>4</v>
      </c>
      <c r="E719" s="18" t="s">
        <v>225</v>
      </c>
      <c r="F719" s="19">
        <v>1</v>
      </c>
      <c r="G719" s="19">
        <v>2</v>
      </c>
      <c r="H719" s="19">
        <v>3</v>
      </c>
      <c r="I719" s="19">
        <v>4</v>
      </c>
      <c r="J719" s="19">
        <v>5</v>
      </c>
      <c r="K719" s="19">
        <v>6</v>
      </c>
      <c r="L719" s="19">
        <v>7</v>
      </c>
      <c r="M719" s="19">
        <v>8</v>
      </c>
      <c r="N719" s="19">
        <v>9</v>
      </c>
      <c r="O719" s="19">
        <v>10</v>
      </c>
      <c r="P719" s="19">
        <v>11</v>
      </c>
      <c r="Q719" s="19">
        <v>12</v>
      </c>
      <c r="R719" s="19">
        <v>13</v>
      </c>
      <c r="S719" s="19">
        <v>14</v>
      </c>
      <c r="T719" s="19">
        <v>15</v>
      </c>
      <c r="U719" s="19">
        <v>16</v>
      </c>
      <c r="V719" s="19">
        <v>17</v>
      </c>
      <c r="W719" s="19">
        <v>18</v>
      </c>
      <c r="X719" s="19">
        <v>19</v>
      </c>
      <c r="Y719" s="19">
        <v>20</v>
      </c>
    </row>
    <row r="720" spans="2:25" ht="15" customHeight="1" x14ac:dyDescent="0.2">
      <c r="B720" s="246" t="s">
        <v>125</v>
      </c>
      <c r="C720" s="95">
        <f>E720/SUM(E720:E722)</f>
        <v>0.45850530630240216</v>
      </c>
      <c r="D720" s="81" t="s">
        <v>0</v>
      </c>
      <c r="E720" s="82">
        <f>SUM(F720:Y720)</f>
        <v>514.08094480980799</v>
      </c>
      <c r="F720" s="82">
        <f t="shared" ref="F720:Y720" si="2105">SUM(F726,F732,F735,F738)</f>
        <v>65.343693621287997</v>
      </c>
      <c r="G720" s="82">
        <f t="shared" si="2105"/>
        <v>27.205261468269217</v>
      </c>
      <c r="H720" s="82">
        <f t="shared" si="2105"/>
        <v>54.279504978068722</v>
      </c>
      <c r="I720" s="82">
        <f t="shared" si="2105"/>
        <v>40.205261468269214</v>
      </c>
      <c r="J720" s="82">
        <f t="shared" si="2105"/>
        <v>55.347365561686367</v>
      </c>
      <c r="K720" s="82">
        <f t="shared" ref="K720:K722" si="2106">SUM(K726,K732,K735,K738)</f>
        <v>40.226495413262583</v>
      </c>
      <c r="L720" s="82">
        <f t="shared" si="2105"/>
        <v>55.328418349230745</v>
      </c>
      <c r="M720" s="82">
        <f t="shared" si="2105"/>
        <v>83.299570791528055</v>
      </c>
      <c r="N720" s="82">
        <f t="shared" si="2105"/>
        <v>56.516954808974326</v>
      </c>
      <c r="O720" s="82">
        <f t="shared" si="2105"/>
        <v>0</v>
      </c>
      <c r="P720" s="82">
        <f t="shared" si="2105"/>
        <v>0</v>
      </c>
      <c r="Q720" s="82">
        <f t="shared" si="2105"/>
        <v>36.328418349230745</v>
      </c>
      <c r="R720" s="82">
        <f t="shared" si="2105"/>
        <v>0</v>
      </c>
      <c r="S720" s="82">
        <f t="shared" si="2105"/>
        <v>0</v>
      </c>
      <c r="T720" s="82">
        <f t="shared" si="2105"/>
        <v>0</v>
      </c>
      <c r="U720" s="82">
        <f t="shared" si="2105"/>
        <v>0</v>
      </c>
      <c r="V720" s="82">
        <f t="shared" si="2105"/>
        <v>0</v>
      </c>
      <c r="W720" s="82">
        <f t="shared" si="2105"/>
        <v>0</v>
      </c>
      <c r="X720" s="82">
        <f t="shared" si="2105"/>
        <v>0</v>
      </c>
      <c r="Y720" s="83">
        <f t="shared" si="2105"/>
        <v>0</v>
      </c>
    </row>
    <row r="721" spans="2:25" ht="15" customHeight="1" x14ac:dyDescent="0.2">
      <c r="B721" s="247"/>
      <c r="C721" s="96">
        <f>E721/SUM(E720:E722)</f>
        <v>0.53432021435901145</v>
      </c>
      <c r="D721" s="79" t="s">
        <v>1</v>
      </c>
      <c r="E721" s="80">
        <f t="shared" ref="E721:E740" si="2107">SUM(F721:Y721)</f>
        <v>599.08541265058989</v>
      </c>
      <c r="F721" s="80">
        <f t="shared" ref="F721:Y721" si="2108">SUM(F727,F733,F736,F739)</f>
        <v>96.477352251788872</v>
      </c>
      <c r="G721" s="80">
        <f t="shared" si="2108"/>
        <v>48.615784404807648</v>
      </c>
      <c r="H721" s="80">
        <f t="shared" si="2108"/>
        <v>62.541540895008147</v>
      </c>
      <c r="I721" s="80">
        <f t="shared" si="2108"/>
        <v>80.615784404807641</v>
      </c>
      <c r="J721" s="80">
        <f t="shared" si="2108"/>
        <v>56.457890967677486</v>
      </c>
      <c r="K721" s="80">
        <f t="shared" si="2106"/>
        <v>76.566238533156451</v>
      </c>
      <c r="L721" s="80">
        <f t="shared" si="2108"/>
        <v>30.492627523846121</v>
      </c>
      <c r="M721" s="80">
        <f t="shared" si="2108"/>
        <v>83.521475081548829</v>
      </c>
      <c r="N721" s="80">
        <f t="shared" si="2108"/>
        <v>39.304091064102543</v>
      </c>
      <c r="O721" s="80">
        <f t="shared" si="2108"/>
        <v>0</v>
      </c>
      <c r="P721" s="80">
        <f t="shared" si="2108"/>
        <v>0</v>
      </c>
      <c r="Q721" s="80">
        <f t="shared" si="2108"/>
        <v>24.492627523846121</v>
      </c>
      <c r="R721" s="80">
        <f t="shared" si="2108"/>
        <v>0</v>
      </c>
      <c r="S721" s="80">
        <f t="shared" si="2108"/>
        <v>0</v>
      </c>
      <c r="T721" s="80">
        <f t="shared" si="2108"/>
        <v>0</v>
      </c>
      <c r="U721" s="80">
        <f t="shared" si="2108"/>
        <v>0</v>
      </c>
      <c r="V721" s="80">
        <f t="shared" si="2108"/>
        <v>0</v>
      </c>
      <c r="W721" s="80">
        <f t="shared" si="2108"/>
        <v>0</v>
      </c>
      <c r="X721" s="80">
        <f t="shared" si="2108"/>
        <v>0</v>
      </c>
      <c r="Y721" s="84">
        <f t="shared" si="2108"/>
        <v>0</v>
      </c>
    </row>
    <row r="722" spans="2:25" ht="15" customHeight="1" thickBot="1" x14ac:dyDescent="0.25">
      <c r="B722" s="247"/>
      <c r="C722" s="97">
        <f>E722/SUM(E720:E722)</f>
        <v>7.1744793385863639E-3</v>
      </c>
      <c r="D722" s="86" t="s">
        <v>2</v>
      </c>
      <c r="E722" s="87">
        <f t="shared" si="2107"/>
        <v>8.0441012703708399</v>
      </c>
      <c r="F722" s="87">
        <f t="shared" ref="F722:Y722" si="2109">SUM(F728,F734,F737,F740)</f>
        <v>2</v>
      </c>
      <c r="G722" s="87">
        <f t="shared" si="2109"/>
        <v>1</v>
      </c>
      <c r="H722" s="87">
        <f t="shared" si="2109"/>
        <v>0</v>
      </c>
      <c r="I722" s="87">
        <f t="shared" si="2109"/>
        <v>1</v>
      </c>
      <c r="J722" s="87">
        <f t="shared" si="2109"/>
        <v>2.015789343713017</v>
      </c>
      <c r="K722" s="87">
        <f t="shared" si="2106"/>
        <v>2.0283119266578229</v>
      </c>
      <c r="L722" s="87">
        <f t="shared" si="2109"/>
        <v>0</v>
      </c>
      <c r="M722" s="87">
        <f t="shared" si="2109"/>
        <v>0</v>
      </c>
      <c r="N722" s="87">
        <f t="shared" si="2109"/>
        <v>0</v>
      </c>
      <c r="O722" s="87">
        <f t="shared" si="2109"/>
        <v>0</v>
      </c>
      <c r="P722" s="87">
        <f t="shared" si="2109"/>
        <v>0</v>
      </c>
      <c r="Q722" s="87">
        <f t="shared" si="2109"/>
        <v>0</v>
      </c>
      <c r="R722" s="87">
        <f t="shared" si="2109"/>
        <v>0</v>
      </c>
      <c r="S722" s="87">
        <f t="shared" si="2109"/>
        <v>0</v>
      </c>
      <c r="T722" s="87">
        <f t="shared" si="2109"/>
        <v>0</v>
      </c>
      <c r="U722" s="87">
        <f t="shared" si="2109"/>
        <v>0</v>
      </c>
      <c r="V722" s="87">
        <f t="shared" si="2109"/>
        <v>0</v>
      </c>
      <c r="W722" s="87">
        <f t="shared" si="2109"/>
        <v>0</v>
      </c>
      <c r="X722" s="87">
        <f t="shared" si="2109"/>
        <v>0</v>
      </c>
      <c r="Y722" s="88">
        <f t="shared" si="2109"/>
        <v>0</v>
      </c>
    </row>
    <row r="723" spans="2:25" ht="15" customHeight="1" x14ac:dyDescent="0.2">
      <c r="B723" s="247"/>
      <c r="C723" s="98">
        <f>E723/SUM(E723:E725)</f>
        <v>0.40727675755071424</v>
      </c>
      <c r="D723" s="85" t="s">
        <v>0</v>
      </c>
      <c r="E723" s="151">
        <f>SUM(E729,E735,E741)</f>
        <v>0.40727675755071419</v>
      </c>
      <c r="F723" s="151">
        <f t="shared" ref="F723:Y723" si="2110">SUM(F729,F735,F741)</f>
        <v>0.41154419905446865</v>
      </c>
      <c r="G723" s="151">
        <f t="shared" si="2110"/>
        <v>0.27716265826479042</v>
      </c>
      <c r="H723" s="151">
        <f t="shared" si="2110"/>
        <v>0.37806197939090996</v>
      </c>
      <c r="I723" s="151">
        <f t="shared" si="2110"/>
        <v>0.27029598569203128</v>
      </c>
      <c r="J723" s="151">
        <f t="shared" si="2110"/>
        <v>0.43179190472526657</v>
      </c>
      <c r="K723" s="151">
        <f t="shared" si="2110"/>
        <v>0.29807706403183715</v>
      </c>
      <c r="L723" s="151">
        <f t="shared" si="2110"/>
        <v>0.45304703802246227</v>
      </c>
      <c r="M723" s="151">
        <f t="shared" si="2110"/>
        <v>0.41244960463425445</v>
      </c>
      <c r="N723" s="151">
        <f t="shared" si="2110"/>
        <v>0.61166654197652937</v>
      </c>
      <c r="O723" s="151">
        <f t="shared" si="2110"/>
        <v>0</v>
      </c>
      <c r="P723" s="151">
        <f t="shared" si="2110"/>
        <v>0</v>
      </c>
      <c r="Q723" s="151">
        <f t="shared" si="2110"/>
        <v>0.38210434410401339</v>
      </c>
      <c r="R723" s="151">
        <f t="shared" si="2110"/>
        <v>0</v>
      </c>
      <c r="S723" s="151">
        <f t="shared" si="2110"/>
        <v>0</v>
      </c>
      <c r="T723" s="151">
        <f t="shared" si="2110"/>
        <v>0</v>
      </c>
      <c r="U723" s="151">
        <f t="shared" si="2110"/>
        <v>0</v>
      </c>
      <c r="V723" s="151">
        <f t="shared" si="2110"/>
        <v>0</v>
      </c>
      <c r="W723" s="151">
        <f t="shared" si="2110"/>
        <v>0</v>
      </c>
      <c r="X723" s="151">
        <f t="shared" si="2110"/>
        <v>0</v>
      </c>
      <c r="Y723" s="156">
        <f t="shared" si="2110"/>
        <v>0</v>
      </c>
    </row>
    <row r="724" spans="2:25" ht="15" customHeight="1" x14ac:dyDescent="0.2">
      <c r="B724" s="247"/>
      <c r="C724" s="96">
        <f>E724/SUM(E723:E725)</f>
        <v>0.585877494012219</v>
      </c>
      <c r="D724" s="79" t="s">
        <v>1</v>
      </c>
      <c r="E724" s="152">
        <f t="shared" ref="E724:Y724" si="2111">SUM(E730,E736,E742)</f>
        <v>0.58587749401221889</v>
      </c>
      <c r="F724" s="152">
        <f t="shared" si="2111"/>
        <v>0.58334280851889342</v>
      </c>
      <c r="G724" s="152">
        <f t="shared" si="2111"/>
        <v>0.72028084552189064</v>
      </c>
      <c r="H724" s="152">
        <f t="shared" si="2111"/>
        <v>0.62193802060908998</v>
      </c>
      <c r="I724" s="152">
        <f t="shared" si="2111"/>
        <v>0.72714751809464984</v>
      </c>
      <c r="J724" s="152">
        <f t="shared" si="2111"/>
        <v>0.55054815940585355</v>
      </c>
      <c r="K724" s="152">
        <f t="shared" si="2111"/>
        <v>0.67361100931033979</v>
      </c>
      <c r="L724" s="152">
        <f t="shared" si="2111"/>
        <v>0.54695296197753762</v>
      </c>
      <c r="M724" s="152">
        <f t="shared" si="2111"/>
        <v>0.58755039536574538</v>
      </c>
      <c r="N724" s="152">
        <f t="shared" si="2111"/>
        <v>0.38833345802347058</v>
      </c>
      <c r="O724" s="152">
        <f t="shared" si="2111"/>
        <v>0</v>
      </c>
      <c r="P724" s="152">
        <f t="shared" si="2111"/>
        <v>0</v>
      </c>
      <c r="Q724" s="152">
        <f t="shared" si="2111"/>
        <v>0.51563580736323444</v>
      </c>
      <c r="R724" s="152">
        <f t="shared" si="2111"/>
        <v>0</v>
      </c>
      <c r="S724" s="152">
        <f t="shared" si="2111"/>
        <v>0</v>
      </c>
      <c r="T724" s="152">
        <f t="shared" si="2111"/>
        <v>0</v>
      </c>
      <c r="U724" s="152">
        <f t="shared" si="2111"/>
        <v>0</v>
      </c>
      <c r="V724" s="152">
        <f t="shared" si="2111"/>
        <v>0</v>
      </c>
      <c r="W724" s="152">
        <f t="shared" si="2111"/>
        <v>0</v>
      </c>
      <c r="X724" s="152">
        <f t="shared" si="2111"/>
        <v>0</v>
      </c>
      <c r="Y724" s="157">
        <f t="shared" si="2111"/>
        <v>0</v>
      </c>
    </row>
    <row r="725" spans="2:25" ht="15" customHeight="1" thickBot="1" x14ac:dyDescent="0.25">
      <c r="B725" s="248"/>
      <c r="C725" s="99">
        <f>E725/SUM(E723:E725)</f>
        <v>6.8457484370668649E-3</v>
      </c>
      <c r="D725" s="89" t="s">
        <v>2</v>
      </c>
      <c r="E725" s="153">
        <f t="shared" ref="E725:Y725" si="2112">SUM(E731,E737,E743)</f>
        <v>6.8457484370668641E-3</v>
      </c>
      <c r="F725" s="153">
        <f t="shared" si="2112"/>
        <v>5.1129924266375996E-3</v>
      </c>
      <c r="G725" s="153">
        <f t="shared" si="2112"/>
        <v>2.5564962133187998E-3</v>
      </c>
      <c r="H725" s="153">
        <f t="shared" si="2112"/>
        <v>0</v>
      </c>
      <c r="I725" s="153">
        <f t="shared" si="2112"/>
        <v>2.5564962133187998E-3</v>
      </c>
      <c r="J725" s="153">
        <f t="shared" si="2112"/>
        <v>1.7659935868879619E-2</v>
      </c>
      <c r="K725" s="153">
        <f t="shared" si="2112"/>
        <v>2.8311926657823002E-2</v>
      </c>
      <c r="L725" s="153">
        <f t="shared" si="2112"/>
        <v>0</v>
      </c>
      <c r="M725" s="153">
        <f t="shared" si="2112"/>
        <v>0</v>
      </c>
      <c r="N725" s="153">
        <f t="shared" si="2112"/>
        <v>0</v>
      </c>
      <c r="O725" s="153">
        <f t="shared" si="2112"/>
        <v>0</v>
      </c>
      <c r="P725" s="153">
        <f t="shared" si="2112"/>
        <v>0</v>
      </c>
      <c r="Q725" s="153">
        <f t="shared" si="2112"/>
        <v>0</v>
      </c>
      <c r="R725" s="153">
        <f t="shared" si="2112"/>
        <v>0</v>
      </c>
      <c r="S725" s="153">
        <f t="shared" si="2112"/>
        <v>0</v>
      </c>
      <c r="T725" s="153">
        <f t="shared" si="2112"/>
        <v>0</v>
      </c>
      <c r="U725" s="153">
        <f t="shared" si="2112"/>
        <v>0</v>
      </c>
      <c r="V725" s="153">
        <f t="shared" si="2112"/>
        <v>0</v>
      </c>
      <c r="W725" s="153">
        <f t="shared" si="2112"/>
        <v>0</v>
      </c>
      <c r="X725" s="153">
        <f t="shared" si="2112"/>
        <v>0</v>
      </c>
      <c r="Y725" s="158">
        <f t="shared" si="2112"/>
        <v>0</v>
      </c>
    </row>
    <row r="726" spans="2:25" ht="15" customHeight="1" x14ac:dyDescent="0.2">
      <c r="B726" s="249" t="s">
        <v>59</v>
      </c>
      <c r="C726" s="91">
        <f>E726/SUM(E726:E728)</f>
        <v>0.46619217081850534</v>
      </c>
      <c r="D726" s="67" t="s">
        <v>0</v>
      </c>
      <c r="E726" s="68">
        <f t="shared" si="2107"/>
        <v>131</v>
      </c>
      <c r="F726" s="68">
        <f>SUMIFS([0]!Chavez,[0]!Centro,B728,[0]!Turno,F$719)</f>
        <v>16</v>
      </c>
      <c r="G726" s="68">
        <f>SUMIFS([0]!Chavez,[0]!Centro,B728,[0]!Turno,G$719)</f>
        <v>15</v>
      </c>
      <c r="H726" s="68">
        <f>SUMIFS([0]!Chavez,[0]!Centro,B728,[0]!Turno,H$719)</f>
        <v>22</v>
      </c>
      <c r="I726" s="68">
        <f>SUMIFS([0]!Chavez,[0]!Centro,B728,[0]!Turno,I$719)</f>
        <v>13</v>
      </c>
      <c r="J726" s="68">
        <f>SUMIFS([0]!Chavez,[0]!Centro,B728,[0]!Turno,J$719)</f>
        <v>7</v>
      </c>
      <c r="K726" s="68">
        <f>SUMIFS([0]!Chavez,[0]!Centro,B728,[0]!Turno,K$719)</f>
        <v>8</v>
      </c>
      <c r="L726" s="68">
        <f>SUMIFS([0]!Chavez,[0]!Centro,B728,[0]!Turno,L$719)</f>
        <v>12</v>
      </c>
      <c r="M726" s="68">
        <f>SUMIFS([0]!Chavez,[0]!Centro,B728,[0]!Turno,M$719)</f>
        <v>28</v>
      </c>
      <c r="N726" s="68">
        <f>SUMIFS([0]!Chavez,[0]!Centro,B728,[0]!Turno,N$719)</f>
        <v>10</v>
      </c>
      <c r="O726" s="68">
        <f>SUMIFS([0]!Chavez,[0]!Centro,B728,[0]!Turno,O$719)</f>
        <v>0</v>
      </c>
      <c r="P726" s="68">
        <f>SUMIFS([0]!Chavez,[0]!Centro,B728,[0]!Turno,P$719)</f>
        <v>0</v>
      </c>
      <c r="Q726" s="68">
        <f>SUMIFS([0]!Chavez,[0]!Centro,B728,[0]!Turno,Q$719)</f>
        <v>0</v>
      </c>
      <c r="R726" s="68">
        <f>SUMIFS([0]!Chavez,[0]!Centro,B728,[0]!Turno,R$719)</f>
        <v>0</v>
      </c>
      <c r="S726" s="68">
        <f>SUMIFS([0]!Chavez,[0]!Centro,B728,[0]!Turno,S$719)</f>
        <v>0</v>
      </c>
      <c r="T726" s="68">
        <f>SUMIFS([0]!Chavez,[0]!Centro,B728,[0]!Turno,T$719)</f>
        <v>0</v>
      </c>
      <c r="U726" s="68">
        <f>SUMIFS([0]!Chavez,[0]!Centro,B728,[0]!Turno,U$719)</f>
        <v>0</v>
      </c>
      <c r="V726" s="68">
        <f>SUMIFS([0]!Chavez,[0]!Centro,B728,[0]!Turno,V$719)</f>
        <v>0</v>
      </c>
      <c r="W726" s="68">
        <f>SUMIFS([0]!Chavez,[0]!Centro,B728,[0]!Turno,W$719)</f>
        <v>0</v>
      </c>
      <c r="X726" s="68">
        <f>SUMIFS([0]!Chavez,[0]!Centro,B728,[0]!Turno,X$719)</f>
        <v>0</v>
      </c>
      <c r="Y726" s="69">
        <f>SUMIFS([0]!Chavez,[0]!Centro,B728,[0]!Turno,Y$719)</f>
        <v>0</v>
      </c>
    </row>
    <row r="727" spans="2:25" ht="15" customHeight="1" x14ac:dyDescent="0.2">
      <c r="B727" s="250"/>
      <c r="C727" s="92">
        <f>E727/SUM(E726:E728)</f>
        <v>0.5195729537366548</v>
      </c>
      <c r="D727" s="61" t="s">
        <v>1</v>
      </c>
      <c r="E727" s="62">
        <f t="shared" si="2107"/>
        <v>146</v>
      </c>
      <c r="F727" s="62">
        <f>SUMIFS([0]!Capriles,[0]!Centro,B728,[0]!Turno,F$719)</f>
        <v>22</v>
      </c>
      <c r="G727" s="62">
        <f>SUMIFS([0]!Capriles,[0]!Centro,B728,[0]!Turno,G$719)</f>
        <v>24</v>
      </c>
      <c r="H727" s="62">
        <f>SUMIFS([0]!Capriles,[0]!Centro,B728,[0]!Turno,H$719)</f>
        <v>18</v>
      </c>
      <c r="I727" s="62">
        <f>SUMIFS([0]!Capriles,[0]!Centro,B728,[0]!Turno,I$719)</f>
        <v>26</v>
      </c>
      <c r="J727" s="62">
        <f>SUMIFS([0]!Capriles,[0]!Centro,B728,[0]!Turno,J$719)</f>
        <v>13</v>
      </c>
      <c r="K727" s="62">
        <f>SUMIFS([0]!Capriles,[0]!Centro,B728,[0]!Turno,K$719)</f>
        <v>12</v>
      </c>
      <c r="L727" s="62">
        <f>SUMIFS([0]!Capriles,[0]!Centro,B728,[0]!Turno,L$719)</f>
        <v>8</v>
      </c>
      <c r="M727" s="62">
        <f>SUMIFS([0]!Capriles,[0]!Centro,B728,[0]!Turno,M$719)</f>
        <v>12</v>
      </c>
      <c r="N727" s="62">
        <f>SUMIFS([0]!Capriles,[0]!Centro,B728,[0]!Turno,N$719)</f>
        <v>11</v>
      </c>
      <c r="O727" s="62">
        <f>SUMIFS([0]!Capriles,[0]!Centro,B728,[0]!Turno,O$719)</f>
        <v>0</v>
      </c>
      <c r="P727" s="62">
        <f>SUMIFS([0]!Capriles,[0]!Centro,B728,[0]!Turno,P$719)</f>
        <v>0</v>
      </c>
      <c r="Q727" s="62">
        <f>SUMIFS([0]!Capriles,[0]!Centro,B728,[0]!Turno,Q$719)</f>
        <v>0</v>
      </c>
      <c r="R727" s="62">
        <f>SUMIFS([0]!Capriles,[0]!Centro,B728,[0]!Turno,R$719)</f>
        <v>0</v>
      </c>
      <c r="S727" s="62">
        <f>SUMIFS([0]!Capriles,[0]!Centro,B728,[0]!Turno,S$719)</f>
        <v>0</v>
      </c>
      <c r="T727" s="62">
        <f>SUMIFS([0]!Capriles,[0]!Centro,B728,[0]!Turno,T$719)</f>
        <v>0</v>
      </c>
      <c r="U727" s="62">
        <f>SUMIFS([0]!Capriles,[0]!Centro,B728,[0]!Turno,U$719)</f>
        <v>0</v>
      </c>
      <c r="V727" s="62">
        <f>SUMIFS([0]!Capriles,[0]!Centro,B728,[0]!Turno,V$719)</f>
        <v>0</v>
      </c>
      <c r="W727" s="62">
        <f>SUMIFS([0]!Capriles,[0]!Centro,B728,[0]!Turno,W$719)</f>
        <v>0</v>
      </c>
      <c r="X727" s="62">
        <f>SUMIFS([0]!Capriles,[0]!Centro,B728,[0]!Turno,X$719)</f>
        <v>0</v>
      </c>
      <c r="Y727" s="70">
        <f>SUMIFS([0]!Capriles,[0]!Centro,B728,[0]!Turno,Y$719)</f>
        <v>0</v>
      </c>
    </row>
    <row r="728" spans="2:25" ht="15" customHeight="1" thickBot="1" x14ac:dyDescent="0.25">
      <c r="B728" s="251">
        <v>101</v>
      </c>
      <c r="C728" s="100">
        <f>E728/SUM(E726:E728)</f>
        <v>1.4234875444839857E-2</v>
      </c>
      <c r="D728" s="71" t="s">
        <v>2</v>
      </c>
      <c r="E728" s="72">
        <f t="shared" si="2107"/>
        <v>4</v>
      </c>
      <c r="F728" s="72">
        <f>SUMIFS([0]!Otro,[0]!Centro,B728,[0]!Turno,F$719)</f>
        <v>2</v>
      </c>
      <c r="G728" s="72">
        <f>SUMIFS([0]!Otro,[0]!Centro,B728,[0]!Turno,G$719)</f>
        <v>1</v>
      </c>
      <c r="H728" s="72">
        <f>SUMIFS([0]!Otro,[0]!Centro,B728,[0]!Turno,H$719)</f>
        <v>0</v>
      </c>
      <c r="I728" s="72">
        <f>SUMIFS([0]!Otro,[0]!Centro,B728,[0]!Turno,I$719)</f>
        <v>1</v>
      </c>
      <c r="J728" s="72">
        <f>SUMIFS([0]!Otro,[0]!Centro,B728,[0]!Turno,J$719)</f>
        <v>0</v>
      </c>
      <c r="K728" s="72">
        <f>SUMIFS([0]!Otro,[0]!Centro,B728,[0]!Turno,K$719)</f>
        <v>0</v>
      </c>
      <c r="L728" s="72">
        <f>SUMIFS([0]!Otro,[0]!Centro,B728,[0]!Turno,L$719)</f>
        <v>0</v>
      </c>
      <c r="M728" s="72">
        <f>SUMIFS([0]!Otro,[0]!Centro,B728,[0]!Turno,M$719)</f>
        <v>0</v>
      </c>
      <c r="N728" s="72">
        <f>SUMIFS([0]!Otro,[0]!Centro,B728,[0]!Turno,N$719)</f>
        <v>0</v>
      </c>
      <c r="O728" s="72">
        <f>SUMIFS([0]!Otro,[0]!Centro,B728,[0]!Turno,O$719)</f>
        <v>0</v>
      </c>
      <c r="P728" s="72">
        <f>SUMIFS([0]!Otro,[0]!Centro,B728,[0]!Turno,P$719)</f>
        <v>0</v>
      </c>
      <c r="Q728" s="72">
        <f>SUMIFS([0]!Otro,[0]!Centro,B728,[0]!Turno,Q$719)</f>
        <v>0</v>
      </c>
      <c r="R728" s="72">
        <f>SUMIFS([0]!Otro,[0]!Centro,B728,[0]!Turno,R$719)</f>
        <v>0</v>
      </c>
      <c r="S728" s="72">
        <f>SUMIFS([0]!Otro,[0]!Centro,B728,[0]!Turno,S$719)</f>
        <v>0</v>
      </c>
      <c r="T728" s="72">
        <f>SUMIFS([0]!Otro,[0]!Centro,B728,[0]!Turno,T$719)</f>
        <v>0</v>
      </c>
      <c r="U728" s="72">
        <f>SUMIFS([0]!Otro,[0]!Centro,B728,[0]!Turno,U$719)</f>
        <v>0</v>
      </c>
      <c r="V728" s="72">
        <f>SUMIFS([0]!Otro,[0]!Centro,B728,[0]!Turno,V$719)</f>
        <v>0</v>
      </c>
      <c r="W728" s="72">
        <f>SUMIFS([0]!Otro,[0]!Centro,B728,[0]!Turno,W$719)</f>
        <v>0</v>
      </c>
      <c r="X728" s="72">
        <f>SUMIFS([0]!Otro,[0]!Centro,B728,[0]!Turno,X$719)</f>
        <v>0</v>
      </c>
      <c r="Y728" s="73">
        <f>SUMIFS([0]!Otro,[0]!Centro,B728,[0]!Turno,Y$719)</f>
        <v>0</v>
      </c>
    </row>
    <row r="729" spans="2:25" ht="15" customHeight="1" x14ac:dyDescent="0.2">
      <c r="B729" s="251"/>
      <c r="C729" s="94">
        <f>E729/SUM(E729:E731)</f>
        <v>0.46619217081850534</v>
      </c>
      <c r="D729" s="63" t="s">
        <v>0</v>
      </c>
      <c r="E729" s="150">
        <f>IF((E726+E727+E728)=0,0,(E726*$B730)/(E726+E727+E728))</f>
        <v>4.7672740775055199E-2</v>
      </c>
      <c r="F729" s="150">
        <f>IF((F726+F727+F728)=0,0,(F726*$B730)/(F726+F727+F728))</f>
        <v>4.0903939413100797E-2</v>
      </c>
      <c r="G729" s="150">
        <f t="shared" ref="G729:Y729" si="2113">IF((G726+G727+G728)=0,0,(G726*$B730)/(G726+G727+G728))</f>
        <v>3.8347443199781998E-2</v>
      </c>
      <c r="H729" s="150">
        <f t="shared" si="2113"/>
        <v>5.6242916693013602E-2</v>
      </c>
      <c r="I729" s="150">
        <f t="shared" si="2113"/>
        <v>3.3234450773144394E-2</v>
      </c>
      <c r="J729" s="150">
        <f t="shared" si="2113"/>
        <v>3.57909469864632E-2</v>
      </c>
      <c r="K729" s="150">
        <f t="shared" si="2113"/>
        <v>4.0903939413100797E-2</v>
      </c>
      <c r="L729" s="150">
        <f t="shared" si="2113"/>
        <v>6.1355909119651199E-2</v>
      </c>
      <c r="M729" s="150">
        <f t="shared" si="2113"/>
        <v>7.15818939729264E-2</v>
      </c>
      <c r="N729" s="150">
        <f t="shared" si="2113"/>
        <v>4.8695165967977135E-2</v>
      </c>
      <c r="O729" s="150">
        <f t="shared" si="2113"/>
        <v>0</v>
      </c>
      <c r="P729" s="150">
        <f t="shared" si="2113"/>
        <v>0</v>
      </c>
      <c r="Q729" s="150">
        <f t="shared" si="2113"/>
        <v>0</v>
      </c>
      <c r="R729" s="150">
        <f t="shared" si="2113"/>
        <v>0</v>
      </c>
      <c r="S729" s="150">
        <f t="shared" si="2113"/>
        <v>0</v>
      </c>
      <c r="T729" s="150">
        <f t="shared" si="2113"/>
        <v>0</v>
      </c>
      <c r="U729" s="150">
        <f t="shared" si="2113"/>
        <v>0</v>
      </c>
      <c r="V729" s="150">
        <f t="shared" si="2113"/>
        <v>0</v>
      </c>
      <c r="W729" s="150">
        <f t="shared" si="2113"/>
        <v>0</v>
      </c>
      <c r="X729" s="150">
        <f t="shared" si="2113"/>
        <v>0</v>
      </c>
      <c r="Y729" s="163">
        <f t="shared" si="2113"/>
        <v>0</v>
      </c>
    </row>
    <row r="730" spans="2:25" ht="15" customHeight="1" x14ac:dyDescent="0.2">
      <c r="B730" s="252">
        <v>0.102259848532752</v>
      </c>
      <c r="C730" s="92">
        <f>E730/SUM(E729:E731)</f>
        <v>0.5195729537366548</v>
      </c>
      <c r="D730" s="61" t="s">
        <v>1</v>
      </c>
      <c r="E730" s="154">
        <f>IF((E726+E727+E728)=0,0,(E727*$B730)/(E726+E727+E728))</f>
        <v>5.3131451550824882E-2</v>
      </c>
      <c r="F730" s="154">
        <f>IF((F726+F727+F728)=0,0,(F727*$B730)/(F726+F727+F728))</f>
        <v>5.6242916693013602E-2</v>
      </c>
      <c r="G730" s="154">
        <f t="shared" ref="G730:O730" si="2114">IF((G726+G727+G728)=0,0,(G727*$B730)/(G726+G727+G728))</f>
        <v>6.1355909119651199E-2</v>
      </c>
      <c r="H730" s="154">
        <f t="shared" si="2114"/>
        <v>4.6016931839738394E-2</v>
      </c>
      <c r="I730" s="154">
        <f t="shared" si="2114"/>
        <v>6.6468901546288789E-2</v>
      </c>
      <c r="J730" s="154">
        <f t="shared" si="2114"/>
        <v>6.6468901546288789E-2</v>
      </c>
      <c r="K730" s="154">
        <f t="shared" si="2114"/>
        <v>6.1355909119651199E-2</v>
      </c>
      <c r="L730" s="154">
        <f t="shared" si="2114"/>
        <v>4.0903939413100797E-2</v>
      </c>
      <c r="M730" s="154">
        <f t="shared" si="2114"/>
        <v>3.0677954559825599E-2</v>
      </c>
      <c r="N730" s="154">
        <f t="shared" si="2114"/>
        <v>5.3564682564774854E-2</v>
      </c>
      <c r="O730" s="154">
        <f t="shared" si="2114"/>
        <v>0</v>
      </c>
      <c r="P730" s="154">
        <f>IF((P726+P727+P728)=0,0,(P727*$B730)/(P726+P727+P728))</f>
        <v>0</v>
      </c>
      <c r="Q730" s="154">
        <f t="shared" ref="Q730:Y730" si="2115">IF((Q726+Q727+Q728)=0,0,(Q727*$B730)/(Q726+Q727+Q728))</f>
        <v>0</v>
      </c>
      <c r="R730" s="154">
        <f t="shared" si="2115"/>
        <v>0</v>
      </c>
      <c r="S730" s="154">
        <f t="shared" si="2115"/>
        <v>0</v>
      </c>
      <c r="T730" s="154">
        <f t="shared" si="2115"/>
        <v>0</v>
      </c>
      <c r="U730" s="154">
        <f t="shared" si="2115"/>
        <v>0</v>
      </c>
      <c r="V730" s="154">
        <f t="shared" si="2115"/>
        <v>0</v>
      </c>
      <c r="W730" s="154">
        <f t="shared" si="2115"/>
        <v>0</v>
      </c>
      <c r="X730" s="154">
        <f t="shared" si="2115"/>
        <v>0</v>
      </c>
      <c r="Y730" s="159">
        <f t="shared" si="2115"/>
        <v>0</v>
      </c>
    </row>
    <row r="731" spans="2:25" ht="15" customHeight="1" thickBot="1" x14ac:dyDescent="0.25">
      <c r="B731" s="253"/>
      <c r="C731" s="93">
        <f>E731/SUM(E729:E731)</f>
        <v>1.4234875444839859E-2</v>
      </c>
      <c r="D731" s="75" t="s">
        <v>2</v>
      </c>
      <c r="E731" s="155">
        <f>IF((E726+E727+E728)=0,0,(E728*$B730)/(E726+E727+E728))</f>
        <v>1.4556562068719146E-3</v>
      </c>
      <c r="F731" s="155">
        <f>IF((F726+F727+F728)=0,0,(F728*$B730)/(F726+F727+F728))</f>
        <v>5.1129924266375996E-3</v>
      </c>
      <c r="G731" s="155">
        <f t="shared" ref="G731:Y731" si="2116">IF((G726+G727+G728)=0,0,(G728*$B730)/(G726+G727+G728))</f>
        <v>2.5564962133187998E-3</v>
      </c>
      <c r="H731" s="155">
        <f t="shared" si="2116"/>
        <v>0</v>
      </c>
      <c r="I731" s="155">
        <f t="shared" si="2116"/>
        <v>2.5564962133187998E-3</v>
      </c>
      <c r="J731" s="155">
        <f t="shared" si="2116"/>
        <v>0</v>
      </c>
      <c r="K731" s="155">
        <f t="shared" si="2116"/>
        <v>0</v>
      </c>
      <c r="L731" s="155">
        <f t="shared" si="2116"/>
        <v>0</v>
      </c>
      <c r="M731" s="155">
        <f t="shared" si="2116"/>
        <v>0</v>
      </c>
      <c r="N731" s="155">
        <f t="shared" si="2116"/>
        <v>0</v>
      </c>
      <c r="O731" s="155">
        <f t="shared" si="2116"/>
        <v>0</v>
      </c>
      <c r="P731" s="155">
        <f t="shared" si="2116"/>
        <v>0</v>
      </c>
      <c r="Q731" s="155">
        <f t="shared" si="2116"/>
        <v>0</v>
      </c>
      <c r="R731" s="155">
        <f t="shared" si="2116"/>
        <v>0</v>
      </c>
      <c r="S731" s="155">
        <f t="shared" si="2116"/>
        <v>0</v>
      </c>
      <c r="T731" s="155">
        <f t="shared" si="2116"/>
        <v>0</v>
      </c>
      <c r="U731" s="155">
        <f t="shared" si="2116"/>
        <v>0</v>
      </c>
      <c r="V731" s="155">
        <f t="shared" si="2116"/>
        <v>0</v>
      </c>
      <c r="W731" s="155">
        <f t="shared" si="2116"/>
        <v>0</v>
      </c>
      <c r="X731" s="155">
        <f t="shared" si="2116"/>
        <v>0</v>
      </c>
      <c r="Y731" s="160">
        <f t="shared" si="2116"/>
        <v>0</v>
      </c>
    </row>
    <row r="732" spans="2:25" ht="15" customHeight="1" x14ac:dyDescent="0.2">
      <c r="B732" s="249" t="s">
        <v>126</v>
      </c>
      <c r="C732" s="91">
        <f>E732/SUM(E732:E734)</f>
        <v>0.38655462184873951</v>
      </c>
      <c r="D732" s="67" t="s">
        <v>0</v>
      </c>
      <c r="E732" s="68">
        <f t="shared" si="2107"/>
        <v>184</v>
      </c>
      <c r="F732" s="68">
        <f>SUMIFS([0]!Chavez,[0]!Centro,B734,[0]!Turno,F$719)</f>
        <v>36</v>
      </c>
      <c r="G732" s="68">
        <f>SUMIFS([0]!Chavez,[0]!Centro,B734,[0]!Turno,G$719)</f>
        <v>5</v>
      </c>
      <c r="H732" s="68">
        <f>SUMIFS([0]!Chavez,[0]!Centro,B734,[0]!Turno,H$719)</f>
        <v>16</v>
      </c>
      <c r="I732" s="68">
        <f>SUMIFS([0]!Chavez,[0]!Centro,B734,[0]!Turno,I$719)</f>
        <v>10</v>
      </c>
      <c r="J732" s="68">
        <f>SUMIFS([0]!Chavez,[0]!Centro,B734,[0]!Turno,J$719)</f>
        <v>22</v>
      </c>
      <c r="K732" s="68">
        <f>SUMIFS([0]!Chavez,[0]!Centro,B734,[0]!Turno,K$719)</f>
        <v>16</v>
      </c>
      <c r="L732" s="68">
        <f>SUMIFS([0]!Chavez,[0]!Centro,B734,[0]!Turno,L$719)</f>
        <v>10</v>
      </c>
      <c r="M732" s="68">
        <f>SUMIFS([0]!Chavez,[0]!Centro,B734,[0]!Turno,M$719)</f>
        <v>27</v>
      </c>
      <c r="N732" s="68">
        <f>SUMIFS([0]!Chavez,[0]!Centro,B734,[0]!Turno,N$719)</f>
        <v>34</v>
      </c>
      <c r="O732" s="68">
        <f>SUMIFS([0]!Chavez,[0]!Centro,B734,[0]!Turno,O$719)</f>
        <v>0</v>
      </c>
      <c r="P732" s="68">
        <f>SUMIFS([0]!Chavez,[0]!Centro,B734,[0]!Turno,P$719)</f>
        <v>0</v>
      </c>
      <c r="Q732" s="68">
        <f>SUMIFS([0]!Chavez,[0]!Centro,B734,[0]!Turno,Q$719)</f>
        <v>8</v>
      </c>
      <c r="R732" s="68">
        <f>SUMIFS([0]!Chavez,[0]!Centro,B734,[0]!Turno,R$719)</f>
        <v>0</v>
      </c>
      <c r="S732" s="68">
        <f>SUMIFS([0]!Chavez,[0]!Centro,B734,[0]!Turno,S$719)</f>
        <v>0</v>
      </c>
      <c r="T732" s="68">
        <f>SUMIFS([0]!Chavez,[0]!Centro,B734,[0]!Turno,T$719)</f>
        <v>0</v>
      </c>
      <c r="U732" s="68">
        <f>SUMIFS([0]!Chavez,[0]!Centro,B734,[0]!Turno,U$719)</f>
        <v>0</v>
      </c>
      <c r="V732" s="68">
        <f>SUMIFS([0]!Chavez,[0]!Centro,B734,[0]!Turno,V$719)</f>
        <v>0</v>
      </c>
      <c r="W732" s="68">
        <f>SUMIFS([0]!Chavez,[0]!Centro,B734,[0]!Turno,W$719)</f>
        <v>0</v>
      </c>
      <c r="X732" s="68">
        <f>SUMIFS([0]!Chavez,[0]!Centro,B734,[0]!Turno,X$719)</f>
        <v>0</v>
      </c>
      <c r="Y732" s="69">
        <f>SUMIFS([0]!Chavez,[0]!Centro,B734,[0]!Turno,Y$719)</f>
        <v>0</v>
      </c>
    </row>
    <row r="733" spans="2:25" ht="15" customHeight="1" x14ac:dyDescent="0.2">
      <c r="B733" s="250"/>
      <c r="C733" s="92">
        <f>E733/SUM(E732:E734)</f>
        <v>0.6071428571428571</v>
      </c>
      <c r="D733" s="61" t="s">
        <v>1</v>
      </c>
      <c r="E733" s="62">
        <f t="shared" si="2107"/>
        <v>289</v>
      </c>
      <c r="F733" s="62">
        <f>SUMIFS([0]!Capriles,[0]!Centro,B734,[0]!Turno,F$719)</f>
        <v>50</v>
      </c>
      <c r="G733" s="62">
        <f>SUMIFS([0]!Capriles,[0]!Centro,B734,[0]!Turno,G$719)</f>
        <v>15</v>
      </c>
      <c r="H733" s="62">
        <f>SUMIFS([0]!Capriles,[0]!Centro,B734,[0]!Turno,H$719)</f>
        <v>31</v>
      </c>
      <c r="I733" s="62">
        <f>SUMIFS([0]!Capriles,[0]!Centro,B734,[0]!Turno,I$719)</f>
        <v>30</v>
      </c>
      <c r="J733" s="62">
        <f>SUMIFS([0]!Capriles,[0]!Centro,B734,[0]!Turno,J$719)</f>
        <v>29</v>
      </c>
      <c r="K733" s="62">
        <f>SUMIFS([0]!Capriles,[0]!Centro,B734,[0]!Turno,K$719)</f>
        <v>40</v>
      </c>
      <c r="L733" s="62">
        <f>SUMIFS([0]!Capriles,[0]!Centro,B734,[0]!Turno,L$719)</f>
        <v>15</v>
      </c>
      <c r="M733" s="62">
        <f>SUMIFS([0]!Capriles,[0]!Centro,B734,[0]!Turno,M$719)</f>
        <v>47</v>
      </c>
      <c r="N733" s="62">
        <f>SUMIFS([0]!Capriles,[0]!Centro,B734,[0]!Turno,N$719)</f>
        <v>20</v>
      </c>
      <c r="O733" s="62">
        <f>SUMIFS([0]!Capriles,[0]!Centro,B734,[0]!Turno,O$719)</f>
        <v>0</v>
      </c>
      <c r="P733" s="62">
        <f>SUMIFS([0]!Capriles,[0]!Centro,B734,[0]!Turno,P$719)</f>
        <v>0</v>
      </c>
      <c r="Q733" s="62">
        <f>SUMIFS([0]!Capriles,[0]!Centro,B734,[0]!Turno,Q$719)</f>
        <v>12</v>
      </c>
      <c r="R733" s="62">
        <f>SUMIFS([0]!Capriles,[0]!Centro,B734,[0]!Turno,R$719)</f>
        <v>0</v>
      </c>
      <c r="S733" s="62">
        <f>SUMIFS([0]!Capriles,[0]!Centro,B734,[0]!Turno,S$719)</f>
        <v>0</v>
      </c>
      <c r="T733" s="62">
        <f>SUMIFS([0]!Capriles,[0]!Centro,B734,[0]!Turno,T$719)</f>
        <v>0</v>
      </c>
      <c r="U733" s="62">
        <f>SUMIFS([0]!Capriles,[0]!Centro,B734,[0]!Turno,U$719)</f>
        <v>0</v>
      </c>
      <c r="V733" s="62">
        <f>SUMIFS([0]!Capriles,[0]!Centro,B734,[0]!Turno,V$719)</f>
        <v>0</v>
      </c>
      <c r="W733" s="62">
        <f>SUMIFS([0]!Capriles,[0]!Centro,B734,[0]!Turno,W$719)</f>
        <v>0</v>
      </c>
      <c r="X733" s="62">
        <f>SUMIFS([0]!Capriles,[0]!Centro,B734,[0]!Turno,X$719)</f>
        <v>0</v>
      </c>
      <c r="Y733" s="70">
        <f>SUMIFS([0]!Capriles,[0]!Centro,B734,[0]!Turno,Y$719)</f>
        <v>0</v>
      </c>
    </row>
    <row r="734" spans="2:25" ht="15" customHeight="1" thickBot="1" x14ac:dyDescent="0.25">
      <c r="B734" s="251">
        <v>102</v>
      </c>
      <c r="C734" s="100">
        <f>E734/SUM(E732:E734)</f>
        <v>6.3025210084033615E-3</v>
      </c>
      <c r="D734" s="71" t="s">
        <v>2</v>
      </c>
      <c r="E734" s="72">
        <f t="shared" si="2107"/>
        <v>3</v>
      </c>
      <c r="F734" s="72">
        <f>SUMIFS([0]!Otro,[0]!Centro,B734,[0]!Turno,F$719)</f>
        <v>0</v>
      </c>
      <c r="G734" s="72">
        <f>SUMIFS([0]!Otro,[0]!Centro,B734,[0]!Turno,G$719)</f>
        <v>0</v>
      </c>
      <c r="H734" s="72">
        <f>SUMIFS([0]!Otro,[0]!Centro,B734,[0]!Turno,H$719)</f>
        <v>0</v>
      </c>
      <c r="I734" s="72">
        <f>SUMIFS([0]!Otro,[0]!Centro,B734,[0]!Turno,I$719)</f>
        <v>0</v>
      </c>
      <c r="J734" s="72">
        <f>SUMIFS([0]!Otro,[0]!Centro,B734,[0]!Turno,J$719)</f>
        <v>1</v>
      </c>
      <c r="K734" s="72">
        <f>SUMIFS([0]!Otro,[0]!Centro,B734,[0]!Turno,K$719)</f>
        <v>2</v>
      </c>
      <c r="L734" s="72">
        <f>SUMIFS([0]!Otro,[0]!Centro,B734,[0]!Turno,L$719)</f>
        <v>0</v>
      </c>
      <c r="M734" s="72">
        <f>SUMIFS([0]!Otro,[0]!Centro,B734,[0]!Turno,M$719)</f>
        <v>0</v>
      </c>
      <c r="N734" s="72">
        <f>SUMIFS([0]!Otro,[0]!Centro,B734,[0]!Turno,N$719)</f>
        <v>0</v>
      </c>
      <c r="O734" s="72">
        <f>SUMIFS([0]!Otro,[0]!Centro,B734,[0]!Turno,O$719)</f>
        <v>0</v>
      </c>
      <c r="P734" s="72">
        <f>SUMIFS([0]!Otro,[0]!Centro,B734,[0]!Turno,P$719)</f>
        <v>0</v>
      </c>
      <c r="Q734" s="72">
        <f>SUMIFS([0]!Otro,[0]!Centro,B734,[0]!Turno,Q$719)</f>
        <v>0</v>
      </c>
      <c r="R734" s="72">
        <f>SUMIFS([0]!Otro,[0]!Centro,B734,[0]!Turno,R$719)</f>
        <v>0</v>
      </c>
      <c r="S734" s="72">
        <f>SUMIFS([0]!Otro,[0]!Centro,B734,[0]!Turno,S$719)</f>
        <v>0</v>
      </c>
      <c r="T734" s="72">
        <f>SUMIFS([0]!Otro,[0]!Centro,B734,[0]!Turno,T$719)</f>
        <v>0</v>
      </c>
      <c r="U734" s="72">
        <f>SUMIFS([0]!Otro,[0]!Centro,B734,[0]!Turno,U$719)</f>
        <v>0</v>
      </c>
      <c r="V734" s="72">
        <f>SUMIFS([0]!Otro,[0]!Centro,B734,[0]!Turno,V$719)</f>
        <v>0</v>
      </c>
      <c r="W734" s="72">
        <f>SUMIFS([0]!Otro,[0]!Centro,B734,[0]!Turno,W$719)</f>
        <v>0</v>
      </c>
      <c r="X734" s="72">
        <f>SUMIFS([0]!Otro,[0]!Centro,B734,[0]!Turno,X$719)</f>
        <v>0</v>
      </c>
      <c r="Y734" s="73">
        <f>SUMIFS([0]!Otro,[0]!Centro,B734,[0]!Turno,Y$719)</f>
        <v>0</v>
      </c>
    </row>
    <row r="735" spans="2:25" ht="15" customHeight="1" x14ac:dyDescent="0.2">
      <c r="B735" s="251"/>
      <c r="C735" s="94">
        <f>E735/SUM(E735:E737)</f>
        <v>0.38655462184873951</v>
      </c>
      <c r="D735" s="63" t="s">
        <v>0</v>
      </c>
      <c r="E735" s="150">
        <f>IF((E732+E733+E734)=0,0,(E732*$B736)/(E732+E733+E734))</f>
        <v>0.31737907698769652</v>
      </c>
      <c r="F735" s="150">
        <f>IF((F732+F733+F734)=0,0,(F732*$B736)/(F732+F733+F734))</f>
        <v>0.34369362128799086</v>
      </c>
      <c r="G735" s="150">
        <f t="shared" ref="G735:Y735" si="2117">IF((G732+G733+G734)=0,0,(G732*$B736)/(G732+G733+G734))</f>
        <v>0.20526146826921679</v>
      </c>
      <c r="H735" s="150">
        <f t="shared" si="2117"/>
        <v>0.27950497806872071</v>
      </c>
      <c r="I735" s="150">
        <f t="shared" si="2117"/>
        <v>0.20526146826921679</v>
      </c>
      <c r="J735" s="150">
        <f t="shared" si="2117"/>
        <v>0.34736556168636679</v>
      </c>
      <c r="K735" s="150">
        <f t="shared" si="2117"/>
        <v>0.22649541326258402</v>
      </c>
      <c r="L735" s="150">
        <f t="shared" si="2117"/>
        <v>0.32841834923074686</v>
      </c>
      <c r="M735" s="150">
        <f t="shared" si="2117"/>
        <v>0.29957079152804605</v>
      </c>
      <c r="N735" s="150">
        <f t="shared" si="2117"/>
        <v>0.51695480897432367</v>
      </c>
      <c r="O735" s="150">
        <f t="shared" si="2117"/>
        <v>0</v>
      </c>
      <c r="P735" s="150">
        <f t="shared" si="2117"/>
        <v>0</v>
      </c>
      <c r="Q735" s="150">
        <f t="shared" si="2117"/>
        <v>0.32841834923074681</v>
      </c>
      <c r="R735" s="150">
        <f t="shared" si="2117"/>
        <v>0</v>
      </c>
      <c r="S735" s="150">
        <f t="shared" si="2117"/>
        <v>0</v>
      </c>
      <c r="T735" s="150">
        <f t="shared" si="2117"/>
        <v>0</v>
      </c>
      <c r="U735" s="150">
        <f t="shared" si="2117"/>
        <v>0</v>
      </c>
      <c r="V735" s="150">
        <f t="shared" si="2117"/>
        <v>0</v>
      </c>
      <c r="W735" s="150">
        <f t="shared" si="2117"/>
        <v>0</v>
      </c>
      <c r="X735" s="150">
        <f t="shared" si="2117"/>
        <v>0</v>
      </c>
      <c r="Y735" s="163">
        <f t="shared" si="2117"/>
        <v>0</v>
      </c>
    </row>
    <row r="736" spans="2:25" ht="15" customHeight="1" x14ac:dyDescent="0.2">
      <c r="B736" s="252">
        <v>0.82104587307686705</v>
      </c>
      <c r="C736" s="92">
        <f>E736/SUM(E735:E737)</f>
        <v>0.60714285714285721</v>
      </c>
      <c r="D736" s="61" t="s">
        <v>1</v>
      </c>
      <c r="E736" s="154">
        <f>IF((E732+E733+E734)=0,0,(E733*$B736)/(E732+E733+E734))</f>
        <v>0.49849213722524072</v>
      </c>
      <c r="F736" s="154">
        <f>IF((F732+F733+F734)=0,0,(F733*$B736)/(F732+F733+F734))</f>
        <v>0.47735225178887614</v>
      </c>
      <c r="G736" s="154">
        <f t="shared" ref="G736:O736" si="2118">IF((G732+G733+G734)=0,0,(G733*$B736)/(G732+G733+G734))</f>
        <v>0.61578440480765029</v>
      </c>
      <c r="H736" s="154">
        <f t="shared" si="2118"/>
        <v>0.54154089500814639</v>
      </c>
      <c r="I736" s="154">
        <f t="shared" si="2118"/>
        <v>0.61578440480765029</v>
      </c>
      <c r="J736" s="154">
        <f t="shared" si="2118"/>
        <v>0.45789096767748355</v>
      </c>
      <c r="K736" s="154">
        <f t="shared" si="2118"/>
        <v>0.56623853315646011</v>
      </c>
      <c r="L736" s="154">
        <f t="shared" si="2118"/>
        <v>0.49262752384612019</v>
      </c>
      <c r="M736" s="154">
        <f t="shared" si="2118"/>
        <v>0.52147508154882094</v>
      </c>
      <c r="N736" s="154">
        <f t="shared" si="2118"/>
        <v>0.30409106410254338</v>
      </c>
      <c r="O736" s="154">
        <f t="shared" si="2118"/>
        <v>0</v>
      </c>
      <c r="P736" s="154">
        <f>IF((P732+P733+P734)=0,0,(P733*$B736)/(P732+P733+P734))</f>
        <v>0</v>
      </c>
      <c r="Q736" s="154">
        <f t="shared" ref="Q736:Y736" si="2119">IF((Q732+Q733+Q734)=0,0,(Q733*$B736)/(Q732+Q733+Q734))</f>
        <v>0.49262752384612024</v>
      </c>
      <c r="R736" s="154">
        <f t="shared" si="2119"/>
        <v>0</v>
      </c>
      <c r="S736" s="154">
        <f t="shared" si="2119"/>
        <v>0</v>
      </c>
      <c r="T736" s="154">
        <f t="shared" si="2119"/>
        <v>0</v>
      </c>
      <c r="U736" s="154">
        <f t="shared" si="2119"/>
        <v>0</v>
      </c>
      <c r="V736" s="154">
        <f t="shared" si="2119"/>
        <v>0</v>
      </c>
      <c r="W736" s="154">
        <f t="shared" si="2119"/>
        <v>0</v>
      </c>
      <c r="X736" s="154">
        <f t="shared" si="2119"/>
        <v>0</v>
      </c>
      <c r="Y736" s="159">
        <f t="shared" si="2119"/>
        <v>0</v>
      </c>
    </row>
    <row r="737" spans="2:25" ht="15" customHeight="1" thickBot="1" x14ac:dyDescent="0.25">
      <c r="B737" s="253"/>
      <c r="C737" s="93">
        <f>E737/SUM(E735:E737)</f>
        <v>6.3025210084033615E-3</v>
      </c>
      <c r="D737" s="75" t="s">
        <v>2</v>
      </c>
      <c r="E737" s="155">
        <f>IF((E732+E733+E734)=0,0,(E734*$B736)/(E732+E733+E734))</f>
        <v>5.1746588639298343E-3</v>
      </c>
      <c r="F737" s="155">
        <f>IF((F732+F733+F734)=0,0,(F734*$B736)/(F732+F733+F734))</f>
        <v>0</v>
      </c>
      <c r="G737" s="155">
        <f t="shared" ref="G737:Y737" si="2120">IF((G732+G733+G734)=0,0,(G734*$B736)/(G732+G733+G734))</f>
        <v>0</v>
      </c>
      <c r="H737" s="155">
        <f t="shared" si="2120"/>
        <v>0</v>
      </c>
      <c r="I737" s="155">
        <f t="shared" si="2120"/>
        <v>0</v>
      </c>
      <c r="J737" s="155">
        <f t="shared" si="2120"/>
        <v>1.5789343713016674E-2</v>
      </c>
      <c r="K737" s="155">
        <f t="shared" si="2120"/>
        <v>2.8311926657823002E-2</v>
      </c>
      <c r="L737" s="155">
        <f t="shared" si="2120"/>
        <v>0</v>
      </c>
      <c r="M737" s="155">
        <f t="shared" si="2120"/>
        <v>0</v>
      </c>
      <c r="N737" s="155">
        <f t="shared" si="2120"/>
        <v>0</v>
      </c>
      <c r="O737" s="155">
        <f t="shared" si="2120"/>
        <v>0</v>
      </c>
      <c r="P737" s="155">
        <f t="shared" si="2120"/>
        <v>0</v>
      </c>
      <c r="Q737" s="155">
        <f t="shared" si="2120"/>
        <v>0</v>
      </c>
      <c r="R737" s="155">
        <f t="shared" si="2120"/>
        <v>0</v>
      </c>
      <c r="S737" s="155">
        <f t="shared" si="2120"/>
        <v>0</v>
      </c>
      <c r="T737" s="155">
        <f t="shared" si="2120"/>
        <v>0</v>
      </c>
      <c r="U737" s="155">
        <f t="shared" si="2120"/>
        <v>0</v>
      </c>
      <c r="V737" s="155">
        <f t="shared" si="2120"/>
        <v>0</v>
      </c>
      <c r="W737" s="155">
        <f t="shared" si="2120"/>
        <v>0</v>
      </c>
      <c r="X737" s="155">
        <f t="shared" si="2120"/>
        <v>0</v>
      </c>
      <c r="Y737" s="160">
        <f t="shared" si="2120"/>
        <v>0</v>
      </c>
    </row>
    <row r="738" spans="2:25" ht="15" customHeight="1" x14ac:dyDescent="0.2">
      <c r="B738" s="249" t="s">
        <v>64</v>
      </c>
      <c r="C738" s="91">
        <f>E738/SUM(E738:E740)</f>
        <v>0.550561797752809</v>
      </c>
      <c r="D738" s="67" t="s">
        <v>0</v>
      </c>
      <c r="E738" s="68">
        <f t="shared" si="2107"/>
        <v>196</v>
      </c>
      <c r="F738" s="68">
        <f>SUMIFS([0]!Chavez,[0]!Centro,B740,[0]!Turno,F$719)</f>
        <v>13</v>
      </c>
      <c r="G738" s="68">
        <f>SUMIFS([0]!Chavez,[0]!Centro,B740,[0]!Turno,G$719)</f>
        <v>7</v>
      </c>
      <c r="H738" s="68">
        <f>SUMIFS([0]!Chavez,[0]!Centro,B740,[0]!Turno,H$719)</f>
        <v>16</v>
      </c>
      <c r="I738" s="68">
        <f>SUMIFS([0]!Chavez,[0]!Centro,B740,[0]!Turno,I$719)</f>
        <v>17</v>
      </c>
      <c r="J738" s="68">
        <f>SUMIFS([0]!Chavez,[0]!Centro,B740,[0]!Turno,J$719)</f>
        <v>26</v>
      </c>
      <c r="K738" s="68">
        <f>SUMIFS([0]!Chavez,[0]!Centro,B740,[0]!Turno,K$719)</f>
        <v>16</v>
      </c>
      <c r="L738" s="68">
        <f>SUMIFS([0]!Chavez,[0]!Centro,B740,[0]!Turno,L$719)</f>
        <v>33</v>
      </c>
      <c r="M738" s="68">
        <f>SUMIFS([0]!Chavez,[0]!Centro,B740,[0]!Turno,M$719)</f>
        <v>28</v>
      </c>
      <c r="N738" s="68">
        <f>SUMIFS([0]!Chavez,[0]!Centro,B740,[0]!Turno,N$719)</f>
        <v>12</v>
      </c>
      <c r="O738" s="68">
        <f>SUMIFS([0]!Chavez,[0]!Centro,B740,[0]!Turno,O$719)</f>
        <v>0</v>
      </c>
      <c r="P738" s="68">
        <f>SUMIFS([0]!Chavez,[0]!Centro,B740,[0]!Turno,P$719)</f>
        <v>0</v>
      </c>
      <c r="Q738" s="68">
        <f>SUMIFS([0]!Chavez,[0]!Centro,B740,[0]!Turno,Q$719)</f>
        <v>28</v>
      </c>
      <c r="R738" s="68">
        <f>SUMIFS([0]!Chavez,[0]!Centro,B740,[0]!Turno,R$719)</f>
        <v>0</v>
      </c>
      <c r="S738" s="68">
        <f>SUMIFS([0]!Chavez,[0]!Centro,B740,[0]!Turno,S$719)</f>
        <v>0</v>
      </c>
      <c r="T738" s="68">
        <f>SUMIFS([0]!Chavez,[0]!Centro,B740,[0]!Turno,T$719)</f>
        <v>0</v>
      </c>
      <c r="U738" s="68">
        <f>SUMIFS([0]!Chavez,[0]!Centro,B740,[0]!Turno,U$719)</f>
        <v>0</v>
      </c>
      <c r="V738" s="68">
        <f>SUMIFS([0]!Chavez,[0]!Centro,B740,[0]!Turno,V$719)</f>
        <v>0</v>
      </c>
      <c r="W738" s="68">
        <f>SUMIFS([0]!Chavez,[0]!Centro,B740,[0]!Turno,W$719)</f>
        <v>0</v>
      </c>
      <c r="X738" s="68">
        <f>SUMIFS([0]!Chavez,[0]!Centro,B740,[0]!Turno,X$719)</f>
        <v>0</v>
      </c>
      <c r="Y738" s="69">
        <f>SUMIFS([0]!Chavez,[0]!Centro,B740,[0]!Turno,Y$719)</f>
        <v>0</v>
      </c>
    </row>
    <row r="739" spans="2:25" ht="15" customHeight="1" x14ac:dyDescent="0.2">
      <c r="B739" s="250"/>
      <c r="C739" s="92">
        <f>E739/SUM(E738:E740)</f>
        <v>0.44662921348314605</v>
      </c>
      <c r="D739" s="61" t="s">
        <v>1</v>
      </c>
      <c r="E739" s="62">
        <f t="shared" si="2107"/>
        <v>159</v>
      </c>
      <c r="F739" s="62">
        <f>SUMIFS([0]!Capriles,[0]!Centro,B740,[0]!Turno,F$719)</f>
        <v>24</v>
      </c>
      <c r="G739" s="62">
        <f>SUMIFS([0]!Capriles,[0]!Centro,B740,[0]!Turno,G$719)</f>
        <v>9</v>
      </c>
      <c r="H739" s="62">
        <f>SUMIFS([0]!Capriles,[0]!Centro,B740,[0]!Turno,H$719)</f>
        <v>13</v>
      </c>
      <c r="I739" s="62">
        <f>SUMIFS([0]!Capriles,[0]!Centro,B740,[0]!Turno,I$719)</f>
        <v>24</v>
      </c>
      <c r="J739" s="62">
        <f>SUMIFS([0]!Capriles,[0]!Centro,B740,[0]!Turno,J$719)</f>
        <v>14</v>
      </c>
      <c r="K739" s="62">
        <f>SUMIFS([0]!Capriles,[0]!Centro,B740,[0]!Turno,K$719)</f>
        <v>24</v>
      </c>
      <c r="L739" s="62">
        <f>SUMIFS([0]!Capriles,[0]!Centro,B740,[0]!Turno,L$719)</f>
        <v>7</v>
      </c>
      <c r="M739" s="62">
        <f>SUMIFS([0]!Capriles,[0]!Centro,B740,[0]!Turno,M$719)</f>
        <v>24</v>
      </c>
      <c r="N739" s="62">
        <f>SUMIFS([0]!Capriles,[0]!Centro,B740,[0]!Turno,N$719)</f>
        <v>8</v>
      </c>
      <c r="O739" s="62">
        <f>SUMIFS([0]!Capriles,[0]!Centro,B740,[0]!Turno,O$719)</f>
        <v>0</v>
      </c>
      <c r="P739" s="62">
        <f>SUMIFS([0]!Capriles,[0]!Centro,B740,[0]!Turno,P$719)</f>
        <v>0</v>
      </c>
      <c r="Q739" s="62">
        <f>SUMIFS([0]!Capriles,[0]!Centro,B740,[0]!Turno,Q$719)</f>
        <v>12</v>
      </c>
      <c r="R739" s="62">
        <f>SUMIFS([0]!Capriles,[0]!Centro,B740,[0]!Turno,R$719)</f>
        <v>0</v>
      </c>
      <c r="S739" s="62">
        <f>SUMIFS([0]!Capriles,[0]!Centro,B740,[0]!Turno,S$719)</f>
        <v>0</v>
      </c>
      <c r="T739" s="62">
        <f>SUMIFS([0]!Capriles,[0]!Centro,B740,[0]!Turno,T$719)</f>
        <v>0</v>
      </c>
      <c r="U739" s="62">
        <f>SUMIFS([0]!Capriles,[0]!Centro,B740,[0]!Turno,U$719)</f>
        <v>0</v>
      </c>
      <c r="V739" s="62">
        <f>SUMIFS([0]!Capriles,[0]!Centro,B740,[0]!Turno,V$719)</f>
        <v>0</v>
      </c>
      <c r="W739" s="62">
        <f>SUMIFS([0]!Capriles,[0]!Centro,B740,[0]!Turno,W$719)</f>
        <v>0</v>
      </c>
      <c r="X739" s="62">
        <f>SUMIFS([0]!Capriles,[0]!Centro,B740,[0]!Turno,X$719)</f>
        <v>0</v>
      </c>
      <c r="Y739" s="70">
        <f>SUMIFS([0]!Capriles,[0]!Centro,B740,[0]!Turno,Y$719)</f>
        <v>0</v>
      </c>
    </row>
    <row r="740" spans="2:25" ht="15" customHeight="1" thickBot="1" x14ac:dyDescent="0.25">
      <c r="B740" s="251">
        <v>103</v>
      </c>
      <c r="C740" s="100">
        <f>E740/SUM(E738:E740)</f>
        <v>2.8089887640449437E-3</v>
      </c>
      <c r="D740" s="71" t="s">
        <v>2</v>
      </c>
      <c r="E740" s="72">
        <f t="shared" si="2107"/>
        <v>1</v>
      </c>
      <c r="F740" s="72">
        <f>SUMIFS([0]!Otro,[0]!Centro,B740,[0]!Turno,F$719)</f>
        <v>0</v>
      </c>
      <c r="G740" s="72">
        <f>SUMIFS([0]!Otro,[0]!Centro,B740,[0]!Turno,G$719)</f>
        <v>0</v>
      </c>
      <c r="H740" s="72">
        <f>SUMIFS([0]!Otro,[0]!Centro,B740,[0]!Turno,H$719)</f>
        <v>0</v>
      </c>
      <c r="I740" s="72">
        <f>SUMIFS([0]!Otro,[0]!Centro,B740,[0]!Turno,I$719)</f>
        <v>0</v>
      </c>
      <c r="J740" s="72">
        <f>SUMIFS([0]!Otro,[0]!Centro,B740,[0]!Turno,J$719)</f>
        <v>1</v>
      </c>
      <c r="K740" s="72">
        <f>SUMIFS([0]!Otro,[0]!Centro,B740,[0]!Turno,K$719)</f>
        <v>0</v>
      </c>
      <c r="L740" s="72">
        <f>SUMIFS([0]!Otro,[0]!Centro,B740,[0]!Turno,L$719)</f>
        <v>0</v>
      </c>
      <c r="M740" s="72">
        <f>SUMIFS([0]!Otro,[0]!Centro,B740,[0]!Turno,M$719)</f>
        <v>0</v>
      </c>
      <c r="N740" s="72">
        <f>SUMIFS([0]!Otro,[0]!Centro,B740,[0]!Turno,N$719)</f>
        <v>0</v>
      </c>
      <c r="O740" s="72">
        <f>SUMIFS([0]!Otro,[0]!Centro,B740,[0]!Turno,O$719)</f>
        <v>0</v>
      </c>
      <c r="P740" s="72">
        <f>SUMIFS([0]!Otro,[0]!Centro,B740,[0]!Turno,P$719)</f>
        <v>0</v>
      </c>
      <c r="Q740" s="72">
        <f>SUMIFS([0]!Otro,[0]!Centro,B740,[0]!Turno,Q$719)</f>
        <v>0</v>
      </c>
      <c r="R740" s="72">
        <f>SUMIFS([0]!Otro,[0]!Centro,B740,[0]!Turno,R$719)</f>
        <v>0</v>
      </c>
      <c r="S740" s="72">
        <f>SUMIFS([0]!Otro,[0]!Centro,B740,[0]!Turno,S$719)</f>
        <v>0</v>
      </c>
      <c r="T740" s="72">
        <f>SUMIFS([0]!Otro,[0]!Centro,B740,[0]!Turno,T$719)</f>
        <v>0</v>
      </c>
      <c r="U740" s="72">
        <f>SUMIFS([0]!Otro,[0]!Centro,B740,[0]!Turno,U$719)</f>
        <v>0</v>
      </c>
      <c r="V740" s="72">
        <f>SUMIFS([0]!Otro,[0]!Centro,B740,[0]!Turno,V$719)</f>
        <v>0</v>
      </c>
      <c r="W740" s="72">
        <f>SUMIFS([0]!Otro,[0]!Centro,B740,[0]!Turno,W$719)</f>
        <v>0</v>
      </c>
      <c r="X740" s="72">
        <f>SUMIFS([0]!Otro,[0]!Centro,B740,[0]!Turno,X$719)</f>
        <v>0</v>
      </c>
      <c r="Y740" s="73">
        <f>SUMIFS([0]!Otro,[0]!Centro,B740,[0]!Turno,Y$719)</f>
        <v>0</v>
      </c>
    </row>
    <row r="741" spans="2:25" ht="15" customHeight="1" x14ac:dyDescent="0.2">
      <c r="B741" s="251"/>
      <c r="C741" s="94">
        <f>E741/SUM(E741:E743)</f>
        <v>0.550561797752809</v>
      </c>
      <c r="D741" s="63" t="s">
        <v>0</v>
      </c>
      <c r="E741" s="150">
        <f>IF((E738+E739+E740)=0,0,(E738*$B742)/(E738+E739+E740))</f>
        <v>4.2224939787962469E-2</v>
      </c>
      <c r="F741" s="150">
        <f>IF((F738+F739+F740)=0,0,(F738*$B742)/(F738+F739+F740))</f>
        <v>2.6946638353377038E-2</v>
      </c>
      <c r="G741" s="150">
        <f t="shared" ref="G741:Y741" si="2121">IF((G738+G739+G740)=0,0,(G738*$B742)/(G738+G739+G740))</f>
        <v>3.3553746795791602E-2</v>
      </c>
      <c r="H741" s="150">
        <f t="shared" si="2121"/>
        <v>4.2314084629175616E-2</v>
      </c>
      <c r="I741" s="150">
        <f t="shared" si="2121"/>
        <v>3.180006664967009E-2</v>
      </c>
      <c r="J741" s="150">
        <f t="shared" si="2121"/>
        <v>4.8635396052436608E-2</v>
      </c>
      <c r="K741" s="150">
        <f t="shared" si="2121"/>
        <v>3.0677711356152319E-2</v>
      </c>
      <c r="L741" s="150">
        <f t="shared" si="2121"/>
        <v>6.3272779672064156E-2</v>
      </c>
      <c r="M741" s="150">
        <f t="shared" si="2121"/>
        <v>4.129691913328197E-2</v>
      </c>
      <c r="N741" s="150">
        <f t="shared" si="2121"/>
        <v>4.6016567034228482E-2</v>
      </c>
      <c r="O741" s="150">
        <f t="shared" si="2121"/>
        <v>0</v>
      </c>
      <c r="P741" s="150">
        <f t="shared" si="2121"/>
        <v>0</v>
      </c>
      <c r="Q741" s="150">
        <f t="shared" si="2121"/>
        <v>5.3685994873266564E-2</v>
      </c>
      <c r="R741" s="150">
        <f t="shared" si="2121"/>
        <v>0</v>
      </c>
      <c r="S741" s="150">
        <f t="shared" si="2121"/>
        <v>0</v>
      </c>
      <c r="T741" s="150">
        <f t="shared" si="2121"/>
        <v>0</v>
      </c>
      <c r="U741" s="150">
        <f t="shared" si="2121"/>
        <v>0</v>
      </c>
      <c r="V741" s="150">
        <f t="shared" si="2121"/>
        <v>0</v>
      </c>
      <c r="W741" s="150">
        <f t="shared" si="2121"/>
        <v>0</v>
      </c>
      <c r="X741" s="150">
        <f t="shared" si="2121"/>
        <v>0</v>
      </c>
      <c r="Y741" s="163">
        <f t="shared" si="2121"/>
        <v>0</v>
      </c>
    </row>
    <row r="742" spans="2:25" ht="15" customHeight="1" x14ac:dyDescent="0.2">
      <c r="B742" s="252">
        <v>7.6694278390380802E-2</v>
      </c>
      <c r="C742" s="92">
        <f>E742/SUM(E741:E743)</f>
        <v>0.44662921348314599</v>
      </c>
      <c r="D742" s="61" t="s">
        <v>1</v>
      </c>
      <c r="E742" s="154">
        <f>IF((E738+E739+E740)=0,0,(E739*$B742)/(E738+E739+E740))</f>
        <v>3.4253905236153223E-2</v>
      </c>
      <c r="F742" s="154">
        <f>IF((F738+F739+F740)=0,0,(F739*$B742)/(F738+F739+F740))</f>
        <v>4.9747640037003764E-2</v>
      </c>
      <c r="G742" s="154">
        <f t="shared" ref="G742:O742" si="2122">IF((G738+G739+G740)=0,0,(G739*$B742)/(G738+G739+G740))</f>
        <v>4.31405315945892E-2</v>
      </c>
      <c r="H742" s="154">
        <f t="shared" si="2122"/>
        <v>3.4380193761205186E-2</v>
      </c>
      <c r="I742" s="154">
        <f t="shared" si="2122"/>
        <v>4.4894211740710718E-2</v>
      </c>
      <c r="J742" s="154">
        <f t="shared" si="2122"/>
        <v>2.6188290182081249E-2</v>
      </c>
      <c r="K742" s="154">
        <f t="shared" si="2122"/>
        <v>4.6016567034228482E-2</v>
      </c>
      <c r="L742" s="154">
        <f t="shared" si="2122"/>
        <v>1.3421498718316641E-2</v>
      </c>
      <c r="M742" s="154">
        <f t="shared" si="2122"/>
        <v>3.5397359257098832E-2</v>
      </c>
      <c r="N742" s="154">
        <f t="shared" si="2122"/>
        <v>3.0677711356152319E-2</v>
      </c>
      <c r="O742" s="154">
        <f t="shared" si="2122"/>
        <v>0</v>
      </c>
      <c r="P742" s="154">
        <f>IF((P738+P739+P740)=0,0,(P739*$B742)/(P738+P739+P740))</f>
        <v>0</v>
      </c>
      <c r="Q742" s="154">
        <f t="shared" ref="Q742:Y742" si="2123">IF((Q738+Q739+Q740)=0,0,(Q739*$B742)/(Q738+Q739+Q740))</f>
        <v>2.3008283517114241E-2</v>
      </c>
      <c r="R742" s="154">
        <f t="shared" si="2123"/>
        <v>0</v>
      </c>
      <c r="S742" s="154">
        <f t="shared" si="2123"/>
        <v>0</v>
      </c>
      <c r="T742" s="154">
        <f t="shared" si="2123"/>
        <v>0</v>
      </c>
      <c r="U742" s="154">
        <f t="shared" si="2123"/>
        <v>0</v>
      </c>
      <c r="V742" s="154">
        <f t="shared" si="2123"/>
        <v>0</v>
      </c>
      <c r="W742" s="154">
        <f t="shared" si="2123"/>
        <v>0</v>
      </c>
      <c r="X742" s="154">
        <f t="shared" si="2123"/>
        <v>0</v>
      </c>
      <c r="Y742" s="159">
        <f t="shared" si="2123"/>
        <v>0</v>
      </c>
    </row>
    <row r="743" spans="2:25" ht="15" customHeight="1" thickBot="1" x14ac:dyDescent="0.25">
      <c r="B743" s="253"/>
      <c r="C743" s="93">
        <f>E743/SUM(E741:E743)</f>
        <v>2.8089887640449433E-3</v>
      </c>
      <c r="D743" s="75" t="s">
        <v>2</v>
      </c>
      <c r="E743" s="155">
        <f>IF((E738+E739+E740)=0,0,(E740*$B742)/(E738+E739+E740))</f>
        <v>2.154333662651146E-4</v>
      </c>
      <c r="F743" s="155">
        <f>IF((F738+F739+F740)=0,0,(F740*$B742)/(F738+F739+F740))</f>
        <v>0</v>
      </c>
      <c r="G743" s="155">
        <f t="shared" ref="G743:Y743" si="2124">IF((G738+G739+G740)=0,0,(G740*$B742)/(G738+G739+G740))</f>
        <v>0</v>
      </c>
      <c r="H743" s="155">
        <f t="shared" si="2124"/>
        <v>0</v>
      </c>
      <c r="I743" s="155">
        <f t="shared" si="2124"/>
        <v>0</v>
      </c>
      <c r="J743" s="155">
        <f t="shared" si="2124"/>
        <v>1.8705921558629464E-3</v>
      </c>
      <c r="K743" s="155">
        <f t="shared" si="2124"/>
        <v>0</v>
      </c>
      <c r="L743" s="155">
        <f t="shared" si="2124"/>
        <v>0</v>
      </c>
      <c r="M743" s="155">
        <f t="shared" si="2124"/>
        <v>0</v>
      </c>
      <c r="N743" s="155">
        <f t="shared" si="2124"/>
        <v>0</v>
      </c>
      <c r="O743" s="155">
        <f t="shared" si="2124"/>
        <v>0</v>
      </c>
      <c r="P743" s="155">
        <f t="shared" si="2124"/>
        <v>0</v>
      </c>
      <c r="Q743" s="155">
        <f t="shared" si="2124"/>
        <v>0</v>
      </c>
      <c r="R743" s="155">
        <f t="shared" si="2124"/>
        <v>0</v>
      </c>
      <c r="S743" s="155">
        <f t="shared" si="2124"/>
        <v>0</v>
      </c>
      <c r="T743" s="155">
        <f t="shared" si="2124"/>
        <v>0</v>
      </c>
      <c r="U743" s="155">
        <f t="shared" si="2124"/>
        <v>0</v>
      </c>
      <c r="V743" s="155">
        <f t="shared" si="2124"/>
        <v>0</v>
      </c>
      <c r="W743" s="155">
        <f t="shared" si="2124"/>
        <v>0</v>
      </c>
      <c r="X743" s="155">
        <f t="shared" si="2124"/>
        <v>0</v>
      </c>
      <c r="Y743" s="160">
        <f t="shared" si="2124"/>
        <v>0</v>
      </c>
    </row>
    <row r="744" spans="2:25" ht="15" customHeight="1" thickBot="1" x14ac:dyDescent="0.25">
      <c r="B744" s="18" t="s">
        <v>3</v>
      </c>
      <c r="C744" s="24" t="s">
        <v>226</v>
      </c>
      <c r="D744" s="25" t="s">
        <v>4</v>
      </c>
      <c r="E744" s="18" t="s">
        <v>225</v>
      </c>
      <c r="F744" s="19">
        <v>1</v>
      </c>
      <c r="G744" s="19">
        <v>2</v>
      </c>
      <c r="H744" s="19">
        <v>3</v>
      </c>
      <c r="I744" s="19">
        <v>4</v>
      </c>
      <c r="J744" s="19">
        <v>5</v>
      </c>
      <c r="K744" s="19">
        <v>6</v>
      </c>
      <c r="L744" s="19">
        <v>7</v>
      </c>
      <c r="M744" s="19">
        <v>8</v>
      </c>
      <c r="N744" s="19">
        <v>9</v>
      </c>
      <c r="O744" s="19">
        <v>10</v>
      </c>
      <c r="P744" s="19">
        <v>11</v>
      </c>
      <c r="Q744" s="19">
        <v>12</v>
      </c>
      <c r="R744" s="19">
        <v>13</v>
      </c>
      <c r="S744" s="19">
        <v>14</v>
      </c>
      <c r="T744" s="19">
        <v>15</v>
      </c>
      <c r="U744" s="19">
        <v>16</v>
      </c>
      <c r="V744" s="19">
        <v>17</v>
      </c>
      <c r="W744" s="19">
        <v>18</v>
      </c>
      <c r="X744" s="19">
        <v>19</v>
      </c>
      <c r="Y744" s="19">
        <v>20</v>
      </c>
    </row>
    <row r="745" spans="2:25" ht="15" customHeight="1" x14ac:dyDescent="0.2">
      <c r="B745" s="246" t="s">
        <v>127</v>
      </c>
      <c r="C745" s="95">
        <f>E745/SUM(E745:E747)</f>
        <v>0.4985754985754986</v>
      </c>
      <c r="D745" s="81" t="s">
        <v>0</v>
      </c>
      <c r="E745" s="82">
        <f>SUM(F745:Y745)</f>
        <v>350</v>
      </c>
      <c r="F745" s="82">
        <f t="shared" ref="F745:Y745" si="2125">SUM(F751,F757,F763,F769)</f>
        <v>39</v>
      </c>
      <c r="G745" s="82">
        <f t="shared" si="2125"/>
        <v>63</v>
      </c>
      <c r="H745" s="82">
        <f t="shared" si="2125"/>
        <v>33</v>
      </c>
      <c r="I745" s="82">
        <f t="shared" si="2125"/>
        <v>41</v>
      </c>
      <c r="J745" s="82">
        <f t="shared" si="2125"/>
        <v>44</v>
      </c>
      <c r="K745" s="82">
        <f t="shared" si="2125"/>
        <v>13</v>
      </c>
      <c r="L745" s="82">
        <f t="shared" si="2125"/>
        <v>25</v>
      </c>
      <c r="M745" s="82">
        <f t="shared" si="2125"/>
        <v>37</v>
      </c>
      <c r="N745" s="82">
        <f t="shared" si="2125"/>
        <v>41</v>
      </c>
      <c r="O745" s="82">
        <f t="shared" si="2125"/>
        <v>0</v>
      </c>
      <c r="P745" s="82">
        <f t="shared" ref="P745:P750" si="2126">SUM(P751,P757,P763,P769)</f>
        <v>0</v>
      </c>
      <c r="Q745" s="82">
        <f t="shared" si="2125"/>
        <v>14</v>
      </c>
      <c r="R745" s="82">
        <f t="shared" si="2125"/>
        <v>0</v>
      </c>
      <c r="S745" s="82">
        <f t="shared" si="2125"/>
        <v>0</v>
      </c>
      <c r="T745" s="82">
        <f t="shared" si="2125"/>
        <v>0</v>
      </c>
      <c r="U745" s="82">
        <f t="shared" si="2125"/>
        <v>0</v>
      </c>
      <c r="V745" s="82">
        <f t="shared" si="2125"/>
        <v>0</v>
      </c>
      <c r="W745" s="82">
        <f t="shared" si="2125"/>
        <v>0</v>
      </c>
      <c r="X745" s="82">
        <f t="shared" si="2125"/>
        <v>0</v>
      </c>
      <c r="Y745" s="83">
        <f t="shared" si="2125"/>
        <v>0</v>
      </c>
    </row>
    <row r="746" spans="2:25" ht="15" customHeight="1" x14ac:dyDescent="0.2">
      <c r="B746" s="247"/>
      <c r="C746" s="96">
        <f>E746/SUM(E745:E747)</f>
        <v>0.49287749287749288</v>
      </c>
      <c r="D746" s="79" t="s">
        <v>1</v>
      </c>
      <c r="E746" s="80">
        <f t="shared" ref="E746:E771" si="2127">SUM(F746:Y746)</f>
        <v>346</v>
      </c>
      <c r="F746" s="80">
        <f t="shared" ref="F746:Y746" si="2128">SUM(F752,F758,F764,F770)</f>
        <v>33</v>
      </c>
      <c r="G746" s="80">
        <f t="shared" si="2128"/>
        <v>39</v>
      </c>
      <c r="H746" s="80">
        <f t="shared" si="2128"/>
        <v>33</v>
      </c>
      <c r="I746" s="80">
        <f t="shared" si="2128"/>
        <v>50</v>
      </c>
      <c r="J746" s="80">
        <f t="shared" si="2128"/>
        <v>51</v>
      </c>
      <c r="K746" s="80">
        <f t="shared" si="2128"/>
        <v>5</v>
      </c>
      <c r="L746" s="80">
        <f t="shared" si="2128"/>
        <v>39</v>
      </c>
      <c r="M746" s="80">
        <f t="shared" si="2128"/>
        <v>43</v>
      </c>
      <c r="N746" s="80">
        <f t="shared" si="2128"/>
        <v>38</v>
      </c>
      <c r="O746" s="80">
        <f t="shared" si="2128"/>
        <v>0</v>
      </c>
      <c r="P746" s="80">
        <f t="shared" si="2126"/>
        <v>9</v>
      </c>
      <c r="Q746" s="80">
        <f t="shared" si="2128"/>
        <v>6</v>
      </c>
      <c r="R746" s="80">
        <f t="shared" si="2128"/>
        <v>0</v>
      </c>
      <c r="S746" s="80">
        <f t="shared" si="2128"/>
        <v>0</v>
      </c>
      <c r="T746" s="80">
        <f t="shared" si="2128"/>
        <v>0</v>
      </c>
      <c r="U746" s="80">
        <f t="shared" si="2128"/>
        <v>0</v>
      </c>
      <c r="V746" s="80">
        <f t="shared" si="2128"/>
        <v>0</v>
      </c>
      <c r="W746" s="80">
        <f t="shared" si="2128"/>
        <v>0</v>
      </c>
      <c r="X746" s="80">
        <f t="shared" si="2128"/>
        <v>0</v>
      </c>
      <c r="Y746" s="84">
        <f t="shared" si="2128"/>
        <v>0</v>
      </c>
    </row>
    <row r="747" spans="2:25" ht="15" customHeight="1" thickBot="1" x14ac:dyDescent="0.25">
      <c r="B747" s="247"/>
      <c r="C747" s="97">
        <f>E747/SUM(E745:E747)</f>
        <v>8.5470085470085479E-3</v>
      </c>
      <c r="D747" s="86" t="s">
        <v>2</v>
      </c>
      <c r="E747" s="87">
        <f t="shared" si="2127"/>
        <v>6</v>
      </c>
      <c r="F747" s="87">
        <f t="shared" ref="F747:Y747" si="2129">SUM(F753,F759,F765,F771)</f>
        <v>1</v>
      </c>
      <c r="G747" s="87">
        <f t="shared" si="2129"/>
        <v>1</v>
      </c>
      <c r="H747" s="87">
        <f t="shared" si="2129"/>
        <v>0</v>
      </c>
      <c r="I747" s="87">
        <f t="shared" si="2129"/>
        <v>2</v>
      </c>
      <c r="J747" s="87">
        <f t="shared" si="2129"/>
        <v>0</v>
      </c>
      <c r="K747" s="87">
        <f t="shared" si="2129"/>
        <v>0</v>
      </c>
      <c r="L747" s="87">
        <f t="shared" si="2129"/>
        <v>0</v>
      </c>
      <c r="M747" s="87">
        <f t="shared" si="2129"/>
        <v>0</v>
      </c>
      <c r="N747" s="87">
        <f t="shared" si="2129"/>
        <v>0</v>
      </c>
      <c r="O747" s="87">
        <f t="shared" si="2129"/>
        <v>0</v>
      </c>
      <c r="P747" s="87">
        <f t="shared" si="2126"/>
        <v>0</v>
      </c>
      <c r="Q747" s="87">
        <f t="shared" si="2129"/>
        <v>2</v>
      </c>
      <c r="R747" s="87">
        <f t="shared" si="2129"/>
        <v>0</v>
      </c>
      <c r="S747" s="87">
        <f t="shared" si="2129"/>
        <v>0</v>
      </c>
      <c r="T747" s="87">
        <f t="shared" si="2129"/>
        <v>0</v>
      </c>
      <c r="U747" s="87">
        <f t="shared" si="2129"/>
        <v>0</v>
      </c>
      <c r="V747" s="87">
        <f t="shared" si="2129"/>
        <v>0</v>
      </c>
      <c r="W747" s="87">
        <f t="shared" si="2129"/>
        <v>0</v>
      </c>
      <c r="X747" s="87">
        <f t="shared" si="2129"/>
        <v>0</v>
      </c>
      <c r="Y747" s="88">
        <f t="shared" si="2129"/>
        <v>0</v>
      </c>
    </row>
    <row r="748" spans="2:25" ht="15" customHeight="1" x14ac:dyDescent="0.2">
      <c r="B748" s="247"/>
      <c r="C748" s="98">
        <f>E748/SUM(E748:E750)</f>
        <v>0.57671246705042556</v>
      </c>
      <c r="D748" s="85" t="s">
        <v>0</v>
      </c>
      <c r="E748" s="151">
        <f t="shared" ref="E748" si="2130">SUM(E754,E760,E766,E772)</f>
        <v>0.57671246705042556</v>
      </c>
      <c r="F748" s="151">
        <f t="shared" ref="F748:Y748" si="2131">SUM(F754,F760,F766,F772)</f>
        <v>0.37178159763759333</v>
      </c>
      <c r="G748" s="151">
        <f t="shared" si="2131"/>
        <v>0.67271960117517615</v>
      </c>
      <c r="H748" s="151">
        <f t="shared" si="2131"/>
        <v>0.58783664213543596</v>
      </c>
      <c r="I748" s="151">
        <f t="shared" si="2131"/>
        <v>0.29753189022179527</v>
      </c>
      <c r="J748" s="151">
        <f t="shared" si="2131"/>
        <v>0.29463693371565031</v>
      </c>
      <c r="K748" s="151">
        <f t="shared" si="2131"/>
        <v>0.13196295177761655</v>
      </c>
      <c r="L748" s="151">
        <f t="shared" si="2131"/>
        <v>0.15548441354077697</v>
      </c>
      <c r="M748" s="151">
        <f t="shared" si="2131"/>
        <v>0.26717278887776219</v>
      </c>
      <c r="N748" s="151">
        <f t="shared" si="2131"/>
        <v>0.31039848679923049</v>
      </c>
      <c r="O748" s="151">
        <f t="shared" si="2131"/>
        <v>0</v>
      </c>
      <c r="P748" s="151">
        <f t="shared" si="2126"/>
        <v>0</v>
      </c>
      <c r="Q748" s="151">
        <f t="shared" si="2131"/>
        <v>0.25622588962439258</v>
      </c>
      <c r="R748" s="151">
        <f t="shared" si="2131"/>
        <v>0</v>
      </c>
      <c r="S748" s="151">
        <f t="shared" si="2131"/>
        <v>0</v>
      </c>
      <c r="T748" s="151">
        <f t="shared" si="2131"/>
        <v>0</v>
      </c>
      <c r="U748" s="151">
        <f t="shared" si="2131"/>
        <v>0</v>
      </c>
      <c r="V748" s="151">
        <f t="shared" si="2131"/>
        <v>0</v>
      </c>
      <c r="W748" s="151">
        <f t="shared" si="2131"/>
        <v>0</v>
      </c>
      <c r="X748" s="151">
        <f t="shared" si="2131"/>
        <v>0</v>
      </c>
      <c r="Y748" s="156">
        <f t="shared" si="2131"/>
        <v>0</v>
      </c>
    </row>
    <row r="749" spans="2:25" ht="15" customHeight="1" x14ac:dyDescent="0.2">
      <c r="B749" s="247"/>
      <c r="C749" s="96">
        <f>E749/SUM(E748:E750)</f>
        <v>0.37976283739361061</v>
      </c>
      <c r="D749" s="79" t="s">
        <v>1</v>
      </c>
      <c r="E749" s="152">
        <f t="shared" ref="E749" si="2132">SUM(E755,E761,E767,E773)</f>
        <v>0.37976283739361061</v>
      </c>
      <c r="F749" s="152">
        <f t="shared" ref="F749:Y749" si="2133">SUM(F755,F761,F767,F773)</f>
        <v>0.33451757741366783</v>
      </c>
      <c r="G749" s="152">
        <f t="shared" si="2133"/>
        <v>0.28701633045527647</v>
      </c>
      <c r="H749" s="152">
        <f t="shared" si="2133"/>
        <v>0.19899066965492013</v>
      </c>
      <c r="I749" s="152">
        <f t="shared" si="2133"/>
        <v>0.290873261866538</v>
      </c>
      <c r="J749" s="152">
        <f t="shared" si="2133"/>
        <v>0.30272238258887568</v>
      </c>
      <c r="K749" s="152">
        <f t="shared" si="2133"/>
        <v>5.0754981452929442E-2</v>
      </c>
      <c r="L749" s="152">
        <f t="shared" si="2133"/>
        <v>0.22870221455410505</v>
      </c>
      <c r="M749" s="152">
        <f t="shared" si="2133"/>
        <v>0.3301865274267638</v>
      </c>
      <c r="N749" s="152">
        <f t="shared" si="2133"/>
        <v>0.2869608295052955</v>
      </c>
      <c r="O749" s="152">
        <f t="shared" si="2133"/>
        <v>0</v>
      </c>
      <c r="P749" s="152">
        <f t="shared" si="2126"/>
        <v>0.201468694864336</v>
      </c>
      <c r="Q749" s="152">
        <f t="shared" si="2133"/>
        <v>0.1098110955533111</v>
      </c>
      <c r="R749" s="152">
        <f t="shared" si="2133"/>
        <v>0</v>
      </c>
      <c r="S749" s="152">
        <f t="shared" si="2133"/>
        <v>0</v>
      </c>
      <c r="T749" s="152">
        <f t="shared" si="2133"/>
        <v>0</v>
      </c>
      <c r="U749" s="152">
        <f t="shared" si="2133"/>
        <v>0</v>
      </c>
      <c r="V749" s="152">
        <f t="shared" si="2133"/>
        <v>0</v>
      </c>
      <c r="W749" s="152">
        <f t="shared" si="2133"/>
        <v>0</v>
      </c>
      <c r="X749" s="152">
        <f t="shared" si="2133"/>
        <v>0</v>
      </c>
      <c r="Y749" s="157">
        <f t="shared" si="2133"/>
        <v>0</v>
      </c>
    </row>
    <row r="750" spans="2:25" ht="15" customHeight="1" thickBot="1" x14ac:dyDescent="0.25">
      <c r="B750" s="248"/>
      <c r="C750" s="99">
        <f>E750/SUM(E748:E750)</f>
        <v>4.3524695555963833E-2</v>
      </c>
      <c r="D750" s="89" t="s">
        <v>2</v>
      </c>
      <c r="E750" s="153">
        <f t="shared" ref="E750" si="2134">SUM(E756,E762,E768,E774)</f>
        <v>4.3524695555963833E-2</v>
      </c>
      <c r="F750" s="153">
        <f t="shared" ref="F750:Y750" si="2135">SUM(F756,F762,F768,F774)</f>
        <v>8.0528136739094799E-2</v>
      </c>
      <c r="G750" s="153">
        <f t="shared" si="2135"/>
        <v>4.02640683695474E-2</v>
      </c>
      <c r="H750" s="153">
        <f t="shared" si="2135"/>
        <v>0</v>
      </c>
      <c r="I750" s="153">
        <f t="shared" si="2135"/>
        <v>8.9541642161927101E-3</v>
      </c>
      <c r="J750" s="153">
        <f t="shared" si="2135"/>
        <v>0</v>
      </c>
      <c r="K750" s="153">
        <f t="shared" si="2135"/>
        <v>0</v>
      </c>
      <c r="L750" s="153">
        <f t="shared" si="2135"/>
        <v>0</v>
      </c>
      <c r="M750" s="153">
        <f t="shared" si="2135"/>
        <v>0</v>
      </c>
      <c r="N750" s="153">
        <f t="shared" si="2135"/>
        <v>0</v>
      </c>
      <c r="O750" s="153">
        <f t="shared" si="2135"/>
        <v>0</v>
      </c>
      <c r="P750" s="153">
        <f t="shared" si="2126"/>
        <v>0</v>
      </c>
      <c r="Q750" s="153">
        <f t="shared" si="2135"/>
        <v>3.6603698517770365E-2</v>
      </c>
      <c r="R750" s="153">
        <f t="shared" si="2135"/>
        <v>0</v>
      </c>
      <c r="S750" s="153">
        <f t="shared" si="2135"/>
        <v>0</v>
      </c>
      <c r="T750" s="153">
        <f t="shared" si="2135"/>
        <v>0</v>
      </c>
      <c r="U750" s="153">
        <f t="shared" si="2135"/>
        <v>0</v>
      </c>
      <c r="V750" s="153">
        <f t="shared" si="2135"/>
        <v>0</v>
      </c>
      <c r="W750" s="153">
        <f t="shared" si="2135"/>
        <v>0</v>
      </c>
      <c r="X750" s="153">
        <f t="shared" si="2135"/>
        <v>0</v>
      </c>
      <c r="Y750" s="158">
        <f t="shared" si="2135"/>
        <v>0</v>
      </c>
    </row>
    <row r="751" spans="2:25" ht="15" customHeight="1" x14ac:dyDescent="0.2">
      <c r="B751" s="249" t="s">
        <v>128</v>
      </c>
      <c r="C751" s="91">
        <f>E751/SUM(E751:E753)</f>
        <v>0.61538461538461542</v>
      </c>
      <c r="D751" s="67" t="s">
        <v>0</v>
      </c>
      <c r="E751" s="68">
        <f t="shared" si="2127"/>
        <v>80</v>
      </c>
      <c r="F751" s="68">
        <f>SUMIFS([0]!Chavez,[0]!Centro,B753,[0]!Turno,F$744)</f>
        <v>0</v>
      </c>
      <c r="G751" s="68">
        <f>SUMIFS([0]!Chavez,[0]!Centro,B753,[0]!Turno,G$744)</f>
        <v>20</v>
      </c>
      <c r="H751" s="68">
        <f>SUMIFS([0]!Chavez,[0]!Centro,B753,[0]!Turno,H$744)</f>
        <v>0</v>
      </c>
      <c r="I751" s="68">
        <f>SUMIFS([0]!Chavez,[0]!Centro,B753,[0]!Turno,I$744)</f>
        <v>20</v>
      </c>
      <c r="J751" s="68">
        <f>SUMIFS([0]!Chavez,[0]!Centro,B753,[0]!Turno,J$744)</f>
        <v>20</v>
      </c>
      <c r="K751" s="68">
        <f>SUMIFS([0]!Chavez,[0]!Centro,B753,[0]!Turno,K$744)</f>
        <v>0</v>
      </c>
      <c r="L751" s="68">
        <f>SUMIFS([0]!Chavez,[0]!Centro,B753,[0]!Turno,L$744)</f>
        <v>0</v>
      </c>
      <c r="M751" s="68">
        <f>SUMIFS([0]!Chavez,[0]!Centro,B753,[0]!Turno,M$744)</f>
        <v>10</v>
      </c>
      <c r="N751" s="68">
        <f>SUMIFS([0]!Chavez,[0]!Centro,B753,[0]!Turno,N$744)</f>
        <v>10</v>
      </c>
      <c r="O751" s="68">
        <f>SUMIFS([0]!Chavez,[0]!Centro,B753,[0]!Turno,O$744)</f>
        <v>0</v>
      </c>
      <c r="P751" s="68">
        <f>SUMIFS([0]!Chavez,[0]!Centro,B753,[0]!Turno,P$744)</f>
        <v>0</v>
      </c>
      <c r="Q751" s="68">
        <f>SUMIFS([0]!Chavez,[0]!Centro,B753,[0]!Turno,Q$744)</f>
        <v>0</v>
      </c>
      <c r="R751" s="68">
        <f>SUMIFS([0]!Chavez,[0]!Centro,B753,[0]!Turno,R$744)</f>
        <v>0</v>
      </c>
      <c r="S751" s="68">
        <f>SUMIFS([0]!Chavez,[0]!Centro,B753,[0]!Turno,S$744)</f>
        <v>0</v>
      </c>
      <c r="T751" s="68">
        <f>SUMIFS([0]!Chavez,[0]!Centro,B753,[0]!Turno,T$744)</f>
        <v>0</v>
      </c>
      <c r="U751" s="68">
        <f>SUMIFS([0]!Chavez,[0]!Centro,B753,[0]!Turno,U$744)</f>
        <v>0</v>
      </c>
      <c r="V751" s="68">
        <f>SUMIFS([0]!Chavez,[0]!Centro,B753,[0]!Turno,V$744)</f>
        <v>0</v>
      </c>
      <c r="W751" s="68">
        <f>SUMIFS([0]!Chavez,[0]!Centro,B753,[0]!Turno,W$744)</f>
        <v>0</v>
      </c>
      <c r="X751" s="68">
        <f>SUMIFS([0]!Chavez,[0]!Centro,B753,[0]!Turno,X$744)</f>
        <v>0</v>
      </c>
      <c r="Y751" s="69">
        <f>SUMIFS([0]!Chavez,[0]!Centro,B753,[0]!Turno,Y$744)</f>
        <v>0</v>
      </c>
    </row>
    <row r="752" spans="2:25" ht="15" customHeight="1" x14ac:dyDescent="0.2">
      <c r="B752" s="250"/>
      <c r="C752" s="92">
        <f>E752/SUM(E751:E753)</f>
        <v>0.38461538461538464</v>
      </c>
      <c r="D752" s="61" t="s">
        <v>1</v>
      </c>
      <c r="E752" s="62">
        <f t="shared" si="2127"/>
        <v>50</v>
      </c>
      <c r="F752" s="62">
        <f>SUMIFS([0]!Capriles,[0]!Centro,B753,[0]!Turno,F$744)</f>
        <v>0</v>
      </c>
      <c r="G752" s="62">
        <f>SUMIFS([0]!Capriles,[0]!Centro,B753,[0]!Turno,G$744)</f>
        <v>10</v>
      </c>
      <c r="H752" s="62">
        <f>SUMIFS([0]!Capriles,[0]!Centro,B753,[0]!Turno,H$744)</f>
        <v>0</v>
      </c>
      <c r="I752" s="62">
        <f>SUMIFS([0]!Capriles,[0]!Centro,B753,[0]!Turno,I$744)</f>
        <v>8</v>
      </c>
      <c r="J752" s="62">
        <f>SUMIFS([0]!Capriles,[0]!Centro,B753,[0]!Turno,J$744)</f>
        <v>12</v>
      </c>
      <c r="K752" s="62">
        <f>SUMIFS([0]!Capriles,[0]!Centro,B753,[0]!Turno,K$744)</f>
        <v>0</v>
      </c>
      <c r="L752" s="62">
        <f>SUMIFS([0]!Capriles,[0]!Centro,B753,[0]!Turno,L$744)</f>
        <v>0</v>
      </c>
      <c r="M752" s="62">
        <f>SUMIFS([0]!Capriles,[0]!Centro,B753,[0]!Turno,M$744)</f>
        <v>10</v>
      </c>
      <c r="N752" s="62">
        <f>SUMIFS([0]!Capriles,[0]!Centro,B753,[0]!Turno,N$744)</f>
        <v>10</v>
      </c>
      <c r="O752" s="62">
        <f>SUMIFS([0]!Capriles,[0]!Centro,B753,[0]!Turno,O$744)</f>
        <v>0</v>
      </c>
      <c r="P752" s="62">
        <f>SUMIFS([0]!Capriles,[0]!Centro,B753,[0]!Turno,P$744)</f>
        <v>0</v>
      </c>
      <c r="Q752" s="62">
        <f>SUMIFS([0]!Capriles,[0]!Centro,B753,[0]!Turno,Q$744)</f>
        <v>0</v>
      </c>
      <c r="R752" s="62">
        <f>SUMIFS([0]!Capriles,[0]!Centro,B753,[0]!Turno,R$744)</f>
        <v>0</v>
      </c>
      <c r="S752" s="62">
        <f>SUMIFS([0]!Capriles,[0]!Centro,B753,[0]!Turno,S$744)</f>
        <v>0</v>
      </c>
      <c r="T752" s="62">
        <f>SUMIFS([0]!Capriles,[0]!Centro,B753,[0]!Turno,T$744)</f>
        <v>0</v>
      </c>
      <c r="U752" s="62">
        <f>SUMIFS([0]!Capriles,[0]!Centro,B753,[0]!Turno,U$744)</f>
        <v>0</v>
      </c>
      <c r="V752" s="62">
        <f>SUMIFS([0]!Capriles,[0]!Centro,B753,[0]!Turno,V$744)</f>
        <v>0</v>
      </c>
      <c r="W752" s="62">
        <f>SUMIFS([0]!Capriles,[0]!Centro,B753,[0]!Turno,W$744)</f>
        <v>0</v>
      </c>
      <c r="X752" s="62">
        <f>SUMIFS([0]!Capriles,[0]!Centro,B753,[0]!Turno,X$744)</f>
        <v>0</v>
      </c>
      <c r="Y752" s="70">
        <f>SUMIFS([0]!Capriles,[0]!Centro,B753,[0]!Turno,Y$744)</f>
        <v>0</v>
      </c>
    </row>
    <row r="753" spans="2:25" ht="15" customHeight="1" thickBot="1" x14ac:dyDescent="0.25">
      <c r="B753" s="251">
        <v>104</v>
      </c>
      <c r="C753" s="100">
        <f>E753/SUM(E751:E753)</f>
        <v>0</v>
      </c>
      <c r="D753" s="71" t="s">
        <v>2</v>
      </c>
      <c r="E753" s="72">
        <f t="shared" si="2127"/>
        <v>0</v>
      </c>
      <c r="F753" s="72">
        <f>SUMIFS([0]!Otro,[0]!Centro,B753,[0]!Turno,F$744)</f>
        <v>0</v>
      </c>
      <c r="G753" s="72">
        <f>SUMIFS([0]!Otro,[0]!Centro,B753,[0]!Turno,G$744)</f>
        <v>0</v>
      </c>
      <c r="H753" s="72">
        <f>SUMIFS([0]!Otro,[0]!Centro,B753,[0]!Turno,H$744)</f>
        <v>0</v>
      </c>
      <c r="I753" s="72">
        <f>SUMIFS([0]!Otro,[0]!Centro,B753,[0]!Turno,I$744)</f>
        <v>0</v>
      </c>
      <c r="J753" s="72">
        <f>SUMIFS([0]!Otro,[0]!Centro,B753,[0]!Turno,J$744)</f>
        <v>0</v>
      </c>
      <c r="K753" s="72">
        <f>SUMIFS([0]!Otro,[0]!Centro,B753,[0]!Turno,K$744)</f>
        <v>0</v>
      </c>
      <c r="L753" s="72">
        <f>SUMIFS([0]!Otro,[0]!Centro,B753,[0]!Turno,L$744)</f>
        <v>0</v>
      </c>
      <c r="M753" s="72">
        <f>SUMIFS([0]!Otro,[0]!Centro,B753,[0]!Turno,M$744)</f>
        <v>0</v>
      </c>
      <c r="N753" s="72">
        <f>SUMIFS([0]!Otro,[0]!Centro,B753,[0]!Turno,N$744)</f>
        <v>0</v>
      </c>
      <c r="O753" s="72">
        <f>SUMIFS([0]!Otro,[0]!Centro,B753,[0]!Turno,O$744)</f>
        <v>0</v>
      </c>
      <c r="P753" s="72">
        <f>SUMIFS([0]!Otro,[0]!Centro,B753,[0]!Turno,P$744)</f>
        <v>0</v>
      </c>
      <c r="Q753" s="72">
        <f>SUMIFS([0]!Otro,[0]!Centro,B753,[0]!Turno,Q$744)</f>
        <v>0</v>
      </c>
      <c r="R753" s="72">
        <f>SUMIFS([0]!Otro,[0]!Centro,B753,[0]!Turno,R$744)</f>
        <v>0</v>
      </c>
      <c r="S753" s="72">
        <f>SUMIFS([0]!Otro,[0]!Centro,B753,[0]!Turno,S$744)</f>
        <v>0</v>
      </c>
      <c r="T753" s="72">
        <f>SUMIFS([0]!Otro,[0]!Centro,B753,[0]!Turno,T$744)</f>
        <v>0</v>
      </c>
      <c r="U753" s="72">
        <f>SUMIFS([0]!Otro,[0]!Centro,B753,[0]!Turno,U$744)</f>
        <v>0</v>
      </c>
      <c r="V753" s="72">
        <f>SUMIFS([0]!Otro,[0]!Centro,B753,[0]!Turno,V$744)</f>
        <v>0</v>
      </c>
      <c r="W753" s="72">
        <f>SUMIFS([0]!Otro,[0]!Centro,B753,[0]!Turno,W$744)</f>
        <v>0</v>
      </c>
      <c r="X753" s="72">
        <f>SUMIFS([0]!Otro,[0]!Centro,B753,[0]!Turno,X$744)</f>
        <v>0</v>
      </c>
      <c r="Y753" s="73">
        <f>SUMIFS([0]!Otro,[0]!Centro,B753,[0]!Turno,Y$744)</f>
        <v>0</v>
      </c>
    </row>
    <row r="754" spans="2:25" ht="15" customHeight="1" x14ac:dyDescent="0.2">
      <c r="B754" s="251"/>
      <c r="C754" s="94">
        <f>E754/SUM(E754:E756)</f>
        <v>0.61538461538461531</v>
      </c>
      <c r="D754" s="63" t="s">
        <v>0</v>
      </c>
      <c r="E754" s="150">
        <f>IF((E751+E752+E753)=0,0,(E751*$B755)/(E751+E752+E753))</f>
        <v>0.1311831927443963</v>
      </c>
      <c r="F754" s="150">
        <f>IF((F751+F752+F753)=0,0,(F751*$B755)/(F751+F752+F753))</f>
        <v>0</v>
      </c>
      <c r="G754" s="150">
        <f t="shared" ref="G754:Y754" si="2136">IF((G751+G752+G753)=0,0,(G751*$B755)/(G751+G752+G753))</f>
        <v>0.14211512547309599</v>
      </c>
      <c r="H754" s="150">
        <f t="shared" si="2136"/>
        <v>0</v>
      </c>
      <c r="I754" s="150">
        <f t="shared" si="2136"/>
        <v>0.15226620586403142</v>
      </c>
      <c r="J754" s="150">
        <f t="shared" si="2136"/>
        <v>0.13323293013102749</v>
      </c>
      <c r="K754" s="150">
        <f t="shared" si="2136"/>
        <v>0</v>
      </c>
      <c r="L754" s="150">
        <f t="shared" si="2136"/>
        <v>0</v>
      </c>
      <c r="M754" s="150">
        <f t="shared" si="2136"/>
        <v>0.106586344104822</v>
      </c>
      <c r="N754" s="150">
        <f t="shared" si="2136"/>
        <v>0.106586344104822</v>
      </c>
      <c r="O754" s="150">
        <f t="shared" si="2136"/>
        <v>0</v>
      </c>
      <c r="P754" s="150">
        <f t="shared" si="2136"/>
        <v>0</v>
      </c>
      <c r="Q754" s="150">
        <f t="shared" si="2136"/>
        <v>0</v>
      </c>
      <c r="R754" s="150">
        <f t="shared" si="2136"/>
        <v>0</v>
      </c>
      <c r="S754" s="150">
        <f t="shared" si="2136"/>
        <v>0</v>
      </c>
      <c r="T754" s="150">
        <f t="shared" si="2136"/>
        <v>0</v>
      </c>
      <c r="U754" s="150">
        <f t="shared" si="2136"/>
        <v>0</v>
      </c>
      <c r="V754" s="150">
        <f t="shared" si="2136"/>
        <v>0</v>
      </c>
      <c r="W754" s="150">
        <f t="shared" si="2136"/>
        <v>0</v>
      </c>
      <c r="X754" s="150">
        <f t="shared" si="2136"/>
        <v>0</v>
      </c>
      <c r="Y754" s="163">
        <f t="shared" si="2136"/>
        <v>0</v>
      </c>
    </row>
    <row r="755" spans="2:25" ht="15" customHeight="1" x14ac:dyDescent="0.2">
      <c r="B755" s="252">
        <v>0.213172688209644</v>
      </c>
      <c r="C755" s="92">
        <f>E755/SUM(E754:E756)</f>
        <v>0.38461538461538464</v>
      </c>
      <c r="D755" s="61" t="s">
        <v>1</v>
      </c>
      <c r="E755" s="154">
        <f>IF((E751+E752+E753)=0,0,(E752*$B755)/(E751+E752+E753))</f>
        <v>8.1989495465247697E-2</v>
      </c>
      <c r="F755" s="154">
        <f>IF((F751+F752+F753)=0,0,(F752*$B755)/(F751+F752+F753))</f>
        <v>0</v>
      </c>
      <c r="G755" s="154">
        <f t="shared" ref="G755:O755" si="2137">IF((G751+G752+G753)=0,0,(G752*$B755)/(G751+G752+G753))</f>
        <v>7.1057562736547994E-2</v>
      </c>
      <c r="H755" s="154">
        <f t="shared" si="2137"/>
        <v>0</v>
      </c>
      <c r="I755" s="154">
        <f t="shared" si="2137"/>
        <v>6.0906482345612571E-2</v>
      </c>
      <c r="J755" s="154">
        <f t="shared" si="2137"/>
        <v>7.9939758078616502E-2</v>
      </c>
      <c r="K755" s="154">
        <f t="shared" si="2137"/>
        <v>0</v>
      </c>
      <c r="L755" s="154">
        <f t="shared" si="2137"/>
        <v>0</v>
      </c>
      <c r="M755" s="154">
        <f t="shared" si="2137"/>
        <v>0.106586344104822</v>
      </c>
      <c r="N755" s="154">
        <f t="shared" si="2137"/>
        <v>0.106586344104822</v>
      </c>
      <c r="O755" s="154">
        <f t="shared" si="2137"/>
        <v>0</v>
      </c>
      <c r="P755" s="154">
        <f>IF((P751+P752+P753)=0,0,(P752*$B755)/(P751+P752+P753))</f>
        <v>0</v>
      </c>
      <c r="Q755" s="154">
        <f t="shared" ref="Q755:Y755" si="2138">IF((Q751+Q752+Q753)=0,0,(Q752*$B755)/(Q751+Q752+Q753))</f>
        <v>0</v>
      </c>
      <c r="R755" s="154">
        <f t="shared" si="2138"/>
        <v>0</v>
      </c>
      <c r="S755" s="154">
        <f t="shared" si="2138"/>
        <v>0</v>
      </c>
      <c r="T755" s="154">
        <f t="shared" si="2138"/>
        <v>0</v>
      </c>
      <c r="U755" s="154">
        <f t="shared" si="2138"/>
        <v>0</v>
      </c>
      <c r="V755" s="154">
        <f t="shared" si="2138"/>
        <v>0</v>
      </c>
      <c r="W755" s="154">
        <f t="shared" si="2138"/>
        <v>0</v>
      </c>
      <c r="X755" s="154">
        <f t="shared" si="2138"/>
        <v>0</v>
      </c>
      <c r="Y755" s="159">
        <f t="shared" si="2138"/>
        <v>0</v>
      </c>
    </row>
    <row r="756" spans="2:25" ht="15" customHeight="1" thickBot="1" x14ac:dyDescent="0.25">
      <c r="B756" s="253"/>
      <c r="C756" s="93">
        <f>E756/SUM(E754:E756)</f>
        <v>0</v>
      </c>
      <c r="D756" s="75" t="s">
        <v>2</v>
      </c>
      <c r="E756" s="155">
        <f>IF((E751+E752+E753)=0,0,(E753*$B755)/(E751+E752+E753))</f>
        <v>0</v>
      </c>
      <c r="F756" s="155">
        <f>IF((F751+F752+F753)=0,0,(F753*$B755)/(F751+F752+F753))</f>
        <v>0</v>
      </c>
      <c r="G756" s="155">
        <f t="shared" ref="G756:Y756" si="2139">IF((G751+G752+G753)=0,0,(G753*$B755)/(G751+G752+G753))</f>
        <v>0</v>
      </c>
      <c r="H756" s="155">
        <f t="shared" si="2139"/>
        <v>0</v>
      </c>
      <c r="I756" s="155">
        <f t="shared" si="2139"/>
        <v>0</v>
      </c>
      <c r="J756" s="155">
        <f t="shared" si="2139"/>
        <v>0</v>
      </c>
      <c r="K756" s="155">
        <f t="shared" si="2139"/>
        <v>0</v>
      </c>
      <c r="L756" s="155">
        <f t="shared" si="2139"/>
        <v>0</v>
      </c>
      <c r="M756" s="155">
        <f t="shared" si="2139"/>
        <v>0</v>
      </c>
      <c r="N756" s="155">
        <f t="shared" si="2139"/>
        <v>0</v>
      </c>
      <c r="O756" s="155">
        <f t="shared" si="2139"/>
        <v>0</v>
      </c>
      <c r="P756" s="155">
        <f t="shared" si="2139"/>
        <v>0</v>
      </c>
      <c r="Q756" s="155">
        <f t="shared" si="2139"/>
        <v>0</v>
      </c>
      <c r="R756" s="155">
        <f t="shared" si="2139"/>
        <v>0</v>
      </c>
      <c r="S756" s="155">
        <f t="shared" si="2139"/>
        <v>0</v>
      </c>
      <c r="T756" s="155">
        <f t="shared" si="2139"/>
        <v>0</v>
      </c>
      <c r="U756" s="155">
        <f t="shared" si="2139"/>
        <v>0</v>
      </c>
      <c r="V756" s="155">
        <f t="shared" si="2139"/>
        <v>0</v>
      </c>
      <c r="W756" s="155">
        <f t="shared" si="2139"/>
        <v>0</v>
      </c>
      <c r="X756" s="155">
        <f t="shared" si="2139"/>
        <v>0</v>
      </c>
      <c r="Y756" s="160">
        <f t="shared" si="2139"/>
        <v>0</v>
      </c>
    </row>
    <row r="757" spans="2:25" ht="15" customHeight="1" x14ac:dyDescent="0.2">
      <c r="B757" s="249" t="s">
        <v>129</v>
      </c>
      <c r="C757" s="91">
        <f>E757/SUM(E757:E759)</f>
        <v>0.43059490084985835</v>
      </c>
      <c r="D757" s="67" t="s">
        <v>0</v>
      </c>
      <c r="E757" s="68">
        <f t="shared" si="2127"/>
        <v>152</v>
      </c>
      <c r="F757" s="68">
        <f>SUMIFS([0]!Chavez,[0]!Centro,B759,[0]!Turno,F$744)</f>
        <v>24</v>
      </c>
      <c r="G757" s="68">
        <f>SUMIFS([0]!Chavez,[0]!Centro,B759,[0]!Turno,G$744)</f>
        <v>25</v>
      </c>
      <c r="H757" s="68">
        <f>SUMIFS([0]!Chavez,[0]!Centro,B759,[0]!Turno,H$744)</f>
        <v>23</v>
      </c>
      <c r="I757" s="68">
        <f>SUMIFS([0]!Chavez,[0]!Centro,B759,[0]!Turno,I$744)</f>
        <v>10</v>
      </c>
      <c r="J757" s="68">
        <f>SUMIFS([0]!Chavez,[0]!Centro,B759,[0]!Turno,J$744)</f>
        <v>13</v>
      </c>
      <c r="K757" s="68">
        <f>SUMIFS([0]!Chavez,[0]!Centro,B759,[0]!Turno,K$744)</f>
        <v>0</v>
      </c>
      <c r="L757" s="68">
        <f>SUMIFS([0]!Chavez,[0]!Centro,B759,[0]!Turno,L$744)</f>
        <v>16</v>
      </c>
      <c r="M757" s="68">
        <f>SUMIFS([0]!Chavez,[0]!Centro,B759,[0]!Turno,M$744)</f>
        <v>21</v>
      </c>
      <c r="N757" s="68">
        <f>SUMIFS([0]!Chavez,[0]!Centro,B759,[0]!Turno,N$744)</f>
        <v>20</v>
      </c>
      <c r="O757" s="68">
        <f>SUMIFS([0]!Chavez,[0]!Centro,B759,[0]!Turno,O$744)</f>
        <v>0</v>
      </c>
      <c r="P757" s="68">
        <f>SUMIFS([0]!Chavez,[0]!Centro,B759,[0]!Turno,P$744)</f>
        <v>0</v>
      </c>
      <c r="Q757" s="68">
        <f>SUMIFS([0]!Chavez,[0]!Centro,B759,[0]!Turno,Q$744)</f>
        <v>0</v>
      </c>
      <c r="R757" s="68">
        <f>SUMIFS([0]!Chavez,[0]!Centro,B759,[0]!Turno,R$744)</f>
        <v>0</v>
      </c>
      <c r="S757" s="68">
        <f>SUMIFS([0]!Chavez,[0]!Centro,B759,[0]!Turno,S$744)</f>
        <v>0</v>
      </c>
      <c r="T757" s="68">
        <f>SUMIFS([0]!Chavez,[0]!Centro,B759,[0]!Turno,T$744)</f>
        <v>0</v>
      </c>
      <c r="U757" s="68">
        <f>SUMIFS([0]!Chavez,[0]!Centro,B759,[0]!Turno,U$744)</f>
        <v>0</v>
      </c>
      <c r="V757" s="68">
        <f>SUMIFS([0]!Chavez,[0]!Centro,B759,[0]!Turno,V$744)</f>
        <v>0</v>
      </c>
      <c r="W757" s="68">
        <f>SUMIFS([0]!Chavez,[0]!Centro,B759,[0]!Turno,W$744)</f>
        <v>0</v>
      </c>
      <c r="X757" s="68">
        <f>SUMIFS([0]!Chavez,[0]!Centro,B759,[0]!Turno,X$744)</f>
        <v>0</v>
      </c>
      <c r="Y757" s="69">
        <f>SUMIFS([0]!Chavez,[0]!Centro,B759,[0]!Turno,Y$744)</f>
        <v>0</v>
      </c>
    </row>
    <row r="758" spans="2:25" ht="15" customHeight="1" x14ac:dyDescent="0.2">
      <c r="B758" s="250"/>
      <c r="C758" s="92">
        <f>E758/SUM(E757:E759)</f>
        <v>0.5637393767705382</v>
      </c>
      <c r="D758" s="61" t="s">
        <v>1</v>
      </c>
      <c r="E758" s="62">
        <f t="shared" si="2127"/>
        <v>199</v>
      </c>
      <c r="F758" s="62">
        <f>SUMIFS([0]!Capriles,[0]!Centro,B759,[0]!Turno,F$744)</f>
        <v>21</v>
      </c>
      <c r="G758" s="62">
        <f>SUMIFS([0]!Capriles,[0]!Centro,B759,[0]!Turno,G$744)</f>
        <v>18</v>
      </c>
      <c r="H758" s="62">
        <f>SUMIFS([0]!Capriles,[0]!Centro,B759,[0]!Turno,H$744)</f>
        <v>22</v>
      </c>
      <c r="I758" s="62">
        <f>SUMIFS([0]!Capriles,[0]!Centro,B759,[0]!Turno,I$744)</f>
        <v>33</v>
      </c>
      <c r="J758" s="62">
        <f>SUMIFS([0]!Capriles,[0]!Centro,B759,[0]!Turno,J$744)</f>
        <v>30</v>
      </c>
      <c r="K758" s="62">
        <f>SUMIFS([0]!Capriles,[0]!Centro,B759,[0]!Turno,K$744)</f>
        <v>0</v>
      </c>
      <c r="L758" s="62">
        <f>SUMIFS([0]!Capriles,[0]!Centro,B759,[0]!Turno,L$744)</f>
        <v>28</v>
      </c>
      <c r="M758" s="62">
        <f>SUMIFS([0]!Capriles,[0]!Centro,B759,[0]!Turno,M$744)</f>
        <v>19</v>
      </c>
      <c r="N758" s="62">
        <f>SUMIFS([0]!Capriles,[0]!Centro,B759,[0]!Turno,N$744)</f>
        <v>19</v>
      </c>
      <c r="O758" s="62">
        <f>SUMIFS([0]!Capriles,[0]!Centro,B759,[0]!Turno,O$744)</f>
        <v>0</v>
      </c>
      <c r="P758" s="62">
        <f>SUMIFS([0]!Capriles,[0]!Centro,B759,[0]!Turno,P$744)</f>
        <v>9</v>
      </c>
      <c r="Q758" s="62">
        <f>SUMIFS([0]!Capriles,[0]!Centro,B759,[0]!Turno,Q$744)</f>
        <v>0</v>
      </c>
      <c r="R758" s="62">
        <f>SUMIFS([0]!Capriles,[0]!Centro,B759,[0]!Turno,R$744)</f>
        <v>0</v>
      </c>
      <c r="S758" s="62">
        <f>SUMIFS([0]!Capriles,[0]!Centro,B759,[0]!Turno,S$744)</f>
        <v>0</v>
      </c>
      <c r="T758" s="62">
        <f>SUMIFS([0]!Capriles,[0]!Centro,B759,[0]!Turno,T$744)</f>
        <v>0</v>
      </c>
      <c r="U758" s="62">
        <f>SUMIFS([0]!Capriles,[0]!Centro,B759,[0]!Turno,U$744)</f>
        <v>0</v>
      </c>
      <c r="V758" s="62">
        <f>SUMIFS([0]!Capriles,[0]!Centro,B759,[0]!Turno,V$744)</f>
        <v>0</v>
      </c>
      <c r="W758" s="62">
        <f>SUMIFS([0]!Capriles,[0]!Centro,B759,[0]!Turno,W$744)</f>
        <v>0</v>
      </c>
      <c r="X758" s="62">
        <f>SUMIFS([0]!Capriles,[0]!Centro,B759,[0]!Turno,X$744)</f>
        <v>0</v>
      </c>
      <c r="Y758" s="70">
        <f>SUMIFS([0]!Capriles,[0]!Centro,B759,[0]!Turno,Y$744)</f>
        <v>0</v>
      </c>
    </row>
    <row r="759" spans="2:25" ht="15" customHeight="1" thickBot="1" x14ac:dyDescent="0.25">
      <c r="B759" s="251">
        <v>105</v>
      </c>
      <c r="C759" s="100">
        <f>E759/SUM(E757:E759)</f>
        <v>5.6657223796033997E-3</v>
      </c>
      <c r="D759" s="71" t="s">
        <v>2</v>
      </c>
      <c r="E759" s="72">
        <f t="shared" si="2127"/>
        <v>2</v>
      </c>
      <c r="F759" s="72">
        <f>SUMIFS([0]!Otro,[0]!Centro,B759,[0]!Turno,F$744)</f>
        <v>0</v>
      </c>
      <c r="G759" s="72">
        <f>SUMIFS([0]!Otro,[0]!Centro,B759,[0]!Turno,G$744)</f>
        <v>0</v>
      </c>
      <c r="H759" s="72">
        <f>SUMIFS([0]!Otro,[0]!Centro,B759,[0]!Turno,H$744)</f>
        <v>0</v>
      </c>
      <c r="I759" s="72">
        <f>SUMIFS([0]!Otro,[0]!Centro,B759,[0]!Turno,I$744)</f>
        <v>2</v>
      </c>
      <c r="J759" s="72">
        <f>SUMIFS([0]!Otro,[0]!Centro,B759,[0]!Turno,J$744)</f>
        <v>0</v>
      </c>
      <c r="K759" s="72">
        <f>SUMIFS([0]!Otro,[0]!Centro,B759,[0]!Turno,K$744)</f>
        <v>0</v>
      </c>
      <c r="L759" s="72">
        <f>SUMIFS([0]!Otro,[0]!Centro,B759,[0]!Turno,L$744)</f>
        <v>0</v>
      </c>
      <c r="M759" s="72">
        <f>SUMIFS([0]!Otro,[0]!Centro,B759,[0]!Turno,M$744)</f>
        <v>0</v>
      </c>
      <c r="N759" s="72">
        <f>SUMIFS([0]!Otro,[0]!Centro,B759,[0]!Turno,N$744)</f>
        <v>0</v>
      </c>
      <c r="O759" s="72">
        <f>SUMIFS([0]!Otro,[0]!Centro,B759,[0]!Turno,O$744)</f>
        <v>0</v>
      </c>
      <c r="P759" s="72">
        <f>SUMIFS([0]!Otro,[0]!Centro,B759,[0]!Turno,P$744)</f>
        <v>0</v>
      </c>
      <c r="Q759" s="72">
        <f>SUMIFS([0]!Otro,[0]!Centro,B759,[0]!Turno,Q$744)</f>
        <v>0</v>
      </c>
      <c r="R759" s="72">
        <f>SUMIFS([0]!Otro,[0]!Centro,B759,[0]!Turno,R$744)</f>
        <v>0</v>
      </c>
      <c r="S759" s="72">
        <f>SUMIFS([0]!Otro,[0]!Centro,B759,[0]!Turno,S$744)</f>
        <v>0</v>
      </c>
      <c r="T759" s="72">
        <f>SUMIFS([0]!Otro,[0]!Centro,B759,[0]!Turno,T$744)</f>
        <v>0</v>
      </c>
      <c r="U759" s="72">
        <f>SUMIFS([0]!Otro,[0]!Centro,B759,[0]!Turno,U$744)</f>
        <v>0</v>
      </c>
      <c r="V759" s="72">
        <f>SUMIFS([0]!Otro,[0]!Centro,B759,[0]!Turno,V$744)</f>
        <v>0</v>
      </c>
      <c r="W759" s="72">
        <f>SUMIFS([0]!Otro,[0]!Centro,B759,[0]!Turno,W$744)</f>
        <v>0</v>
      </c>
      <c r="X759" s="72">
        <f>SUMIFS([0]!Otro,[0]!Centro,B759,[0]!Turno,X$744)</f>
        <v>0</v>
      </c>
      <c r="Y759" s="73">
        <f>SUMIFS([0]!Otro,[0]!Centro,B759,[0]!Turno,Y$744)</f>
        <v>0</v>
      </c>
    </row>
    <row r="760" spans="2:25" ht="15" customHeight="1" x14ac:dyDescent="0.2">
      <c r="B760" s="251"/>
      <c r="C760" s="94">
        <f>E760/SUM(E760:E762)</f>
        <v>0.43059490084985835</v>
      </c>
      <c r="D760" s="63" t="s">
        <v>0</v>
      </c>
      <c r="E760" s="150">
        <f>IF((E757+E758+E759)=0,0,(E757*$B761)/(E757+E758+E759))</f>
        <v>8.6751392689459125E-2</v>
      </c>
      <c r="F760" s="150">
        <f>IF((F757+F758+F759)=0,0,(F757*$B761)/(F757+F758+F759))</f>
        <v>0.10744997059431252</v>
      </c>
      <c r="G760" s="150">
        <f t="shared" ref="G760:Y760" si="2140">IF((G757+G758+G759)=0,0,(G757*$B761)/(G757+G758+G759))</f>
        <v>0.1171329621304279</v>
      </c>
      <c r="H760" s="150">
        <f t="shared" si="2140"/>
        <v>0.10297288848621619</v>
      </c>
      <c r="I760" s="150">
        <f t="shared" si="2140"/>
        <v>4.4770821080963558E-2</v>
      </c>
      <c r="J760" s="150">
        <f t="shared" si="2140"/>
        <v>6.0909140307822504E-2</v>
      </c>
      <c r="K760" s="150">
        <f t="shared" si="2140"/>
        <v>0</v>
      </c>
      <c r="L760" s="150">
        <f t="shared" si="2140"/>
        <v>7.3261343587031277E-2</v>
      </c>
      <c r="M760" s="150">
        <f t="shared" si="2140"/>
        <v>0.1057710648037764</v>
      </c>
      <c r="N760" s="150">
        <f t="shared" si="2140"/>
        <v>0.10331727941760821</v>
      </c>
      <c r="O760" s="150">
        <f t="shared" si="2140"/>
        <v>0</v>
      </c>
      <c r="P760" s="150">
        <f t="shared" si="2140"/>
        <v>0</v>
      </c>
      <c r="Q760" s="150">
        <f t="shared" si="2140"/>
        <v>0</v>
      </c>
      <c r="R760" s="150">
        <f t="shared" si="2140"/>
        <v>0</v>
      </c>
      <c r="S760" s="150">
        <f t="shared" si="2140"/>
        <v>0</v>
      </c>
      <c r="T760" s="150">
        <f t="shared" si="2140"/>
        <v>0</v>
      </c>
      <c r="U760" s="150">
        <f t="shared" si="2140"/>
        <v>0</v>
      </c>
      <c r="V760" s="150">
        <f t="shared" si="2140"/>
        <v>0</v>
      </c>
      <c r="W760" s="150">
        <f t="shared" si="2140"/>
        <v>0</v>
      </c>
      <c r="X760" s="150">
        <f t="shared" si="2140"/>
        <v>0</v>
      </c>
      <c r="Y760" s="163">
        <f t="shared" si="2140"/>
        <v>0</v>
      </c>
    </row>
    <row r="761" spans="2:25" ht="15" customHeight="1" x14ac:dyDescent="0.2">
      <c r="B761" s="252">
        <v>0.201468694864336</v>
      </c>
      <c r="C761" s="92">
        <f>E761/SUM(E760:E762)</f>
        <v>0.5637393767705382</v>
      </c>
      <c r="D761" s="61" t="s">
        <v>1</v>
      </c>
      <c r="E761" s="154">
        <f>IF((E757+E758+E759)=0,0,(E758*$B761)/(E757+E758+E759))</f>
        <v>0.11357583648159451</v>
      </c>
      <c r="F761" s="154">
        <f>IF((F757+F758+F759)=0,0,(F758*$B761)/(F757+F758+F759))</f>
        <v>9.4018724270023474E-2</v>
      </c>
      <c r="G761" s="154">
        <f t="shared" ref="G761:O761" si="2141">IF((G757+G758+G759)=0,0,(G758*$B761)/(G757+G758+G759))</f>
        <v>8.4335732733908098E-2</v>
      </c>
      <c r="H761" s="154">
        <f t="shared" si="2141"/>
        <v>9.8495806378119832E-2</v>
      </c>
      <c r="I761" s="154">
        <f t="shared" si="2141"/>
        <v>0.14774370956717972</v>
      </c>
      <c r="J761" s="154">
        <f t="shared" si="2141"/>
        <v>0.14055955455651348</v>
      </c>
      <c r="K761" s="154">
        <f t="shared" si="2141"/>
        <v>0</v>
      </c>
      <c r="L761" s="154">
        <f t="shared" si="2141"/>
        <v>0.12820735127730473</v>
      </c>
      <c r="M761" s="154">
        <f t="shared" si="2141"/>
        <v>9.5697630060559605E-2</v>
      </c>
      <c r="N761" s="154">
        <f t="shared" si="2141"/>
        <v>9.8151415446727799E-2</v>
      </c>
      <c r="O761" s="154">
        <f t="shared" si="2141"/>
        <v>0</v>
      </c>
      <c r="P761" s="154">
        <f>IF((P757+P758+P759)=0,0,(P758*$B761)/(P757+P758+P759))</f>
        <v>0.201468694864336</v>
      </c>
      <c r="Q761" s="154">
        <f t="shared" ref="Q761:Y761" si="2142">IF((Q757+Q758+Q759)=0,0,(Q758*$B761)/(Q757+Q758+Q759))</f>
        <v>0</v>
      </c>
      <c r="R761" s="154">
        <f t="shared" si="2142"/>
        <v>0</v>
      </c>
      <c r="S761" s="154">
        <f t="shared" si="2142"/>
        <v>0</v>
      </c>
      <c r="T761" s="154">
        <f t="shared" si="2142"/>
        <v>0</v>
      </c>
      <c r="U761" s="154">
        <f t="shared" si="2142"/>
        <v>0</v>
      </c>
      <c r="V761" s="154">
        <f t="shared" si="2142"/>
        <v>0</v>
      </c>
      <c r="W761" s="154">
        <f t="shared" si="2142"/>
        <v>0</v>
      </c>
      <c r="X761" s="154">
        <f t="shared" si="2142"/>
        <v>0</v>
      </c>
      <c r="Y761" s="159">
        <f t="shared" si="2142"/>
        <v>0</v>
      </c>
    </row>
    <row r="762" spans="2:25" ht="15" customHeight="1" thickBot="1" x14ac:dyDescent="0.25">
      <c r="B762" s="253"/>
      <c r="C762" s="93">
        <f>E762/SUM(E760:E762)</f>
        <v>5.6657223796033997E-3</v>
      </c>
      <c r="D762" s="75" t="s">
        <v>2</v>
      </c>
      <c r="E762" s="155">
        <f>IF((E757+E758+E759)=0,0,(E759*$B761)/(E757+E758+E759))</f>
        <v>1.141465693282357E-3</v>
      </c>
      <c r="F762" s="155">
        <f>IF((F757+F758+F759)=0,0,(F759*$B761)/(F757+F758+F759))</f>
        <v>0</v>
      </c>
      <c r="G762" s="155">
        <f t="shared" ref="G762:Y762" si="2143">IF((G757+G758+G759)=0,0,(G759*$B761)/(G757+G758+G759))</f>
        <v>0</v>
      </c>
      <c r="H762" s="155">
        <f t="shared" si="2143"/>
        <v>0</v>
      </c>
      <c r="I762" s="155">
        <f t="shared" si="2143"/>
        <v>8.9541642161927101E-3</v>
      </c>
      <c r="J762" s="155">
        <f t="shared" si="2143"/>
        <v>0</v>
      </c>
      <c r="K762" s="155">
        <f t="shared" si="2143"/>
        <v>0</v>
      </c>
      <c r="L762" s="155">
        <f t="shared" si="2143"/>
        <v>0</v>
      </c>
      <c r="M762" s="155">
        <f t="shared" si="2143"/>
        <v>0</v>
      </c>
      <c r="N762" s="155">
        <f t="shared" si="2143"/>
        <v>0</v>
      </c>
      <c r="O762" s="155">
        <f t="shared" si="2143"/>
        <v>0</v>
      </c>
      <c r="P762" s="155">
        <f t="shared" si="2143"/>
        <v>0</v>
      </c>
      <c r="Q762" s="155">
        <f t="shared" si="2143"/>
        <v>0</v>
      </c>
      <c r="R762" s="155">
        <f t="shared" si="2143"/>
        <v>0</v>
      </c>
      <c r="S762" s="155">
        <f t="shared" si="2143"/>
        <v>0</v>
      </c>
      <c r="T762" s="155">
        <f t="shared" si="2143"/>
        <v>0</v>
      </c>
      <c r="U762" s="155">
        <f t="shared" si="2143"/>
        <v>0</v>
      </c>
      <c r="V762" s="155">
        <f t="shared" si="2143"/>
        <v>0</v>
      </c>
      <c r="W762" s="155">
        <f t="shared" si="2143"/>
        <v>0</v>
      </c>
      <c r="X762" s="155">
        <f t="shared" si="2143"/>
        <v>0</v>
      </c>
      <c r="Y762" s="160">
        <f t="shared" si="2143"/>
        <v>0</v>
      </c>
    </row>
    <row r="763" spans="2:25" ht="15" customHeight="1" x14ac:dyDescent="0.2">
      <c r="B763" s="249" t="s">
        <v>130</v>
      </c>
      <c r="C763" s="91">
        <f>E763/SUM(E763:E765)</f>
        <v>0.51381215469613262</v>
      </c>
      <c r="D763" s="67" t="s">
        <v>0</v>
      </c>
      <c r="E763" s="68">
        <f t="shared" si="2127"/>
        <v>93</v>
      </c>
      <c r="F763" s="68">
        <f>SUMIFS([0]!Chavez,[0]!Centro,B765,[0]!Turno,F$744)</f>
        <v>13</v>
      </c>
      <c r="G763" s="68">
        <f>SUMIFS([0]!Chavez,[0]!Centro,B765,[0]!Turno,G$744)</f>
        <v>10</v>
      </c>
      <c r="H763" s="68">
        <f>SUMIFS([0]!Chavez,[0]!Centro,B765,[0]!Turno,H$744)</f>
        <v>9</v>
      </c>
      <c r="I763" s="68">
        <f>SUMIFS([0]!Chavez,[0]!Centro,B765,[0]!Turno,I$744)</f>
        <v>11</v>
      </c>
      <c r="J763" s="68">
        <f>SUMIFS([0]!Chavez,[0]!Centro,B765,[0]!Turno,J$744)</f>
        <v>11</v>
      </c>
      <c r="K763" s="68">
        <f>SUMIFS([0]!Chavez,[0]!Centro,B765,[0]!Turno,K$744)</f>
        <v>13</v>
      </c>
      <c r="L763" s="68">
        <f>SUMIFS([0]!Chavez,[0]!Centro,B765,[0]!Turno,L$744)</f>
        <v>9</v>
      </c>
      <c r="M763" s="68">
        <f>SUMIFS([0]!Chavez,[0]!Centro,B765,[0]!Turno,M$744)</f>
        <v>6</v>
      </c>
      <c r="N763" s="68">
        <f>SUMIFS([0]!Chavez,[0]!Centro,B765,[0]!Turno,N$744)</f>
        <v>11</v>
      </c>
      <c r="O763" s="68">
        <f>SUMIFS([0]!Chavez,[0]!Centro,B765,[0]!Turno,O$744)</f>
        <v>0</v>
      </c>
      <c r="P763" s="68">
        <f>SUMIFS([0]!Chavez,[0]!Centro,B765,[0]!Turno,P$744)</f>
        <v>0</v>
      </c>
      <c r="Q763" s="68">
        <f>SUMIFS([0]!Chavez,[0]!Centro,B765,[0]!Turno,Q$744)</f>
        <v>0</v>
      </c>
      <c r="R763" s="68">
        <f>SUMIFS([0]!Chavez,[0]!Centro,B765,[0]!Turno,R$744)</f>
        <v>0</v>
      </c>
      <c r="S763" s="68">
        <f>SUMIFS([0]!Chavez,[0]!Centro,B765,[0]!Turno,S$744)</f>
        <v>0</v>
      </c>
      <c r="T763" s="68">
        <f>SUMIFS([0]!Chavez,[0]!Centro,B765,[0]!Turno,T$744)</f>
        <v>0</v>
      </c>
      <c r="U763" s="68">
        <f>SUMIFS([0]!Chavez,[0]!Centro,B765,[0]!Turno,U$744)</f>
        <v>0</v>
      </c>
      <c r="V763" s="68">
        <f>SUMIFS([0]!Chavez,[0]!Centro,B765,[0]!Turno,V$744)</f>
        <v>0</v>
      </c>
      <c r="W763" s="68">
        <f>SUMIFS([0]!Chavez,[0]!Centro,B765,[0]!Turno,W$744)</f>
        <v>0</v>
      </c>
      <c r="X763" s="68">
        <f>SUMIFS([0]!Chavez,[0]!Centro,B765,[0]!Turno,X$744)</f>
        <v>0</v>
      </c>
      <c r="Y763" s="69">
        <f>SUMIFS([0]!Chavez,[0]!Centro,B765,[0]!Turno,Y$744)</f>
        <v>0</v>
      </c>
    </row>
    <row r="764" spans="2:25" ht="15" customHeight="1" x14ac:dyDescent="0.2">
      <c r="B764" s="250"/>
      <c r="C764" s="92">
        <f>E764/SUM(E763:E765)</f>
        <v>0.48618784530386738</v>
      </c>
      <c r="D764" s="61" t="s">
        <v>1</v>
      </c>
      <c r="E764" s="62">
        <f t="shared" si="2127"/>
        <v>88</v>
      </c>
      <c r="F764" s="62">
        <f>SUMIFS([0]!Capriles,[0]!Centro,B765,[0]!Turno,F$744)</f>
        <v>10</v>
      </c>
      <c r="G764" s="62">
        <f>SUMIFS([0]!Capriles,[0]!Centro,B765,[0]!Turno,G$744)</f>
        <v>10</v>
      </c>
      <c r="H764" s="62">
        <f>SUMIFS([0]!Capriles,[0]!Centro,B765,[0]!Turno,H$744)</f>
        <v>11</v>
      </c>
      <c r="I764" s="62">
        <f>SUMIFS([0]!Capriles,[0]!Centro,B765,[0]!Turno,I$744)</f>
        <v>9</v>
      </c>
      <c r="J764" s="62">
        <f>SUMIFS([0]!Capriles,[0]!Centro,B765,[0]!Turno,J$744)</f>
        <v>9</v>
      </c>
      <c r="K764" s="62">
        <f>SUMIFS([0]!Capriles,[0]!Centro,B765,[0]!Turno,K$744)</f>
        <v>5</v>
      </c>
      <c r="L764" s="62">
        <f>SUMIFS([0]!Capriles,[0]!Centro,B765,[0]!Turno,L$744)</f>
        <v>11</v>
      </c>
      <c r="M764" s="62">
        <f>SUMIFS([0]!Capriles,[0]!Centro,B765,[0]!Turno,M$744)</f>
        <v>14</v>
      </c>
      <c r="N764" s="62">
        <f>SUMIFS([0]!Capriles,[0]!Centro,B765,[0]!Turno,N$744)</f>
        <v>9</v>
      </c>
      <c r="O764" s="62">
        <f>SUMIFS([0]!Capriles,[0]!Centro,B765,[0]!Turno,O$744)</f>
        <v>0</v>
      </c>
      <c r="P764" s="62">
        <f>SUMIFS([0]!Capriles,[0]!Centro,B765,[0]!Turno,P$744)</f>
        <v>0</v>
      </c>
      <c r="Q764" s="62">
        <f>SUMIFS([0]!Capriles,[0]!Centro,B765,[0]!Turno,Q$744)</f>
        <v>0</v>
      </c>
      <c r="R764" s="62">
        <f>SUMIFS([0]!Capriles,[0]!Centro,B765,[0]!Turno,R$744)</f>
        <v>0</v>
      </c>
      <c r="S764" s="62">
        <f>SUMIFS([0]!Capriles,[0]!Centro,B765,[0]!Turno,S$744)</f>
        <v>0</v>
      </c>
      <c r="T764" s="62">
        <f>SUMIFS([0]!Capriles,[0]!Centro,B765,[0]!Turno,T$744)</f>
        <v>0</v>
      </c>
      <c r="U764" s="62">
        <f>SUMIFS([0]!Capriles,[0]!Centro,B765,[0]!Turno,U$744)</f>
        <v>0</v>
      </c>
      <c r="V764" s="62">
        <f>SUMIFS([0]!Capriles,[0]!Centro,B765,[0]!Turno,V$744)</f>
        <v>0</v>
      </c>
      <c r="W764" s="62">
        <f>SUMIFS([0]!Capriles,[0]!Centro,B765,[0]!Turno,W$744)</f>
        <v>0</v>
      </c>
      <c r="X764" s="62">
        <f>SUMIFS([0]!Capriles,[0]!Centro,B765,[0]!Turno,X$744)</f>
        <v>0</v>
      </c>
      <c r="Y764" s="70">
        <f>SUMIFS([0]!Capriles,[0]!Centro,B765,[0]!Turno,Y$744)</f>
        <v>0</v>
      </c>
    </row>
    <row r="765" spans="2:25" ht="15" customHeight="1" thickBot="1" x14ac:dyDescent="0.25">
      <c r="B765" s="251">
        <v>106</v>
      </c>
      <c r="C765" s="100">
        <f>E765/SUM(E763:E765)</f>
        <v>0</v>
      </c>
      <c r="D765" s="71" t="s">
        <v>2</v>
      </c>
      <c r="E765" s="72">
        <f t="shared" si="2127"/>
        <v>0</v>
      </c>
      <c r="F765" s="72">
        <f>SUMIFS([0]!Otro,[0]!Centro,B765,[0]!Turno,F$744)</f>
        <v>0</v>
      </c>
      <c r="G765" s="72">
        <f>SUMIFS([0]!Otro,[0]!Centro,B765,[0]!Turno,G$744)</f>
        <v>0</v>
      </c>
      <c r="H765" s="72">
        <f>SUMIFS([0]!Otro,[0]!Centro,B765,[0]!Turno,H$744)</f>
        <v>0</v>
      </c>
      <c r="I765" s="72">
        <f>SUMIFS([0]!Otro,[0]!Centro,B765,[0]!Turno,I$744)</f>
        <v>0</v>
      </c>
      <c r="J765" s="72">
        <f>SUMIFS([0]!Otro,[0]!Centro,B765,[0]!Turno,J$744)</f>
        <v>0</v>
      </c>
      <c r="K765" s="72">
        <f>SUMIFS([0]!Otro,[0]!Centro,B765,[0]!Turno,K$744)</f>
        <v>0</v>
      </c>
      <c r="L765" s="72">
        <f>SUMIFS([0]!Otro,[0]!Centro,B765,[0]!Turno,L$744)</f>
        <v>0</v>
      </c>
      <c r="M765" s="72">
        <f>SUMIFS([0]!Otro,[0]!Centro,B765,[0]!Turno,M$744)</f>
        <v>0</v>
      </c>
      <c r="N765" s="72">
        <f>SUMIFS([0]!Otro,[0]!Centro,B765,[0]!Turno,N$744)</f>
        <v>0</v>
      </c>
      <c r="O765" s="72">
        <f>SUMIFS([0]!Otro,[0]!Centro,B765,[0]!Turno,O$744)</f>
        <v>0</v>
      </c>
      <c r="P765" s="72">
        <f>SUMIFS([0]!Otro,[0]!Centro,B765,[0]!Turno,P$744)</f>
        <v>0</v>
      </c>
      <c r="Q765" s="72">
        <f>SUMIFS([0]!Otro,[0]!Centro,B765,[0]!Turno,Q$744)</f>
        <v>0</v>
      </c>
      <c r="R765" s="72">
        <f>SUMIFS([0]!Otro,[0]!Centro,B765,[0]!Turno,R$744)</f>
        <v>0</v>
      </c>
      <c r="S765" s="72">
        <f>SUMIFS([0]!Otro,[0]!Centro,B765,[0]!Turno,S$744)</f>
        <v>0</v>
      </c>
      <c r="T765" s="72">
        <f>SUMIFS([0]!Otro,[0]!Centro,B765,[0]!Turno,T$744)</f>
        <v>0</v>
      </c>
      <c r="U765" s="72">
        <f>SUMIFS([0]!Otro,[0]!Centro,B765,[0]!Turno,U$744)</f>
        <v>0</v>
      </c>
      <c r="V765" s="72">
        <f>SUMIFS([0]!Otro,[0]!Centro,B765,[0]!Turno,V$744)</f>
        <v>0</v>
      </c>
      <c r="W765" s="72">
        <f>SUMIFS([0]!Otro,[0]!Centro,B765,[0]!Turno,W$744)</f>
        <v>0</v>
      </c>
      <c r="X765" s="72">
        <f>SUMIFS([0]!Otro,[0]!Centro,B765,[0]!Turno,X$744)</f>
        <v>0</v>
      </c>
      <c r="Y765" s="73">
        <f>SUMIFS([0]!Otro,[0]!Centro,B765,[0]!Turno,Y$744)</f>
        <v>0</v>
      </c>
    </row>
    <row r="766" spans="2:25" ht="15" customHeight="1" x14ac:dyDescent="0.2">
      <c r="B766" s="251"/>
      <c r="C766" s="94">
        <f>E766/SUM(E766:E768)</f>
        <v>0.51381215469613251</v>
      </c>
      <c r="D766" s="63" t="s">
        <v>0</v>
      </c>
      <c r="E766" s="150">
        <f>IF((E763+E764+E765)=0,0,(E763*$B767)/(E763+E764+E765))</f>
        <v>9.3882694974810915E-2</v>
      </c>
      <c r="F766" s="150">
        <f>IF((F763+F764+F765)=0,0,(F763*$B767)/(F763+F764+F765))</f>
        <v>0.10327535356509122</v>
      </c>
      <c r="G766" s="150">
        <f t="shared" ref="G766:Y766" si="2144">IF((G763+G764+G765)=0,0,(G763*$B767)/(G763+G764+G765))</f>
        <v>9.1358966615272999E-2</v>
      </c>
      <c r="H766" s="150">
        <f t="shared" si="2144"/>
        <v>8.2223069953745703E-2</v>
      </c>
      <c r="I766" s="150">
        <f t="shared" si="2144"/>
        <v>0.10049486327680031</v>
      </c>
      <c r="J766" s="150">
        <f t="shared" si="2144"/>
        <v>0.10049486327680031</v>
      </c>
      <c r="K766" s="150">
        <f t="shared" si="2144"/>
        <v>0.13196295177761655</v>
      </c>
      <c r="L766" s="150">
        <f t="shared" si="2144"/>
        <v>8.2223069953745703E-2</v>
      </c>
      <c r="M766" s="150">
        <f t="shared" si="2144"/>
        <v>5.4815379969163802E-2</v>
      </c>
      <c r="N766" s="150">
        <f t="shared" si="2144"/>
        <v>0.10049486327680031</v>
      </c>
      <c r="O766" s="150">
        <f t="shared" si="2144"/>
        <v>0</v>
      </c>
      <c r="P766" s="150">
        <f t="shared" si="2144"/>
        <v>0</v>
      </c>
      <c r="Q766" s="150">
        <f t="shared" si="2144"/>
        <v>0</v>
      </c>
      <c r="R766" s="150">
        <f t="shared" si="2144"/>
        <v>0</v>
      </c>
      <c r="S766" s="150">
        <f t="shared" si="2144"/>
        <v>0</v>
      </c>
      <c r="T766" s="150">
        <f t="shared" si="2144"/>
        <v>0</v>
      </c>
      <c r="U766" s="150">
        <f t="shared" si="2144"/>
        <v>0</v>
      </c>
      <c r="V766" s="150">
        <f t="shared" si="2144"/>
        <v>0</v>
      </c>
      <c r="W766" s="150">
        <f t="shared" si="2144"/>
        <v>0</v>
      </c>
      <c r="X766" s="150">
        <f t="shared" si="2144"/>
        <v>0</v>
      </c>
      <c r="Y766" s="163">
        <f t="shared" si="2144"/>
        <v>0</v>
      </c>
    </row>
    <row r="767" spans="2:25" ht="15" customHeight="1" x14ac:dyDescent="0.2">
      <c r="B767" s="252">
        <v>0.182717933230546</v>
      </c>
      <c r="C767" s="92">
        <f>E767/SUM(E766:E768)</f>
        <v>0.48618784530386749</v>
      </c>
      <c r="D767" s="61" t="s">
        <v>1</v>
      </c>
      <c r="E767" s="154">
        <f>IF((E763+E764+E765)=0,0,(E764*$B767)/(E763+E764+E765))</f>
        <v>8.8835238255735083E-2</v>
      </c>
      <c r="F767" s="154">
        <f>IF((F763+F764+F765)=0,0,(F764*$B767)/(F763+F764+F765))</f>
        <v>7.9442579665454774E-2</v>
      </c>
      <c r="G767" s="154">
        <f t="shared" ref="G767:O767" si="2145">IF((G763+G764+G765)=0,0,(G764*$B767)/(G763+G764+G765))</f>
        <v>9.1358966615272999E-2</v>
      </c>
      <c r="H767" s="154">
        <f t="shared" si="2145"/>
        <v>0.10049486327680031</v>
      </c>
      <c r="I767" s="154">
        <f t="shared" si="2145"/>
        <v>8.2223069953745703E-2</v>
      </c>
      <c r="J767" s="154">
        <f t="shared" si="2145"/>
        <v>8.2223069953745703E-2</v>
      </c>
      <c r="K767" s="154">
        <f t="shared" si="2145"/>
        <v>5.0754981452929442E-2</v>
      </c>
      <c r="L767" s="154">
        <f t="shared" si="2145"/>
        <v>0.10049486327680031</v>
      </c>
      <c r="M767" s="154">
        <f t="shared" si="2145"/>
        <v>0.1279025532613822</v>
      </c>
      <c r="N767" s="154">
        <f t="shared" si="2145"/>
        <v>8.2223069953745703E-2</v>
      </c>
      <c r="O767" s="154">
        <f t="shared" si="2145"/>
        <v>0</v>
      </c>
      <c r="P767" s="154">
        <f>IF((P763+P764+P765)=0,0,(P764*$B767)/(P763+P764+P765))</f>
        <v>0</v>
      </c>
      <c r="Q767" s="154">
        <f t="shared" ref="Q767:Y767" si="2146">IF((Q763+Q764+Q765)=0,0,(Q764*$B767)/(Q763+Q764+Q765))</f>
        <v>0</v>
      </c>
      <c r="R767" s="154">
        <f t="shared" si="2146"/>
        <v>0</v>
      </c>
      <c r="S767" s="154">
        <f t="shared" si="2146"/>
        <v>0</v>
      </c>
      <c r="T767" s="154">
        <f t="shared" si="2146"/>
        <v>0</v>
      </c>
      <c r="U767" s="154">
        <f t="shared" si="2146"/>
        <v>0</v>
      </c>
      <c r="V767" s="154">
        <f t="shared" si="2146"/>
        <v>0</v>
      </c>
      <c r="W767" s="154">
        <f t="shared" si="2146"/>
        <v>0</v>
      </c>
      <c r="X767" s="154">
        <f t="shared" si="2146"/>
        <v>0</v>
      </c>
      <c r="Y767" s="159">
        <f t="shared" si="2146"/>
        <v>0</v>
      </c>
    </row>
    <row r="768" spans="2:25" ht="15" customHeight="1" thickBot="1" x14ac:dyDescent="0.25">
      <c r="B768" s="253"/>
      <c r="C768" s="93">
        <f>E768/SUM(E766:E768)</f>
        <v>0</v>
      </c>
      <c r="D768" s="75" t="s">
        <v>2</v>
      </c>
      <c r="E768" s="155">
        <f>IF((E763+E764+E765)=0,0,(E765*$B767)/(E763+E764+E765))</f>
        <v>0</v>
      </c>
      <c r="F768" s="155">
        <f>IF((F763+F764+F765)=0,0,(F765*$B767)/(F763+F764+F765))</f>
        <v>0</v>
      </c>
      <c r="G768" s="155">
        <f t="shared" ref="G768:Y768" si="2147">IF((G763+G764+G765)=0,0,(G765*$B767)/(G763+G764+G765))</f>
        <v>0</v>
      </c>
      <c r="H768" s="155">
        <f t="shared" si="2147"/>
        <v>0</v>
      </c>
      <c r="I768" s="155">
        <f t="shared" si="2147"/>
        <v>0</v>
      </c>
      <c r="J768" s="155">
        <f t="shared" si="2147"/>
        <v>0</v>
      </c>
      <c r="K768" s="155">
        <f t="shared" si="2147"/>
        <v>0</v>
      </c>
      <c r="L768" s="155">
        <f t="shared" si="2147"/>
        <v>0</v>
      </c>
      <c r="M768" s="155">
        <f t="shared" si="2147"/>
        <v>0</v>
      </c>
      <c r="N768" s="155">
        <f t="shared" si="2147"/>
        <v>0</v>
      </c>
      <c r="O768" s="155">
        <f t="shared" si="2147"/>
        <v>0</v>
      </c>
      <c r="P768" s="155">
        <f t="shared" si="2147"/>
        <v>0</v>
      </c>
      <c r="Q768" s="155">
        <f t="shared" si="2147"/>
        <v>0</v>
      </c>
      <c r="R768" s="155">
        <f t="shared" si="2147"/>
        <v>0</v>
      </c>
      <c r="S768" s="155">
        <f t="shared" si="2147"/>
        <v>0</v>
      </c>
      <c r="T768" s="155">
        <f t="shared" si="2147"/>
        <v>0</v>
      </c>
      <c r="U768" s="155">
        <f t="shared" si="2147"/>
        <v>0</v>
      </c>
      <c r="V768" s="155">
        <f t="shared" si="2147"/>
        <v>0</v>
      </c>
      <c r="W768" s="155">
        <f t="shared" si="2147"/>
        <v>0</v>
      </c>
      <c r="X768" s="155">
        <f t="shared" si="2147"/>
        <v>0</v>
      </c>
      <c r="Y768" s="160">
        <f t="shared" si="2147"/>
        <v>0</v>
      </c>
    </row>
    <row r="769" spans="2:25" ht="15" customHeight="1" x14ac:dyDescent="0.2">
      <c r="B769" s="249" t="s">
        <v>131</v>
      </c>
      <c r="C769" s="91">
        <f>E769/SUM(E769:E771)</f>
        <v>0.65789473684210531</v>
      </c>
      <c r="D769" s="67" t="s">
        <v>0</v>
      </c>
      <c r="E769" s="68">
        <f t="shared" si="2127"/>
        <v>25</v>
      </c>
      <c r="F769" s="68">
        <f>SUMIFS([0]!Chavez,[0]!Centro,B771,[0]!Turno,F$744)</f>
        <v>2</v>
      </c>
      <c r="G769" s="68">
        <f>SUMIFS([0]!Chavez,[0]!Centro,B771,[0]!Turno,G$744)</f>
        <v>8</v>
      </c>
      <c r="H769" s="68">
        <f>SUMIFS([0]!Chavez,[0]!Centro,B771,[0]!Turno,H$744)</f>
        <v>1</v>
      </c>
      <c r="I769" s="68">
        <f>SUMIFS([0]!Chavez,[0]!Centro,B771,[0]!Turno,I$744)</f>
        <v>0</v>
      </c>
      <c r="J769" s="68">
        <f>SUMIFS([0]!Chavez,[0]!Centro,B771,[0]!Turno,J$744)</f>
        <v>0</v>
      </c>
      <c r="K769" s="68">
        <f>SUMIFS([0]!Chavez,[0]!Centro,B771,[0]!Turno,K$744)</f>
        <v>0</v>
      </c>
      <c r="L769" s="68">
        <f>SUMIFS([0]!Chavez,[0]!Centro,B771,[0]!Turno,L$744)</f>
        <v>0</v>
      </c>
      <c r="M769" s="68">
        <f>SUMIFS([0]!Chavez,[0]!Centro,B771,[0]!Turno,M$744)</f>
        <v>0</v>
      </c>
      <c r="N769" s="68">
        <f>SUMIFS([0]!Chavez,[0]!Centro,B771,[0]!Turno,N$744)</f>
        <v>0</v>
      </c>
      <c r="O769" s="68">
        <f>SUMIFS([0]!Chavez,[0]!Centro,B771,[0]!Turno,O$744)</f>
        <v>0</v>
      </c>
      <c r="P769" s="68">
        <f>SUMIFS([0]!Chavez,[0]!Centro,B771,[0]!Turno,P$744)</f>
        <v>0</v>
      </c>
      <c r="Q769" s="68">
        <f>SUMIFS([0]!Chavez,[0]!Centro,B771,[0]!Turno,Q$744)</f>
        <v>14</v>
      </c>
      <c r="R769" s="68">
        <f>SUMIFS([0]!Chavez,[0]!Centro,B771,[0]!Turno,R$744)</f>
        <v>0</v>
      </c>
      <c r="S769" s="68">
        <f>SUMIFS([0]!Chavez,[0]!Centro,B771,[0]!Turno,S$744)</f>
        <v>0</v>
      </c>
      <c r="T769" s="68">
        <f>SUMIFS([0]!Chavez,[0]!Centro,B771,[0]!Turno,T$744)</f>
        <v>0</v>
      </c>
      <c r="U769" s="68">
        <f>SUMIFS([0]!Chavez,[0]!Centro,B771,[0]!Turno,U$744)</f>
        <v>0</v>
      </c>
      <c r="V769" s="68">
        <f>SUMIFS([0]!Chavez,[0]!Centro,B771,[0]!Turno,V$744)</f>
        <v>0</v>
      </c>
      <c r="W769" s="68">
        <f>SUMIFS([0]!Chavez,[0]!Centro,B771,[0]!Turno,W$744)</f>
        <v>0</v>
      </c>
      <c r="X769" s="68">
        <f>SUMIFS([0]!Chavez,[0]!Centro,B771,[0]!Turno,X$744)</f>
        <v>0</v>
      </c>
      <c r="Y769" s="69">
        <f>SUMIFS([0]!Chavez,[0]!Centro,B771,[0]!Turno,Y$744)</f>
        <v>0</v>
      </c>
    </row>
    <row r="770" spans="2:25" ht="15" customHeight="1" x14ac:dyDescent="0.2">
      <c r="B770" s="250"/>
      <c r="C770" s="92">
        <f>E770/SUM(E769:E771)</f>
        <v>0.23684210526315788</v>
      </c>
      <c r="D770" s="61" t="s">
        <v>1</v>
      </c>
      <c r="E770" s="62">
        <f t="shared" si="2127"/>
        <v>9</v>
      </c>
      <c r="F770" s="62">
        <f>SUMIFS([0]!Capriles,[0]!Centro,B771,[0]!Turno,F$744)</f>
        <v>2</v>
      </c>
      <c r="G770" s="62">
        <f>SUMIFS([0]!Capriles,[0]!Centro,B771,[0]!Turno,G$744)</f>
        <v>1</v>
      </c>
      <c r="H770" s="62">
        <f>SUMIFS([0]!Capriles,[0]!Centro,B771,[0]!Turno,H$744)</f>
        <v>0</v>
      </c>
      <c r="I770" s="62">
        <f>SUMIFS([0]!Capriles,[0]!Centro,B771,[0]!Turno,I$744)</f>
        <v>0</v>
      </c>
      <c r="J770" s="62">
        <f>SUMIFS([0]!Capriles,[0]!Centro,B771,[0]!Turno,J$744)</f>
        <v>0</v>
      </c>
      <c r="K770" s="62">
        <f>SUMIFS([0]!Capriles,[0]!Centro,B771,[0]!Turno,K$744)</f>
        <v>0</v>
      </c>
      <c r="L770" s="62">
        <f>SUMIFS([0]!Capriles,[0]!Centro,B771,[0]!Turno,L$744)</f>
        <v>0</v>
      </c>
      <c r="M770" s="62">
        <f>SUMIFS([0]!Capriles,[0]!Centro,B771,[0]!Turno,M$744)</f>
        <v>0</v>
      </c>
      <c r="N770" s="62">
        <f>SUMIFS([0]!Capriles,[0]!Centro,B771,[0]!Turno,N$744)</f>
        <v>0</v>
      </c>
      <c r="O770" s="62">
        <f>SUMIFS([0]!Capriles,[0]!Centro,B771,[0]!Turno,O$744)</f>
        <v>0</v>
      </c>
      <c r="P770" s="62">
        <f>SUMIFS([0]!Capriles,[0]!Centro,B771,[0]!Turno,P$744)</f>
        <v>0</v>
      </c>
      <c r="Q770" s="62">
        <f>SUMIFS([0]!Capriles,[0]!Centro,B771,[0]!Turno,Q$744)</f>
        <v>6</v>
      </c>
      <c r="R770" s="62">
        <f>SUMIFS([0]!Capriles,[0]!Centro,B771,[0]!Turno,R$744)</f>
        <v>0</v>
      </c>
      <c r="S770" s="62">
        <f>SUMIFS([0]!Capriles,[0]!Centro,B771,[0]!Turno,S$744)</f>
        <v>0</v>
      </c>
      <c r="T770" s="62">
        <f>SUMIFS([0]!Capriles,[0]!Centro,B771,[0]!Turno,T$744)</f>
        <v>0</v>
      </c>
      <c r="U770" s="62">
        <f>SUMIFS([0]!Capriles,[0]!Centro,B771,[0]!Turno,U$744)</f>
        <v>0</v>
      </c>
      <c r="V770" s="62">
        <f>SUMIFS([0]!Capriles,[0]!Centro,B771,[0]!Turno,V$744)</f>
        <v>0</v>
      </c>
      <c r="W770" s="62">
        <f>SUMIFS([0]!Capriles,[0]!Centro,B771,[0]!Turno,W$744)</f>
        <v>0</v>
      </c>
      <c r="X770" s="62">
        <f>SUMIFS([0]!Capriles,[0]!Centro,B771,[0]!Turno,X$744)</f>
        <v>0</v>
      </c>
      <c r="Y770" s="70">
        <f>SUMIFS([0]!Capriles,[0]!Centro,B771,[0]!Turno,Y$744)</f>
        <v>0</v>
      </c>
    </row>
    <row r="771" spans="2:25" ht="15" customHeight="1" thickBot="1" x14ac:dyDescent="0.25">
      <c r="B771" s="251">
        <v>107</v>
      </c>
      <c r="C771" s="100">
        <f>E771/SUM(E769:E771)</f>
        <v>0.10526315789473684</v>
      </c>
      <c r="D771" s="71" t="s">
        <v>2</v>
      </c>
      <c r="E771" s="72">
        <f t="shared" si="2127"/>
        <v>4</v>
      </c>
      <c r="F771" s="72">
        <f>SUMIFS([0]!Otro,[0]!Centro,B771,[0]!Turno,F$744)</f>
        <v>1</v>
      </c>
      <c r="G771" s="72">
        <f>SUMIFS([0]!Otro,[0]!Centro,B771,[0]!Turno,G$744)</f>
        <v>1</v>
      </c>
      <c r="H771" s="72">
        <f>SUMIFS([0]!Otro,[0]!Centro,B771,[0]!Turno,H$744)</f>
        <v>0</v>
      </c>
      <c r="I771" s="72">
        <f>SUMIFS([0]!Otro,[0]!Centro,B771,[0]!Turno,I$744)</f>
        <v>0</v>
      </c>
      <c r="J771" s="72">
        <f>SUMIFS([0]!Otro,[0]!Centro,B771,[0]!Turno,J$744)</f>
        <v>0</v>
      </c>
      <c r="K771" s="72">
        <f>SUMIFS([0]!Otro,[0]!Centro,B771,[0]!Turno,K$744)</f>
        <v>0</v>
      </c>
      <c r="L771" s="72">
        <f>SUMIFS([0]!Otro,[0]!Centro,B771,[0]!Turno,L$744)</f>
        <v>0</v>
      </c>
      <c r="M771" s="72">
        <f>SUMIFS([0]!Otro,[0]!Centro,B771,[0]!Turno,M$744)</f>
        <v>0</v>
      </c>
      <c r="N771" s="72">
        <f>SUMIFS([0]!Otro,[0]!Centro,B771,[0]!Turno,N$744)</f>
        <v>0</v>
      </c>
      <c r="O771" s="72">
        <f>SUMIFS([0]!Otro,[0]!Centro,B771,[0]!Turno,O$744)</f>
        <v>0</v>
      </c>
      <c r="P771" s="72">
        <f>SUMIFS([0]!Otro,[0]!Centro,B771,[0]!Turno,P$744)</f>
        <v>0</v>
      </c>
      <c r="Q771" s="72">
        <f>SUMIFS([0]!Otro,[0]!Centro,B771,[0]!Turno,Q$744)</f>
        <v>2</v>
      </c>
      <c r="R771" s="72">
        <f>SUMIFS([0]!Otro,[0]!Centro,B771,[0]!Turno,R$744)</f>
        <v>0</v>
      </c>
      <c r="S771" s="72">
        <f>SUMIFS([0]!Otro,[0]!Centro,B771,[0]!Turno,S$744)</f>
        <v>0</v>
      </c>
      <c r="T771" s="72">
        <f>SUMIFS([0]!Otro,[0]!Centro,B771,[0]!Turno,T$744)</f>
        <v>0</v>
      </c>
      <c r="U771" s="72">
        <f>SUMIFS([0]!Otro,[0]!Centro,B771,[0]!Turno,U$744)</f>
        <v>0</v>
      </c>
      <c r="V771" s="72">
        <f>SUMIFS([0]!Otro,[0]!Centro,B771,[0]!Turno,V$744)</f>
        <v>0</v>
      </c>
      <c r="W771" s="72">
        <f>SUMIFS([0]!Otro,[0]!Centro,B771,[0]!Turno,W$744)</f>
        <v>0</v>
      </c>
      <c r="X771" s="72">
        <f>SUMIFS([0]!Otro,[0]!Centro,B771,[0]!Turno,X$744)</f>
        <v>0</v>
      </c>
      <c r="Y771" s="73">
        <f>SUMIFS([0]!Otro,[0]!Centro,B771,[0]!Turno,Y$744)</f>
        <v>0</v>
      </c>
    </row>
    <row r="772" spans="2:25" ht="15" customHeight="1" x14ac:dyDescent="0.2">
      <c r="B772" s="251"/>
      <c r="C772" s="94">
        <f>E772/SUM(E772:E774)</f>
        <v>0.6578947368421052</v>
      </c>
      <c r="D772" s="63" t="s">
        <v>0</v>
      </c>
      <c r="E772" s="150">
        <f>IF((E769+E770+E771)=0,0,(E769*$B773)/(E769+E770+E771))</f>
        <v>0.26489518664175921</v>
      </c>
      <c r="F772" s="150">
        <f>IF((F769+F770+F771)=0,0,(F769*$B773)/(F769+F770+F771))</f>
        <v>0.1610562734781896</v>
      </c>
      <c r="G772" s="150">
        <f t="shared" ref="G772:Y772" si="2148">IF((G769+G770+G771)=0,0,(G769*$B773)/(G769+G770+G771))</f>
        <v>0.3221125469563792</v>
      </c>
      <c r="H772" s="150">
        <f t="shared" si="2148"/>
        <v>0.40264068369547401</v>
      </c>
      <c r="I772" s="150">
        <f t="shared" si="2148"/>
        <v>0</v>
      </c>
      <c r="J772" s="150">
        <f t="shared" si="2148"/>
        <v>0</v>
      </c>
      <c r="K772" s="150">
        <f t="shared" si="2148"/>
        <v>0</v>
      </c>
      <c r="L772" s="150">
        <f t="shared" si="2148"/>
        <v>0</v>
      </c>
      <c r="M772" s="150">
        <f t="shared" si="2148"/>
        <v>0</v>
      </c>
      <c r="N772" s="150">
        <f t="shared" si="2148"/>
        <v>0</v>
      </c>
      <c r="O772" s="150">
        <f t="shared" si="2148"/>
        <v>0</v>
      </c>
      <c r="P772" s="150">
        <f t="shared" si="2148"/>
        <v>0</v>
      </c>
      <c r="Q772" s="150">
        <f t="shared" si="2148"/>
        <v>0.25622588962439258</v>
      </c>
      <c r="R772" s="150">
        <f t="shared" si="2148"/>
        <v>0</v>
      </c>
      <c r="S772" s="150">
        <f t="shared" si="2148"/>
        <v>0</v>
      </c>
      <c r="T772" s="150">
        <f t="shared" si="2148"/>
        <v>0</v>
      </c>
      <c r="U772" s="150">
        <f t="shared" si="2148"/>
        <v>0</v>
      </c>
      <c r="V772" s="150">
        <f t="shared" si="2148"/>
        <v>0</v>
      </c>
      <c r="W772" s="150">
        <f t="shared" si="2148"/>
        <v>0</v>
      </c>
      <c r="X772" s="150">
        <f t="shared" si="2148"/>
        <v>0</v>
      </c>
      <c r="Y772" s="163">
        <f t="shared" si="2148"/>
        <v>0</v>
      </c>
    </row>
    <row r="773" spans="2:25" ht="15" customHeight="1" x14ac:dyDescent="0.2">
      <c r="B773" s="252">
        <v>0.40264068369547401</v>
      </c>
      <c r="C773" s="92">
        <f>E773/SUM(E772:E774)</f>
        <v>0.23684210526315788</v>
      </c>
      <c r="D773" s="61" t="s">
        <v>1</v>
      </c>
      <c r="E773" s="154">
        <f>IF((E769+E770+E771)=0,0,(E770*$B773)/(E769+E770+E771))</f>
        <v>9.5362267191033315E-2</v>
      </c>
      <c r="F773" s="154">
        <f>IF((F769+F770+F771)=0,0,(F770*$B773)/(F769+F770+F771))</f>
        <v>0.1610562734781896</v>
      </c>
      <c r="G773" s="154">
        <f t="shared" ref="G773:O773" si="2149">IF((G769+G770+G771)=0,0,(G770*$B773)/(G769+G770+G771))</f>
        <v>4.02640683695474E-2</v>
      </c>
      <c r="H773" s="154">
        <f t="shared" si="2149"/>
        <v>0</v>
      </c>
      <c r="I773" s="154">
        <f t="shared" si="2149"/>
        <v>0</v>
      </c>
      <c r="J773" s="154">
        <f t="shared" si="2149"/>
        <v>0</v>
      </c>
      <c r="K773" s="154">
        <f t="shared" si="2149"/>
        <v>0</v>
      </c>
      <c r="L773" s="154">
        <f t="shared" si="2149"/>
        <v>0</v>
      </c>
      <c r="M773" s="154">
        <f t="shared" si="2149"/>
        <v>0</v>
      </c>
      <c r="N773" s="154">
        <f t="shared" si="2149"/>
        <v>0</v>
      </c>
      <c r="O773" s="154">
        <f t="shared" si="2149"/>
        <v>0</v>
      </c>
      <c r="P773" s="154">
        <f>IF((P769+P770+P771)=0,0,(P770*$B773)/(P769+P770+P771))</f>
        <v>0</v>
      </c>
      <c r="Q773" s="154">
        <f t="shared" ref="Q773:Y773" si="2150">IF((Q769+Q770+Q771)=0,0,(Q770*$B773)/(Q769+Q770+Q771))</f>
        <v>0.1098110955533111</v>
      </c>
      <c r="R773" s="154">
        <f t="shared" si="2150"/>
        <v>0</v>
      </c>
      <c r="S773" s="154">
        <f t="shared" si="2150"/>
        <v>0</v>
      </c>
      <c r="T773" s="154">
        <f t="shared" si="2150"/>
        <v>0</v>
      </c>
      <c r="U773" s="154">
        <f t="shared" si="2150"/>
        <v>0</v>
      </c>
      <c r="V773" s="154">
        <f t="shared" si="2150"/>
        <v>0</v>
      </c>
      <c r="W773" s="154">
        <f t="shared" si="2150"/>
        <v>0</v>
      </c>
      <c r="X773" s="154">
        <f t="shared" si="2150"/>
        <v>0</v>
      </c>
      <c r="Y773" s="159">
        <f t="shared" si="2150"/>
        <v>0</v>
      </c>
    </row>
    <row r="774" spans="2:25" ht="15" customHeight="1" thickBot="1" x14ac:dyDescent="0.25">
      <c r="B774" s="253"/>
      <c r="C774" s="93">
        <f>E774/SUM(E772:E774)</f>
        <v>0.10526315789473685</v>
      </c>
      <c r="D774" s="75" t="s">
        <v>2</v>
      </c>
      <c r="E774" s="155">
        <f>IF((E769+E770+E771)=0,0,(E771*$B773)/(E769+E770+E771))</f>
        <v>4.2383229862681476E-2</v>
      </c>
      <c r="F774" s="155">
        <f>IF((F769+F770+F771)=0,0,(F771*$B773)/(F769+F770+F771))</f>
        <v>8.0528136739094799E-2</v>
      </c>
      <c r="G774" s="155">
        <f t="shared" ref="G774:Y774" si="2151">IF((G769+G770+G771)=0,0,(G771*$B773)/(G769+G770+G771))</f>
        <v>4.02640683695474E-2</v>
      </c>
      <c r="H774" s="155">
        <f t="shared" si="2151"/>
        <v>0</v>
      </c>
      <c r="I774" s="155">
        <f t="shared" si="2151"/>
        <v>0</v>
      </c>
      <c r="J774" s="155">
        <f t="shared" si="2151"/>
        <v>0</v>
      </c>
      <c r="K774" s="155">
        <f t="shared" si="2151"/>
        <v>0</v>
      </c>
      <c r="L774" s="155">
        <f t="shared" si="2151"/>
        <v>0</v>
      </c>
      <c r="M774" s="155">
        <f t="shared" si="2151"/>
        <v>0</v>
      </c>
      <c r="N774" s="155">
        <f t="shared" si="2151"/>
        <v>0</v>
      </c>
      <c r="O774" s="155">
        <f t="shared" si="2151"/>
        <v>0</v>
      </c>
      <c r="P774" s="155">
        <f t="shared" si="2151"/>
        <v>0</v>
      </c>
      <c r="Q774" s="155">
        <f t="shared" si="2151"/>
        <v>3.6603698517770365E-2</v>
      </c>
      <c r="R774" s="155">
        <f t="shared" si="2151"/>
        <v>0</v>
      </c>
      <c r="S774" s="155">
        <f t="shared" si="2151"/>
        <v>0</v>
      </c>
      <c r="T774" s="155">
        <f t="shared" si="2151"/>
        <v>0</v>
      </c>
      <c r="U774" s="155">
        <f t="shared" si="2151"/>
        <v>0</v>
      </c>
      <c r="V774" s="155">
        <f t="shared" si="2151"/>
        <v>0</v>
      </c>
      <c r="W774" s="155">
        <f t="shared" si="2151"/>
        <v>0</v>
      </c>
      <c r="X774" s="155">
        <f t="shared" si="2151"/>
        <v>0</v>
      </c>
      <c r="Y774" s="160">
        <f t="shared" si="2151"/>
        <v>0</v>
      </c>
    </row>
    <row r="775" spans="2:25" ht="15" customHeight="1" thickBot="1" x14ac:dyDescent="0.25">
      <c r="B775" s="18" t="s">
        <v>3</v>
      </c>
      <c r="C775" s="24" t="s">
        <v>226</v>
      </c>
      <c r="D775" s="25" t="s">
        <v>4</v>
      </c>
      <c r="E775" s="18" t="s">
        <v>225</v>
      </c>
      <c r="F775" s="19">
        <v>1</v>
      </c>
      <c r="G775" s="19">
        <v>2</v>
      </c>
      <c r="H775" s="19">
        <v>3</v>
      </c>
      <c r="I775" s="19">
        <v>4</v>
      </c>
      <c r="J775" s="19">
        <v>5</v>
      </c>
      <c r="K775" s="19">
        <v>6</v>
      </c>
      <c r="L775" s="19">
        <v>7</v>
      </c>
      <c r="M775" s="19">
        <v>8</v>
      </c>
      <c r="N775" s="19">
        <v>9</v>
      </c>
      <c r="O775" s="19">
        <v>10</v>
      </c>
      <c r="P775" s="19">
        <v>11</v>
      </c>
      <c r="Q775" s="19">
        <v>12</v>
      </c>
      <c r="R775" s="19">
        <v>13</v>
      </c>
      <c r="S775" s="19">
        <v>14</v>
      </c>
      <c r="T775" s="19">
        <v>15</v>
      </c>
      <c r="U775" s="19">
        <v>16</v>
      </c>
      <c r="V775" s="19">
        <v>17</v>
      </c>
      <c r="W775" s="19">
        <v>18</v>
      </c>
      <c r="X775" s="19">
        <v>19</v>
      </c>
      <c r="Y775" s="19">
        <v>20</v>
      </c>
    </row>
    <row r="776" spans="2:25" ht="15" customHeight="1" x14ac:dyDescent="0.2">
      <c r="B776" s="246" t="s">
        <v>132</v>
      </c>
      <c r="C776" s="95">
        <f>E776/SUM(E776:E778)</f>
        <v>0.68704799474030243</v>
      </c>
      <c r="D776" s="81" t="s">
        <v>0</v>
      </c>
      <c r="E776" s="82">
        <f>SUM(F776:Y776)</f>
        <v>1045</v>
      </c>
      <c r="F776" s="82">
        <f t="shared" ref="F776:Y776" si="2152">SUM(F782,F788,F794,F800,F806,F812)</f>
        <v>66</v>
      </c>
      <c r="G776" s="82">
        <f t="shared" si="2152"/>
        <v>104</v>
      </c>
      <c r="H776" s="82">
        <f t="shared" si="2152"/>
        <v>87</v>
      </c>
      <c r="I776" s="82">
        <f t="shared" si="2152"/>
        <v>127</v>
      </c>
      <c r="J776" s="82">
        <f t="shared" si="2152"/>
        <v>140</v>
      </c>
      <c r="K776" s="82">
        <f t="shared" si="2152"/>
        <v>158</v>
      </c>
      <c r="L776" s="82">
        <f t="shared" si="2152"/>
        <v>143</v>
      </c>
      <c r="M776" s="82">
        <f t="shared" si="2152"/>
        <v>116</v>
      </c>
      <c r="N776" s="82">
        <f t="shared" si="2152"/>
        <v>29</v>
      </c>
      <c r="O776" s="82">
        <f t="shared" si="2152"/>
        <v>2</v>
      </c>
      <c r="P776" s="82">
        <f t="shared" si="2152"/>
        <v>39</v>
      </c>
      <c r="Q776" s="82">
        <f t="shared" si="2152"/>
        <v>34</v>
      </c>
      <c r="R776" s="82">
        <f t="shared" si="2152"/>
        <v>0</v>
      </c>
      <c r="S776" s="82">
        <f t="shared" ref="S776:S781" si="2153">SUM(S782,S788,S794,S800,S806,S812)</f>
        <v>0</v>
      </c>
      <c r="T776" s="82">
        <f t="shared" si="2152"/>
        <v>0</v>
      </c>
      <c r="U776" s="82">
        <f t="shared" si="2152"/>
        <v>0</v>
      </c>
      <c r="V776" s="82">
        <f t="shared" si="2152"/>
        <v>0</v>
      </c>
      <c r="W776" s="82">
        <f t="shared" si="2152"/>
        <v>0</v>
      </c>
      <c r="X776" s="82">
        <f t="shared" si="2152"/>
        <v>0</v>
      </c>
      <c r="Y776" s="83">
        <f t="shared" si="2152"/>
        <v>0</v>
      </c>
    </row>
    <row r="777" spans="2:25" ht="15" customHeight="1" x14ac:dyDescent="0.2">
      <c r="B777" s="247"/>
      <c r="C777" s="96">
        <f>E777/SUM(E776:E778)</f>
        <v>0.30243261012491784</v>
      </c>
      <c r="D777" s="79" t="s">
        <v>1</v>
      </c>
      <c r="E777" s="80">
        <f t="shared" ref="E777:E814" si="2154">SUM(F777:Y777)</f>
        <v>460</v>
      </c>
      <c r="F777" s="80">
        <f t="shared" ref="F777:Y777" si="2155">SUM(F783,F789,F795,F801,F807,F813)</f>
        <v>39</v>
      </c>
      <c r="G777" s="80">
        <f t="shared" si="2155"/>
        <v>38</v>
      </c>
      <c r="H777" s="80">
        <f t="shared" si="2155"/>
        <v>57</v>
      </c>
      <c r="I777" s="80">
        <f t="shared" si="2155"/>
        <v>22</v>
      </c>
      <c r="J777" s="80">
        <f t="shared" si="2155"/>
        <v>67</v>
      </c>
      <c r="K777" s="80">
        <f t="shared" si="2155"/>
        <v>74</v>
      </c>
      <c r="L777" s="80">
        <f t="shared" si="2155"/>
        <v>63</v>
      </c>
      <c r="M777" s="80">
        <f t="shared" si="2155"/>
        <v>48</v>
      </c>
      <c r="N777" s="80">
        <f t="shared" si="2155"/>
        <v>21</v>
      </c>
      <c r="O777" s="80">
        <f t="shared" si="2155"/>
        <v>0</v>
      </c>
      <c r="P777" s="80">
        <f t="shared" si="2155"/>
        <v>21</v>
      </c>
      <c r="Q777" s="80">
        <f t="shared" si="2155"/>
        <v>10</v>
      </c>
      <c r="R777" s="80">
        <f t="shared" si="2155"/>
        <v>0</v>
      </c>
      <c r="S777" s="80">
        <f t="shared" si="2153"/>
        <v>0</v>
      </c>
      <c r="T777" s="80">
        <f t="shared" si="2155"/>
        <v>0</v>
      </c>
      <c r="U777" s="80">
        <f t="shared" si="2155"/>
        <v>0</v>
      </c>
      <c r="V777" s="80">
        <f t="shared" si="2155"/>
        <v>0</v>
      </c>
      <c r="W777" s="80">
        <f t="shared" si="2155"/>
        <v>0</v>
      </c>
      <c r="X777" s="80">
        <f t="shared" si="2155"/>
        <v>0</v>
      </c>
      <c r="Y777" s="84">
        <f t="shared" si="2155"/>
        <v>0</v>
      </c>
    </row>
    <row r="778" spans="2:25" ht="15" customHeight="1" thickBot="1" x14ac:dyDescent="0.25">
      <c r="B778" s="247"/>
      <c r="C778" s="97">
        <f>E778/SUM(E776:E778)</f>
        <v>1.0519395134779751E-2</v>
      </c>
      <c r="D778" s="86" t="s">
        <v>2</v>
      </c>
      <c r="E778" s="87">
        <f t="shared" si="2154"/>
        <v>16</v>
      </c>
      <c r="F778" s="87">
        <f t="shared" ref="F778:Y778" si="2156">SUM(F784,F790,F796,F802,F808,F814)</f>
        <v>3</v>
      </c>
      <c r="G778" s="87">
        <f t="shared" si="2156"/>
        <v>2</v>
      </c>
      <c r="H778" s="87">
        <f t="shared" si="2156"/>
        <v>0</v>
      </c>
      <c r="I778" s="87">
        <f t="shared" si="2156"/>
        <v>0</v>
      </c>
      <c r="J778" s="87">
        <f t="shared" si="2156"/>
        <v>1</v>
      </c>
      <c r="K778" s="87">
        <f t="shared" si="2156"/>
        <v>8</v>
      </c>
      <c r="L778" s="87">
        <f t="shared" si="2156"/>
        <v>1</v>
      </c>
      <c r="M778" s="87">
        <f t="shared" si="2156"/>
        <v>0</v>
      </c>
      <c r="N778" s="87">
        <f t="shared" si="2156"/>
        <v>0</v>
      </c>
      <c r="O778" s="87">
        <f t="shared" si="2156"/>
        <v>1</v>
      </c>
      <c r="P778" s="87">
        <f t="shared" si="2156"/>
        <v>0</v>
      </c>
      <c r="Q778" s="87">
        <f t="shared" si="2156"/>
        <v>0</v>
      </c>
      <c r="R778" s="87">
        <f t="shared" si="2156"/>
        <v>0</v>
      </c>
      <c r="S778" s="87">
        <f t="shared" si="2153"/>
        <v>0</v>
      </c>
      <c r="T778" s="87">
        <f t="shared" si="2156"/>
        <v>0</v>
      </c>
      <c r="U778" s="87">
        <f t="shared" si="2156"/>
        <v>0</v>
      </c>
      <c r="V778" s="87">
        <f t="shared" si="2156"/>
        <v>0</v>
      </c>
      <c r="W778" s="87">
        <f t="shared" si="2156"/>
        <v>0</v>
      </c>
      <c r="X778" s="87">
        <f t="shared" si="2156"/>
        <v>0</v>
      </c>
      <c r="Y778" s="88">
        <f t="shared" si="2156"/>
        <v>0</v>
      </c>
    </row>
    <row r="779" spans="2:25" ht="15" customHeight="1" x14ac:dyDescent="0.2">
      <c r="B779" s="247"/>
      <c r="C779" s="98">
        <f>E779/SUM(E779:E781)</f>
        <v>0.72192433035362324</v>
      </c>
      <c r="D779" s="85" t="s">
        <v>0</v>
      </c>
      <c r="E779" s="151">
        <f t="shared" ref="E779" si="2157">SUM(E785,E791,E797,E803,E809,E815)</f>
        <v>0.72192433035362336</v>
      </c>
      <c r="F779" s="151">
        <f t="shared" ref="F779:Y779" si="2158">SUM(F785,F791,F797,F803,F809,F815)</f>
        <v>0.30008951714482396</v>
      </c>
      <c r="G779" s="151">
        <f t="shared" si="2158"/>
        <v>0.87737385808016666</v>
      </c>
      <c r="H779" s="151">
        <f t="shared" si="2158"/>
        <v>0.71121258760147466</v>
      </c>
      <c r="I779" s="151">
        <f t="shared" si="2158"/>
        <v>0.87516062582787602</v>
      </c>
      <c r="J779" s="151">
        <f t="shared" si="2158"/>
        <v>0.69323814503714942</v>
      </c>
      <c r="K779" s="151">
        <f t="shared" si="2158"/>
        <v>0.75578844994413708</v>
      </c>
      <c r="L779" s="151">
        <f t="shared" si="2158"/>
        <v>0.6855970117107808</v>
      </c>
      <c r="M779" s="151">
        <f t="shared" si="2158"/>
        <v>0.72885078946341397</v>
      </c>
      <c r="N779" s="151">
        <f t="shared" si="2158"/>
        <v>0.31971994271555526</v>
      </c>
      <c r="O779" s="151">
        <f t="shared" si="2158"/>
        <v>0.18617444477279466</v>
      </c>
      <c r="P779" s="151">
        <f t="shared" si="2158"/>
        <v>0.28655228721026288</v>
      </c>
      <c r="Q779" s="151">
        <f t="shared" si="2158"/>
        <v>0.24920338819303914</v>
      </c>
      <c r="R779" s="151">
        <f t="shared" si="2158"/>
        <v>0</v>
      </c>
      <c r="S779" s="151">
        <f t="shared" si="2153"/>
        <v>0</v>
      </c>
      <c r="T779" s="151">
        <f t="shared" si="2158"/>
        <v>0</v>
      </c>
      <c r="U779" s="151">
        <f t="shared" si="2158"/>
        <v>0</v>
      </c>
      <c r="V779" s="151">
        <f t="shared" si="2158"/>
        <v>0</v>
      </c>
      <c r="W779" s="151">
        <f t="shared" si="2158"/>
        <v>0</v>
      </c>
      <c r="X779" s="151">
        <f t="shared" si="2158"/>
        <v>0</v>
      </c>
      <c r="Y779" s="156">
        <f t="shared" si="2158"/>
        <v>0</v>
      </c>
    </row>
    <row r="780" spans="2:25" ht="15" customHeight="1" x14ac:dyDescent="0.2">
      <c r="B780" s="247"/>
      <c r="C780" s="96">
        <f>E780/SUM(E779:E781)</f>
        <v>0.27216142874356253</v>
      </c>
      <c r="D780" s="79" t="s">
        <v>1</v>
      </c>
      <c r="E780" s="152">
        <f t="shared" ref="E780" si="2159">SUM(E786,E792,E798,E804,E810,E816)</f>
        <v>0.27216142874356258</v>
      </c>
      <c r="F780" s="152">
        <f t="shared" ref="F780:Y780" si="2160">SUM(F786,F792,F798,F804,F810,F816)</f>
        <v>0.21774336125862587</v>
      </c>
      <c r="G780" s="152">
        <f t="shared" si="2160"/>
        <v>0.11598214969258341</v>
      </c>
      <c r="H780" s="152">
        <f t="shared" si="2160"/>
        <v>0.21637941985459611</v>
      </c>
      <c r="I780" s="152">
        <f t="shared" si="2160"/>
        <v>0.12483937417212417</v>
      </c>
      <c r="J780" s="152">
        <f t="shared" si="2160"/>
        <v>0.30166684585974912</v>
      </c>
      <c r="K780" s="152">
        <f t="shared" si="2160"/>
        <v>0.23455715105000574</v>
      </c>
      <c r="L780" s="152">
        <f t="shared" si="2160"/>
        <v>0.31271908148587213</v>
      </c>
      <c r="M780" s="152">
        <f t="shared" si="2160"/>
        <v>0.27114921053658614</v>
      </c>
      <c r="N780" s="152">
        <f t="shared" si="2160"/>
        <v>0.16006910504421371</v>
      </c>
      <c r="O780" s="152">
        <f t="shared" si="2160"/>
        <v>0</v>
      </c>
      <c r="P780" s="152">
        <f t="shared" si="2160"/>
        <v>0.13732077773483978</v>
      </c>
      <c r="Q780" s="152">
        <f t="shared" si="2160"/>
        <v>2.2563564138119156E-2</v>
      </c>
      <c r="R780" s="152">
        <f t="shared" si="2160"/>
        <v>0</v>
      </c>
      <c r="S780" s="152">
        <f t="shared" si="2153"/>
        <v>0</v>
      </c>
      <c r="T780" s="152">
        <f t="shared" si="2160"/>
        <v>0</v>
      </c>
      <c r="U780" s="152">
        <f t="shared" si="2160"/>
        <v>0</v>
      </c>
      <c r="V780" s="152">
        <f t="shared" si="2160"/>
        <v>0</v>
      </c>
      <c r="W780" s="152">
        <f t="shared" si="2160"/>
        <v>0</v>
      </c>
      <c r="X780" s="152">
        <f t="shared" si="2160"/>
        <v>0</v>
      </c>
      <c r="Y780" s="157">
        <f t="shared" si="2160"/>
        <v>0</v>
      </c>
    </row>
    <row r="781" spans="2:25" ht="15" customHeight="1" thickBot="1" x14ac:dyDescent="0.25">
      <c r="B781" s="248"/>
      <c r="C781" s="99">
        <f>E781/SUM(E779:E781)</f>
        <v>5.9142409028142733E-3</v>
      </c>
      <c r="D781" s="89" t="s">
        <v>2</v>
      </c>
      <c r="E781" s="153">
        <f t="shared" ref="E781" si="2161">SUM(E787,E793,E799,E805,E811,E817)</f>
        <v>5.914240902814275E-3</v>
      </c>
      <c r="F781" s="153">
        <f t="shared" ref="F781:Y781" si="2162">SUM(F787,F793,F799,F805,F811,F817)</f>
        <v>3.3419073481813573E-3</v>
      </c>
      <c r="G781" s="153">
        <f t="shared" si="2162"/>
        <v>6.6439922272502417E-3</v>
      </c>
      <c r="H781" s="153">
        <f t="shared" si="2162"/>
        <v>0</v>
      </c>
      <c r="I781" s="153">
        <f t="shared" si="2162"/>
        <v>0</v>
      </c>
      <c r="J781" s="153">
        <f t="shared" si="2162"/>
        <v>5.0950091031016723E-3</v>
      </c>
      <c r="K781" s="153">
        <f t="shared" si="2162"/>
        <v>9.6543990058572549E-3</v>
      </c>
      <c r="L781" s="153">
        <f t="shared" si="2162"/>
        <v>1.6839068033471954E-3</v>
      </c>
      <c r="M781" s="153">
        <f t="shared" si="2162"/>
        <v>0</v>
      </c>
      <c r="N781" s="153">
        <f t="shared" si="2162"/>
        <v>0</v>
      </c>
      <c r="O781" s="153">
        <f t="shared" si="2162"/>
        <v>9.3087222386397328E-2</v>
      </c>
      <c r="P781" s="153">
        <f t="shared" si="2162"/>
        <v>0</v>
      </c>
      <c r="Q781" s="153">
        <f t="shared" si="2162"/>
        <v>0</v>
      </c>
      <c r="R781" s="153">
        <f t="shared" si="2162"/>
        <v>0</v>
      </c>
      <c r="S781" s="153">
        <f t="shared" si="2153"/>
        <v>0</v>
      </c>
      <c r="T781" s="153">
        <f t="shared" si="2162"/>
        <v>0</v>
      </c>
      <c r="U781" s="153">
        <f t="shared" si="2162"/>
        <v>0</v>
      </c>
      <c r="V781" s="153">
        <f t="shared" si="2162"/>
        <v>0</v>
      </c>
      <c r="W781" s="153">
        <f t="shared" si="2162"/>
        <v>0</v>
      </c>
      <c r="X781" s="153">
        <f t="shared" si="2162"/>
        <v>0</v>
      </c>
      <c r="Y781" s="158">
        <f t="shared" si="2162"/>
        <v>0</v>
      </c>
    </row>
    <row r="782" spans="2:25" ht="15" customHeight="1" x14ac:dyDescent="0.2">
      <c r="B782" s="249" t="s">
        <v>133</v>
      </c>
      <c r="C782" s="91">
        <f>E782/SUM(E782:E784)</f>
        <v>0.85148514851485146</v>
      </c>
      <c r="D782" s="67" t="s">
        <v>0</v>
      </c>
      <c r="E782" s="68">
        <f t="shared" si="2154"/>
        <v>86</v>
      </c>
      <c r="F782" s="68">
        <f>SUMIFS([0]!Chavez,[0]!Centro,B784,[0]!Turno,F$775)</f>
        <v>0</v>
      </c>
      <c r="G782" s="68">
        <f>SUMIFS([0]!Chavez,[0]!Centro,B784,[0]!Turno,G$775)</f>
        <v>1</v>
      </c>
      <c r="H782" s="68">
        <f>SUMIFS([0]!Chavez,[0]!Centro,B784,[0]!Turno,H$775)</f>
        <v>1</v>
      </c>
      <c r="I782" s="68">
        <f>SUMIFS([0]!Chavez,[0]!Centro,B784,[0]!Turno,I$775)</f>
        <v>2</v>
      </c>
      <c r="J782" s="68">
        <f>SUMIFS([0]!Chavez,[0]!Centro,B784,[0]!Turno,J$775)</f>
        <v>4</v>
      </c>
      <c r="K782" s="68">
        <f>SUMIFS([0]!Chavez,[0]!Centro,B784,[0]!Turno,K$775)</f>
        <v>9</v>
      </c>
      <c r="L782" s="68">
        <f>SUMIFS([0]!Chavez,[0]!Centro,B784,[0]!Turno,L$775)</f>
        <v>30</v>
      </c>
      <c r="M782" s="68">
        <f>SUMIFS([0]!Chavez,[0]!Centro,B784,[0]!Turno,M$775)</f>
        <v>18</v>
      </c>
      <c r="N782" s="68">
        <f>SUMIFS([0]!Chavez,[0]!Centro,B784,[0]!Turno,N$775)</f>
        <v>9</v>
      </c>
      <c r="O782" s="68">
        <f>SUMIFS([0]!Chavez,[0]!Centro,B784,[0]!Turno,O$775)</f>
        <v>0</v>
      </c>
      <c r="P782" s="68">
        <f>SUMIFS([0]!Chavez,[0]!Centro,B784,[0]!Turno,P$775)</f>
        <v>0</v>
      </c>
      <c r="Q782" s="68">
        <f>SUMIFS([0]!Chavez,[0]!Centro,B784,[0]!Turno,Q$775)</f>
        <v>12</v>
      </c>
      <c r="R782" s="68">
        <f>SUMIFS([0]!Chavez,[0]!Centro,B784,[0]!Turno,R$775)</f>
        <v>0</v>
      </c>
      <c r="S782" s="68">
        <f>SUMIFS([0]!Chavez,[0]!Centro,B784,[0]!Turno,S$775)</f>
        <v>0</v>
      </c>
      <c r="T782" s="68">
        <f>SUMIFS([0]!Chavez,[0]!Centro,B784,[0]!Turno,T$775)</f>
        <v>0</v>
      </c>
      <c r="U782" s="68">
        <f>SUMIFS([0]!Chavez,[0]!Centro,B784,[0]!Turno,U$775)</f>
        <v>0</v>
      </c>
      <c r="V782" s="68">
        <f>SUMIFS([0]!Chavez,[0]!Centro,B784,[0]!Turno,V$775)</f>
        <v>0</v>
      </c>
      <c r="W782" s="68">
        <f>SUMIFS([0]!Chavez,[0]!Centro,B784,[0]!Turno,W$775)</f>
        <v>0</v>
      </c>
      <c r="X782" s="68">
        <f>SUMIFS([0]!Chavez,[0]!Centro,B784,[0]!Turno,X$775)</f>
        <v>0</v>
      </c>
      <c r="Y782" s="69">
        <f>SUMIFS([0]!Chavez,[0]!Centro,B784,[0]!Turno,Y$775)</f>
        <v>0</v>
      </c>
    </row>
    <row r="783" spans="2:25" ht="15" customHeight="1" x14ac:dyDescent="0.2">
      <c r="B783" s="250"/>
      <c r="C783" s="92">
        <f>E783/SUM(E782:E784)</f>
        <v>0.14851485148514851</v>
      </c>
      <c r="D783" s="61" t="s">
        <v>1</v>
      </c>
      <c r="E783" s="62">
        <f t="shared" si="2154"/>
        <v>15</v>
      </c>
      <c r="F783" s="62">
        <f>SUMIFS([0]!Capriles,[0]!Centro,B784,[0]!Turno,F$775)</f>
        <v>0</v>
      </c>
      <c r="G783" s="62">
        <f>SUMIFS([0]!Capriles,[0]!Centro,B784,[0]!Turno,G$775)</f>
        <v>0</v>
      </c>
      <c r="H783" s="62">
        <f>SUMIFS([0]!Capriles,[0]!Centro,B784,[0]!Turno,H$775)</f>
        <v>0</v>
      </c>
      <c r="I783" s="62">
        <f>SUMIFS([0]!Capriles,[0]!Centro,B784,[0]!Turno,I$775)</f>
        <v>0</v>
      </c>
      <c r="J783" s="62">
        <f>SUMIFS([0]!Capriles,[0]!Centro,B784,[0]!Turno,J$775)</f>
        <v>1</v>
      </c>
      <c r="K783" s="62">
        <f>SUMIFS([0]!Capriles,[0]!Centro,B784,[0]!Turno,K$775)</f>
        <v>0</v>
      </c>
      <c r="L783" s="62">
        <f>SUMIFS([0]!Capriles,[0]!Centro,B784,[0]!Turno,L$775)</f>
        <v>9</v>
      </c>
      <c r="M783" s="62">
        <f>SUMIFS([0]!Capriles,[0]!Centro,B784,[0]!Turno,M$775)</f>
        <v>4</v>
      </c>
      <c r="N783" s="62">
        <f>SUMIFS([0]!Capriles,[0]!Centro,B784,[0]!Turno,N$775)</f>
        <v>1</v>
      </c>
      <c r="O783" s="62">
        <f>SUMIFS([0]!Capriles,[0]!Centro,B784,[0]!Turno,O$775)</f>
        <v>0</v>
      </c>
      <c r="P783" s="62">
        <f>SUMIFS([0]!Capriles,[0]!Centro,B784,[0]!Turno,P$775)</f>
        <v>0</v>
      </c>
      <c r="Q783" s="62">
        <f>SUMIFS([0]!Capriles,[0]!Centro,B784,[0]!Turno,Q$775)</f>
        <v>0</v>
      </c>
      <c r="R783" s="62">
        <f>SUMIFS([0]!Capriles,[0]!Centro,B784,[0]!Turno,R$775)</f>
        <v>0</v>
      </c>
      <c r="S783" s="62">
        <f>SUMIFS([0]!Capriles,[0]!Centro,B784,[0]!Turno,S$775)</f>
        <v>0</v>
      </c>
      <c r="T783" s="62">
        <f>SUMIFS([0]!Capriles,[0]!Centro,B784,[0]!Turno,T$775)</f>
        <v>0</v>
      </c>
      <c r="U783" s="62">
        <f>SUMIFS([0]!Capriles,[0]!Centro,B784,[0]!Turno,U$775)</f>
        <v>0</v>
      </c>
      <c r="V783" s="62">
        <f>SUMIFS([0]!Capriles,[0]!Centro,B784,[0]!Turno,V$775)</f>
        <v>0</v>
      </c>
      <c r="W783" s="62">
        <f>SUMIFS([0]!Capriles,[0]!Centro,B784,[0]!Turno,W$775)</f>
        <v>0</v>
      </c>
      <c r="X783" s="62">
        <f>SUMIFS([0]!Capriles,[0]!Centro,B784,[0]!Turno,X$775)</f>
        <v>0</v>
      </c>
      <c r="Y783" s="70">
        <f>SUMIFS([0]!Capriles,[0]!Centro,B784,[0]!Turno,Y$775)</f>
        <v>0</v>
      </c>
    </row>
    <row r="784" spans="2:25" ht="15" customHeight="1" thickBot="1" x14ac:dyDescent="0.25">
      <c r="B784" s="251">
        <v>108</v>
      </c>
      <c r="C784" s="100">
        <f>E784/SUM(E782:E784)</f>
        <v>0</v>
      </c>
      <c r="D784" s="71" t="s">
        <v>2</v>
      </c>
      <c r="E784" s="72">
        <f t="shared" si="2154"/>
        <v>0</v>
      </c>
      <c r="F784" s="72">
        <f>SUMIFS([0]!Otro,[0]!Centro,B784,[0]!Turno,F$775)</f>
        <v>0</v>
      </c>
      <c r="G784" s="72">
        <f>SUMIFS([0]!Otro,[0]!Centro,B784,[0]!Turno,G$775)</f>
        <v>0</v>
      </c>
      <c r="H784" s="72">
        <f>SUMIFS([0]!Otro,[0]!Centro,B784,[0]!Turno,H$775)</f>
        <v>0</v>
      </c>
      <c r="I784" s="72">
        <f>SUMIFS([0]!Otro,[0]!Centro,B784,[0]!Turno,I$775)</f>
        <v>0</v>
      </c>
      <c r="J784" s="72">
        <f>SUMIFS([0]!Otro,[0]!Centro,B784,[0]!Turno,J$775)</f>
        <v>0</v>
      </c>
      <c r="K784" s="72">
        <f>SUMIFS([0]!Otro,[0]!Centro,B784,[0]!Turno,K$775)</f>
        <v>0</v>
      </c>
      <c r="L784" s="72">
        <f>SUMIFS([0]!Otro,[0]!Centro,B784,[0]!Turno,L$775)</f>
        <v>0</v>
      </c>
      <c r="M784" s="72">
        <f>SUMIFS([0]!Otro,[0]!Centro,B784,[0]!Turno,M$775)</f>
        <v>0</v>
      </c>
      <c r="N784" s="72">
        <f>SUMIFS([0]!Otro,[0]!Centro,B784,[0]!Turno,N$775)</f>
        <v>0</v>
      </c>
      <c r="O784" s="72">
        <f>SUMIFS([0]!Otro,[0]!Centro,B784,[0]!Turno,O$775)</f>
        <v>0</v>
      </c>
      <c r="P784" s="72">
        <f>SUMIFS([0]!Otro,[0]!Centro,B784,[0]!Turno,P$775)</f>
        <v>0</v>
      </c>
      <c r="Q784" s="72">
        <f>SUMIFS([0]!Otro,[0]!Centro,B784,[0]!Turno,Q$775)</f>
        <v>0</v>
      </c>
      <c r="R784" s="72">
        <f>SUMIFS([0]!Otro,[0]!Centro,B784,[0]!Turno,R$775)</f>
        <v>0</v>
      </c>
      <c r="S784" s="72">
        <f>SUMIFS([0]!Otro,[0]!Centro,B784,[0]!Turno,S$775)</f>
        <v>0</v>
      </c>
      <c r="T784" s="72">
        <f>SUMIFS([0]!Otro,[0]!Centro,B784,[0]!Turno,T$775)</f>
        <v>0</v>
      </c>
      <c r="U784" s="72">
        <f>SUMIFS([0]!Otro,[0]!Centro,B784,[0]!Turno,U$775)</f>
        <v>0</v>
      </c>
      <c r="V784" s="72">
        <f>SUMIFS([0]!Otro,[0]!Centro,B784,[0]!Turno,V$775)</f>
        <v>0</v>
      </c>
      <c r="W784" s="72">
        <f>SUMIFS([0]!Otro,[0]!Centro,B784,[0]!Turno,W$775)</f>
        <v>0</v>
      </c>
      <c r="X784" s="72">
        <f>SUMIFS([0]!Otro,[0]!Centro,B784,[0]!Turno,X$775)</f>
        <v>0</v>
      </c>
      <c r="Y784" s="73">
        <f>SUMIFS([0]!Otro,[0]!Centro,B784,[0]!Turno,Y$775)</f>
        <v>0</v>
      </c>
    </row>
    <row r="785" spans="2:25" ht="15" customHeight="1" x14ac:dyDescent="0.2">
      <c r="B785" s="251"/>
      <c r="C785" s="94">
        <f>E785/SUM(E785:E787)</f>
        <v>0.85148514851485146</v>
      </c>
      <c r="D785" s="63" t="s">
        <v>0</v>
      </c>
      <c r="E785" s="150">
        <f>IF((E782+E783+E784)=0,0,(E782*$B786)/(E782+E783+E784))</f>
        <v>0.16992539653137845</v>
      </c>
      <c r="F785" s="150">
        <f>IF((F782+F783+F784)=0,0,(F782*$B786)/(F782+F783+F784))</f>
        <v>0</v>
      </c>
      <c r="G785" s="150">
        <f t="shared" ref="G785:Y785" si="2163">IF((G782+G783+G784)=0,0,(G782*$B786)/(G782+G783+G784))</f>
        <v>0.19956354708917701</v>
      </c>
      <c r="H785" s="150">
        <f t="shared" si="2163"/>
        <v>0.19956354708917701</v>
      </c>
      <c r="I785" s="150">
        <f t="shared" si="2163"/>
        <v>0.19956354708917701</v>
      </c>
      <c r="J785" s="150">
        <f t="shared" si="2163"/>
        <v>0.15965083767134161</v>
      </c>
      <c r="K785" s="150">
        <f t="shared" si="2163"/>
        <v>0.19956354708917701</v>
      </c>
      <c r="L785" s="150">
        <f t="shared" si="2163"/>
        <v>0.15351042083782845</v>
      </c>
      <c r="M785" s="150">
        <f t="shared" si="2163"/>
        <v>0.16327926580023575</v>
      </c>
      <c r="N785" s="150">
        <f t="shared" si="2163"/>
        <v>0.1796071923802593</v>
      </c>
      <c r="O785" s="150">
        <f t="shared" si="2163"/>
        <v>0</v>
      </c>
      <c r="P785" s="150">
        <f t="shared" si="2163"/>
        <v>0</v>
      </c>
      <c r="Q785" s="150">
        <f t="shared" si="2163"/>
        <v>0.19956354708917701</v>
      </c>
      <c r="R785" s="150">
        <f t="shared" si="2163"/>
        <v>0</v>
      </c>
      <c r="S785" s="150">
        <f t="shared" si="2163"/>
        <v>0</v>
      </c>
      <c r="T785" s="150">
        <f t="shared" si="2163"/>
        <v>0</v>
      </c>
      <c r="U785" s="150">
        <f t="shared" si="2163"/>
        <v>0</v>
      </c>
      <c r="V785" s="150">
        <f t="shared" si="2163"/>
        <v>0</v>
      </c>
      <c r="W785" s="150">
        <f t="shared" si="2163"/>
        <v>0</v>
      </c>
      <c r="X785" s="150">
        <f t="shared" si="2163"/>
        <v>0</v>
      </c>
      <c r="Y785" s="163">
        <f t="shared" si="2163"/>
        <v>0</v>
      </c>
    </row>
    <row r="786" spans="2:25" ht="15" customHeight="1" x14ac:dyDescent="0.2">
      <c r="B786" s="252">
        <v>0.19956354708917701</v>
      </c>
      <c r="C786" s="92">
        <f>E786/SUM(E785:E787)</f>
        <v>0.14851485148514851</v>
      </c>
      <c r="D786" s="61" t="s">
        <v>1</v>
      </c>
      <c r="E786" s="154">
        <f>IF((E782+E783+E784)=0,0,(E783*$B786)/(E782+E783+E784))</f>
        <v>2.9638150557798566E-2</v>
      </c>
      <c r="F786" s="154">
        <f>IF((F782+F783+F784)=0,0,(F783*$B786)/(F782+F783+F784))</f>
        <v>0</v>
      </c>
      <c r="G786" s="154">
        <f t="shared" ref="G786:O786" si="2164">IF((G782+G783+G784)=0,0,(G783*$B786)/(G782+G783+G784))</f>
        <v>0</v>
      </c>
      <c r="H786" s="154">
        <f t="shared" si="2164"/>
        <v>0</v>
      </c>
      <c r="I786" s="154">
        <f t="shared" si="2164"/>
        <v>0</v>
      </c>
      <c r="J786" s="154">
        <f t="shared" si="2164"/>
        <v>3.9912709417835403E-2</v>
      </c>
      <c r="K786" s="154">
        <f t="shared" si="2164"/>
        <v>0</v>
      </c>
      <c r="L786" s="154">
        <f t="shared" si="2164"/>
        <v>4.6053126251348539E-2</v>
      </c>
      <c r="M786" s="154">
        <f t="shared" si="2164"/>
        <v>3.6284281288941275E-2</v>
      </c>
      <c r="N786" s="154">
        <f t="shared" si="2164"/>
        <v>1.9956354708917701E-2</v>
      </c>
      <c r="O786" s="154">
        <f t="shared" si="2164"/>
        <v>0</v>
      </c>
      <c r="P786" s="154">
        <f>IF((P782+P783+P784)=0,0,(P783*$B786)/(P782+P783+P784))</f>
        <v>0</v>
      </c>
      <c r="Q786" s="154">
        <f t="shared" ref="Q786:Y786" si="2165">IF((Q782+Q783+Q784)=0,0,(Q783*$B786)/(Q782+Q783+Q784))</f>
        <v>0</v>
      </c>
      <c r="R786" s="154">
        <f t="shared" si="2165"/>
        <v>0</v>
      </c>
      <c r="S786" s="154">
        <f t="shared" si="2165"/>
        <v>0</v>
      </c>
      <c r="T786" s="154">
        <f t="shared" si="2165"/>
        <v>0</v>
      </c>
      <c r="U786" s="154">
        <f t="shared" si="2165"/>
        <v>0</v>
      </c>
      <c r="V786" s="154">
        <f t="shared" si="2165"/>
        <v>0</v>
      </c>
      <c r="W786" s="154">
        <f t="shared" si="2165"/>
        <v>0</v>
      </c>
      <c r="X786" s="154">
        <f t="shared" si="2165"/>
        <v>0</v>
      </c>
      <c r="Y786" s="159">
        <f t="shared" si="2165"/>
        <v>0</v>
      </c>
    </row>
    <row r="787" spans="2:25" ht="15" customHeight="1" thickBot="1" x14ac:dyDescent="0.25">
      <c r="B787" s="253"/>
      <c r="C787" s="93">
        <f>E787/SUM(E785:E787)</f>
        <v>0</v>
      </c>
      <c r="D787" s="75" t="s">
        <v>2</v>
      </c>
      <c r="E787" s="155">
        <f>IF((E782+E783+E784)=0,0,(E784*$B786)/(E782+E783+E784))</f>
        <v>0</v>
      </c>
      <c r="F787" s="155">
        <f>IF((F782+F783+F784)=0,0,(F784*$B786)/(F782+F783+F784))</f>
        <v>0</v>
      </c>
      <c r="G787" s="155">
        <f t="shared" ref="G787:Y787" si="2166">IF((G782+G783+G784)=0,0,(G784*$B786)/(G782+G783+G784))</f>
        <v>0</v>
      </c>
      <c r="H787" s="155">
        <f t="shared" si="2166"/>
        <v>0</v>
      </c>
      <c r="I787" s="155">
        <f t="shared" si="2166"/>
        <v>0</v>
      </c>
      <c r="J787" s="155">
        <f t="shared" si="2166"/>
        <v>0</v>
      </c>
      <c r="K787" s="155">
        <f t="shared" si="2166"/>
        <v>0</v>
      </c>
      <c r="L787" s="155">
        <f t="shared" si="2166"/>
        <v>0</v>
      </c>
      <c r="M787" s="155">
        <f t="shared" si="2166"/>
        <v>0</v>
      </c>
      <c r="N787" s="155">
        <f t="shared" si="2166"/>
        <v>0</v>
      </c>
      <c r="O787" s="155">
        <f t="shared" si="2166"/>
        <v>0</v>
      </c>
      <c r="P787" s="155">
        <f t="shared" si="2166"/>
        <v>0</v>
      </c>
      <c r="Q787" s="155">
        <f t="shared" si="2166"/>
        <v>0</v>
      </c>
      <c r="R787" s="155">
        <f t="shared" si="2166"/>
        <v>0</v>
      </c>
      <c r="S787" s="155">
        <f t="shared" si="2166"/>
        <v>0</v>
      </c>
      <c r="T787" s="155">
        <f t="shared" si="2166"/>
        <v>0</v>
      </c>
      <c r="U787" s="155">
        <f t="shared" si="2166"/>
        <v>0</v>
      </c>
      <c r="V787" s="155">
        <f t="shared" si="2166"/>
        <v>0</v>
      </c>
      <c r="W787" s="155">
        <f t="shared" si="2166"/>
        <v>0</v>
      </c>
      <c r="X787" s="155">
        <f t="shared" si="2166"/>
        <v>0</v>
      </c>
      <c r="Y787" s="160">
        <f t="shared" si="2166"/>
        <v>0</v>
      </c>
    </row>
    <row r="788" spans="2:25" ht="15" customHeight="1" x14ac:dyDescent="0.2">
      <c r="B788" s="249" t="s">
        <v>134</v>
      </c>
      <c r="C788" s="91">
        <f>E788/SUM(E788:E790)</f>
        <v>0.53503184713375795</v>
      </c>
      <c r="D788" s="67" t="s">
        <v>0</v>
      </c>
      <c r="E788" s="68">
        <f t="shared" si="2154"/>
        <v>168</v>
      </c>
      <c r="F788" s="68">
        <f>SUMIFS([0]!Chavez,[0]!Centro,B790,[0]!Turno,F$775)</f>
        <v>6</v>
      </c>
      <c r="G788" s="68">
        <f>SUMIFS([0]!Chavez,[0]!Centro,B790,[0]!Turno,G$775)</f>
        <v>10</v>
      </c>
      <c r="H788" s="68">
        <f>SUMIFS([0]!Chavez,[0]!Centro,B790,[0]!Turno,H$775)</f>
        <v>16</v>
      </c>
      <c r="I788" s="68">
        <f>SUMIFS([0]!Chavez,[0]!Centro,B790,[0]!Turno,I$775)</f>
        <v>11</v>
      </c>
      <c r="J788" s="68">
        <f>SUMIFS([0]!Chavez,[0]!Centro,B790,[0]!Turno,J$775)</f>
        <v>29</v>
      </c>
      <c r="K788" s="68">
        <f>SUMIFS([0]!Chavez,[0]!Centro,B790,[0]!Turno,K$775)</f>
        <v>38</v>
      </c>
      <c r="L788" s="68">
        <f>SUMIFS([0]!Chavez,[0]!Centro,B790,[0]!Turno,L$775)</f>
        <v>28</v>
      </c>
      <c r="M788" s="68">
        <f>SUMIFS([0]!Chavez,[0]!Centro,B790,[0]!Turno,M$775)</f>
        <v>10</v>
      </c>
      <c r="N788" s="68">
        <f>SUMIFS([0]!Chavez,[0]!Centro,B790,[0]!Turno,N$775)</f>
        <v>20</v>
      </c>
      <c r="O788" s="68">
        <f>SUMIFS([0]!Chavez,[0]!Centro,B790,[0]!Turno,O$775)</f>
        <v>0</v>
      </c>
      <c r="P788" s="68">
        <f>SUMIFS([0]!Chavez,[0]!Centro,B790,[0]!Turno,P$775)</f>
        <v>0</v>
      </c>
      <c r="Q788" s="68">
        <f>SUMIFS([0]!Chavez,[0]!Centro,B790,[0]!Turno,Q$775)</f>
        <v>0</v>
      </c>
      <c r="R788" s="68">
        <f>SUMIFS([0]!Chavez,[0]!Centro,B790,[0]!Turno,R$775)</f>
        <v>0</v>
      </c>
      <c r="S788" s="68">
        <f>SUMIFS([0]!Chavez,[0]!Centro,B790,[0]!Turno,S$775)</f>
        <v>0</v>
      </c>
      <c r="T788" s="68">
        <f>SUMIFS([0]!Chavez,[0]!Centro,B790,[0]!Turno,T$775)</f>
        <v>0</v>
      </c>
      <c r="U788" s="68">
        <f>SUMIFS([0]!Chavez,[0]!Centro,B790,[0]!Turno,U$775)</f>
        <v>0</v>
      </c>
      <c r="V788" s="68">
        <f>SUMIFS([0]!Chavez,[0]!Centro,B790,[0]!Turno,V$775)</f>
        <v>0</v>
      </c>
      <c r="W788" s="68">
        <f>SUMIFS([0]!Chavez,[0]!Centro,B790,[0]!Turno,W$775)</f>
        <v>0</v>
      </c>
      <c r="X788" s="68">
        <f>SUMIFS([0]!Chavez,[0]!Centro,B790,[0]!Turno,X$775)</f>
        <v>0</v>
      </c>
      <c r="Y788" s="69">
        <f>SUMIFS([0]!Chavez,[0]!Centro,B790,[0]!Turno,Y$775)</f>
        <v>0</v>
      </c>
    </row>
    <row r="789" spans="2:25" ht="15" customHeight="1" x14ac:dyDescent="0.2">
      <c r="B789" s="250"/>
      <c r="C789" s="92">
        <f>E789/SUM(E788:E790)</f>
        <v>0.46178343949044587</v>
      </c>
      <c r="D789" s="61" t="s">
        <v>1</v>
      </c>
      <c r="E789" s="62">
        <f t="shared" si="2154"/>
        <v>145</v>
      </c>
      <c r="F789" s="62">
        <f>SUMIFS([0]!Capriles,[0]!Centro,B790,[0]!Turno,F$775)</f>
        <v>7</v>
      </c>
      <c r="G789" s="62">
        <f>SUMIFS([0]!Capriles,[0]!Centro,B790,[0]!Turno,G$775)</f>
        <v>2</v>
      </c>
      <c r="H789" s="62">
        <f>SUMIFS([0]!Capriles,[0]!Centro,B790,[0]!Turno,H$775)</f>
        <v>35</v>
      </c>
      <c r="I789" s="62">
        <f>SUMIFS([0]!Capriles,[0]!Centro,B790,[0]!Turno,I$775)</f>
        <v>4</v>
      </c>
      <c r="J789" s="62">
        <f>SUMIFS([0]!Capriles,[0]!Centro,B790,[0]!Turno,J$775)</f>
        <v>25</v>
      </c>
      <c r="K789" s="62">
        <f>SUMIFS([0]!Capriles,[0]!Centro,B790,[0]!Turno,K$775)</f>
        <v>29</v>
      </c>
      <c r="L789" s="62">
        <f>SUMIFS([0]!Capriles,[0]!Centro,B790,[0]!Turno,L$775)</f>
        <v>20</v>
      </c>
      <c r="M789" s="62">
        <f>SUMIFS([0]!Capriles,[0]!Centro,B790,[0]!Turno,M$775)</f>
        <v>3</v>
      </c>
      <c r="N789" s="62">
        <f>SUMIFS([0]!Capriles,[0]!Centro,B790,[0]!Turno,N$775)</f>
        <v>20</v>
      </c>
      <c r="O789" s="62">
        <f>SUMIFS([0]!Capriles,[0]!Centro,B790,[0]!Turno,O$775)</f>
        <v>0</v>
      </c>
      <c r="P789" s="62">
        <f>SUMIFS([0]!Capriles,[0]!Centro,B790,[0]!Turno,P$775)</f>
        <v>0</v>
      </c>
      <c r="Q789" s="62">
        <f>SUMIFS([0]!Capriles,[0]!Centro,B790,[0]!Turno,Q$775)</f>
        <v>0</v>
      </c>
      <c r="R789" s="62">
        <f>SUMIFS([0]!Capriles,[0]!Centro,B790,[0]!Turno,R$775)</f>
        <v>0</v>
      </c>
      <c r="S789" s="62">
        <f>SUMIFS([0]!Capriles,[0]!Centro,B790,[0]!Turno,S$775)</f>
        <v>0</v>
      </c>
      <c r="T789" s="62">
        <f>SUMIFS([0]!Capriles,[0]!Centro,B790,[0]!Turno,T$775)</f>
        <v>0</v>
      </c>
      <c r="U789" s="62">
        <f>SUMIFS([0]!Capriles,[0]!Centro,B790,[0]!Turno,U$775)</f>
        <v>0</v>
      </c>
      <c r="V789" s="62">
        <f>SUMIFS([0]!Capriles,[0]!Centro,B790,[0]!Turno,V$775)</f>
        <v>0</v>
      </c>
      <c r="W789" s="62">
        <f>SUMIFS([0]!Capriles,[0]!Centro,B790,[0]!Turno,W$775)</f>
        <v>0</v>
      </c>
      <c r="X789" s="62">
        <f>SUMIFS([0]!Capriles,[0]!Centro,B790,[0]!Turno,X$775)</f>
        <v>0</v>
      </c>
      <c r="Y789" s="70">
        <f>SUMIFS([0]!Capriles,[0]!Centro,B790,[0]!Turno,Y$775)</f>
        <v>0</v>
      </c>
    </row>
    <row r="790" spans="2:25" ht="15" customHeight="1" thickBot="1" x14ac:dyDescent="0.25">
      <c r="B790" s="251">
        <v>109</v>
      </c>
      <c r="C790" s="100">
        <f>E790/SUM(E788:E790)</f>
        <v>3.1847133757961785E-3</v>
      </c>
      <c r="D790" s="71" t="s">
        <v>2</v>
      </c>
      <c r="E790" s="72">
        <f t="shared" si="2154"/>
        <v>1</v>
      </c>
      <c r="F790" s="72">
        <f>SUMIFS([0]!Otro,[0]!Centro,B790,[0]!Turno,F$775)</f>
        <v>0</v>
      </c>
      <c r="G790" s="72">
        <f>SUMIFS([0]!Otro,[0]!Centro,B790,[0]!Turno,G$775)</f>
        <v>0</v>
      </c>
      <c r="H790" s="72">
        <f>SUMIFS([0]!Otro,[0]!Centro,B790,[0]!Turno,H$775)</f>
        <v>0</v>
      </c>
      <c r="I790" s="72">
        <f>SUMIFS([0]!Otro,[0]!Centro,B790,[0]!Turno,I$775)</f>
        <v>0</v>
      </c>
      <c r="J790" s="72">
        <f>SUMIFS([0]!Otro,[0]!Centro,B790,[0]!Turno,J$775)</f>
        <v>1</v>
      </c>
      <c r="K790" s="72">
        <f>SUMIFS([0]!Otro,[0]!Centro,B790,[0]!Turno,K$775)</f>
        <v>0</v>
      </c>
      <c r="L790" s="72">
        <f>SUMIFS([0]!Otro,[0]!Centro,B790,[0]!Turno,L$775)</f>
        <v>0</v>
      </c>
      <c r="M790" s="72">
        <f>SUMIFS([0]!Otro,[0]!Centro,B790,[0]!Turno,M$775)</f>
        <v>0</v>
      </c>
      <c r="N790" s="72">
        <f>SUMIFS([0]!Otro,[0]!Centro,B790,[0]!Turno,N$775)</f>
        <v>0</v>
      </c>
      <c r="O790" s="72">
        <f>SUMIFS([0]!Otro,[0]!Centro,B790,[0]!Turno,O$775)</f>
        <v>0</v>
      </c>
      <c r="P790" s="72">
        <f>SUMIFS([0]!Otro,[0]!Centro,B790,[0]!Turno,P$775)</f>
        <v>0</v>
      </c>
      <c r="Q790" s="72">
        <f>SUMIFS([0]!Otro,[0]!Centro,B790,[0]!Turno,Q$775)</f>
        <v>0</v>
      </c>
      <c r="R790" s="72">
        <f>SUMIFS([0]!Otro,[0]!Centro,B790,[0]!Turno,R$775)</f>
        <v>0</v>
      </c>
      <c r="S790" s="72">
        <f>SUMIFS([0]!Otro,[0]!Centro,B790,[0]!Turno,S$775)</f>
        <v>0</v>
      </c>
      <c r="T790" s="72">
        <f>SUMIFS([0]!Otro,[0]!Centro,B790,[0]!Turno,T$775)</f>
        <v>0</v>
      </c>
      <c r="U790" s="72">
        <f>SUMIFS([0]!Otro,[0]!Centro,B790,[0]!Turno,U$775)</f>
        <v>0</v>
      </c>
      <c r="V790" s="72">
        <f>SUMIFS([0]!Otro,[0]!Centro,B790,[0]!Turno,V$775)</f>
        <v>0</v>
      </c>
      <c r="W790" s="72">
        <f>SUMIFS([0]!Otro,[0]!Centro,B790,[0]!Turno,W$775)</f>
        <v>0</v>
      </c>
      <c r="X790" s="72">
        <f>SUMIFS([0]!Otro,[0]!Centro,B790,[0]!Turno,X$775)</f>
        <v>0</v>
      </c>
      <c r="Y790" s="73">
        <f>SUMIFS([0]!Otro,[0]!Centro,B790,[0]!Turno,Y$775)</f>
        <v>0</v>
      </c>
    </row>
    <row r="791" spans="2:25" ht="15" customHeight="1" x14ac:dyDescent="0.2">
      <c r="B791" s="251"/>
      <c r="C791" s="94">
        <f>E791/SUM(E791:E793)</f>
        <v>0.53503184713375795</v>
      </c>
      <c r="D791" s="63" t="s">
        <v>0</v>
      </c>
      <c r="E791" s="150">
        <f>IF((E788+E789+E790)=0,0,(E788*$B792)/(E788+E789+E790))</f>
        <v>0.14992956723776896</v>
      </c>
      <c r="F791" s="150">
        <f>IF((F788+F789+F790)=0,0,(F788*$B792)/(F788+F789+F790))</f>
        <v>0.12933484646335014</v>
      </c>
      <c r="G791" s="150">
        <f t="shared" ref="G791:Y791" si="2167">IF((G788+G789+G790)=0,0,(G788*$B792)/(G788+G789+G790))</f>
        <v>0.23352125055882667</v>
      </c>
      <c r="H791" s="150">
        <f t="shared" si="2167"/>
        <v>8.791388256332297E-2</v>
      </c>
      <c r="I791" s="150">
        <f t="shared" si="2167"/>
        <v>0.20549870049176747</v>
      </c>
      <c r="J791" s="150">
        <f t="shared" si="2167"/>
        <v>0.14775526398994848</v>
      </c>
      <c r="K791" s="150">
        <f t="shared" si="2167"/>
        <v>0.15893386605197757</v>
      </c>
      <c r="L791" s="150">
        <f t="shared" si="2167"/>
        <v>0.16346487539117865</v>
      </c>
      <c r="M791" s="150">
        <f t="shared" si="2167"/>
        <v>0.21555807743891692</v>
      </c>
      <c r="N791" s="150">
        <f t="shared" si="2167"/>
        <v>0.14011275033529599</v>
      </c>
      <c r="O791" s="150">
        <f t="shared" si="2167"/>
        <v>0</v>
      </c>
      <c r="P791" s="150">
        <f t="shared" si="2167"/>
        <v>0</v>
      </c>
      <c r="Q791" s="150">
        <f t="shared" si="2167"/>
        <v>0</v>
      </c>
      <c r="R791" s="150">
        <f t="shared" si="2167"/>
        <v>0</v>
      </c>
      <c r="S791" s="150">
        <f t="shared" si="2167"/>
        <v>0</v>
      </c>
      <c r="T791" s="150">
        <f t="shared" si="2167"/>
        <v>0</v>
      </c>
      <c r="U791" s="150">
        <f t="shared" si="2167"/>
        <v>0</v>
      </c>
      <c r="V791" s="150">
        <f t="shared" si="2167"/>
        <v>0</v>
      </c>
      <c r="W791" s="150">
        <f t="shared" si="2167"/>
        <v>0</v>
      </c>
      <c r="X791" s="150">
        <f t="shared" si="2167"/>
        <v>0</v>
      </c>
      <c r="Y791" s="163">
        <f t="shared" si="2167"/>
        <v>0</v>
      </c>
    </row>
    <row r="792" spans="2:25" ht="15" customHeight="1" x14ac:dyDescent="0.2">
      <c r="B792" s="252">
        <v>0.28022550067059199</v>
      </c>
      <c r="C792" s="92">
        <f>E792/SUM(E791:E793)</f>
        <v>0.46178343949044592</v>
      </c>
      <c r="D792" s="61" t="s">
        <v>1</v>
      </c>
      <c r="E792" s="154">
        <f>IF((E788+E789+E790)=0,0,(E789*$B792)/(E788+E789+E790))</f>
        <v>0.12940349553259822</v>
      </c>
      <c r="F792" s="154">
        <f>IF((F788+F789+F790)=0,0,(F789*$B792)/(F788+F789+F790))</f>
        <v>0.15089065420724185</v>
      </c>
      <c r="G792" s="154">
        <f t="shared" ref="G792:O792" si="2168">IF((G788+G789+G790)=0,0,(G789*$B792)/(G788+G789+G790))</f>
        <v>4.6704250111765329E-2</v>
      </c>
      <c r="H792" s="154">
        <f t="shared" si="2168"/>
        <v>0.19231161810726902</v>
      </c>
      <c r="I792" s="154">
        <f t="shared" si="2168"/>
        <v>7.4726800178824535E-2</v>
      </c>
      <c r="J792" s="154">
        <f t="shared" si="2168"/>
        <v>0.12737522757754183</v>
      </c>
      <c r="K792" s="154">
        <f t="shared" si="2168"/>
        <v>0.12129163461861443</v>
      </c>
      <c r="L792" s="154">
        <f t="shared" si="2168"/>
        <v>0.11676062527941333</v>
      </c>
      <c r="M792" s="154">
        <f t="shared" si="2168"/>
        <v>6.466742323167507E-2</v>
      </c>
      <c r="N792" s="154">
        <f t="shared" si="2168"/>
        <v>0.14011275033529599</v>
      </c>
      <c r="O792" s="154">
        <f t="shared" si="2168"/>
        <v>0</v>
      </c>
      <c r="P792" s="154">
        <f>IF((P788+P789+P790)=0,0,(P789*$B792)/(P788+P789+P790))</f>
        <v>0</v>
      </c>
      <c r="Q792" s="154">
        <f t="shared" ref="Q792:Y792" si="2169">IF((Q788+Q789+Q790)=0,0,(Q789*$B792)/(Q788+Q789+Q790))</f>
        <v>0</v>
      </c>
      <c r="R792" s="154">
        <f t="shared" si="2169"/>
        <v>0</v>
      </c>
      <c r="S792" s="154">
        <f t="shared" si="2169"/>
        <v>0</v>
      </c>
      <c r="T792" s="154">
        <f t="shared" si="2169"/>
        <v>0</v>
      </c>
      <c r="U792" s="154">
        <f t="shared" si="2169"/>
        <v>0</v>
      </c>
      <c r="V792" s="154">
        <f t="shared" si="2169"/>
        <v>0</v>
      </c>
      <c r="W792" s="154">
        <f t="shared" si="2169"/>
        <v>0</v>
      </c>
      <c r="X792" s="154">
        <f t="shared" si="2169"/>
        <v>0</v>
      </c>
      <c r="Y792" s="159">
        <f t="shared" si="2169"/>
        <v>0</v>
      </c>
    </row>
    <row r="793" spans="2:25" ht="15" customHeight="1" thickBot="1" x14ac:dyDescent="0.25">
      <c r="B793" s="253"/>
      <c r="C793" s="93">
        <f>E793/SUM(E791:E793)</f>
        <v>3.1847133757961781E-3</v>
      </c>
      <c r="D793" s="75" t="s">
        <v>2</v>
      </c>
      <c r="E793" s="155">
        <f>IF((E788+E789+E790)=0,0,(E790*$B792)/(E788+E789+E790))</f>
        <v>8.924379002248152E-4</v>
      </c>
      <c r="F793" s="155">
        <f>IF((F788+F789+F790)=0,0,(F790*$B792)/(F788+F789+F790))</f>
        <v>0</v>
      </c>
      <c r="G793" s="155">
        <f t="shared" ref="G793:Y793" si="2170">IF((G788+G789+G790)=0,0,(G790*$B792)/(G788+G789+G790))</f>
        <v>0</v>
      </c>
      <c r="H793" s="155">
        <f t="shared" si="2170"/>
        <v>0</v>
      </c>
      <c r="I793" s="155">
        <f t="shared" si="2170"/>
        <v>0</v>
      </c>
      <c r="J793" s="155">
        <f t="shared" si="2170"/>
        <v>5.0950091031016723E-3</v>
      </c>
      <c r="K793" s="155">
        <f t="shared" si="2170"/>
        <v>0</v>
      </c>
      <c r="L793" s="155">
        <f t="shared" si="2170"/>
        <v>0</v>
      </c>
      <c r="M793" s="155">
        <f t="shared" si="2170"/>
        <v>0</v>
      </c>
      <c r="N793" s="155">
        <f t="shared" si="2170"/>
        <v>0</v>
      </c>
      <c r="O793" s="155">
        <f t="shared" si="2170"/>
        <v>0</v>
      </c>
      <c r="P793" s="155">
        <f t="shared" si="2170"/>
        <v>0</v>
      </c>
      <c r="Q793" s="155">
        <f t="shared" si="2170"/>
        <v>0</v>
      </c>
      <c r="R793" s="155">
        <f t="shared" si="2170"/>
        <v>0</v>
      </c>
      <c r="S793" s="155">
        <f t="shared" si="2170"/>
        <v>0</v>
      </c>
      <c r="T793" s="155">
        <f t="shared" si="2170"/>
        <v>0</v>
      </c>
      <c r="U793" s="155">
        <f t="shared" si="2170"/>
        <v>0</v>
      </c>
      <c r="V793" s="155">
        <f t="shared" si="2170"/>
        <v>0</v>
      </c>
      <c r="W793" s="155">
        <f t="shared" si="2170"/>
        <v>0</v>
      </c>
      <c r="X793" s="155">
        <f t="shared" si="2170"/>
        <v>0</v>
      </c>
      <c r="Y793" s="160">
        <f t="shared" si="2170"/>
        <v>0</v>
      </c>
    </row>
    <row r="794" spans="2:25" ht="15" customHeight="1" x14ac:dyDescent="0.2">
      <c r="B794" s="249" t="s">
        <v>135</v>
      </c>
      <c r="C794" s="91">
        <f>E794/SUM(E794:E796)</f>
        <v>0.74603174603174605</v>
      </c>
      <c r="D794" s="67" t="s">
        <v>0</v>
      </c>
      <c r="E794" s="68">
        <f t="shared" si="2154"/>
        <v>282</v>
      </c>
      <c r="F794" s="68">
        <f>SUMIFS([0]!Chavez,[0]!Centro,B796,[0]!Turno,F$775)</f>
        <v>8</v>
      </c>
      <c r="G794" s="68">
        <f>SUMIFS([0]!Chavez,[0]!Centro,B796,[0]!Turno,G$775)</f>
        <v>27</v>
      </c>
      <c r="H794" s="68">
        <f>SUMIFS([0]!Chavez,[0]!Centro,B796,[0]!Turno,H$775)</f>
        <v>44</v>
      </c>
      <c r="I794" s="68">
        <f>SUMIFS([0]!Chavez,[0]!Centro,B796,[0]!Turno,I$775)</f>
        <v>39</v>
      </c>
      <c r="J794" s="68">
        <f>SUMIFS([0]!Chavez,[0]!Centro,B796,[0]!Turno,J$775)</f>
        <v>34</v>
      </c>
      <c r="K794" s="68">
        <f>SUMIFS([0]!Chavez,[0]!Centro,B796,[0]!Turno,K$775)</f>
        <v>34</v>
      </c>
      <c r="L794" s="68">
        <f>SUMIFS([0]!Chavez,[0]!Centro,B796,[0]!Turno,L$775)</f>
        <v>30</v>
      </c>
      <c r="M794" s="68">
        <f>SUMIFS([0]!Chavez,[0]!Centro,B796,[0]!Turno,M$775)</f>
        <v>27</v>
      </c>
      <c r="N794" s="68">
        <f>SUMIFS([0]!Chavez,[0]!Centro,B796,[0]!Turno,N$775)</f>
        <v>0</v>
      </c>
      <c r="O794" s="68">
        <f>SUMIFS([0]!Chavez,[0]!Centro,B796,[0]!Turno,O$775)</f>
        <v>0</v>
      </c>
      <c r="P794" s="68">
        <f>SUMIFS([0]!Chavez,[0]!Centro,B796,[0]!Turno,P$775)</f>
        <v>17</v>
      </c>
      <c r="Q794" s="68">
        <f>SUMIFS([0]!Chavez,[0]!Centro,B796,[0]!Turno,Q$775)</f>
        <v>22</v>
      </c>
      <c r="R794" s="68">
        <f>SUMIFS([0]!Chavez,[0]!Centro,B796,[0]!Turno,R$775)</f>
        <v>0</v>
      </c>
      <c r="S794" s="68">
        <f>SUMIFS([0]!Chavez,[0]!Centro,B796,[0]!Turno,S$775)</f>
        <v>0</v>
      </c>
      <c r="T794" s="68">
        <f>SUMIFS([0]!Chavez,[0]!Centro,B796,[0]!Turno,T$775)</f>
        <v>0</v>
      </c>
      <c r="U794" s="68">
        <f>SUMIFS([0]!Chavez,[0]!Centro,B796,[0]!Turno,U$775)</f>
        <v>0</v>
      </c>
      <c r="V794" s="68">
        <f>SUMIFS([0]!Chavez,[0]!Centro,B796,[0]!Turno,V$775)</f>
        <v>0</v>
      </c>
      <c r="W794" s="68">
        <f>SUMIFS([0]!Chavez,[0]!Centro,B796,[0]!Turno,W$775)</f>
        <v>0</v>
      </c>
      <c r="X794" s="68">
        <f>SUMIFS([0]!Chavez,[0]!Centro,B796,[0]!Turno,X$775)</f>
        <v>0</v>
      </c>
      <c r="Y794" s="69">
        <f>SUMIFS([0]!Chavez,[0]!Centro,B796,[0]!Turno,Y$775)</f>
        <v>0</v>
      </c>
    </row>
    <row r="795" spans="2:25" ht="15" customHeight="1" x14ac:dyDescent="0.2">
      <c r="B795" s="250"/>
      <c r="C795" s="92">
        <f>E795/SUM(E794:E796)</f>
        <v>0.25396825396825395</v>
      </c>
      <c r="D795" s="61" t="s">
        <v>1</v>
      </c>
      <c r="E795" s="62">
        <f t="shared" si="2154"/>
        <v>96</v>
      </c>
      <c r="F795" s="62">
        <f>SUMIFS([0]!Capriles,[0]!Centro,B796,[0]!Turno,F$775)</f>
        <v>7</v>
      </c>
      <c r="G795" s="62">
        <f>SUMIFS([0]!Capriles,[0]!Centro,B796,[0]!Turno,G$775)</f>
        <v>2</v>
      </c>
      <c r="H795" s="62">
        <f>SUMIFS([0]!Capriles,[0]!Centro,B796,[0]!Turno,H$775)</f>
        <v>22</v>
      </c>
      <c r="I795" s="62">
        <f>SUMIFS([0]!Capriles,[0]!Centro,B796,[0]!Turno,I$775)</f>
        <v>12</v>
      </c>
      <c r="J795" s="62">
        <f>SUMIFS([0]!Capriles,[0]!Centro,B796,[0]!Turno,J$775)</f>
        <v>10</v>
      </c>
      <c r="K795" s="62">
        <f>SUMIFS([0]!Capriles,[0]!Centro,B796,[0]!Turno,K$775)</f>
        <v>12</v>
      </c>
      <c r="L795" s="62">
        <f>SUMIFS([0]!Capriles,[0]!Centro,B796,[0]!Turno,L$775)</f>
        <v>11</v>
      </c>
      <c r="M795" s="62">
        <f>SUMIFS([0]!Capriles,[0]!Centro,B796,[0]!Turno,M$775)</f>
        <v>7</v>
      </c>
      <c r="N795" s="62">
        <f>SUMIFS([0]!Capriles,[0]!Centro,B796,[0]!Turno,N$775)</f>
        <v>0</v>
      </c>
      <c r="O795" s="62">
        <f>SUMIFS([0]!Capriles,[0]!Centro,B796,[0]!Turno,O$775)</f>
        <v>0</v>
      </c>
      <c r="P795" s="62">
        <f>SUMIFS([0]!Capriles,[0]!Centro,B796,[0]!Turno,P$775)</f>
        <v>3</v>
      </c>
      <c r="Q795" s="62">
        <f>SUMIFS([0]!Capriles,[0]!Centro,B796,[0]!Turno,Q$775)</f>
        <v>10</v>
      </c>
      <c r="R795" s="62">
        <f>SUMIFS([0]!Capriles,[0]!Centro,B796,[0]!Turno,R$775)</f>
        <v>0</v>
      </c>
      <c r="S795" s="62">
        <f>SUMIFS([0]!Capriles,[0]!Centro,B796,[0]!Turno,S$775)</f>
        <v>0</v>
      </c>
      <c r="T795" s="62">
        <f>SUMIFS([0]!Capriles,[0]!Centro,B796,[0]!Turno,T$775)</f>
        <v>0</v>
      </c>
      <c r="U795" s="62">
        <f>SUMIFS([0]!Capriles,[0]!Centro,B796,[0]!Turno,U$775)</f>
        <v>0</v>
      </c>
      <c r="V795" s="62">
        <f>SUMIFS([0]!Capriles,[0]!Centro,B796,[0]!Turno,V$775)</f>
        <v>0</v>
      </c>
      <c r="W795" s="62">
        <f>SUMIFS([0]!Capriles,[0]!Centro,B796,[0]!Turno,W$775)</f>
        <v>0</v>
      </c>
      <c r="X795" s="62">
        <f>SUMIFS([0]!Capriles,[0]!Centro,B796,[0]!Turno,X$775)</f>
        <v>0</v>
      </c>
      <c r="Y795" s="70">
        <f>SUMIFS([0]!Capriles,[0]!Centro,B796,[0]!Turno,Y$775)</f>
        <v>0</v>
      </c>
    </row>
    <row r="796" spans="2:25" ht="15" customHeight="1" thickBot="1" x14ac:dyDescent="0.25">
      <c r="B796" s="251">
        <v>110</v>
      </c>
      <c r="C796" s="100">
        <f>E796/SUM(E794:E796)</f>
        <v>0</v>
      </c>
      <c r="D796" s="71" t="s">
        <v>2</v>
      </c>
      <c r="E796" s="72">
        <f t="shared" si="2154"/>
        <v>0</v>
      </c>
      <c r="F796" s="72">
        <f>SUMIFS([0]!Otro,[0]!Centro,B796,[0]!Turno,F$775)</f>
        <v>0</v>
      </c>
      <c r="G796" s="72">
        <f>SUMIFS([0]!Otro,[0]!Centro,B796,[0]!Turno,G$775)</f>
        <v>0</v>
      </c>
      <c r="H796" s="72">
        <f>SUMIFS([0]!Otro,[0]!Centro,B796,[0]!Turno,H$775)</f>
        <v>0</v>
      </c>
      <c r="I796" s="72">
        <f>SUMIFS([0]!Otro,[0]!Centro,B796,[0]!Turno,I$775)</f>
        <v>0</v>
      </c>
      <c r="J796" s="72">
        <f>SUMIFS([0]!Otro,[0]!Centro,B796,[0]!Turno,J$775)</f>
        <v>0</v>
      </c>
      <c r="K796" s="72">
        <f>SUMIFS([0]!Otro,[0]!Centro,B796,[0]!Turno,K$775)</f>
        <v>0</v>
      </c>
      <c r="L796" s="72">
        <f>SUMIFS([0]!Otro,[0]!Centro,B796,[0]!Turno,L$775)</f>
        <v>0</v>
      </c>
      <c r="M796" s="72">
        <f>SUMIFS([0]!Otro,[0]!Centro,B796,[0]!Turno,M$775)</f>
        <v>0</v>
      </c>
      <c r="N796" s="72">
        <f>SUMIFS([0]!Otro,[0]!Centro,B796,[0]!Turno,N$775)</f>
        <v>0</v>
      </c>
      <c r="O796" s="72">
        <f>SUMIFS([0]!Otro,[0]!Centro,B796,[0]!Turno,O$775)</f>
        <v>0</v>
      </c>
      <c r="P796" s="72">
        <f>SUMIFS([0]!Otro,[0]!Centro,B796,[0]!Turno,P$775)</f>
        <v>0</v>
      </c>
      <c r="Q796" s="72">
        <f>SUMIFS([0]!Otro,[0]!Centro,B796,[0]!Turno,Q$775)</f>
        <v>0</v>
      </c>
      <c r="R796" s="72">
        <f>SUMIFS([0]!Otro,[0]!Centro,B796,[0]!Turno,R$775)</f>
        <v>0</v>
      </c>
      <c r="S796" s="72">
        <f>SUMIFS([0]!Otro,[0]!Centro,B796,[0]!Turno,S$775)</f>
        <v>0</v>
      </c>
      <c r="T796" s="72">
        <f>SUMIFS([0]!Otro,[0]!Centro,B796,[0]!Turno,T$775)</f>
        <v>0</v>
      </c>
      <c r="U796" s="72">
        <f>SUMIFS([0]!Otro,[0]!Centro,B796,[0]!Turno,U$775)</f>
        <v>0</v>
      </c>
      <c r="V796" s="72">
        <f>SUMIFS([0]!Otro,[0]!Centro,B796,[0]!Turno,V$775)</f>
        <v>0</v>
      </c>
      <c r="W796" s="72">
        <f>SUMIFS([0]!Otro,[0]!Centro,B796,[0]!Turno,W$775)</f>
        <v>0</v>
      </c>
      <c r="X796" s="72">
        <f>SUMIFS([0]!Otro,[0]!Centro,B796,[0]!Turno,X$775)</f>
        <v>0</v>
      </c>
      <c r="Y796" s="73">
        <f>SUMIFS([0]!Otro,[0]!Centro,B796,[0]!Turno,Y$775)</f>
        <v>0</v>
      </c>
    </row>
    <row r="797" spans="2:25" ht="15" customHeight="1" x14ac:dyDescent="0.2">
      <c r="B797" s="251"/>
      <c r="C797" s="94">
        <f>E797/SUM(E797:E799)</f>
        <v>0.74603174603174593</v>
      </c>
      <c r="D797" s="63" t="s">
        <v>0</v>
      </c>
      <c r="E797" s="150">
        <f>IF((E794+E795+E796)=0,0,(E794*$B798)/(E794+E795+E796))</f>
        <v>5.3866032482113024E-2</v>
      </c>
      <c r="F797" s="150">
        <f>IF((F794+F795+F796)=0,0,(F794*$B798)/(F794+F795+F796))</f>
        <v>3.8508482795723359E-2</v>
      </c>
      <c r="G797" s="150">
        <f t="shared" ref="G797:Y797" si="2171">IF((G794+G795+G796)=0,0,(G794*$B798)/(G794+G795+G796))</f>
        <v>6.7223860052879142E-2</v>
      </c>
      <c r="H797" s="150">
        <f t="shared" si="2171"/>
        <v>4.8135603494654192E-2</v>
      </c>
      <c r="I797" s="150">
        <f t="shared" si="2171"/>
        <v>5.5214368714456286E-2</v>
      </c>
      <c r="J797" s="150">
        <f t="shared" si="2171"/>
        <v>5.5793540414258276E-2</v>
      </c>
      <c r="K797" s="150">
        <f t="shared" si="2171"/>
        <v>5.3367734309290524E-2</v>
      </c>
      <c r="L797" s="150">
        <f t="shared" si="2171"/>
        <v>5.2831759933157044E-2</v>
      </c>
      <c r="M797" s="150">
        <f t="shared" si="2171"/>
        <v>5.7337998280396915E-2</v>
      </c>
      <c r="N797" s="150">
        <f t="shared" si="2171"/>
        <v>0</v>
      </c>
      <c r="O797" s="150">
        <f t="shared" si="2171"/>
        <v>0</v>
      </c>
      <c r="P797" s="150">
        <f t="shared" si="2171"/>
        <v>6.1372894455684099E-2</v>
      </c>
      <c r="Q797" s="150">
        <f t="shared" si="2171"/>
        <v>4.9639841103862138E-2</v>
      </c>
      <c r="R797" s="150">
        <f t="shared" si="2171"/>
        <v>0</v>
      </c>
      <c r="S797" s="150">
        <f t="shared" si="2171"/>
        <v>0</v>
      </c>
      <c r="T797" s="150">
        <f t="shared" si="2171"/>
        <v>0</v>
      </c>
      <c r="U797" s="150">
        <f t="shared" si="2171"/>
        <v>0</v>
      </c>
      <c r="V797" s="150">
        <f t="shared" si="2171"/>
        <v>0</v>
      </c>
      <c r="W797" s="150">
        <f t="shared" si="2171"/>
        <v>0</v>
      </c>
      <c r="X797" s="150">
        <f t="shared" si="2171"/>
        <v>0</v>
      </c>
      <c r="Y797" s="163">
        <f t="shared" si="2171"/>
        <v>0</v>
      </c>
    </row>
    <row r="798" spans="2:25" ht="15" customHeight="1" x14ac:dyDescent="0.2">
      <c r="B798" s="252">
        <v>7.2203405241981294E-2</v>
      </c>
      <c r="C798" s="92">
        <f>E798/SUM(E797:E799)</f>
        <v>0.25396825396825401</v>
      </c>
      <c r="D798" s="61" t="s">
        <v>1</v>
      </c>
      <c r="E798" s="154">
        <f>IF((E794+E795+E796)=0,0,(E795*$B798)/(E794+E795+E796))</f>
        <v>1.8337372759868267E-2</v>
      </c>
      <c r="F798" s="154">
        <f>IF((F794+F795+F796)=0,0,(F795*$B798)/(F794+F795+F796))</f>
        <v>3.3694922446257936E-2</v>
      </c>
      <c r="G798" s="154">
        <f t="shared" ref="G798:O798" si="2172">IF((G794+G795+G796)=0,0,(G795*$B798)/(G794+G795+G796))</f>
        <v>4.9795451891021586E-3</v>
      </c>
      <c r="H798" s="154">
        <f t="shared" si="2172"/>
        <v>2.4067801747327096E-2</v>
      </c>
      <c r="I798" s="154">
        <f t="shared" si="2172"/>
        <v>1.6989036527525009E-2</v>
      </c>
      <c r="J798" s="154">
        <f t="shared" si="2172"/>
        <v>1.6409864827723022E-2</v>
      </c>
      <c r="K798" s="154">
        <f t="shared" si="2172"/>
        <v>1.8835670932690774E-2</v>
      </c>
      <c r="L798" s="154">
        <f t="shared" si="2172"/>
        <v>1.9371645308824251E-2</v>
      </c>
      <c r="M798" s="154">
        <f t="shared" si="2172"/>
        <v>1.4865406961584383E-2</v>
      </c>
      <c r="N798" s="154">
        <f t="shared" si="2172"/>
        <v>0</v>
      </c>
      <c r="O798" s="154">
        <f t="shared" si="2172"/>
        <v>0</v>
      </c>
      <c r="P798" s="154">
        <f>IF((P794+P795+P796)=0,0,(P795*$B798)/(P794+P795+P796))</f>
        <v>1.0830510786297194E-2</v>
      </c>
      <c r="Q798" s="154">
        <f t="shared" ref="Q798:Y798" si="2173">IF((Q794+Q795+Q796)=0,0,(Q795*$B798)/(Q794+Q795+Q796))</f>
        <v>2.2563564138119156E-2</v>
      </c>
      <c r="R798" s="154">
        <f t="shared" si="2173"/>
        <v>0</v>
      </c>
      <c r="S798" s="154">
        <f t="shared" si="2173"/>
        <v>0</v>
      </c>
      <c r="T798" s="154">
        <f t="shared" si="2173"/>
        <v>0</v>
      </c>
      <c r="U798" s="154">
        <f t="shared" si="2173"/>
        <v>0</v>
      </c>
      <c r="V798" s="154">
        <f t="shared" si="2173"/>
        <v>0</v>
      </c>
      <c r="W798" s="154">
        <f t="shared" si="2173"/>
        <v>0</v>
      </c>
      <c r="X798" s="154">
        <f t="shared" si="2173"/>
        <v>0</v>
      </c>
      <c r="Y798" s="159">
        <f t="shared" si="2173"/>
        <v>0</v>
      </c>
    </row>
    <row r="799" spans="2:25" ht="15" customHeight="1" thickBot="1" x14ac:dyDescent="0.25">
      <c r="B799" s="253"/>
      <c r="C799" s="93">
        <f>E799/SUM(E797:E799)</f>
        <v>0</v>
      </c>
      <c r="D799" s="75" t="s">
        <v>2</v>
      </c>
      <c r="E799" s="155">
        <f>IF((E794+E795+E796)=0,0,(E796*$B798)/(E794+E795+E796))</f>
        <v>0</v>
      </c>
      <c r="F799" s="155">
        <f>IF((F794+F795+F796)=0,0,(F796*$B798)/(F794+F795+F796))</f>
        <v>0</v>
      </c>
      <c r="G799" s="155">
        <f t="shared" ref="G799:Y799" si="2174">IF((G794+G795+G796)=0,0,(G796*$B798)/(G794+G795+G796))</f>
        <v>0</v>
      </c>
      <c r="H799" s="155">
        <f t="shared" si="2174"/>
        <v>0</v>
      </c>
      <c r="I799" s="155">
        <f t="shared" si="2174"/>
        <v>0</v>
      </c>
      <c r="J799" s="155">
        <f t="shared" si="2174"/>
        <v>0</v>
      </c>
      <c r="K799" s="155">
        <f t="shared" si="2174"/>
        <v>0</v>
      </c>
      <c r="L799" s="155">
        <f t="shared" si="2174"/>
        <v>0</v>
      </c>
      <c r="M799" s="155">
        <f t="shared" si="2174"/>
        <v>0</v>
      </c>
      <c r="N799" s="155">
        <f t="shared" si="2174"/>
        <v>0</v>
      </c>
      <c r="O799" s="155">
        <f t="shared" si="2174"/>
        <v>0</v>
      </c>
      <c r="P799" s="155">
        <f t="shared" si="2174"/>
        <v>0</v>
      </c>
      <c r="Q799" s="155">
        <f t="shared" si="2174"/>
        <v>0</v>
      </c>
      <c r="R799" s="155">
        <f t="shared" si="2174"/>
        <v>0</v>
      </c>
      <c r="S799" s="155">
        <f t="shared" si="2174"/>
        <v>0</v>
      </c>
      <c r="T799" s="155">
        <f t="shared" si="2174"/>
        <v>0</v>
      </c>
      <c r="U799" s="155">
        <f t="shared" si="2174"/>
        <v>0</v>
      </c>
      <c r="V799" s="155">
        <f t="shared" si="2174"/>
        <v>0</v>
      </c>
      <c r="W799" s="155">
        <f t="shared" si="2174"/>
        <v>0</v>
      </c>
      <c r="X799" s="155">
        <f t="shared" si="2174"/>
        <v>0</v>
      </c>
      <c r="Y799" s="160">
        <f t="shared" si="2174"/>
        <v>0</v>
      </c>
    </row>
    <row r="800" spans="2:25" ht="15" customHeight="1" x14ac:dyDescent="0.2">
      <c r="B800" s="249" t="s">
        <v>45</v>
      </c>
      <c r="C800" s="91">
        <f>E800/SUM(E800:E802)</f>
        <v>0.81111111111111112</v>
      </c>
      <c r="D800" s="67" t="s">
        <v>0</v>
      </c>
      <c r="E800" s="68">
        <f t="shared" si="2154"/>
        <v>146</v>
      </c>
      <c r="F800" s="68">
        <f>SUMIFS([0]!Chavez,[0]!Centro,B802,[0]!Turno,F$775)</f>
        <v>0</v>
      </c>
      <c r="G800" s="68">
        <f>SUMIFS([0]!Chavez,[0]!Centro,B802,[0]!Turno,G$775)</f>
        <v>13</v>
      </c>
      <c r="H800" s="68">
        <f>SUMIFS([0]!Chavez,[0]!Centro,B802,[0]!Turno,H$775)</f>
        <v>10</v>
      </c>
      <c r="I800" s="68">
        <f>SUMIFS([0]!Chavez,[0]!Centro,B802,[0]!Turno,I$775)</f>
        <v>38</v>
      </c>
      <c r="J800" s="68">
        <f>SUMIFS([0]!Chavez,[0]!Centro,B802,[0]!Turno,J$775)</f>
        <v>31</v>
      </c>
      <c r="K800" s="68">
        <f>SUMIFS([0]!Chavez,[0]!Centro,B802,[0]!Turno,K$775)</f>
        <v>22</v>
      </c>
      <c r="L800" s="68">
        <f>SUMIFS([0]!Chavez,[0]!Centro,B802,[0]!Turno,L$775)</f>
        <v>6</v>
      </c>
      <c r="M800" s="68">
        <f>SUMIFS([0]!Chavez,[0]!Centro,B802,[0]!Turno,M$775)</f>
        <v>13</v>
      </c>
      <c r="N800" s="68">
        <f>SUMIFS([0]!Chavez,[0]!Centro,B802,[0]!Turno,N$775)</f>
        <v>0</v>
      </c>
      <c r="O800" s="68">
        <f>SUMIFS([0]!Chavez,[0]!Centro,B802,[0]!Turno,O$775)</f>
        <v>2</v>
      </c>
      <c r="P800" s="68">
        <f>SUMIFS([0]!Chavez,[0]!Centro,B802,[0]!Turno,P$775)</f>
        <v>11</v>
      </c>
      <c r="Q800" s="68">
        <f>SUMIFS([0]!Chavez,[0]!Centro,B802,[0]!Turno,Q$775)</f>
        <v>0</v>
      </c>
      <c r="R800" s="68">
        <f>SUMIFS([0]!Chavez,[0]!Centro,B802,[0]!Turno,R$775)</f>
        <v>0</v>
      </c>
      <c r="S800" s="68">
        <f>SUMIFS([0]!Chavez,[0]!Centro,B802,[0]!Turno,S$775)</f>
        <v>0</v>
      </c>
      <c r="T800" s="68">
        <f>SUMIFS([0]!Chavez,[0]!Centro,B802,[0]!Turno,T$775)</f>
        <v>0</v>
      </c>
      <c r="U800" s="68">
        <f>SUMIFS([0]!Chavez,[0]!Centro,B802,[0]!Turno,U$775)</f>
        <v>0</v>
      </c>
      <c r="V800" s="68">
        <f>SUMIFS([0]!Chavez,[0]!Centro,B802,[0]!Turno,V$775)</f>
        <v>0</v>
      </c>
      <c r="W800" s="68">
        <f>SUMIFS([0]!Chavez,[0]!Centro,B802,[0]!Turno,W$775)</f>
        <v>0</v>
      </c>
      <c r="X800" s="68">
        <f>SUMIFS([0]!Chavez,[0]!Centro,B802,[0]!Turno,X$775)</f>
        <v>0</v>
      </c>
      <c r="Y800" s="69">
        <f>SUMIFS([0]!Chavez,[0]!Centro,B802,[0]!Turno,Y$775)</f>
        <v>0</v>
      </c>
    </row>
    <row r="801" spans="2:25" ht="15" customHeight="1" x14ac:dyDescent="0.2">
      <c r="B801" s="250"/>
      <c r="C801" s="92">
        <f>E801/SUM(E800:E802)</f>
        <v>0.18333333333333332</v>
      </c>
      <c r="D801" s="61" t="s">
        <v>1</v>
      </c>
      <c r="E801" s="62">
        <f t="shared" si="2154"/>
        <v>33</v>
      </c>
      <c r="F801" s="62">
        <f>SUMIFS([0]!Capriles,[0]!Centro,B802,[0]!Turno,F$775)</f>
        <v>0</v>
      </c>
      <c r="G801" s="62">
        <f>SUMIFS([0]!Capriles,[0]!Centro,B802,[0]!Turno,G$775)</f>
        <v>0</v>
      </c>
      <c r="H801" s="62">
        <f>SUMIFS([0]!Capriles,[0]!Centro,B802,[0]!Turno,H$775)</f>
        <v>0</v>
      </c>
      <c r="I801" s="62">
        <f>SUMIFS([0]!Capriles,[0]!Centro,B802,[0]!Turno,I$775)</f>
        <v>1</v>
      </c>
      <c r="J801" s="62">
        <f>SUMIFS([0]!Capriles,[0]!Centro,B802,[0]!Turno,J$775)</f>
        <v>11</v>
      </c>
      <c r="K801" s="62">
        <f>SUMIFS([0]!Capriles,[0]!Centro,B802,[0]!Turno,K$775)</f>
        <v>6</v>
      </c>
      <c r="L801" s="62">
        <f>SUMIFS([0]!Capriles,[0]!Centro,B802,[0]!Turno,L$775)</f>
        <v>3</v>
      </c>
      <c r="M801" s="62">
        <f>SUMIFS([0]!Capriles,[0]!Centro,B802,[0]!Turno,M$775)</f>
        <v>7</v>
      </c>
      <c r="N801" s="62">
        <f>SUMIFS([0]!Capriles,[0]!Centro,B802,[0]!Turno,N$775)</f>
        <v>0</v>
      </c>
      <c r="O801" s="62">
        <f>SUMIFS([0]!Capriles,[0]!Centro,B802,[0]!Turno,O$775)</f>
        <v>0</v>
      </c>
      <c r="P801" s="62">
        <f>SUMIFS([0]!Capriles,[0]!Centro,B802,[0]!Turno,P$775)</f>
        <v>5</v>
      </c>
      <c r="Q801" s="62">
        <f>SUMIFS([0]!Capriles,[0]!Centro,B802,[0]!Turno,Q$775)</f>
        <v>0</v>
      </c>
      <c r="R801" s="62">
        <f>SUMIFS([0]!Capriles,[0]!Centro,B802,[0]!Turno,R$775)</f>
        <v>0</v>
      </c>
      <c r="S801" s="62">
        <f>SUMIFS([0]!Capriles,[0]!Centro,B802,[0]!Turno,S$775)</f>
        <v>0</v>
      </c>
      <c r="T801" s="62">
        <f>SUMIFS([0]!Capriles,[0]!Centro,B802,[0]!Turno,T$775)</f>
        <v>0</v>
      </c>
      <c r="U801" s="62">
        <f>SUMIFS([0]!Capriles,[0]!Centro,B802,[0]!Turno,U$775)</f>
        <v>0</v>
      </c>
      <c r="V801" s="62">
        <f>SUMIFS([0]!Capriles,[0]!Centro,B802,[0]!Turno,V$775)</f>
        <v>0</v>
      </c>
      <c r="W801" s="62">
        <f>SUMIFS([0]!Capriles,[0]!Centro,B802,[0]!Turno,W$775)</f>
        <v>0</v>
      </c>
      <c r="X801" s="62">
        <f>SUMIFS([0]!Capriles,[0]!Centro,B802,[0]!Turno,X$775)</f>
        <v>0</v>
      </c>
      <c r="Y801" s="70">
        <f>SUMIFS([0]!Capriles,[0]!Centro,B802,[0]!Turno,Y$775)</f>
        <v>0</v>
      </c>
    </row>
    <row r="802" spans="2:25" ht="15" customHeight="1" thickBot="1" x14ac:dyDescent="0.25">
      <c r="B802" s="251">
        <v>111</v>
      </c>
      <c r="C802" s="100">
        <f>E802/SUM(E800:E802)</f>
        <v>5.5555555555555558E-3</v>
      </c>
      <c r="D802" s="71" t="s">
        <v>2</v>
      </c>
      <c r="E802" s="72">
        <f t="shared" si="2154"/>
        <v>1</v>
      </c>
      <c r="F802" s="72">
        <f>SUMIFS([0]!Otro,[0]!Centro,B802,[0]!Turno,F$775)</f>
        <v>0</v>
      </c>
      <c r="G802" s="72">
        <f>SUMIFS([0]!Otro,[0]!Centro,B802,[0]!Turno,G$775)</f>
        <v>0</v>
      </c>
      <c r="H802" s="72">
        <f>SUMIFS([0]!Otro,[0]!Centro,B802,[0]!Turno,H$775)</f>
        <v>0</v>
      </c>
      <c r="I802" s="72">
        <f>SUMIFS([0]!Otro,[0]!Centro,B802,[0]!Turno,I$775)</f>
        <v>0</v>
      </c>
      <c r="J802" s="72">
        <f>SUMIFS([0]!Otro,[0]!Centro,B802,[0]!Turno,J$775)</f>
        <v>0</v>
      </c>
      <c r="K802" s="72">
        <f>SUMIFS([0]!Otro,[0]!Centro,B802,[0]!Turno,K$775)</f>
        <v>0</v>
      </c>
      <c r="L802" s="72">
        <f>SUMIFS([0]!Otro,[0]!Centro,B802,[0]!Turno,L$775)</f>
        <v>0</v>
      </c>
      <c r="M802" s="72">
        <f>SUMIFS([0]!Otro,[0]!Centro,B802,[0]!Turno,M$775)</f>
        <v>0</v>
      </c>
      <c r="N802" s="72">
        <f>SUMIFS([0]!Otro,[0]!Centro,B802,[0]!Turno,N$775)</f>
        <v>0</v>
      </c>
      <c r="O802" s="72">
        <f>SUMIFS([0]!Otro,[0]!Centro,B802,[0]!Turno,O$775)</f>
        <v>1</v>
      </c>
      <c r="P802" s="72">
        <f>SUMIFS([0]!Otro,[0]!Centro,B802,[0]!Turno,P$775)</f>
        <v>0</v>
      </c>
      <c r="Q802" s="72">
        <f>SUMIFS([0]!Otro,[0]!Centro,B802,[0]!Turno,Q$775)</f>
        <v>0</v>
      </c>
      <c r="R802" s="72">
        <f>SUMIFS([0]!Otro,[0]!Centro,B802,[0]!Turno,R$775)</f>
        <v>0</v>
      </c>
      <c r="S802" s="72">
        <f>SUMIFS([0]!Otro,[0]!Centro,B802,[0]!Turno,S$775)</f>
        <v>0</v>
      </c>
      <c r="T802" s="72">
        <f>SUMIFS([0]!Otro,[0]!Centro,B802,[0]!Turno,T$775)</f>
        <v>0</v>
      </c>
      <c r="U802" s="72">
        <f>SUMIFS([0]!Otro,[0]!Centro,B802,[0]!Turno,U$775)</f>
        <v>0</v>
      </c>
      <c r="V802" s="72">
        <f>SUMIFS([0]!Otro,[0]!Centro,B802,[0]!Turno,V$775)</f>
        <v>0</v>
      </c>
      <c r="W802" s="72">
        <f>SUMIFS([0]!Otro,[0]!Centro,B802,[0]!Turno,W$775)</f>
        <v>0</v>
      </c>
      <c r="X802" s="72">
        <f>SUMIFS([0]!Otro,[0]!Centro,B802,[0]!Turno,X$775)</f>
        <v>0</v>
      </c>
      <c r="Y802" s="73">
        <f>SUMIFS([0]!Otro,[0]!Centro,B802,[0]!Turno,Y$775)</f>
        <v>0</v>
      </c>
    </row>
    <row r="803" spans="2:25" ht="15" customHeight="1" x14ac:dyDescent="0.2">
      <c r="B803" s="251"/>
      <c r="C803" s="94">
        <f>E803/SUM(E803:E805)</f>
        <v>0.81111111111111112</v>
      </c>
      <c r="D803" s="63" t="s">
        <v>0</v>
      </c>
      <c r="E803" s="150">
        <f>IF((E800+E801+E802)=0,0,(E800*$B804)/(E800+E801+E802))</f>
        <v>0.22651224114023349</v>
      </c>
      <c r="F803" s="150">
        <f>IF((F800+F801+F802)=0,0,(F800*$B804)/(F800+F801+F802))</f>
        <v>0</v>
      </c>
      <c r="G803" s="150">
        <f t="shared" ref="G803:Y803" si="2175">IF((G800+G801+G802)=0,0,(G800*$B804)/(G800+G801+G802))</f>
        <v>0.27926166715919198</v>
      </c>
      <c r="H803" s="150">
        <f t="shared" si="2175"/>
        <v>0.27926166715919198</v>
      </c>
      <c r="I803" s="150">
        <f t="shared" si="2175"/>
        <v>0.27210111159100758</v>
      </c>
      <c r="J803" s="150">
        <f t="shared" si="2175"/>
        <v>0.20612170671273694</v>
      </c>
      <c r="K803" s="150">
        <f t="shared" si="2175"/>
        <v>0.21941988133936513</v>
      </c>
      <c r="L803" s="150">
        <f t="shared" si="2175"/>
        <v>0.18617444477279466</v>
      </c>
      <c r="M803" s="150">
        <f t="shared" si="2175"/>
        <v>0.18152008365347477</v>
      </c>
      <c r="N803" s="150">
        <f t="shared" si="2175"/>
        <v>0</v>
      </c>
      <c r="O803" s="150">
        <f t="shared" si="2175"/>
        <v>0.18617444477279466</v>
      </c>
      <c r="P803" s="150">
        <f t="shared" si="2175"/>
        <v>0.1919923961719445</v>
      </c>
      <c r="Q803" s="150">
        <f t="shared" si="2175"/>
        <v>0</v>
      </c>
      <c r="R803" s="150">
        <f t="shared" si="2175"/>
        <v>0</v>
      </c>
      <c r="S803" s="150">
        <f t="shared" si="2175"/>
        <v>0</v>
      </c>
      <c r="T803" s="150">
        <f t="shared" si="2175"/>
        <v>0</v>
      </c>
      <c r="U803" s="150">
        <f t="shared" si="2175"/>
        <v>0</v>
      </c>
      <c r="V803" s="150">
        <f t="shared" si="2175"/>
        <v>0</v>
      </c>
      <c r="W803" s="150">
        <f t="shared" si="2175"/>
        <v>0</v>
      </c>
      <c r="X803" s="150">
        <f t="shared" si="2175"/>
        <v>0</v>
      </c>
      <c r="Y803" s="163">
        <f t="shared" si="2175"/>
        <v>0</v>
      </c>
    </row>
    <row r="804" spans="2:25" ht="15" customHeight="1" x14ac:dyDescent="0.2">
      <c r="B804" s="252">
        <v>0.27926166715919198</v>
      </c>
      <c r="C804" s="92">
        <f>E804/SUM(E803:E805)</f>
        <v>0.18333333333333335</v>
      </c>
      <c r="D804" s="61" t="s">
        <v>1</v>
      </c>
      <c r="E804" s="154">
        <f>IF((E800+E801+E802)=0,0,(E801*$B804)/(E800+E801+E802))</f>
        <v>5.1197972312518533E-2</v>
      </c>
      <c r="F804" s="154">
        <f>IF((F800+F801+F802)=0,0,(F801*$B804)/(F800+F801+F802))</f>
        <v>0</v>
      </c>
      <c r="G804" s="154">
        <f t="shared" ref="G804:O804" si="2176">IF((G800+G801+G802)=0,0,(G801*$B804)/(G800+G801+G802))</f>
        <v>0</v>
      </c>
      <c r="H804" s="154">
        <f t="shared" si="2176"/>
        <v>0</v>
      </c>
      <c r="I804" s="154">
        <f t="shared" si="2176"/>
        <v>7.16055556818441E-3</v>
      </c>
      <c r="J804" s="154">
        <f t="shared" si="2176"/>
        <v>7.3139960446455043E-2</v>
      </c>
      <c r="K804" s="154">
        <f t="shared" si="2176"/>
        <v>5.9841785819826854E-2</v>
      </c>
      <c r="L804" s="154">
        <f t="shared" si="2176"/>
        <v>9.3087222386397328E-2</v>
      </c>
      <c r="M804" s="154">
        <f t="shared" si="2176"/>
        <v>9.7741583505717197E-2</v>
      </c>
      <c r="N804" s="154">
        <f t="shared" si="2176"/>
        <v>0</v>
      </c>
      <c r="O804" s="154">
        <f t="shared" si="2176"/>
        <v>0</v>
      </c>
      <c r="P804" s="154">
        <f>IF((P800+P801+P802)=0,0,(P801*$B804)/(P800+P801+P802))</f>
        <v>8.7269270987247488E-2</v>
      </c>
      <c r="Q804" s="154">
        <f t="shared" ref="Q804:Y804" si="2177">IF((Q800+Q801+Q802)=0,0,(Q801*$B804)/(Q800+Q801+Q802))</f>
        <v>0</v>
      </c>
      <c r="R804" s="154">
        <f t="shared" si="2177"/>
        <v>0</v>
      </c>
      <c r="S804" s="154">
        <f t="shared" si="2177"/>
        <v>0</v>
      </c>
      <c r="T804" s="154">
        <f t="shared" si="2177"/>
        <v>0</v>
      </c>
      <c r="U804" s="154">
        <f t="shared" si="2177"/>
        <v>0</v>
      </c>
      <c r="V804" s="154">
        <f t="shared" si="2177"/>
        <v>0</v>
      </c>
      <c r="W804" s="154">
        <f t="shared" si="2177"/>
        <v>0</v>
      </c>
      <c r="X804" s="154">
        <f t="shared" si="2177"/>
        <v>0</v>
      </c>
      <c r="Y804" s="159">
        <f t="shared" si="2177"/>
        <v>0</v>
      </c>
    </row>
    <row r="805" spans="2:25" ht="15" customHeight="1" thickBot="1" x14ac:dyDescent="0.25">
      <c r="B805" s="253"/>
      <c r="C805" s="93">
        <f>E805/SUM(E803:E805)</f>
        <v>5.5555555555555558E-3</v>
      </c>
      <c r="D805" s="75" t="s">
        <v>2</v>
      </c>
      <c r="E805" s="155">
        <f>IF((E800+E801+E802)=0,0,(E802*$B804)/(E800+E801+E802))</f>
        <v>1.5514537064399555E-3</v>
      </c>
      <c r="F805" s="155">
        <f>IF((F800+F801+F802)=0,0,(F802*$B804)/(F800+F801+F802))</f>
        <v>0</v>
      </c>
      <c r="G805" s="155">
        <f t="shared" ref="G805:Y805" si="2178">IF((G800+G801+G802)=0,0,(G802*$B804)/(G800+G801+G802))</f>
        <v>0</v>
      </c>
      <c r="H805" s="155">
        <f t="shared" si="2178"/>
        <v>0</v>
      </c>
      <c r="I805" s="155">
        <f t="shared" si="2178"/>
        <v>0</v>
      </c>
      <c r="J805" s="155">
        <f t="shared" si="2178"/>
        <v>0</v>
      </c>
      <c r="K805" s="155">
        <f t="shared" si="2178"/>
        <v>0</v>
      </c>
      <c r="L805" s="155">
        <f t="shared" si="2178"/>
        <v>0</v>
      </c>
      <c r="M805" s="155">
        <f t="shared" si="2178"/>
        <v>0</v>
      </c>
      <c r="N805" s="155">
        <f t="shared" si="2178"/>
        <v>0</v>
      </c>
      <c r="O805" s="155">
        <f t="shared" si="2178"/>
        <v>9.3087222386397328E-2</v>
      </c>
      <c r="P805" s="155">
        <f t="shared" si="2178"/>
        <v>0</v>
      </c>
      <c r="Q805" s="155">
        <f t="shared" si="2178"/>
        <v>0</v>
      </c>
      <c r="R805" s="155">
        <f t="shared" si="2178"/>
        <v>0</v>
      </c>
      <c r="S805" s="155">
        <f t="shared" si="2178"/>
        <v>0</v>
      </c>
      <c r="T805" s="155">
        <f t="shared" si="2178"/>
        <v>0</v>
      </c>
      <c r="U805" s="155">
        <f t="shared" si="2178"/>
        <v>0</v>
      </c>
      <c r="V805" s="155">
        <f t="shared" si="2178"/>
        <v>0</v>
      </c>
      <c r="W805" s="155">
        <f t="shared" si="2178"/>
        <v>0</v>
      </c>
      <c r="X805" s="155">
        <f t="shared" si="2178"/>
        <v>0</v>
      </c>
      <c r="Y805" s="160">
        <f t="shared" si="2178"/>
        <v>0</v>
      </c>
    </row>
    <row r="806" spans="2:25" ht="15" customHeight="1" x14ac:dyDescent="0.2">
      <c r="B806" s="249" t="s">
        <v>55</v>
      </c>
      <c r="C806" s="91">
        <f>E806/SUM(E806:E808)</f>
        <v>0.55232558139534882</v>
      </c>
      <c r="D806" s="67" t="s">
        <v>0</v>
      </c>
      <c r="E806" s="68">
        <f t="shared" si="2154"/>
        <v>190</v>
      </c>
      <c r="F806" s="68">
        <f>SUMIFS([0]!Chavez,[0]!Centro,B808,[0]!Turno,F$775)</f>
        <v>38</v>
      </c>
      <c r="G806" s="68">
        <f>SUMIFS([0]!Chavez,[0]!Centro,B808,[0]!Turno,G$775)</f>
        <v>37</v>
      </c>
      <c r="H806" s="68">
        <f>SUMIFS([0]!Chavez,[0]!Centro,B808,[0]!Turno,H$775)</f>
        <v>0</v>
      </c>
      <c r="I806" s="68">
        <f>SUMIFS([0]!Chavez,[0]!Centro,B808,[0]!Turno,I$775)</f>
        <v>8</v>
      </c>
      <c r="J806" s="68">
        <f>SUMIFS([0]!Chavez,[0]!Centro,B808,[0]!Turno,J$775)</f>
        <v>20</v>
      </c>
      <c r="K806" s="68">
        <f>SUMIFS([0]!Chavez,[0]!Centro,B808,[0]!Turno,K$775)</f>
        <v>26</v>
      </c>
      <c r="L806" s="68">
        <f>SUMIFS([0]!Chavez,[0]!Centro,B808,[0]!Turno,L$775)</f>
        <v>24</v>
      </c>
      <c r="M806" s="68">
        <f>SUMIFS([0]!Chavez,[0]!Centro,B808,[0]!Turno,M$775)</f>
        <v>26</v>
      </c>
      <c r="N806" s="68">
        <f>SUMIFS([0]!Chavez,[0]!Centro,B808,[0]!Turno,N$775)</f>
        <v>0</v>
      </c>
      <c r="O806" s="68">
        <f>SUMIFS([0]!Chavez,[0]!Centro,B808,[0]!Turno,O$775)</f>
        <v>0</v>
      </c>
      <c r="P806" s="68">
        <f>SUMIFS([0]!Chavez,[0]!Centro,B808,[0]!Turno,P$775)</f>
        <v>11</v>
      </c>
      <c r="Q806" s="68">
        <f>SUMIFS([0]!Chavez,[0]!Centro,B808,[0]!Turno,Q$775)</f>
        <v>0</v>
      </c>
      <c r="R806" s="68">
        <f>SUMIFS([0]!Chavez,[0]!Centro,B808,[0]!Turno,R$775)</f>
        <v>0</v>
      </c>
      <c r="S806" s="68">
        <f>SUMIFS([0]!Chavez,[0]!Centro,B808,[0]!Turno,S$775)</f>
        <v>0</v>
      </c>
      <c r="T806" s="68">
        <f>SUMIFS([0]!Chavez,[0]!Centro,B808,[0]!Turno,T$775)</f>
        <v>0</v>
      </c>
      <c r="U806" s="68">
        <f>SUMIFS([0]!Chavez,[0]!Centro,B808,[0]!Turno,U$775)</f>
        <v>0</v>
      </c>
      <c r="V806" s="68">
        <f>SUMIFS([0]!Chavez,[0]!Centro,B808,[0]!Turno,V$775)</f>
        <v>0</v>
      </c>
      <c r="W806" s="68">
        <f>SUMIFS([0]!Chavez,[0]!Centro,B808,[0]!Turno,W$775)</f>
        <v>0</v>
      </c>
      <c r="X806" s="68">
        <f>SUMIFS([0]!Chavez,[0]!Centro,B808,[0]!Turno,X$775)</f>
        <v>0</v>
      </c>
      <c r="Y806" s="69">
        <f>SUMIFS([0]!Chavez,[0]!Centro,B808,[0]!Turno,Y$775)</f>
        <v>0</v>
      </c>
    </row>
    <row r="807" spans="2:25" ht="15" customHeight="1" x14ac:dyDescent="0.2">
      <c r="B807" s="250"/>
      <c r="C807" s="92">
        <f>E807/SUM(E806:E808)</f>
        <v>0.41279069767441862</v>
      </c>
      <c r="D807" s="61" t="s">
        <v>1</v>
      </c>
      <c r="E807" s="62">
        <f t="shared" si="2154"/>
        <v>142</v>
      </c>
      <c r="F807" s="62">
        <f>SUMIFS([0]!Capriles,[0]!Centro,B808,[0]!Turno,F$775)</f>
        <v>24</v>
      </c>
      <c r="G807" s="62">
        <f>SUMIFS([0]!Capriles,[0]!Centro,B808,[0]!Turno,G$775)</f>
        <v>23</v>
      </c>
      <c r="H807" s="62">
        <f>SUMIFS([0]!Capriles,[0]!Centro,B808,[0]!Turno,H$775)</f>
        <v>0</v>
      </c>
      <c r="I807" s="62">
        <f>SUMIFS([0]!Capriles,[0]!Centro,B808,[0]!Turno,I$775)</f>
        <v>3</v>
      </c>
      <c r="J807" s="62">
        <f>SUMIFS([0]!Capriles,[0]!Centro,B808,[0]!Turno,J$775)</f>
        <v>17</v>
      </c>
      <c r="K807" s="62">
        <f>SUMIFS([0]!Capriles,[0]!Centro,B808,[0]!Turno,K$775)</f>
        <v>26</v>
      </c>
      <c r="L807" s="62">
        <f>SUMIFS([0]!Capriles,[0]!Centro,B808,[0]!Turno,L$775)</f>
        <v>18</v>
      </c>
      <c r="M807" s="62">
        <f>SUMIFS([0]!Capriles,[0]!Centro,B808,[0]!Turno,M$775)</f>
        <v>18</v>
      </c>
      <c r="N807" s="62">
        <f>SUMIFS([0]!Capriles,[0]!Centro,B808,[0]!Turno,N$775)</f>
        <v>0</v>
      </c>
      <c r="O807" s="62">
        <f>SUMIFS([0]!Capriles,[0]!Centro,B808,[0]!Turno,O$775)</f>
        <v>0</v>
      </c>
      <c r="P807" s="62">
        <f>SUMIFS([0]!Capriles,[0]!Centro,B808,[0]!Turno,P$775)</f>
        <v>13</v>
      </c>
      <c r="Q807" s="62">
        <f>SUMIFS([0]!Capriles,[0]!Centro,B808,[0]!Turno,Q$775)</f>
        <v>0</v>
      </c>
      <c r="R807" s="62">
        <f>SUMIFS([0]!Capriles,[0]!Centro,B808,[0]!Turno,R$775)</f>
        <v>0</v>
      </c>
      <c r="S807" s="62">
        <f>SUMIFS([0]!Capriles,[0]!Centro,B808,[0]!Turno,S$775)</f>
        <v>0</v>
      </c>
      <c r="T807" s="62">
        <f>SUMIFS([0]!Capriles,[0]!Centro,B808,[0]!Turno,T$775)</f>
        <v>0</v>
      </c>
      <c r="U807" s="62">
        <f>SUMIFS([0]!Capriles,[0]!Centro,B808,[0]!Turno,U$775)</f>
        <v>0</v>
      </c>
      <c r="V807" s="62">
        <f>SUMIFS([0]!Capriles,[0]!Centro,B808,[0]!Turno,V$775)</f>
        <v>0</v>
      </c>
      <c r="W807" s="62">
        <f>SUMIFS([0]!Capriles,[0]!Centro,B808,[0]!Turno,W$775)</f>
        <v>0</v>
      </c>
      <c r="X807" s="62">
        <f>SUMIFS([0]!Capriles,[0]!Centro,B808,[0]!Turno,X$775)</f>
        <v>0</v>
      </c>
      <c r="Y807" s="70">
        <f>SUMIFS([0]!Capriles,[0]!Centro,B808,[0]!Turno,Y$775)</f>
        <v>0</v>
      </c>
    </row>
    <row r="808" spans="2:25" ht="15" customHeight="1" thickBot="1" x14ac:dyDescent="0.25">
      <c r="B808" s="251">
        <v>112</v>
      </c>
      <c r="C808" s="100">
        <f>E808/SUM(E806:E808)</f>
        <v>3.4883720930232558E-2</v>
      </c>
      <c r="D808" s="71" t="s">
        <v>2</v>
      </c>
      <c r="E808" s="72">
        <f t="shared" si="2154"/>
        <v>12</v>
      </c>
      <c r="F808" s="72">
        <f>SUMIFS([0]!Otro,[0]!Centro,B808,[0]!Turno,F$775)</f>
        <v>3</v>
      </c>
      <c r="G808" s="72">
        <f>SUMIFS([0]!Otro,[0]!Centro,B808,[0]!Turno,G$775)</f>
        <v>0</v>
      </c>
      <c r="H808" s="72">
        <f>SUMIFS([0]!Otro,[0]!Centro,B808,[0]!Turno,H$775)</f>
        <v>0</v>
      </c>
      <c r="I808" s="72">
        <f>SUMIFS([0]!Otro,[0]!Centro,B808,[0]!Turno,I$775)</f>
        <v>0</v>
      </c>
      <c r="J808" s="72">
        <f>SUMIFS([0]!Otro,[0]!Centro,B808,[0]!Turno,J$775)</f>
        <v>0</v>
      </c>
      <c r="K808" s="72">
        <f>SUMIFS([0]!Otro,[0]!Centro,B808,[0]!Turno,K$775)</f>
        <v>8</v>
      </c>
      <c r="L808" s="72">
        <f>SUMIFS([0]!Otro,[0]!Centro,B808,[0]!Turno,L$775)</f>
        <v>1</v>
      </c>
      <c r="M808" s="72">
        <f>SUMIFS([0]!Otro,[0]!Centro,B808,[0]!Turno,M$775)</f>
        <v>0</v>
      </c>
      <c r="N808" s="72">
        <f>SUMIFS([0]!Otro,[0]!Centro,B808,[0]!Turno,N$775)</f>
        <v>0</v>
      </c>
      <c r="O808" s="72">
        <f>SUMIFS([0]!Otro,[0]!Centro,B808,[0]!Turno,O$775)</f>
        <v>0</v>
      </c>
      <c r="P808" s="72">
        <f>SUMIFS([0]!Otro,[0]!Centro,B808,[0]!Turno,P$775)</f>
        <v>0</v>
      </c>
      <c r="Q808" s="72">
        <f>SUMIFS([0]!Otro,[0]!Centro,B808,[0]!Turno,Q$775)</f>
        <v>0</v>
      </c>
      <c r="R808" s="72">
        <f>SUMIFS([0]!Otro,[0]!Centro,B808,[0]!Turno,R$775)</f>
        <v>0</v>
      </c>
      <c r="S808" s="72">
        <f>SUMIFS([0]!Otro,[0]!Centro,B808,[0]!Turno,S$775)</f>
        <v>0</v>
      </c>
      <c r="T808" s="72">
        <f>SUMIFS([0]!Otro,[0]!Centro,B808,[0]!Turno,T$775)</f>
        <v>0</v>
      </c>
      <c r="U808" s="72">
        <f>SUMIFS([0]!Otro,[0]!Centro,B808,[0]!Turno,U$775)</f>
        <v>0</v>
      </c>
      <c r="V808" s="72">
        <f>SUMIFS([0]!Otro,[0]!Centro,B808,[0]!Turno,V$775)</f>
        <v>0</v>
      </c>
      <c r="W808" s="72">
        <f>SUMIFS([0]!Otro,[0]!Centro,B808,[0]!Turno,W$775)</f>
        <v>0</v>
      </c>
      <c r="X808" s="72">
        <f>SUMIFS([0]!Otro,[0]!Centro,B808,[0]!Turno,X$775)</f>
        <v>0</v>
      </c>
      <c r="Y808" s="73">
        <f>SUMIFS([0]!Otro,[0]!Centro,B808,[0]!Turno,Y$775)</f>
        <v>0</v>
      </c>
    </row>
    <row r="809" spans="2:25" ht="15" customHeight="1" x14ac:dyDescent="0.2">
      <c r="B809" s="251"/>
      <c r="C809" s="94">
        <f>E809/SUM(E809:E811)</f>
        <v>0.55232558139534882</v>
      </c>
      <c r="D809" s="63" t="s">
        <v>0</v>
      </c>
      <c r="E809" s="150">
        <f>IF((E806+E807+E808)=0,0,(E806*$B810)/(E806+E807+E808))</f>
        <v>3.9992786579495891E-2</v>
      </c>
      <c r="F809" s="150">
        <f>IF((F806+F807+F808)=0,0,(F806*$B810)/(F806+F807+F808))</f>
        <v>4.2330826410297187E-2</v>
      </c>
      <c r="G809" s="150">
        <f t="shared" ref="G809:Y809" si="2179">IF((G806+G807+G808)=0,0,(G806*$B810)/(G806+G807+G808))</f>
        <v>4.4651595402089801E-2</v>
      </c>
      <c r="H809" s="150">
        <f t="shared" si="2179"/>
        <v>0</v>
      </c>
      <c r="I809" s="150">
        <f t="shared" si="2179"/>
        <v>5.2660358213766842E-2</v>
      </c>
      <c r="J809" s="150">
        <f t="shared" si="2179"/>
        <v>3.9139455429151024E-2</v>
      </c>
      <c r="K809" s="150">
        <f t="shared" si="2179"/>
        <v>3.1376796769036076E-2</v>
      </c>
      <c r="L809" s="150">
        <f t="shared" si="2179"/>
        <v>4.0413763280332693E-2</v>
      </c>
      <c r="M809" s="150">
        <f t="shared" si="2179"/>
        <v>4.278654104868556E-2</v>
      </c>
      <c r="N809" s="150">
        <f t="shared" si="2179"/>
        <v>0</v>
      </c>
      <c r="O809" s="150">
        <f t="shared" si="2179"/>
        <v>0</v>
      </c>
      <c r="P809" s="150">
        <f t="shared" si="2179"/>
        <v>3.3186996582634312E-2</v>
      </c>
      <c r="Q809" s="150">
        <f t="shared" si="2179"/>
        <v>0</v>
      </c>
      <c r="R809" s="150">
        <f t="shared" si="2179"/>
        <v>0</v>
      </c>
      <c r="S809" s="150">
        <f t="shared" si="2179"/>
        <v>0</v>
      </c>
      <c r="T809" s="150">
        <f t="shared" si="2179"/>
        <v>0</v>
      </c>
      <c r="U809" s="150">
        <f t="shared" si="2179"/>
        <v>0</v>
      </c>
      <c r="V809" s="150">
        <f t="shared" si="2179"/>
        <v>0</v>
      </c>
      <c r="W809" s="150">
        <f t="shared" si="2179"/>
        <v>0</v>
      </c>
      <c r="X809" s="150">
        <f t="shared" si="2179"/>
        <v>0</v>
      </c>
      <c r="Y809" s="163">
        <f t="shared" si="2179"/>
        <v>0</v>
      </c>
    </row>
    <row r="810" spans="2:25" ht="15" customHeight="1" x14ac:dyDescent="0.2">
      <c r="B810" s="252">
        <v>7.2407992543929406E-2</v>
      </c>
      <c r="C810" s="92">
        <f>E810/SUM(E809:E811)</f>
        <v>0.41279069767441862</v>
      </c>
      <c r="D810" s="61" t="s">
        <v>1</v>
      </c>
      <c r="E810" s="154">
        <f>IF((E806+E807+E808)=0,0,(E807*$B810)/(E806+E807+E808))</f>
        <v>2.9889345759412721E-2</v>
      </c>
      <c r="F810" s="154">
        <f>IF((F806+F807+F808)=0,0,(F807*$B810)/(F806+F807+F808))</f>
        <v>2.6735258785450858E-2</v>
      </c>
      <c r="G810" s="154">
        <f t="shared" ref="G810:O810" si="2180">IF((G806+G807+G808)=0,0,(G807*$B810)/(G806+G807+G808))</f>
        <v>2.7756397141839605E-2</v>
      </c>
      <c r="H810" s="154">
        <f t="shared" si="2180"/>
        <v>0</v>
      </c>
      <c r="I810" s="154">
        <f t="shared" si="2180"/>
        <v>1.9747634330162564E-2</v>
      </c>
      <c r="J810" s="154">
        <f t="shared" si="2180"/>
        <v>3.3268537114778375E-2</v>
      </c>
      <c r="K810" s="154">
        <f t="shared" si="2180"/>
        <v>3.1376796769036076E-2</v>
      </c>
      <c r="L810" s="154">
        <f t="shared" si="2180"/>
        <v>3.0310322460249516E-2</v>
      </c>
      <c r="M810" s="154">
        <f t="shared" si="2180"/>
        <v>2.9621451495243846E-2</v>
      </c>
      <c r="N810" s="154">
        <f t="shared" si="2180"/>
        <v>0</v>
      </c>
      <c r="O810" s="154">
        <f t="shared" si="2180"/>
        <v>0</v>
      </c>
      <c r="P810" s="154">
        <f>IF((P806+P807+P808)=0,0,(P807*$B810)/(P806+P807+P808))</f>
        <v>3.9220995961295094E-2</v>
      </c>
      <c r="Q810" s="154">
        <f t="shared" ref="Q810:Y810" si="2181">IF((Q806+Q807+Q808)=0,0,(Q807*$B810)/(Q806+Q807+Q808))</f>
        <v>0</v>
      </c>
      <c r="R810" s="154">
        <f t="shared" si="2181"/>
        <v>0</v>
      </c>
      <c r="S810" s="154">
        <f t="shared" si="2181"/>
        <v>0</v>
      </c>
      <c r="T810" s="154">
        <f t="shared" si="2181"/>
        <v>0</v>
      </c>
      <c r="U810" s="154">
        <f t="shared" si="2181"/>
        <v>0</v>
      </c>
      <c r="V810" s="154">
        <f t="shared" si="2181"/>
        <v>0</v>
      </c>
      <c r="W810" s="154">
        <f t="shared" si="2181"/>
        <v>0</v>
      </c>
      <c r="X810" s="154">
        <f t="shared" si="2181"/>
        <v>0</v>
      </c>
      <c r="Y810" s="159">
        <f t="shared" si="2181"/>
        <v>0</v>
      </c>
    </row>
    <row r="811" spans="2:25" ht="15" customHeight="1" thickBot="1" x14ac:dyDescent="0.25">
      <c r="B811" s="253"/>
      <c r="C811" s="93">
        <f>E811/SUM(E809:E811)</f>
        <v>3.4883720930232558E-2</v>
      </c>
      <c r="D811" s="75" t="s">
        <v>2</v>
      </c>
      <c r="E811" s="155">
        <f>IF((E806+E807+E808)=0,0,(E808*$B810)/(E806+E807+E808))</f>
        <v>2.5258602050207933E-3</v>
      </c>
      <c r="F811" s="155">
        <f>IF((F806+F807+F808)=0,0,(F808*$B810)/(F806+F807+F808))</f>
        <v>3.3419073481813573E-3</v>
      </c>
      <c r="G811" s="155">
        <f t="shared" ref="G811:Y811" si="2182">IF((G806+G807+G808)=0,0,(G808*$B810)/(G806+G807+G808))</f>
        <v>0</v>
      </c>
      <c r="H811" s="155">
        <f t="shared" si="2182"/>
        <v>0</v>
      </c>
      <c r="I811" s="155">
        <f t="shared" si="2182"/>
        <v>0</v>
      </c>
      <c r="J811" s="155">
        <f t="shared" si="2182"/>
        <v>0</v>
      </c>
      <c r="K811" s="155">
        <f t="shared" si="2182"/>
        <v>9.6543990058572549E-3</v>
      </c>
      <c r="L811" s="155">
        <f t="shared" si="2182"/>
        <v>1.6839068033471954E-3</v>
      </c>
      <c r="M811" s="155">
        <f t="shared" si="2182"/>
        <v>0</v>
      </c>
      <c r="N811" s="155">
        <f t="shared" si="2182"/>
        <v>0</v>
      </c>
      <c r="O811" s="155">
        <f t="shared" si="2182"/>
        <v>0</v>
      </c>
      <c r="P811" s="155">
        <f t="shared" si="2182"/>
        <v>0</v>
      </c>
      <c r="Q811" s="155">
        <f t="shared" si="2182"/>
        <v>0</v>
      </c>
      <c r="R811" s="155">
        <f t="shared" si="2182"/>
        <v>0</v>
      </c>
      <c r="S811" s="155">
        <f t="shared" si="2182"/>
        <v>0</v>
      </c>
      <c r="T811" s="155">
        <f t="shared" si="2182"/>
        <v>0</v>
      </c>
      <c r="U811" s="155">
        <f t="shared" si="2182"/>
        <v>0</v>
      </c>
      <c r="V811" s="155">
        <f t="shared" si="2182"/>
        <v>0</v>
      </c>
      <c r="W811" s="155">
        <f t="shared" si="2182"/>
        <v>0</v>
      </c>
      <c r="X811" s="155">
        <f t="shared" si="2182"/>
        <v>0</v>
      </c>
      <c r="Y811" s="160">
        <f t="shared" si="2182"/>
        <v>0</v>
      </c>
    </row>
    <row r="812" spans="2:25" ht="15" customHeight="1" x14ac:dyDescent="0.2">
      <c r="B812" s="249" t="s">
        <v>136</v>
      </c>
      <c r="C812" s="91">
        <f>E812/SUM(E812:E814)</f>
        <v>0.84803921568627449</v>
      </c>
      <c r="D812" s="67" t="s">
        <v>0</v>
      </c>
      <c r="E812" s="68">
        <f t="shared" si="2154"/>
        <v>173</v>
      </c>
      <c r="F812" s="68">
        <f>SUMIFS([0]!Chavez,[0]!Centro,B814,[0]!Turno,F$775)</f>
        <v>14</v>
      </c>
      <c r="G812" s="68">
        <f>SUMIFS([0]!Chavez,[0]!Centro,B814,[0]!Turno,G$775)</f>
        <v>16</v>
      </c>
      <c r="H812" s="68">
        <f>SUMIFS([0]!Chavez,[0]!Centro,B814,[0]!Turno,H$775)</f>
        <v>16</v>
      </c>
      <c r="I812" s="68">
        <f>SUMIFS([0]!Chavez,[0]!Centro,B814,[0]!Turno,I$775)</f>
        <v>29</v>
      </c>
      <c r="J812" s="68">
        <f>SUMIFS([0]!Chavez,[0]!Centro,B814,[0]!Turno,J$775)</f>
        <v>22</v>
      </c>
      <c r="K812" s="68">
        <f>SUMIFS([0]!Chavez,[0]!Centro,B814,[0]!Turno,K$775)</f>
        <v>29</v>
      </c>
      <c r="L812" s="68">
        <f>SUMIFS([0]!Chavez,[0]!Centro,B814,[0]!Turno,L$775)</f>
        <v>25</v>
      </c>
      <c r="M812" s="68">
        <f>SUMIFS([0]!Chavez,[0]!Centro,B814,[0]!Turno,M$775)</f>
        <v>22</v>
      </c>
      <c r="N812" s="68">
        <f>SUMIFS([0]!Chavez,[0]!Centro,B814,[0]!Turno,N$775)</f>
        <v>0</v>
      </c>
      <c r="O812" s="68">
        <f>SUMIFS([0]!Chavez,[0]!Centro,B814,[0]!Turno,O$775)</f>
        <v>0</v>
      </c>
      <c r="P812" s="68">
        <f>SUMIFS([0]!Chavez,[0]!Centro,B814,[0]!Turno,P$775)</f>
        <v>0</v>
      </c>
      <c r="Q812" s="68">
        <f>SUMIFS([0]!Chavez,[0]!Centro,B814,[0]!Turno,Q$775)</f>
        <v>0</v>
      </c>
      <c r="R812" s="68">
        <f>SUMIFS([0]!Chavez,[0]!Centro,B814,[0]!Turno,R$775)</f>
        <v>0</v>
      </c>
      <c r="S812" s="68">
        <f>SUMIFS([0]!Chavez,[0]!Centro,B814,[0]!Turno,S$775)</f>
        <v>0</v>
      </c>
      <c r="T812" s="68">
        <f>SUMIFS([0]!Chavez,[0]!Centro,B814,[0]!Turno,T$775)</f>
        <v>0</v>
      </c>
      <c r="U812" s="68">
        <f>SUMIFS([0]!Chavez,[0]!Centro,B814,[0]!Turno,U$775)</f>
        <v>0</v>
      </c>
      <c r="V812" s="68">
        <f>SUMIFS([0]!Chavez,[0]!Centro,B814,[0]!Turno,V$775)</f>
        <v>0</v>
      </c>
      <c r="W812" s="68">
        <f>SUMIFS([0]!Chavez,[0]!Centro,B814,[0]!Turno,W$775)</f>
        <v>0</v>
      </c>
      <c r="X812" s="68">
        <f>SUMIFS([0]!Chavez,[0]!Centro,B814,[0]!Turno,X$775)</f>
        <v>0</v>
      </c>
      <c r="Y812" s="69">
        <f>SUMIFS([0]!Chavez,[0]!Centro,B814,[0]!Turno,Y$775)</f>
        <v>0</v>
      </c>
    </row>
    <row r="813" spans="2:25" ht="15" customHeight="1" x14ac:dyDescent="0.2">
      <c r="B813" s="250"/>
      <c r="C813" s="92">
        <f>E813/SUM(E812:E814)</f>
        <v>0.14215686274509803</v>
      </c>
      <c r="D813" s="61" t="s">
        <v>1</v>
      </c>
      <c r="E813" s="62">
        <f t="shared" si="2154"/>
        <v>29</v>
      </c>
      <c r="F813" s="62">
        <f>SUMIFS([0]!Capriles,[0]!Centro,B814,[0]!Turno,F$775)</f>
        <v>1</v>
      </c>
      <c r="G813" s="62">
        <f>SUMIFS([0]!Capriles,[0]!Centro,B814,[0]!Turno,G$775)</f>
        <v>11</v>
      </c>
      <c r="H813" s="62">
        <f>SUMIFS([0]!Capriles,[0]!Centro,B814,[0]!Turno,H$775)</f>
        <v>0</v>
      </c>
      <c r="I813" s="62">
        <f>SUMIFS([0]!Capriles,[0]!Centro,B814,[0]!Turno,I$775)</f>
        <v>2</v>
      </c>
      <c r="J813" s="62">
        <f>SUMIFS([0]!Capriles,[0]!Centro,B814,[0]!Turno,J$775)</f>
        <v>3</v>
      </c>
      <c r="K813" s="62">
        <f>SUMIFS([0]!Capriles,[0]!Centro,B814,[0]!Turno,K$775)</f>
        <v>1</v>
      </c>
      <c r="L813" s="62">
        <f>SUMIFS([0]!Capriles,[0]!Centro,B814,[0]!Turno,L$775)</f>
        <v>2</v>
      </c>
      <c r="M813" s="62">
        <f>SUMIFS([0]!Capriles,[0]!Centro,B814,[0]!Turno,M$775)</f>
        <v>9</v>
      </c>
      <c r="N813" s="62">
        <f>SUMIFS([0]!Capriles,[0]!Centro,B814,[0]!Turno,N$775)</f>
        <v>0</v>
      </c>
      <c r="O813" s="62">
        <f>SUMIFS([0]!Capriles,[0]!Centro,B814,[0]!Turno,O$775)</f>
        <v>0</v>
      </c>
      <c r="P813" s="62">
        <f>SUMIFS([0]!Capriles,[0]!Centro,B814,[0]!Turno,P$775)</f>
        <v>0</v>
      </c>
      <c r="Q813" s="62">
        <f>SUMIFS([0]!Capriles,[0]!Centro,B814,[0]!Turno,Q$775)</f>
        <v>0</v>
      </c>
      <c r="R813" s="62">
        <f>SUMIFS([0]!Capriles,[0]!Centro,B814,[0]!Turno,R$775)</f>
        <v>0</v>
      </c>
      <c r="S813" s="62">
        <f>SUMIFS([0]!Capriles,[0]!Centro,B814,[0]!Turno,S$775)</f>
        <v>0</v>
      </c>
      <c r="T813" s="62">
        <f>SUMIFS([0]!Capriles,[0]!Centro,B814,[0]!Turno,T$775)</f>
        <v>0</v>
      </c>
      <c r="U813" s="62">
        <f>SUMIFS([0]!Capriles,[0]!Centro,B814,[0]!Turno,U$775)</f>
        <v>0</v>
      </c>
      <c r="V813" s="62">
        <f>SUMIFS([0]!Capriles,[0]!Centro,B814,[0]!Turno,V$775)</f>
        <v>0</v>
      </c>
      <c r="W813" s="62">
        <f>SUMIFS([0]!Capriles,[0]!Centro,B814,[0]!Turno,W$775)</f>
        <v>0</v>
      </c>
      <c r="X813" s="62">
        <f>SUMIFS([0]!Capriles,[0]!Centro,B814,[0]!Turno,X$775)</f>
        <v>0</v>
      </c>
      <c r="Y813" s="70">
        <f>SUMIFS([0]!Capriles,[0]!Centro,B814,[0]!Turno,Y$775)</f>
        <v>0</v>
      </c>
    </row>
    <row r="814" spans="2:25" ht="15" customHeight="1" thickBot="1" x14ac:dyDescent="0.25">
      <c r="B814" s="251">
        <v>113</v>
      </c>
      <c r="C814" s="100">
        <f>E814/SUM(E812:E814)</f>
        <v>9.8039215686274508E-3</v>
      </c>
      <c r="D814" s="71" t="s">
        <v>2</v>
      </c>
      <c r="E814" s="72">
        <f t="shared" si="2154"/>
        <v>2</v>
      </c>
      <c r="F814" s="72">
        <f>SUMIFS([0]!Otro,[0]!Centro,B814,[0]!Turno,F$775)</f>
        <v>0</v>
      </c>
      <c r="G814" s="72">
        <f>SUMIFS([0]!Otro,[0]!Centro,B814,[0]!Turno,G$775)</f>
        <v>2</v>
      </c>
      <c r="H814" s="72">
        <f>SUMIFS([0]!Otro,[0]!Centro,B814,[0]!Turno,H$775)</f>
        <v>0</v>
      </c>
      <c r="I814" s="72">
        <f>SUMIFS([0]!Otro,[0]!Centro,B814,[0]!Turno,I$775)</f>
        <v>0</v>
      </c>
      <c r="J814" s="72">
        <f>SUMIFS([0]!Otro,[0]!Centro,B814,[0]!Turno,J$775)</f>
        <v>0</v>
      </c>
      <c r="K814" s="72">
        <f>SUMIFS([0]!Otro,[0]!Centro,B814,[0]!Turno,K$775)</f>
        <v>0</v>
      </c>
      <c r="L814" s="72">
        <f>SUMIFS([0]!Otro,[0]!Centro,B814,[0]!Turno,L$775)</f>
        <v>0</v>
      </c>
      <c r="M814" s="72">
        <f>SUMIFS([0]!Otro,[0]!Centro,B814,[0]!Turno,M$775)</f>
        <v>0</v>
      </c>
      <c r="N814" s="72">
        <f>SUMIFS([0]!Otro,[0]!Centro,B814,[0]!Turno,N$775)</f>
        <v>0</v>
      </c>
      <c r="O814" s="72">
        <f>SUMIFS([0]!Otro,[0]!Centro,B814,[0]!Turno,O$775)</f>
        <v>0</v>
      </c>
      <c r="P814" s="72">
        <f>SUMIFS([0]!Otro,[0]!Centro,B814,[0]!Turno,P$775)</f>
        <v>0</v>
      </c>
      <c r="Q814" s="72">
        <f>SUMIFS([0]!Otro,[0]!Centro,B814,[0]!Turno,Q$775)</f>
        <v>0</v>
      </c>
      <c r="R814" s="72">
        <f>SUMIFS([0]!Otro,[0]!Centro,B814,[0]!Turno,R$775)</f>
        <v>0</v>
      </c>
      <c r="S814" s="72">
        <f>SUMIFS([0]!Otro,[0]!Centro,B814,[0]!Turno,S$775)</f>
        <v>0</v>
      </c>
      <c r="T814" s="72">
        <f>SUMIFS([0]!Otro,[0]!Centro,B814,[0]!Turno,T$775)</f>
        <v>0</v>
      </c>
      <c r="U814" s="72">
        <f>SUMIFS([0]!Otro,[0]!Centro,B814,[0]!Turno,U$775)</f>
        <v>0</v>
      </c>
      <c r="V814" s="72">
        <f>SUMIFS([0]!Otro,[0]!Centro,B814,[0]!Turno,V$775)</f>
        <v>0</v>
      </c>
      <c r="W814" s="72">
        <f>SUMIFS([0]!Otro,[0]!Centro,B814,[0]!Turno,W$775)</f>
        <v>0</v>
      </c>
      <c r="X814" s="72">
        <f>SUMIFS([0]!Otro,[0]!Centro,B814,[0]!Turno,X$775)</f>
        <v>0</v>
      </c>
      <c r="Y814" s="73">
        <f>SUMIFS([0]!Otro,[0]!Centro,B814,[0]!Turno,Y$775)</f>
        <v>0</v>
      </c>
    </row>
    <row r="815" spans="2:25" ht="15" customHeight="1" x14ac:dyDescent="0.2">
      <c r="B815" s="251"/>
      <c r="C815" s="94">
        <f>E815/SUM(E815:E817)</f>
        <v>0.84803921568627449</v>
      </c>
      <c r="D815" s="63" t="s">
        <v>0</v>
      </c>
      <c r="E815" s="150">
        <f>IF((E812+E813+E814)=0,0,(E812*$B816)/(E812+E813+E814))</f>
        <v>8.1698306382633493E-2</v>
      </c>
      <c r="F815" s="150">
        <f>IF((F812+F813+F814)=0,0,(F812*$B816)/(F812+F813+F814))</f>
        <v>8.9915361475453273E-2</v>
      </c>
      <c r="G815" s="150">
        <f t="shared" ref="G815:Y815" si="2183">IF((G812+G813+G814)=0,0,(G812*$B816)/(G812+G813+G814))</f>
        <v>5.3151937818001933E-2</v>
      </c>
      <c r="H815" s="150">
        <f t="shared" si="2183"/>
        <v>9.6337887295128502E-2</v>
      </c>
      <c r="I815" s="150">
        <f t="shared" si="2183"/>
        <v>9.0122539727700859E-2</v>
      </c>
      <c r="J815" s="150">
        <f t="shared" si="2183"/>
        <v>8.4777340819713082E-2</v>
      </c>
      <c r="K815" s="150">
        <f t="shared" si="2183"/>
        <v>9.3126624385290888E-2</v>
      </c>
      <c r="L815" s="150">
        <f t="shared" si="2183"/>
        <v>8.9201747495489356E-2</v>
      </c>
      <c r="M815" s="150">
        <f t="shared" si="2183"/>
        <v>6.8368823241704096E-2</v>
      </c>
      <c r="N815" s="150">
        <f t="shared" si="2183"/>
        <v>0</v>
      </c>
      <c r="O815" s="150">
        <f t="shared" si="2183"/>
        <v>0</v>
      </c>
      <c r="P815" s="150">
        <f t="shared" si="2183"/>
        <v>0</v>
      </c>
      <c r="Q815" s="150">
        <f t="shared" si="2183"/>
        <v>0</v>
      </c>
      <c r="R815" s="150">
        <f t="shared" si="2183"/>
        <v>0</v>
      </c>
      <c r="S815" s="150">
        <f t="shared" si="2183"/>
        <v>0</v>
      </c>
      <c r="T815" s="150">
        <f t="shared" si="2183"/>
        <v>0</v>
      </c>
      <c r="U815" s="150">
        <f t="shared" si="2183"/>
        <v>0</v>
      </c>
      <c r="V815" s="150">
        <f t="shared" si="2183"/>
        <v>0</v>
      </c>
      <c r="W815" s="150">
        <f t="shared" si="2183"/>
        <v>0</v>
      </c>
      <c r="X815" s="150">
        <f t="shared" si="2183"/>
        <v>0</v>
      </c>
      <c r="Y815" s="163">
        <f t="shared" si="2183"/>
        <v>0</v>
      </c>
    </row>
    <row r="816" spans="2:25" ht="15" customHeight="1" x14ac:dyDescent="0.2">
      <c r="B816" s="252">
        <v>9.6337887295128502E-2</v>
      </c>
      <c r="C816" s="92">
        <f>E816/SUM(E815:E817)</f>
        <v>0.14215686274509803</v>
      </c>
      <c r="D816" s="61" t="s">
        <v>1</v>
      </c>
      <c r="E816" s="154">
        <f>IF((E812+E813+E814)=0,0,(E813*$B816)/(E812+E813+E814))</f>
        <v>1.3695091821366308E-2</v>
      </c>
      <c r="F816" s="154">
        <f>IF((F812+F813+F814)=0,0,(F813*$B816)/(F812+F813+F814))</f>
        <v>6.4225258196752332E-3</v>
      </c>
      <c r="G816" s="154">
        <f t="shared" ref="G816:O816" si="2184">IF((G812+G813+G814)=0,0,(G813*$B816)/(G812+G813+G814))</f>
        <v>3.6541957249876328E-2</v>
      </c>
      <c r="H816" s="154">
        <f t="shared" si="2184"/>
        <v>0</v>
      </c>
      <c r="I816" s="154">
        <f t="shared" si="2184"/>
        <v>6.2153475674276452E-3</v>
      </c>
      <c r="J816" s="154">
        <f t="shared" si="2184"/>
        <v>1.156054647541542E-2</v>
      </c>
      <c r="K816" s="154">
        <f t="shared" si="2184"/>
        <v>3.2112629098376166E-3</v>
      </c>
      <c r="L816" s="154">
        <f t="shared" si="2184"/>
        <v>7.136139799639148E-3</v>
      </c>
      <c r="M816" s="154">
        <f t="shared" si="2184"/>
        <v>2.7969064053424402E-2</v>
      </c>
      <c r="N816" s="154">
        <f t="shared" si="2184"/>
        <v>0</v>
      </c>
      <c r="O816" s="154">
        <f t="shared" si="2184"/>
        <v>0</v>
      </c>
      <c r="P816" s="154">
        <f>IF((P812+P813+P814)=0,0,(P813*$B816)/(P812+P813+P814))</f>
        <v>0</v>
      </c>
      <c r="Q816" s="154">
        <f t="shared" ref="Q816:Y816" si="2185">IF((Q812+Q813+Q814)=0,0,(Q813*$B816)/(Q812+Q813+Q814))</f>
        <v>0</v>
      </c>
      <c r="R816" s="154">
        <f t="shared" si="2185"/>
        <v>0</v>
      </c>
      <c r="S816" s="154">
        <f t="shared" si="2185"/>
        <v>0</v>
      </c>
      <c r="T816" s="154">
        <f t="shared" si="2185"/>
        <v>0</v>
      </c>
      <c r="U816" s="154">
        <f t="shared" si="2185"/>
        <v>0</v>
      </c>
      <c r="V816" s="154">
        <f t="shared" si="2185"/>
        <v>0</v>
      </c>
      <c r="W816" s="154">
        <f t="shared" si="2185"/>
        <v>0</v>
      </c>
      <c r="X816" s="154">
        <f t="shared" si="2185"/>
        <v>0</v>
      </c>
      <c r="Y816" s="159">
        <f t="shared" si="2185"/>
        <v>0</v>
      </c>
    </row>
    <row r="817" spans="2:25" ht="15" customHeight="1" thickBot="1" x14ac:dyDescent="0.25">
      <c r="B817" s="253"/>
      <c r="C817" s="93">
        <f>E817/SUM(E815:E817)</f>
        <v>9.8039215686274491E-3</v>
      </c>
      <c r="D817" s="75" t="s">
        <v>2</v>
      </c>
      <c r="E817" s="155">
        <f>IF((E812+E813+E814)=0,0,(E814*$B816)/(E812+E813+E814))</f>
        <v>9.4448909112871077E-4</v>
      </c>
      <c r="F817" s="155">
        <f>IF((F812+F813+F814)=0,0,(F814*$B816)/(F812+F813+F814))</f>
        <v>0</v>
      </c>
      <c r="G817" s="155">
        <f t="shared" ref="G817:Y817" si="2186">IF((G812+G813+G814)=0,0,(G814*$B816)/(G812+G813+G814))</f>
        <v>6.6439922272502417E-3</v>
      </c>
      <c r="H817" s="155">
        <f t="shared" si="2186"/>
        <v>0</v>
      </c>
      <c r="I817" s="155">
        <f t="shared" si="2186"/>
        <v>0</v>
      </c>
      <c r="J817" s="155">
        <f t="shared" si="2186"/>
        <v>0</v>
      </c>
      <c r="K817" s="155">
        <f t="shared" si="2186"/>
        <v>0</v>
      </c>
      <c r="L817" s="155">
        <f t="shared" si="2186"/>
        <v>0</v>
      </c>
      <c r="M817" s="155">
        <f t="shared" si="2186"/>
        <v>0</v>
      </c>
      <c r="N817" s="155">
        <f t="shared" si="2186"/>
        <v>0</v>
      </c>
      <c r="O817" s="155">
        <f t="shared" si="2186"/>
        <v>0</v>
      </c>
      <c r="P817" s="155">
        <f t="shared" si="2186"/>
        <v>0</v>
      </c>
      <c r="Q817" s="155">
        <f t="shared" si="2186"/>
        <v>0</v>
      </c>
      <c r="R817" s="155">
        <f t="shared" si="2186"/>
        <v>0</v>
      </c>
      <c r="S817" s="155">
        <f t="shared" si="2186"/>
        <v>0</v>
      </c>
      <c r="T817" s="155">
        <f t="shared" si="2186"/>
        <v>0</v>
      </c>
      <c r="U817" s="155">
        <f t="shared" si="2186"/>
        <v>0</v>
      </c>
      <c r="V817" s="155">
        <f t="shared" si="2186"/>
        <v>0</v>
      </c>
      <c r="W817" s="155">
        <f t="shared" si="2186"/>
        <v>0</v>
      </c>
      <c r="X817" s="155">
        <f t="shared" si="2186"/>
        <v>0</v>
      </c>
      <c r="Y817" s="160">
        <f t="shared" si="2186"/>
        <v>0</v>
      </c>
    </row>
    <row r="818" spans="2:25" ht="15" customHeight="1" thickBot="1" x14ac:dyDescent="0.25">
      <c r="B818" s="18" t="s">
        <v>3</v>
      </c>
      <c r="C818" s="24" t="s">
        <v>226</v>
      </c>
      <c r="D818" s="25" t="s">
        <v>4</v>
      </c>
      <c r="E818" s="18" t="s">
        <v>225</v>
      </c>
      <c r="F818" s="19">
        <v>1</v>
      </c>
      <c r="G818" s="19">
        <v>2</v>
      </c>
      <c r="H818" s="19">
        <v>3</v>
      </c>
      <c r="I818" s="19">
        <v>4</v>
      </c>
      <c r="J818" s="19">
        <v>5</v>
      </c>
      <c r="K818" s="19">
        <v>6</v>
      </c>
      <c r="L818" s="19">
        <v>7</v>
      </c>
      <c r="M818" s="19">
        <v>8</v>
      </c>
      <c r="N818" s="19">
        <v>9</v>
      </c>
      <c r="O818" s="19">
        <v>10</v>
      </c>
      <c r="P818" s="19">
        <v>11</v>
      </c>
      <c r="Q818" s="19">
        <v>12</v>
      </c>
      <c r="R818" s="19">
        <v>13</v>
      </c>
      <c r="S818" s="19">
        <v>14</v>
      </c>
      <c r="T818" s="19">
        <v>15</v>
      </c>
      <c r="U818" s="19">
        <v>16</v>
      </c>
      <c r="V818" s="19">
        <v>17</v>
      </c>
      <c r="W818" s="19">
        <v>18</v>
      </c>
      <c r="X818" s="19">
        <v>19</v>
      </c>
      <c r="Y818" s="19">
        <v>20</v>
      </c>
    </row>
    <row r="819" spans="2:25" ht="15" customHeight="1" x14ac:dyDescent="0.2">
      <c r="B819" s="246" t="s">
        <v>55</v>
      </c>
      <c r="C819" s="95">
        <f>E819/SUM(E819:E821)</f>
        <v>0.57214934409687179</v>
      </c>
      <c r="D819" s="81" t="s">
        <v>0</v>
      </c>
      <c r="E819" s="82">
        <f>SUM(F819:Y819)</f>
        <v>567</v>
      </c>
      <c r="F819" s="82">
        <f t="shared" ref="F819:Y819" si="2187">SUM(F825,F831,F837,F843,F849)</f>
        <v>44</v>
      </c>
      <c r="G819" s="82">
        <f t="shared" si="2187"/>
        <v>106</v>
      </c>
      <c r="H819" s="82">
        <f t="shared" si="2187"/>
        <v>107</v>
      </c>
      <c r="I819" s="82">
        <f t="shared" si="2187"/>
        <v>57</v>
      </c>
      <c r="J819" s="82">
        <f t="shared" si="2187"/>
        <v>21</v>
      </c>
      <c r="K819" s="82">
        <f t="shared" si="2187"/>
        <v>22</v>
      </c>
      <c r="L819" s="82">
        <f t="shared" si="2187"/>
        <v>91</v>
      </c>
      <c r="M819" s="82">
        <f t="shared" si="2187"/>
        <v>99</v>
      </c>
      <c r="N819" s="82">
        <f t="shared" si="2187"/>
        <v>20</v>
      </c>
      <c r="O819" s="82">
        <f t="shared" si="2187"/>
        <v>0</v>
      </c>
      <c r="P819" s="82">
        <f t="shared" si="2187"/>
        <v>0</v>
      </c>
      <c r="Q819" s="82">
        <f t="shared" si="2187"/>
        <v>0</v>
      </c>
      <c r="R819" s="82">
        <f t="shared" si="2187"/>
        <v>0</v>
      </c>
      <c r="S819" s="82">
        <f t="shared" ref="S819:S824" si="2188">SUM(S825,S831,S837,S843,S849)</f>
        <v>0</v>
      </c>
      <c r="T819" s="82">
        <f t="shared" si="2187"/>
        <v>0</v>
      </c>
      <c r="U819" s="82">
        <f t="shared" si="2187"/>
        <v>0</v>
      </c>
      <c r="V819" s="82">
        <f t="shared" si="2187"/>
        <v>0</v>
      </c>
      <c r="W819" s="82">
        <f t="shared" si="2187"/>
        <v>0</v>
      </c>
      <c r="X819" s="82">
        <f t="shared" si="2187"/>
        <v>0</v>
      </c>
      <c r="Y819" s="83">
        <f t="shared" si="2187"/>
        <v>0</v>
      </c>
    </row>
    <row r="820" spans="2:25" ht="15" customHeight="1" x14ac:dyDescent="0.2">
      <c r="B820" s="247"/>
      <c r="C820" s="96">
        <f>E820/SUM(E819:E821)</f>
        <v>0.41675075681130169</v>
      </c>
      <c r="D820" s="79" t="s">
        <v>1</v>
      </c>
      <c r="E820" s="80">
        <f t="shared" ref="E820:E851" si="2189">SUM(F820:Y820)</f>
        <v>413</v>
      </c>
      <c r="F820" s="80">
        <f t="shared" ref="F820:Y820" si="2190">SUM(F826,F832,F838,F844,F850)</f>
        <v>39</v>
      </c>
      <c r="G820" s="80">
        <f t="shared" si="2190"/>
        <v>56</v>
      </c>
      <c r="H820" s="80">
        <f t="shared" si="2190"/>
        <v>47</v>
      </c>
      <c r="I820" s="80">
        <f t="shared" si="2190"/>
        <v>53</v>
      </c>
      <c r="J820" s="80">
        <f t="shared" si="2190"/>
        <v>13</v>
      </c>
      <c r="K820" s="80">
        <f t="shared" si="2190"/>
        <v>16</v>
      </c>
      <c r="L820" s="80">
        <f t="shared" si="2190"/>
        <v>92</v>
      </c>
      <c r="M820" s="80">
        <f t="shared" si="2190"/>
        <v>84</v>
      </c>
      <c r="N820" s="80">
        <f t="shared" si="2190"/>
        <v>13</v>
      </c>
      <c r="O820" s="80">
        <f t="shared" si="2190"/>
        <v>0</v>
      </c>
      <c r="P820" s="80">
        <f t="shared" si="2190"/>
        <v>0</v>
      </c>
      <c r="Q820" s="80">
        <f t="shared" si="2190"/>
        <v>0</v>
      </c>
      <c r="R820" s="80">
        <f t="shared" si="2190"/>
        <v>0</v>
      </c>
      <c r="S820" s="80">
        <f t="shared" si="2188"/>
        <v>0</v>
      </c>
      <c r="T820" s="80">
        <f t="shared" si="2190"/>
        <v>0</v>
      </c>
      <c r="U820" s="80">
        <f t="shared" si="2190"/>
        <v>0</v>
      </c>
      <c r="V820" s="80">
        <f t="shared" si="2190"/>
        <v>0</v>
      </c>
      <c r="W820" s="80">
        <f t="shared" si="2190"/>
        <v>0</v>
      </c>
      <c r="X820" s="80">
        <f t="shared" si="2190"/>
        <v>0</v>
      </c>
      <c r="Y820" s="84">
        <f t="shared" si="2190"/>
        <v>0</v>
      </c>
    </row>
    <row r="821" spans="2:25" ht="15" customHeight="1" thickBot="1" x14ac:dyDescent="0.25">
      <c r="B821" s="247"/>
      <c r="C821" s="97">
        <f>E821/SUM(E819:E821)</f>
        <v>1.1099899091826439E-2</v>
      </c>
      <c r="D821" s="86" t="s">
        <v>2</v>
      </c>
      <c r="E821" s="87">
        <f t="shared" si="2189"/>
        <v>11</v>
      </c>
      <c r="F821" s="87">
        <f t="shared" ref="F821:Y821" si="2191">SUM(F827,F833,F839,F845,F851)</f>
        <v>1</v>
      </c>
      <c r="G821" s="87">
        <f t="shared" si="2191"/>
        <v>1</v>
      </c>
      <c r="H821" s="87">
        <f t="shared" si="2191"/>
        <v>2</v>
      </c>
      <c r="I821" s="87">
        <f t="shared" si="2191"/>
        <v>4</v>
      </c>
      <c r="J821" s="87">
        <f t="shared" si="2191"/>
        <v>1</v>
      </c>
      <c r="K821" s="87">
        <f t="shared" si="2191"/>
        <v>0</v>
      </c>
      <c r="L821" s="87">
        <f t="shared" si="2191"/>
        <v>0</v>
      </c>
      <c r="M821" s="87">
        <f t="shared" si="2191"/>
        <v>2</v>
      </c>
      <c r="N821" s="87">
        <f t="shared" si="2191"/>
        <v>0</v>
      </c>
      <c r="O821" s="87">
        <f t="shared" si="2191"/>
        <v>0</v>
      </c>
      <c r="P821" s="87">
        <f t="shared" si="2191"/>
        <v>0</v>
      </c>
      <c r="Q821" s="87">
        <f t="shared" si="2191"/>
        <v>0</v>
      </c>
      <c r="R821" s="87">
        <f t="shared" si="2191"/>
        <v>0</v>
      </c>
      <c r="S821" s="87">
        <f t="shared" si="2188"/>
        <v>0</v>
      </c>
      <c r="T821" s="87">
        <f t="shared" si="2191"/>
        <v>0</v>
      </c>
      <c r="U821" s="87">
        <f t="shared" si="2191"/>
        <v>0</v>
      </c>
      <c r="V821" s="87">
        <f t="shared" si="2191"/>
        <v>0</v>
      </c>
      <c r="W821" s="87">
        <f t="shared" si="2191"/>
        <v>0</v>
      </c>
      <c r="X821" s="87">
        <f t="shared" si="2191"/>
        <v>0</v>
      </c>
      <c r="Y821" s="88">
        <f t="shared" si="2191"/>
        <v>0</v>
      </c>
    </row>
    <row r="822" spans="2:25" ht="15" customHeight="1" x14ac:dyDescent="0.2">
      <c r="B822" s="247"/>
      <c r="C822" s="98">
        <f>E822/SUM(E822:E824)</f>
        <v>0.58318166533030369</v>
      </c>
      <c r="D822" s="85" t="s">
        <v>0</v>
      </c>
      <c r="E822" s="151">
        <f t="shared" ref="E822" si="2192">SUM(E828,E834,E840,E846,E852)</f>
        <v>0.58318166533030347</v>
      </c>
      <c r="F822" s="151">
        <f t="shared" ref="F822:Y822" si="2193">SUM(F828,F834,F840,F846,F852)</f>
        <v>0.4228392747628878</v>
      </c>
      <c r="G822" s="151">
        <f t="shared" si="2193"/>
        <v>0.54518465785579107</v>
      </c>
      <c r="H822" s="151">
        <f t="shared" si="2193"/>
        <v>0.6460530311951016</v>
      </c>
      <c r="I822" s="151">
        <f t="shared" si="2193"/>
        <v>0.47869024240040881</v>
      </c>
      <c r="J822" s="151">
        <f t="shared" si="2193"/>
        <v>0.3209416720544418</v>
      </c>
      <c r="K822" s="151">
        <f t="shared" si="2193"/>
        <v>0.12428846576385916</v>
      </c>
      <c r="L822" s="151">
        <f t="shared" si="2193"/>
        <v>0.46065813618370288</v>
      </c>
      <c r="M822" s="151">
        <f t="shared" si="2193"/>
        <v>0.52548645293144736</v>
      </c>
      <c r="N822" s="151">
        <f t="shared" si="2193"/>
        <v>0.13010913771423271</v>
      </c>
      <c r="O822" s="151">
        <f t="shared" si="2193"/>
        <v>0</v>
      </c>
      <c r="P822" s="151">
        <f t="shared" si="2193"/>
        <v>0</v>
      </c>
      <c r="Q822" s="151">
        <f t="shared" si="2193"/>
        <v>0</v>
      </c>
      <c r="R822" s="151">
        <f t="shared" si="2193"/>
        <v>0</v>
      </c>
      <c r="S822" s="151">
        <f t="shared" si="2188"/>
        <v>0</v>
      </c>
      <c r="T822" s="151">
        <f t="shared" si="2193"/>
        <v>0</v>
      </c>
      <c r="U822" s="151">
        <f t="shared" si="2193"/>
        <v>0</v>
      </c>
      <c r="V822" s="151">
        <f t="shared" si="2193"/>
        <v>0</v>
      </c>
      <c r="W822" s="151">
        <f t="shared" si="2193"/>
        <v>0</v>
      </c>
      <c r="X822" s="151">
        <f t="shared" si="2193"/>
        <v>0</v>
      </c>
      <c r="Y822" s="156">
        <f t="shared" si="2193"/>
        <v>0</v>
      </c>
    </row>
    <row r="823" spans="2:25" ht="15" customHeight="1" x14ac:dyDescent="0.2">
      <c r="B823" s="247"/>
      <c r="C823" s="96">
        <f>E823/SUM(E822:E824)</f>
        <v>0.40495557125370546</v>
      </c>
      <c r="D823" s="79" t="s">
        <v>1</v>
      </c>
      <c r="E823" s="152">
        <f t="shared" ref="E823" si="2194">SUM(E829,E835,E841,E847,E853)</f>
        <v>0.40495557125370529</v>
      </c>
      <c r="F823" s="152">
        <f t="shared" ref="F823:Y823" si="2195">SUM(F829,F835,F841,F847,F853)</f>
        <v>0.40702441720672128</v>
      </c>
      <c r="G823" s="152">
        <f t="shared" si="2195"/>
        <v>0.35886885529535029</v>
      </c>
      <c r="H823" s="152">
        <f t="shared" si="2195"/>
        <v>0.24275106040374539</v>
      </c>
      <c r="I823" s="152">
        <f t="shared" si="2195"/>
        <v>0.39946960456455138</v>
      </c>
      <c r="J823" s="152">
        <f t="shared" si="2195"/>
        <v>0.19867817793846396</v>
      </c>
      <c r="K823" s="152">
        <f t="shared" si="2195"/>
        <v>9.0391611464624849E-2</v>
      </c>
      <c r="L823" s="152">
        <f t="shared" si="2195"/>
        <v>0.46401298733965746</v>
      </c>
      <c r="M823" s="152">
        <f t="shared" si="2195"/>
        <v>0.38889807853888592</v>
      </c>
      <c r="N823" s="152">
        <f t="shared" si="2195"/>
        <v>8.4570939514251278E-2</v>
      </c>
      <c r="O823" s="152">
        <f t="shared" si="2195"/>
        <v>0</v>
      </c>
      <c r="P823" s="152">
        <f t="shared" si="2195"/>
        <v>0</v>
      </c>
      <c r="Q823" s="152">
        <f t="shared" si="2195"/>
        <v>0</v>
      </c>
      <c r="R823" s="152">
        <f t="shared" si="2195"/>
        <v>0</v>
      </c>
      <c r="S823" s="152">
        <f t="shared" si="2188"/>
        <v>0</v>
      </c>
      <c r="T823" s="152">
        <f t="shared" si="2195"/>
        <v>0</v>
      </c>
      <c r="U823" s="152">
        <f t="shared" si="2195"/>
        <v>0</v>
      </c>
      <c r="V823" s="152">
        <f t="shared" si="2195"/>
        <v>0</v>
      </c>
      <c r="W823" s="152">
        <f t="shared" si="2195"/>
        <v>0</v>
      </c>
      <c r="X823" s="152">
        <f t="shared" si="2195"/>
        <v>0</v>
      </c>
      <c r="Y823" s="157">
        <f t="shared" si="2195"/>
        <v>0</v>
      </c>
    </row>
    <row r="824" spans="2:25" ht="15" customHeight="1" thickBot="1" x14ac:dyDescent="0.25">
      <c r="B824" s="248"/>
      <c r="C824" s="99">
        <f>E824/SUM(E822:E824)</f>
        <v>1.1862763415990797E-2</v>
      </c>
      <c r="D824" s="89" t="s">
        <v>2</v>
      </c>
      <c r="E824" s="153">
        <f t="shared" ref="E824" si="2196">SUM(E830,E836,E842,E848,E854)</f>
        <v>1.1862763415990792E-2</v>
      </c>
      <c r="F824" s="153">
        <f t="shared" ref="F824:Y824" si="2197">SUM(F830,F836,F842,F848,F854)</f>
        <v>8.6274643025387576E-3</v>
      </c>
      <c r="G824" s="153">
        <f t="shared" si="2197"/>
        <v>7.0381945625974081E-3</v>
      </c>
      <c r="H824" s="153">
        <f t="shared" si="2197"/>
        <v>2.228761611489179E-2</v>
      </c>
      <c r="I824" s="153">
        <f t="shared" si="2197"/>
        <v>3.5660185783826868E-2</v>
      </c>
      <c r="J824" s="153">
        <f t="shared" si="2197"/>
        <v>1.5282936764497228E-2</v>
      </c>
      <c r="K824" s="153">
        <f t="shared" si="2197"/>
        <v>0</v>
      </c>
      <c r="L824" s="153">
        <f t="shared" si="2197"/>
        <v>0</v>
      </c>
      <c r="M824" s="153">
        <f t="shared" si="2197"/>
        <v>1.0286592053026981E-2</v>
      </c>
      <c r="N824" s="153">
        <f t="shared" si="2197"/>
        <v>0</v>
      </c>
      <c r="O824" s="153">
        <f t="shared" si="2197"/>
        <v>0</v>
      </c>
      <c r="P824" s="153">
        <f t="shared" si="2197"/>
        <v>0</v>
      </c>
      <c r="Q824" s="153">
        <f t="shared" si="2197"/>
        <v>0</v>
      </c>
      <c r="R824" s="153">
        <f t="shared" si="2197"/>
        <v>0</v>
      </c>
      <c r="S824" s="153">
        <f t="shared" si="2188"/>
        <v>0</v>
      </c>
      <c r="T824" s="153">
        <f t="shared" si="2197"/>
        <v>0</v>
      </c>
      <c r="U824" s="153">
        <f t="shared" si="2197"/>
        <v>0</v>
      </c>
      <c r="V824" s="153">
        <f t="shared" si="2197"/>
        <v>0</v>
      </c>
      <c r="W824" s="153">
        <f t="shared" si="2197"/>
        <v>0</v>
      </c>
      <c r="X824" s="153">
        <f t="shared" si="2197"/>
        <v>0</v>
      </c>
      <c r="Y824" s="158">
        <f t="shared" si="2197"/>
        <v>0</v>
      </c>
    </row>
    <row r="825" spans="2:25" ht="15" customHeight="1" x14ac:dyDescent="0.2">
      <c r="B825" s="249" t="s">
        <v>137</v>
      </c>
      <c r="C825" s="91">
        <f>E825/SUM(E825:E827)</f>
        <v>0.87878787878787878</v>
      </c>
      <c r="D825" s="67" t="s">
        <v>0</v>
      </c>
      <c r="E825" s="68">
        <f t="shared" si="2189"/>
        <v>58</v>
      </c>
      <c r="F825" s="68">
        <f>SUMIFS([0]!Chavez,[0]!Centro,B827,[0]!Turno,F$818)</f>
        <v>0</v>
      </c>
      <c r="G825" s="68">
        <f>SUMIFS([0]!Chavez,[0]!Centro,B827,[0]!Turno,G$818)</f>
        <v>28</v>
      </c>
      <c r="H825" s="68">
        <f>SUMIFS([0]!Chavez,[0]!Centro,B827,[0]!Turno,H$818)</f>
        <v>20</v>
      </c>
      <c r="I825" s="68">
        <f>SUMIFS([0]!Chavez,[0]!Centro,B827,[0]!Turno,I$818)</f>
        <v>10</v>
      </c>
      <c r="J825" s="68">
        <f>SUMIFS([0]!Chavez,[0]!Centro,B827,[0]!Turno,J$818)</f>
        <v>0</v>
      </c>
      <c r="K825" s="68">
        <f>SUMIFS([0]!Chavez,[0]!Centro,B827,[0]!Turno,K$818)</f>
        <v>0</v>
      </c>
      <c r="L825" s="68">
        <f>SUMIFS([0]!Chavez,[0]!Centro,B827,[0]!Turno,L$818)</f>
        <v>0</v>
      </c>
      <c r="M825" s="68">
        <f>SUMIFS([0]!Chavez,[0]!Centro,B827,[0]!Turno,M$818)</f>
        <v>0</v>
      </c>
      <c r="N825" s="68">
        <f>SUMIFS([0]!Chavez,[0]!Centro,B827,[0]!Turno,N$818)</f>
        <v>0</v>
      </c>
      <c r="O825" s="68">
        <f>SUMIFS([0]!Chavez,[0]!Centro,B827,[0]!Turno,O$818)</f>
        <v>0</v>
      </c>
      <c r="P825" s="68">
        <f>SUMIFS([0]!Chavez,[0]!Centro,B827,[0]!Turno,P$818)</f>
        <v>0</v>
      </c>
      <c r="Q825" s="68">
        <f>SUMIFS([0]!Chavez,[0]!Centro,B827,[0]!Turno,Q$818)</f>
        <v>0</v>
      </c>
      <c r="R825" s="68">
        <f>SUMIFS([0]!Chavez,[0]!Centro,B827,[0]!Turno,R$818)</f>
        <v>0</v>
      </c>
      <c r="S825" s="68">
        <f>SUMIFS([0]!Chavez,[0]!Centro,B827,[0]!Turno,S$818)</f>
        <v>0</v>
      </c>
      <c r="T825" s="68">
        <f>SUMIFS([0]!Chavez,[0]!Centro,B827,[0]!Turno,T$818)</f>
        <v>0</v>
      </c>
      <c r="U825" s="68">
        <f>SUMIFS([0]!Chavez,[0]!Centro,B827,[0]!Turno,U$818)</f>
        <v>0</v>
      </c>
      <c r="V825" s="68">
        <f>SUMIFS([0]!Chavez,[0]!Centro,B827,[0]!Turno,V$818)</f>
        <v>0</v>
      </c>
      <c r="W825" s="68">
        <f>SUMIFS([0]!Chavez,[0]!Centro,B827,[0]!Turno,W$818)</f>
        <v>0</v>
      </c>
      <c r="X825" s="68">
        <f>SUMIFS([0]!Chavez,[0]!Centro,B827,[0]!Turno,X$818)</f>
        <v>0</v>
      </c>
      <c r="Y825" s="69">
        <f>SUMIFS([0]!Chavez,[0]!Centro,B827,[0]!Turno,Y$818)</f>
        <v>0</v>
      </c>
    </row>
    <row r="826" spans="2:25" ht="15" customHeight="1" x14ac:dyDescent="0.2">
      <c r="B826" s="250"/>
      <c r="C826" s="92">
        <f>E826/SUM(E825:E827)</f>
        <v>0.12121212121212122</v>
      </c>
      <c r="D826" s="61" t="s">
        <v>1</v>
      </c>
      <c r="E826" s="62">
        <f t="shared" si="2189"/>
        <v>8</v>
      </c>
      <c r="F826" s="62">
        <f>SUMIFS([0]!Capriles,[0]!Centro,B827,[0]!Turno,F$818)</f>
        <v>0</v>
      </c>
      <c r="G826" s="62">
        <f>SUMIFS([0]!Capriles,[0]!Centro,B827,[0]!Turno,G$818)</f>
        <v>7</v>
      </c>
      <c r="H826" s="62">
        <f>SUMIFS([0]!Capriles,[0]!Centro,B827,[0]!Turno,H$818)</f>
        <v>0</v>
      </c>
      <c r="I826" s="62">
        <f>SUMIFS([0]!Capriles,[0]!Centro,B827,[0]!Turno,I$818)</f>
        <v>1</v>
      </c>
      <c r="J826" s="62">
        <f>SUMIFS([0]!Capriles,[0]!Centro,B827,[0]!Turno,J$818)</f>
        <v>0</v>
      </c>
      <c r="K826" s="62">
        <f>SUMIFS([0]!Capriles,[0]!Centro,B827,[0]!Turno,K$818)</f>
        <v>0</v>
      </c>
      <c r="L826" s="62">
        <f>SUMIFS([0]!Capriles,[0]!Centro,B827,[0]!Turno,L$818)</f>
        <v>0</v>
      </c>
      <c r="M826" s="62">
        <f>SUMIFS([0]!Capriles,[0]!Centro,B827,[0]!Turno,M$818)</f>
        <v>0</v>
      </c>
      <c r="N826" s="62">
        <f>SUMIFS([0]!Capriles,[0]!Centro,B827,[0]!Turno,N$818)</f>
        <v>0</v>
      </c>
      <c r="O826" s="62">
        <f>SUMIFS([0]!Capriles,[0]!Centro,B827,[0]!Turno,O$818)</f>
        <v>0</v>
      </c>
      <c r="P826" s="62">
        <f>SUMIFS([0]!Capriles,[0]!Centro,B827,[0]!Turno,P$818)</f>
        <v>0</v>
      </c>
      <c r="Q826" s="62">
        <f>SUMIFS([0]!Capriles,[0]!Centro,B827,[0]!Turno,Q$818)</f>
        <v>0</v>
      </c>
      <c r="R826" s="62">
        <f>SUMIFS([0]!Capriles,[0]!Centro,B827,[0]!Turno,R$818)</f>
        <v>0</v>
      </c>
      <c r="S826" s="62">
        <f>SUMIFS([0]!Capriles,[0]!Centro,B827,[0]!Turno,S$818)</f>
        <v>0</v>
      </c>
      <c r="T826" s="62">
        <f>SUMIFS([0]!Capriles,[0]!Centro,B827,[0]!Turno,T$818)</f>
        <v>0</v>
      </c>
      <c r="U826" s="62">
        <f>SUMIFS([0]!Capriles,[0]!Centro,B827,[0]!Turno,U$818)</f>
        <v>0</v>
      </c>
      <c r="V826" s="62">
        <f>SUMIFS([0]!Capriles,[0]!Centro,B827,[0]!Turno,V$818)</f>
        <v>0</v>
      </c>
      <c r="W826" s="62">
        <f>SUMIFS([0]!Capriles,[0]!Centro,B827,[0]!Turno,W$818)</f>
        <v>0</v>
      </c>
      <c r="X826" s="62">
        <f>SUMIFS([0]!Capriles,[0]!Centro,B827,[0]!Turno,X$818)</f>
        <v>0</v>
      </c>
      <c r="Y826" s="70">
        <f>SUMIFS([0]!Capriles,[0]!Centro,B827,[0]!Turno,Y$818)</f>
        <v>0</v>
      </c>
    </row>
    <row r="827" spans="2:25" ht="15" customHeight="1" thickBot="1" x14ac:dyDescent="0.25">
      <c r="B827" s="251">
        <v>114</v>
      </c>
      <c r="C827" s="100">
        <f>E827/SUM(E825:E827)</f>
        <v>0</v>
      </c>
      <c r="D827" s="71" t="s">
        <v>2</v>
      </c>
      <c r="E827" s="72">
        <f t="shared" si="2189"/>
        <v>0</v>
      </c>
      <c r="F827" s="72">
        <f>SUMIFS([0]!Otro,[0]!Centro,B827,[0]!Turno,F$818)</f>
        <v>0</v>
      </c>
      <c r="G827" s="72">
        <f>SUMIFS([0]!Otro,[0]!Centro,B827,[0]!Turno,G$818)</f>
        <v>0</v>
      </c>
      <c r="H827" s="72">
        <f>SUMIFS([0]!Otro,[0]!Centro,B827,[0]!Turno,H$818)</f>
        <v>0</v>
      </c>
      <c r="I827" s="72">
        <f>SUMIFS([0]!Otro,[0]!Centro,B827,[0]!Turno,I$818)</f>
        <v>0</v>
      </c>
      <c r="J827" s="72">
        <f>SUMIFS([0]!Otro,[0]!Centro,B827,[0]!Turno,J$818)</f>
        <v>0</v>
      </c>
      <c r="K827" s="72">
        <f>SUMIFS([0]!Otro,[0]!Centro,B827,[0]!Turno,K$818)</f>
        <v>0</v>
      </c>
      <c r="L827" s="72">
        <f>SUMIFS([0]!Otro,[0]!Centro,B827,[0]!Turno,L$818)</f>
        <v>0</v>
      </c>
      <c r="M827" s="72">
        <f>SUMIFS([0]!Otro,[0]!Centro,B827,[0]!Turno,M$818)</f>
        <v>0</v>
      </c>
      <c r="N827" s="72">
        <f>SUMIFS([0]!Otro,[0]!Centro,B827,[0]!Turno,N$818)</f>
        <v>0</v>
      </c>
      <c r="O827" s="72">
        <f>SUMIFS([0]!Otro,[0]!Centro,B827,[0]!Turno,O$818)</f>
        <v>0</v>
      </c>
      <c r="P827" s="72">
        <f>SUMIFS([0]!Otro,[0]!Centro,B827,[0]!Turno,P$818)</f>
        <v>0</v>
      </c>
      <c r="Q827" s="72">
        <f>SUMIFS([0]!Otro,[0]!Centro,B827,[0]!Turno,Q$818)</f>
        <v>0</v>
      </c>
      <c r="R827" s="72">
        <f>SUMIFS([0]!Otro,[0]!Centro,B827,[0]!Turno,R$818)</f>
        <v>0</v>
      </c>
      <c r="S827" s="72">
        <f>SUMIFS([0]!Otro,[0]!Centro,B827,[0]!Turno,S$818)</f>
        <v>0</v>
      </c>
      <c r="T827" s="72">
        <f>SUMIFS([0]!Otro,[0]!Centro,B827,[0]!Turno,T$818)</f>
        <v>0</v>
      </c>
      <c r="U827" s="72">
        <f>SUMIFS([0]!Otro,[0]!Centro,B827,[0]!Turno,U$818)</f>
        <v>0</v>
      </c>
      <c r="V827" s="72">
        <f>SUMIFS([0]!Otro,[0]!Centro,B827,[0]!Turno,V$818)</f>
        <v>0</v>
      </c>
      <c r="W827" s="72">
        <f>SUMIFS([0]!Otro,[0]!Centro,B827,[0]!Turno,W$818)</f>
        <v>0</v>
      </c>
      <c r="X827" s="72">
        <f>SUMIFS([0]!Otro,[0]!Centro,B827,[0]!Turno,X$818)</f>
        <v>0</v>
      </c>
      <c r="Y827" s="73">
        <f>SUMIFS([0]!Otro,[0]!Centro,B827,[0]!Turno,Y$818)</f>
        <v>0</v>
      </c>
    </row>
    <row r="828" spans="2:25" ht="15" customHeight="1" x14ac:dyDescent="0.2">
      <c r="B828" s="251"/>
      <c r="C828" s="94">
        <f>E828/SUM(E828:E830)</f>
        <v>0.8787878787878789</v>
      </c>
      <c r="D828" s="63" t="s">
        <v>0</v>
      </c>
      <c r="E828" s="150">
        <f>IF((E825+E826+E827)=0,0,(E825*$B829)/(E825+E826+E827))</f>
        <v>6.6198103570379974E-2</v>
      </c>
      <c r="F828" s="150">
        <f>IF((F825+F826+F827)=0,0,(F825*$B829)/(F825+F826+F827))</f>
        <v>0</v>
      </c>
      <c r="G828" s="150">
        <f t="shared" ref="G828:Y828" si="2198">IF((G825+G826+G827)=0,0,(G825*$B829)/(G825+G826+G827))</f>
        <v>6.026310118131141E-2</v>
      </c>
      <c r="H828" s="150">
        <f t="shared" si="2198"/>
        <v>7.5328876476639273E-2</v>
      </c>
      <c r="I828" s="150">
        <f t="shared" si="2198"/>
        <v>6.8480796796944798E-2</v>
      </c>
      <c r="J828" s="150">
        <f t="shared" si="2198"/>
        <v>0</v>
      </c>
      <c r="K828" s="150">
        <f t="shared" si="2198"/>
        <v>0</v>
      </c>
      <c r="L828" s="150">
        <f t="shared" si="2198"/>
        <v>0</v>
      </c>
      <c r="M828" s="150">
        <f t="shared" si="2198"/>
        <v>0</v>
      </c>
      <c r="N828" s="150">
        <f t="shared" si="2198"/>
        <v>0</v>
      </c>
      <c r="O828" s="150">
        <f t="shared" si="2198"/>
        <v>0</v>
      </c>
      <c r="P828" s="150">
        <f t="shared" si="2198"/>
        <v>0</v>
      </c>
      <c r="Q828" s="150">
        <f t="shared" si="2198"/>
        <v>0</v>
      </c>
      <c r="R828" s="150">
        <f t="shared" si="2198"/>
        <v>0</v>
      </c>
      <c r="S828" s="150">
        <f t="shared" si="2198"/>
        <v>0</v>
      </c>
      <c r="T828" s="150">
        <f t="shared" si="2198"/>
        <v>0</v>
      </c>
      <c r="U828" s="150">
        <f t="shared" si="2198"/>
        <v>0</v>
      </c>
      <c r="V828" s="150">
        <f t="shared" si="2198"/>
        <v>0</v>
      </c>
      <c r="W828" s="150">
        <f t="shared" si="2198"/>
        <v>0</v>
      </c>
      <c r="X828" s="150">
        <f t="shared" si="2198"/>
        <v>0</v>
      </c>
      <c r="Y828" s="163">
        <f t="shared" si="2198"/>
        <v>0</v>
      </c>
    </row>
    <row r="829" spans="2:25" ht="15" customHeight="1" x14ac:dyDescent="0.2">
      <c r="B829" s="252">
        <v>7.5328876476639273E-2</v>
      </c>
      <c r="C829" s="92">
        <f>E829/SUM(E828:E830)</f>
        <v>0.12121212121212122</v>
      </c>
      <c r="D829" s="61" t="s">
        <v>1</v>
      </c>
      <c r="E829" s="154">
        <f>IF((E825+E826+E827)=0,0,(E826*$B829)/(E825+E826+E827))</f>
        <v>9.130772906259306E-3</v>
      </c>
      <c r="F829" s="154">
        <f>IF((F825+F826+F827)=0,0,(F826*$B829)/(F825+F826+F827))</f>
        <v>0</v>
      </c>
      <c r="G829" s="154">
        <f t="shared" ref="G829:O829" si="2199">IF((G825+G826+G827)=0,0,(G826*$B829)/(G825+G826+G827))</f>
        <v>1.5065775295327852E-2</v>
      </c>
      <c r="H829" s="154">
        <f t="shared" si="2199"/>
        <v>0</v>
      </c>
      <c r="I829" s="154">
        <f t="shared" si="2199"/>
        <v>6.8480796796944795E-3</v>
      </c>
      <c r="J829" s="154">
        <f t="shared" si="2199"/>
        <v>0</v>
      </c>
      <c r="K829" s="154">
        <f t="shared" si="2199"/>
        <v>0</v>
      </c>
      <c r="L829" s="154">
        <f t="shared" si="2199"/>
        <v>0</v>
      </c>
      <c r="M829" s="154">
        <f t="shared" si="2199"/>
        <v>0</v>
      </c>
      <c r="N829" s="154">
        <f t="shared" si="2199"/>
        <v>0</v>
      </c>
      <c r="O829" s="154">
        <f t="shared" si="2199"/>
        <v>0</v>
      </c>
      <c r="P829" s="154">
        <f>IF((P825+P826+P827)=0,0,(P826*$B829)/(P825+P826+P827))</f>
        <v>0</v>
      </c>
      <c r="Q829" s="154">
        <f t="shared" ref="Q829:Y829" si="2200">IF((Q825+Q826+Q827)=0,0,(Q826*$B829)/(Q825+Q826+Q827))</f>
        <v>0</v>
      </c>
      <c r="R829" s="154">
        <f t="shared" si="2200"/>
        <v>0</v>
      </c>
      <c r="S829" s="154">
        <f t="shared" si="2200"/>
        <v>0</v>
      </c>
      <c r="T829" s="154">
        <f t="shared" si="2200"/>
        <v>0</v>
      </c>
      <c r="U829" s="154">
        <f t="shared" si="2200"/>
        <v>0</v>
      </c>
      <c r="V829" s="154">
        <f t="shared" si="2200"/>
        <v>0</v>
      </c>
      <c r="W829" s="154">
        <f t="shared" si="2200"/>
        <v>0</v>
      </c>
      <c r="X829" s="154">
        <f t="shared" si="2200"/>
        <v>0</v>
      </c>
      <c r="Y829" s="159">
        <f t="shared" si="2200"/>
        <v>0</v>
      </c>
    </row>
    <row r="830" spans="2:25" ht="15" customHeight="1" thickBot="1" x14ac:dyDescent="0.25">
      <c r="B830" s="253"/>
      <c r="C830" s="93">
        <f>E830/SUM(E828:E830)</f>
        <v>0</v>
      </c>
      <c r="D830" s="75" t="s">
        <v>2</v>
      </c>
      <c r="E830" s="155">
        <f>IF((E825+E826+E827)=0,0,(E827*$B829)/(E825+E826+E827))</f>
        <v>0</v>
      </c>
      <c r="F830" s="155">
        <f>IF((F825+F826+F827)=0,0,(F827*$B829)/(F825+F826+F827))</f>
        <v>0</v>
      </c>
      <c r="G830" s="155">
        <f t="shared" ref="G830:Y830" si="2201">IF((G825+G826+G827)=0,0,(G827*$B829)/(G825+G826+G827))</f>
        <v>0</v>
      </c>
      <c r="H830" s="155">
        <f t="shared" si="2201"/>
        <v>0</v>
      </c>
      <c r="I830" s="155">
        <f t="shared" si="2201"/>
        <v>0</v>
      </c>
      <c r="J830" s="155">
        <f t="shared" si="2201"/>
        <v>0</v>
      </c>
      <c r="K830" s="155">
        <f t="shared" si="2201"/>
        <v>0</v>
      </c>
      <c r="L830" s="155">
        <f t="shared" si="2201"/>
        <v>0</v>
      </c>
      <c r="M830" s="155">
        <f t="shared" si="2201"/>
        <v>0</v>
      </c>
      <c r="N830" s="155">
        <f t="shared" si="2201"/>
        <v>0</v>
      </c>
      <c r="O830" s="155">
        <f t="shared" si="2201"/>
        <v>0</v>
      </c>
      <c r="P830" s="155">
        <f t="shared" si="2201"/>
        <v>0</v>
      </c>
      <c r="Q830" s="155">
        <f t="shared" si="2201"/>
        <v>0</v>
      </c>
      <c r="R830" s="155">
        <f t="shared" si="2201"/>
        <v>0</v>
      </c>
      <c r="S830" s="155">
        <f t="shared" si="2201"/>
        <v>0</v>
      </c>
      <c r="T830" s="155">
        <f t="shared" si="2201"/>
        <v>0</v>
      </c>
      <c r="U830" s="155">
        <f t="shared" si="2201"/>
        <v>0</v>
      </c>
      <c r="V830" s="155">
        <f t="shared" si="2201"/>
        <v>0</v>
      </c>
      <c r="W830" s="155">
        <f t="shared" si="2201"/>
        <v>0</v>
      </c>
      <c r="X830" s="155">
        <f t="shared" si="2201"/>
        <v>0</v>
      </c>
      <c r="Y830" s="160">
        <f t="shared" si="2201"/>
        <v>0</v>
      </c>
    </row>
    <row r="831" spans="2:25" ht="15" customHeight="1" x14ac:dyDescent="0.2">
      <c r="B831" s="249" t="s">
        <v>138</v>
      </c>
      <c r="C831" s="91">
        <f>E831/SUM(E831:E833)</f>
        <v>0.58771929824561409</v>
      </c>
      <c r="D831" s="67" t="s">
        <v>0</v>
      </c>
      <c r="E831" s="68">
        <f t="shared" si="2189"/>
        <v>134</v>
      </c>
      <c r="F831" s="68">
        <f>SUMIFS([0]!Chavez,[0]!Centro,B833,[0]!Turno,F$818)</f>
        <v>4</v>
      </c>
      <c r="G831" s="68">
        <f>SUMIFS([0]!Chavez,[0]!Centro,B833,[0]!Turno,G$818)</f>
        <v>3</v>
      </c>
      <c r="H831" s="68">
        <f>SUMIFS([0]!Chavez,[0]!Centro,B833,[0]!Turno,H$818)</f>
        <v>18</v>
      </c>
      <c r="I831" s="68">
        <f>SUMIFS([0]!Chavez,[0]!Centro,B833,[0]!Turno,I$818)</f>
        <v>20</v>
      </c>
      <c r="J831" s="68">
        <f>SUMIFS([0]!Chavez,[0]!Centro,B833,[0]!Turno,J$818)</f>
        <v>0</v>
      </c>
      <c r="K831" s="68">
        <f>SUMIFS([0]!Chavez,[0]!Centro,B833,[0]!Turno,K$818)</f>
        <v>22</v>
      </c>
      <c r="L831" s="68">
        <f>SUMIFS([0]!Chavez,[0]!Centro,B833,[0]!Turno,L$818)</f>
        <v>23</v>
      </c>
      <c r="M831" s="68">
        <f>SUMIFS([0]!Chavez,[0]!Centro,B833,[0]!Turno,M$818)</f>
        <v>24</v>
      </c>
      <c r="N831" s="68">
        <f>SUMIFS([0]!Chavez,[0]!Centro,B833,[0]!Turno,N$818)</f>
        <v>20</v>
      </c>
      <c r="O831" s="68">
        <f>SUMIFS([0]!Chavez,[0]!Centro,B833,[0]!Turno,O$818)</f>
        <v>0</v>
      </c>
      <c r="P831" s="68">
        <f>SUMIFS([0]!Chavez,[0]!Centro,B833,[0]!Turno,P$818)</f>
        <v>0</v>
      </c>
      <c r="Q831" s="68">
        <f>SUMIFS([0]!Chavez,[0]!Centro,B833,[0]!Turno,Q$818)</f>
        <v>0</v>
      </c>
      <c r="R831" s="68">
        <f>SUMIFS([0]!Chavez,[0]!Centro,B833,[0]!Turno,R$818)</f>
        <v>0</v>
      </c>
      <c r="S831" s="68">
        <f>SUMIFS([0]!Chavez,[0]!Centro,B833,[0]!Turno,S$818)</f>
        <v>0</v>
      </c>
      <c r="T831" s="68">
        <f>SUMIFS([0]!Chavez,[0]!Centro,B833,[0]!Turno,T$818)</f>
        <v>0</v>
      </c>
      <c r="U831" s="68">
        <f>SUMIFS([0]!Chavez,[0]!Centro,B833,[0]!Turno,U$818)</f>
        <v>0</v>
      </c>
      <c r="V831" s="68">
        <f>SUMIFS([0]!Chavez,[0]!Centro,B833,[0]!Turno,V$818)</f>
        <v>0</v>
      </c>
      <c r="W831" s="68">
        <f>SUMIFS([0]!Chavez,[0]!Centro,B833,[0]!Turno,W$818)</f>
        <v>0</v>
      </c>
      <c r="X831" s="68">
        <f>SUMIFS([0]!Chavez,[0]!Centro,B833,[0]!Turno,X$818)</f>
        <v>0</v>
      </c>
      <c r="Y831" s="69">
        <f>SUMIFS([0]!Chavez,[0]!Centro,B833,[0]!Turno,Y$818)</f>
        <v>0</v>
      </c>
    </row>
    <row r="832" spans="2:25" ht="15" customHeight="1" x14ac:dyDescent="0.2">
      <c r="B832" s="250"/>
      <c r="C832" s="92">
        <f>E832/SUM(E831:E833)</f>
        <v>0.41228070175438597</v>
      </c>
      <c r="D832" s="61" t="s">
        <v>1</v>
      </c>
      <c r="E832" s="62">
        <f t="shared" si="2189"/>
        <v>94</v>
      </c>
      <c r="F832" s="62">
        <f>SUMIFS([0]!Capriles,[0]!Centro,B833,[0]!Turno,F$818)</f>
        <v>4</v>
      </c>
      <c r="G832" s="62">
        <f>SUMIFS([0]!Capriles,[0]!Centro,B833,[0]!Turno,G$818)</f>
        <v>2</v>
      </c>
      <c r="H832" s="62">
        <f>SUMIFS([0]!Capriles,[0]!Centro,B833,[0]!Turno,H$818)</f>
        <v>4</v>
      </c>
      <c r="I832" s="62">
        <f>SUMIFS([0]!Capriles,[0]!Centro,B833,[0]!Turno,I$818)</f>
        <v>20</v>
      </c>
      <c r="J832" s="62">
        <f>SUMIFS([0]!Capriles,[0]!Centro,B833,[0]!Turno,J$818)</f>
        <v>0</v>
      </c>
      <c r="K832" s="62">
        <f>SUMIFS([0]!Capriles,[0]!Centro,B833,[0]!Turno,K$818)</f>
        <v>16</v>
      </c>
      <c r="L832" s="62">
        <f>SUMIFS([0]!Capriles,[0]!Centro,B833,[0]!Turno,L$818)</f>
        <v>15</v>
      </c>
      <c r="M832" s="62">
        <f>SUMIFS([0]!Capriles,[0]!Centro,B833,[0]!Turno,M$818)</f>
        <v>20</v>
      </c>
      <c r="N832" s="62">
        <f>SUMIFS([0]!Capriles,[0]!Centro,B833,[0]!Turno,N$818)</f>
        <v>13</v>
      </c>
      <c r="O832" s="62">
        <f>SUMIFS([0]!Capriles,[0]!Centro,B833,[0]!Turno,O$818)</f>
        <v>0</v>
      </c>
      <c r="P832" s="62">
        <f>SUMIFS([0]!Capriles,[0]!Centro,B833,[0]!Turno,P$818)</f>
        <v>0</v>
      </c>
      <c r="Q832" s="62">
        <f>SUMIFS([0]!Capriles,[0]!Centro,B833,[0]!Turno,Q$818)</f>
        <v>0</v>
      </c>
      <c r="R832" s="62">
        <f>SUMIFS([0]!Capriles,[0]!Centro,B833,[0]!Turno,R$818)</f>
        <v>0</v>
      </c>
      <c r="S832" s="62">
        <f>SUMIFS([0]!Capriles,[0]!Centro,B833,[0]!Turno,S$818)</f>
        <v>0</v>
      </c>
      <c r="T832" s="62">
        <f>SUMIFS([0]!Capriles,[0]!Centro,B833,[0]!Turno,T$818)</f>
        <v>0</v>
      </c>
      <c r="U832" s="62">
        <f>SUMIFS([0]!Capriles,[0]!Centro,B833,[0]!Turno,U$818)</f>
        <v>0</v>
      </c>
      <c r="V832" s="62">
        <f>SUMIFS([0]!Capriles,[0]!Centro,B833,[0]!Turno,V$818)</f>
        <v>0</v>
      </c>
      <c r="W832" s="62">
        <f>SUMIFS([0]!Capriles,[0]!Centro,B833,[0]!Turno,W$818)</f>
        <v>0</v>
      </c>
      <c r="X832" s="62">
        <f>SUMIFS([0]!Capriles,[0]!Centro,B833,[0]!Turno,X$818)</f>
        <v>0</v>
      </c>
      <c r="Y832" s="70">
        <f>SUMIFS([0]!Capriles,[0]!Centro,B833,[0]!Turno,Y$818)</f>
        <v>0</v>
      </c>
    </row>
    <row r="833" spans="2:25" ht="15" customHeight="1" thickBot="1" x14ac:dyDescent="0.25">
      <c r="B833" s="251">
        <v>115</v>
      </c>
      <c r="C833" s="100">
        <f>E833/SUM(E831:E833)</f>
        <v>0</v>
      </c>
      <c r="D833" s="71" t="s">
        <v>2</v>
      </c>
      <c r="E833" s="72">
        <f t="shared" si="2189"/>
        <v>0</v>
      </c>
      <c r="F833" s="72">
        <f>SUMIFS([0]!Otro,[0]!Centro,B833,[0]!Turno,F$818)</f>
        <v>0</v>
      </c>
      <c r="G833" s="72">
        <f>SUMIFS([0]!Otro,[0]!Centro,B833,[0]!Turno,G$818)</f>
        <v>0</v>
      </c>
      <c r="H833" s="72">
        <f>SUMIFS([0]!Otro,[0]!Centro,B833,[0]!Turno,H$818)</f>
        <v>0</v>
      </c>
      <c r="I833" s="72">
        <f>SUMIFS([0]!Otro,[0]!Centro,B833,[0]!Turno,I$818)</f>
        <v>0</v>
      </c>
      <c r="J833" s="72">
        <f>SUMIFS([0]!Otro,[0]!Centro,B833,[0]!Turno,J$818)</f>
        <v>0</v>
      </c>
      <c r="K833" s="72">
        <f>SUMIFS([0]!Otro,[0]!Centro,B833,[0]!Turno,K$818)</f>
        <v>0</v>
      </c>
      <c r="L833" s="72">
        <f>SUMIFS([0]!Otro,[0]!Centro,B833,[0]!Turno,L$818)</f>
        <v>0</v>
      </c>
      <c r="M833" s="72">
        <f>SUMIFS([0]!Otro,[0]!Centro,B833,[0]!Turno,M$818)</f>
        <v>0</v>
      </c>
      <c r="N833" s="72">
        <f>SUMIFS([0]!Otro,[0]!Centro,B833,[0]!Turno,N$818)</f>
        <v>0</v>
      </c>
      <c r="O833" s="72">
        <f>SUMIFS([0]!Otro,[0]!Centro,B833,[0]!Turno,O$818)</f>
        <v>0</v>
      </c>
      <c r="P833" s="72">
        <f>SUMIFS([0]!Otro,[0]!Centro,B833,[0]!Turno,P$818)</f>
        <v>0</v>
      </c>
      <c r="Q833" s="72">
        <f>SUMIFS([0]!Otro,[0]!Centro,B833,[0]!Turno,Q$818)</f>
        <v>0</v>
      </c>
      <c r="R833" s="72">
        <f>SUMIFS([0]!Otro,[0]!Centro,B833,[0]!Turno,R$818)</f>
        <v>0</v>
      </c>
      <c r="S833" s="72">
        <f>SUMIFS([0]!Otro,[0]!Centro,B833,[0]!Turno,S$818)</f>
        <v>0</v>
      </c>
      <c r="T833" s="72">
        <f>SUMIFS([0]!Otro,[0]!Centro,B833,[0]!Turno,T$818)</f>
        <v>0</v>
      </c>
      <c r="U833" s="72">
        <f>SUMIFS([0]!Otro,[0]!Centro,B833,[0]!Turno,U$818)</f>
        <v>0</v>
      </c>
      <c r="V833" s="72">
        <f>SUMIFS([0]!Otro,[0]!Centro,B833,[0]!Turno,V$818)</f>
        <v>0</v>
      </c>
      <c r="W833" s="72">
        <f>SUMIFS([0]!Otro,[0]!Centro,B833,[0]!Turno,W$818)</f>
        <v>0</v>
      </c>
      <c r="X833" s="72">
        <f>SUMIFS([0]!Otro,[0]!Centro,B833,[0]!Turno,X$818)</f>
        <v>0</v>
      </c>
      <c r="Y833" s="73">
        <f>SUMIFS([0]!Otro,[0]!Centro,B833,[0]!Turno,Y$818)</f>
        <v>0</v>
      </c>
    </row>
    <row r="834" spans="2:25" ht="15" customHeight="1" x14ac:dyDescent="0.2">
      <c r="B834" s="251"/>
      <c r="C834" s="94">
        <f>E834/SUM(E834:E836)</f>
        <v>0.58771929824561397</v>
      </c>
      <c r="D834" s="63" t="s">
        <v>0</v>
      </c>
      <c r="E834" s="150">
        <f>IF((E831+E832+E833)=0,0,(E831*$B835)/(E831+E832+E833))</f>
        <v>0.12617162433603885</v>
      </c>
      <c r="F834" s="150">
        <f>IF((F831+F832+F833)=0,0,(F831*$B835)/(F831+F832+F833))</f>
        <v>0.107340038614242</v>
      </c>
      <c r="G834" s="150">
        <f t="shared" ref="G834:Y834" si="2202">IF((G831+G832+G833)=0,0,(G831*$B835)/(G831+G832+G833))</f>
        <v>0.12880804633709039</v>
      </c>
      <c r="H834" s="150">
        <f t="shared" si="2202"/>
        <v>0.17564733591421419</v>
      </c>
      <c r="I834" s="150">
        <f t="shared" si="2202"/>
        <v>0.10734003861424199</v>
      </c>
      <c r="J834" s="150">
        <f t="shared" si="2202"/>
        <v>0</v>
      </c>
      <c r="K834" s="150">
        <f t="shared" si="2202"/>
        <v>0.12428846576385916</v>
      </c>
      <c r="L834" s="150">
        <f t="shared" si="2202"/>
        <v>0.12993794148039822</v>
      </c>
      <c r="M834" s="150">
        <f t="shared" si="2202"/>
        <v>0.11709822394280946</v>
      </c>
      <c r="N834" s="150">
        <f t="shared" si="2202"/>
        <v>0.13010913771423271</v>
      </c>
      <c r="O834" s="150">
        <f t="shared" si="2202"/>
        <v>0</v>
      </c>
      <c r="P834" s="150">
        <f t="shared" si="2202"/>
        <v>0</v>
      </c>
      <c r="Q834" s="150">
        <f t="shared" si="2202"/>
        <v>0</v>
      </c>
      <c r="R834" s="150">
        <f t="shared" si="2202"/>
        <v>0</v>
      </c>
      <c r="S834" s="150">
        <f t="shared" si="2202"/>
        <v>0</v>
      </c>
      <c r="T834" s="150">
        <f t="shared" si="2202"/>
        <v>0</v>
      </c>
      <c r="U834" s="150">
        <f t="shared" si="2202"/>
        <v>0</v>
      </c>
      <c r="V834" s="150">
        <f t="shared" si="2202"/>
        <v>0</v>
      </c>
      <c r="W834" s="150">
        <f t="shared" si="2202"/>
        <v>0</v>
      </c>
      <c r="X834" s="150">
        <f t="shared" si="2202"/>
        <v>0</v>
      </c>
      <c r="Y834" s="163">
        <f t="shared" si="2202"/>
        <v>0</v>
      </c>
    </row>
    <row r="835" spans="2:25" ht="15" customHeight="1" x14ac:dyDescent="0.2">
      <c r="B835" s="252">
        <v>0.21468007722848401</v>
      </c>
      <c r="C835" s="92">
        <f>E835/SUM(E834:E836)</f>
        <v>0.41228070175438597</v>
      </c>
      <c r="D835" s="61" t="s">
        <v>1</v>
      </c>
      <c r="E835" s="154">
        <f>IF((E831+E832+E833)=0,0,(E832*$B835)/(E831+E832+E833))</f>
        <v>8.8508452892445175E-2</v>
      </c>
      <c r="F835" s="154">
        <f>IF((F831+F832+F833)=0,0,(F832*$B835)/(F831+F832+F833))</f>
        <v>0.107340038614242</v>
      </c>
      <c r="G835" s="154">
        <f t="shared" ref="G835:O835" si="2203">IF((G831+G832+G833)=0,0,(G832*$B835)/(G831+G832+G833))</f>
        <v>8.58720308913936E-2</v>
      </c>
      <c r="H835" s="154">
        <f t="shared" si="2203"/>
        <v>3.9032741314269821E-2</v>
      </c>
      <c r="I835" s="154">
        <f t="shared" si="2203"/>
        <v>0.10734003861424199</v>
      </c>
      <c r="J835" s="154">
        <f t="shared" si="2203"/>
        <v>0</v>
      </c>
      <c r="K835" s="154">
        <f t="shared" si="2203"/>
        <v>9.0391611464624849E-2</v>
      </c>
      <c r="L835" s="154">
        <f t="shared" si="2203"/>
        <v>8.4742135748085798E-2</v>
      </c>
      <c r="M835" s="154">
        <f t="shared" si="2203"/>
        <v>9.7581853285674536E-2</v>
      </c>
      <c r="N835" s="154">
        <f t="shared" si="2203"/>
        <v>8.4570939514251278E-2</v>
      </c>
      <c r="O835" s="154">
        <f t="shared" si="2203"/>
        <v>0</v>
      </c>
      <c r="P835" s="154">
        <f>IF((P831+P832+P833)=0,0,(P832*$B835)/(P831+P832+P833))</f>
        <v>0</v>
      </c>
      <c r="Q835" s="154">
        <f t="shared" ref="Q835:Y835" si="2204">IF((Q831+Q832+Q833)=0,0,(Q832*$B835)/(Q831+Q832+Q833))</f>
        <v>0</v>
      </c>
      <c r="R835" s="154">
        <f t="shared" si="2204"/>
        <v>0</v>
      </c>
      <c r="S835" s="154">
        <f t="shared" si="2204"/>
        <v>0</v>
      </c>
      <c r="T835" s="154">
        <f t="shared" si="2204"/>
        <v>0</v>
      </c>
      <c r="U835" s="154">
        <f t="shared" si="2204"/>
        <v>0</v>
      </c>
      <c r="V835" s="154">
        <f t="shared" si="2204"/>
        <v>0</v>
      </c>
      <c r="W835" s="154">
        <f t="shared" si="2204"/>
        <v>0</v>
      </c>
      <c r="X835" s="154">
        <f t="shared" si="2204"/>
        <v>0</v>
      </c>
      <c r="Y835" s="159">
        <f t="shared" si="2204"/>
        <v>0</v>
      </c>
    </row>
    <row r="836" spans="2:25" ht="15" customHeight="1" thickBot="1" x14ac:dyDescent="0.25">
      <c r="B836" s="253"/>
      <c r="C836" s="93">
        <f>E836/SUM(E834:E836)</f>
        <v>0</v>
      </c>
      <c r="D836" s="75" t="s">
        <v>2</v>
      </c>
      <c r="E836" s="155">
        <f>IF((E831+E832+E833)=0,0,(E833*$B835)/(E831+E832+E833))</f>
        <v>0</v>
      </c>
      <c r="F836" s="155">
        <f>IF((F831+F832+F833)=0,0,(F833*$B835)/(F831+F832+F833))</f>
        <v>0</v>
      </c>
      <c r="G836" s="155">
        <f t="shared" ref="G836:Y836" si="2205">IF((G831+G832+G833)=0,0,(G833*$B835)/(G831+G832+G833))</f>
        <v>0</v>
      </c>
      <c r="H836" s="155">
        <f t="shared" si="2205"/>
        <v>0</v>
      </c>
      <c r="I836" s="155">
        <f t="shared" si="2205"/>
        <v>0</v>
      </c>
      <c r="J836" s="155">
        <f t="shared" si="2205"/>
        <v>0</v>
      </c>
      <c r="K836" s="155">
        <f t="shared" si="2205"/>
        <v>0</v>
      </c>
      <c r="L836" s="155">
        <f t="shared" si="2205"/>
        <v>0</v>
      </c>
      <c r="M836" s="155">
        <f t="shared" si="2205"/>
        <v>0</v>
      </c>
      <c r="N836" s="155">
        <f t="shared" si="2205"/>
        <v>0</v>
      </c>
      <c r="O836" s="155">
        <f t="shared" si="2205"/>
        <v>0</v>
      </c>
      <c r="P836" s="155">
        <f t="shared" si="2205"/>
        <v>0</v>
      </c>
      <c r="Q836" s="155">
        <f t="shared" si="2205"/>
        <v>0</v>
      </c>
      <c r="R836" s="155">
        <f t="shared" si="2205"/>
        <v>0</v>
      </c>
      <c r="S836" s="155">
        <f t="shared" si="2205"/>
        <v>0</v>
      </c>
      <c r="T836" s="155">
        <f t="shared" si="2205"/>
        <v>0</v>
      </c>
      <c r="U836" s="155">
        <f t="shared" si="2205"/>
        <v>0</v>
      </c>
      <c r="V836" s="155">
        <f t="shared" si="2205"/>
        <v>0</v>
      </c>
      <c r="W836" s="155">
        <f t="shared" si="2205"/>
        <v>0</v>
      </c>
      <c r="X836" s="155">
        <f t="shared" si="2205"/>
        <v>0</v>
      </c>
      <c r="Y836" s="160">
        <f t="shared" si="2205"/>
        <v>0</v>
      </c>
    </row>
    <row r="837" spans="2:25" ht="15" customHeight="1" x14ac:dyDescent="0.2">
      <c r="B837" s="249" t="s">
        <v>139</v>
      </c>
      <c r="C837" s="91">
        <f>E837/SUM(E837:E839)</f>
        <v>0.75</v>
      </c>
      <c r="D837" s="67" t="s">
        <v>0</v>
      </c>
      <c r="E837" s="68">
        <f t="shared" si="2189"/>
        <v>27</v>
      </c>
      <c r="F837" s="68">
        <f>SUMIFS([0]!Chavez,[0]!Centro,B839,[0]!Turno,F$818)</f>
        <v>13</v>
      </c>
      <c r="G837" s="68">
        <f>SUMIFS([0]!Chavez,[0]!Centro,B839,[0]!Turno,G$818)</f>
        <v>0</v>
      </c>
      <c r="H837" s="68">
        <f>SUMIFS([0]!Chavez,[0]!Centro,B839,[0]!Turno,H$818)</f>
        <v>0</v>
      </c>
      <c r="I837" s="68">
        <f>SUMIFS([0]!Chavez,[0]!Centro,B839,[0]!Turno,I$818)</f>
        <v>3</v>
      </c>
      <c r="J837" s="68">
        <f>SUMIFS([0]!Chavez,[0]!Centro,B839,[0]!Turno,J$818)</f>
        <v>0</v>
      </c>
      <c r="K837" s="68">
        <f>SUMIFS([0]!Chavez,[0]!Centro,B839,[0]!Turno,K$818)</f>
        <v>0</v>
      </c>
      <c r="L837" s="68">
        <f>SUMIFS([0]!Chavez,[0]!Centro,B839,[0]!Turno,L$818)</f>
        <v>5</v>
      </c>
      <c r="M837" s="68">
        <f>SUMIFS([0]!Chavez,[0]!Centro,B839,[0]!Turno,M$818)</f>
        <v>6</v>
      </c>
      <c r="N837" s="68">
        <f>SUMIFS([0]!Chavez,[0]!Centro,B839,[0]!Turno,N$818)</f>
        <v>0</v>
      </c>
      <c r="O837" s="68">
        <f>SUMIFS([0]!Chavez,[0]!Centro,B839,[0]!Turno,O$818)</f>
        <v>0</v>
      </c>
      <c r="P837" s="68">
        <f>SUMIFS([0]!Chavez,[0]!Centro,B839,[0]!Turno,P$818)</f>
        <v>0</v>
      </c>
      <c r="Q837" s="68">
        <f>SUMIFS([0]!Chavez,[0]!Centro,B839,[0]!Turno,Q$818)</f>
        <v>0</v>
      </c>
      <c r="R837" s="68">
        <f>SUMIFS([0]!Chavez,[0]!Centro,B839,[0]!Turno,R$818)</f>
        <v>0</v>
      </c>
      <c r="S837" s="68">
        <f>SUMIFS([0]!Chavez,[0]!Centro,B839,[0]!Turno,S$818)</f>
        <v>0</v>
      </c>
      <c r="T837" s="68">
        <f>SUMIFS([0]!Chavez,[0]!Centro,B839,[0]!Turno,T$818)</f>
        <v>0</v>
      </c>
      <c r="U837" s="68">
        <f>SUMIFS([0]!Chavez,[0]!Centro,B839,[0]!Turno,U$818)</f>
        <v>0</v>
      </c>
      <c r="V837" s="68">
        <f>SUMIFS([0]!Chavez,[0]!Centro,B839,[0]!Turno,V$818)</f>
        <v>0</v>
      </c>
      <c r="W837" s="68">
        <f>SUMIFS([0]!Chavez,[0]!Centro,B839,[0]!Turno,W$818)</f>
        <v>0</v>
      </c>
      <c r="X837" s="68">
        <f>SUMIFS([0]!Chavez,[0]!Centro,B839,[0]!Turno,X$818)</f>
        <v>0</v>
      </c>
      <c r="Y837" s="69">
        <f>SUMIFS([0]!Chavez,[0]!Centro,B839,[0]!Turno,Y$818)</f>
        <v>0</v>
      </c>
    </row>
    <row r="838" spans="2:25" ht="15" customHeight="1" x14ac:dyDescent="0.2">
      <c r="B838" s="250"/>
      <c r="C838" s="92">
        <f>E838/SUM(E837:E839)</f>
        <v>0.25</v>
      </c>
      <c r="D838" s="61" t="s">
        <v>1</v>
      </c>
      <c r="E838" s="62">
        <f t="shared" si="2189"/>
        <v>9</v>
      </c>
      <c r="F838" s="62">
        <f>SUMIFS([0]!Capriles,[0]!Centro,B839,[0]!Turno,F$818)</f>
        <v>1</v>
      </c>
      <c r="G838" s="62">
        <f>SUMIFS([0]!Capriles,[0]!Centro,B839,[0]!Turno,G$818)</f>
        <v>0</v>
      </c>
      <c r="H838" s="62">
        <f>SUMIFS([0]!Capriles,[0]!Centro,B839,[0]!Turno,H$818)</f>
        <v>0</v>
      </c>
      <c r="I838" s="62">
        <f>SUMIFS([0]!Capriles,[0]!Centro,B839,[0]!Turno,I$818)</f>
        <v>0</v>
      </c>
      <c r="J838" s="62">
        <f>SUMIFS([0]!Capriles,[0]!Centro,B839,[0]!Turno,J$818)</f>
        <v>0</v>
      </c>
      <c r="K838" s="62">
        <f>SUMIFS([0]!Capriles,[0]!Centro,B839,[0]!Turno,K$818)</f>
        <v>0</v>
      </c>
      <c r="L838" s="62">
        <f>SUMIFS([0]!Capriles,[0]!Centro,B839,[0]!Turno,L$818)</f>
        <v>7</v>
      </c>
      <c r="M838" s="62">
        <f>SUMIFS([0]!Capriles,[0]!Centro,B839,[0]!Turno,M$818)</f>
        <v>1</v>
      </c>
      <c r="N838" s="62">
        <f>SUMIFS([0]!Capriles,[0]!Centro,B839,[0]!Turno,N$818)</f>
        <v>0</v>
      </c>
      <c r="O838" s="62">
        <f>SUMIFS([0]!Capriles,[0]!Centro,B839,[0]!Turno,O$818)</f>
        <v>0</v>
      </c>
      <c r="P838" s="62">
        <f>SUMIFS([0]!Capriles,[0]!Centro,B839,[0]!Turno,P$818)</f>
        <v>0</v>
      </c>
      <c r="Q838" s="62">
        <f>SUMIFS([0]!Capriles,[0]!Centro,B839,[0]!Turno,Q$818)</f>
        <v>0</v>
      </c>
      <c r="R838" s="62">
        <f>SUMIFS([0]!Capriles,[0]!Centro,B839,[0]!Turno,R$818)</f>
        <v>0</v>
      </c>
      <c r="S838" s="62">
        <f>SUMIFS([0]!Capriles,[0]!Centro,B839,[0]!Turno,S$818)</f>
        <v>0</v>
      </c>
      <c r="T838" s="62">
        <f>SUMIFS([0]!Capriles,[0]!Centro,B839,[0]!Turno,T$818)</f>
        <v>0</v>
      </c>
      <c r="U838" s="62">
        <f>SUMIFS([0]!Capriles,[0]!Centro,B839,[0]!Turno,U$818)</f>
        <v>0</v>
      </c>
      <c r="V838" s="62">
        <f>SUMIFS([0]!Capriles,[0]!Centro,B839,[0]!Turno,V$818)</f>
        <v>0</v>
      </c>
      <c r="W838" s="62">
        <f>SUMIFS([0]!Capriles,[0]!Centro,B839,[0]!Turno,W$818)</f>
        <v>0</v>
      </c>
      <c r="X838" s="62">
        <f>SUMIFS([0]!Capriles,[0]!Centro,B839,[0]!Turno,X$818)</f>
        <v>0</v>
      </c>
      <c r="Y838" s="70">
        <f>SUMIFS([0]!Capriles,[0]!Centro,B839,[0]!Turno,Y$818)</f>
        <v>0</v>
      </c>
    </row>
    <row r="839" spans="2:25" ht="15" customHeight="1" thickBot="1" x14ac:dyDescent="0.25">
      <c r="B839" s="251">
        <v>116</v>
      </c>
      <c r="C839" s="100">
        <f>E839/SUM(E837:E839)</f>
        <v>0</v>
      </c>
      <c r="D839" s="71" t="s">
        <v>2</v>
      </c>
      <c r="E839" s="72">
        <f t="shared" si="2189"/>
        <v>0</v>
      </c>
      <c r="F839" s="72">
        <f>SUMIFS([0]!Otro,[0]!Centro,B839,[0]!Turno,F$818)</f>
        <v>0</v>
      </c>
      <c r="G839" s="72">
        <f>SUMIFS([0]!Otro,[0]!Centro,B839,[0]!Turno,G$818)</f>
        <v>0</v>
      </c>
      <c r="H839" s="72">
        <f>SUMIFS([0]!Otro,[0]!Centro,B839,[0]!Turno,H$818)</f>
        <v>0</v>
      </c>
      <c r="I839" s="72">
        <f>SUMIFS([0]!Otro,[0]!Centro,B839,[0]!Turno,I$818)</f>
        <v>0</v>
      </c>
      <c r="J839" s="72">
        <f>SUMIFS([0]!Otro,[0]!Centro,B839,[0]!Turno,J$818)</f>
        <v>0</v>
      </c>
      <c r="K839" s="72">
        <f>SUMIFS([0]!Otro,[0]!Centro,B839,[0]!Turno,K$818)</f>
        <v>0</v>
      </c>
      <c r="L839" s="72">
        <f>SUMIFS([0]!Otro,[0]!Centro,B839,[0]!Turno,L$818)</f>
        <v>0</v>
      </c>
      <c r="M839" s="72">
        <f>SUMIFS([0]!Otro,[0]!Centro,B839,[0]!Turno,M$818)</f>
        <v>0</v>
      </c>
      <c r="N839" s="72">
        <f>SUMIFS([0]!Otro,[0]!Centro,B839,[0]!Turno,N$818)</f>
        <v>0</v>
      </c>
      <c r="O839" s="72">
        <f>SUMIFS([0]!Otro,[0]!Centro,B839,[0]!Turno,O$818)</f>
        <v>0</v>
      </c>
      <c r="P839" s="72">
        <f>SUMIFS([0]!Otro,[0]!Centro,B839,[0]!Turno,P$818)</f>
        <v>0</v>
      </c>
      <c r="Q839" s="72">
        <f>SUMIFS([0]!Otro,[0]!Centro,B839,[0]!Turno,Q$818)</f>
        <v>0</v>
      </c>
      <c r="R839" s="72">
        <f>SUMIFS([0]!Otro,[0]!Centro,B839,[0]!Turno,R$818)</f>
        <v>0</v>
      </c>
      <c r="S839" s="72">
        <f>SUMIFS([0]!Otro,[0]!Centro,B839,[0]!Turno,S$818)</f>
        <v>0</v>
      </c>
      <c r="T839" s="72">
        <f>SUMIFS([0]!Otro,[0]!Centro,B839,[0]!Turno,T$818)</f>
        <v>0</v>
      </c>
      <c r="U839" s="72">
        <f>SUMIFS([0]!Otro,[0]!Centro,B839,[0]!Turno,U$818)</f>
        <v>0</v>
      </c>
      <c r="V839" s="72">
        <f>SUMIFS([0]!Otro,[0]!Centro,B839,[0]!Turno,V$818)</f>
        <v>0</v>
      </c>
      <c r="W839" s="72">
        <f>SUMIFS([0]!Otro,[0]!Centro,B839,[0]!Turno,W$818)</f>
        <v>0</v>
      </c>
      <c r="X839" s="72">
        <f>SUMIFS([0]!Otro,[0]!Centro,B839,[0]!Turno,X$818)</f>
        <v>0</v>
      </c>
      <c r="Y839" s="73">
        <f>SUMIFS([0]!Otro,[0]!Centro,B839,[0]!Turno,Y$818)</f>
        <v>0</v>
      </c>
    </row>
    <row r="840" spans="2:25" ht="15" customHeight="1" x14ac:dyDescent="0.2">
      <c r="B840" s="251"/>
      <c r="C840" s="94">
        <f>E840/SUM(E840:E842)</f>
        <v>0.75</v>
      </c>
      <c r="D840" s="63" t="s">
        <v>0</v>
      </c>
      <c r="E840" s="150">
        <f>IF((E837+E838+E839)=0,0,(E837*$B841)/(E837+E838+E839))</f>
        <v>6.6681219214695608E-2</v>
      </c>
      <c r="F840" s="150">
        <f>IF((F837+F838+F839)=0,0,(F837*$B841)/(F837+F838+F839))</f>
        <v>8.2557699980099319E-2</v>
      </c>
      <c r="G840" s="150">
        <f t="shared" ref="G840:Y840" si="2206">IF((G837+G838+G839)=0,0,(G837*$B841)/(G837+G838+G839))</f>
        <v>0</v>
      </c>
      <c r="H840" s="150">
        <f t="shared" si="2206"/>
        <v>0</v>
      </c>
      <c r="I840" s="150">
        <f t="shared" si="2206"/>
        <v>8.8908292286260807E-2</v>
      </c>
      <c r="J840" s="150">
        <f t="shared" si="2206"/>
        <v>0</v>
      </c>
      <c r="K840" s="150">
        <f t="shared" si="2206"/>
        <v>0</v>
      </c>
      <c r="L840" s="150">
        <f t="shared" si="2206"/>
        <v>3.7045121785941999E-2</v>
      </c>
      <c r="M840" s="150">
        <f t="shared" si="2206"/>
        <v>7.6207107673937832E-2</v>
      </c>
      <c r="N840" s="150">
        <f t="shared" si="2206"/>
        <v>0</v>
      </c>
      <c r="O840" s="150">
        <f t="shared" si="2206"/>
        <v>0</v>
      </c>
      <c r="P840" s="150">
        <f t="shared" si="2206"/>
        <v>0</v>
      </c>
      <c r="Q840" s="150">
        <f t="shared" si="2206"/>
        <v>0</v>
      </c>
      <c r="R840" s="150">
        <f t="shared" si="2206"/>
        <v>0</v>
      </c>
      <c r="S840" s="150">
        <f t="shared" si="2206"/>
        <v>0</v>
      </c>
      <c r="T840" s="150">
        <f t="shared" si="2206"/>
        <v>0</v>
      </c>
      <c r="U840" s="150">
        <f t="shared" si="2206"/>
        <v>0</v>
      </c>
      <c r="V840" s="150">
        <f t="shared" si="2206"/>
        <v>0</v>
      </c>
      <c r="W840" s="150">
        <f t="shared" si="2206"/>
        <v>0</v>
      </c>
      <c r="X840" s="150">
        <f t="shared" si="2206"/>
        <v>0</v>
      </c>
      <c r="Y840" s="163">
        <f t="shared" si="2206"/>
        <v>0</v>
      </c>
    </row>
    <row r="841" spans="2:25" ht="15" customHeight="1" x14ac:dyDescent="0.2">
      <c r="B841" s="252">
        <v>8.8908292286260807E-2</v>
      </c>
      <c r="C841" s="92">
        <f>E841/SUM(E840:E842)</f>
        <v>0.25</v>
      </c>
      <c r="D841" s="61" t="s">
        <v>1</v>
      </c>
      <c r="E841" s="154">
        <f>IF((E837+E838+E839)=0,0,(E838*$B841)/(E837+E838+E839))</f>
        <v>2.2227073071565202E-2</v>
      </c>
      <c r="F841" s="154">
        <f>IF((F837+F838+F839)=0,0,(F838*$B841)/(F837+F838+F839))</f>
        <v>6.3505923061614863E-3</v>
      </c>
      <c r="G841" s="154">
        <f t="shared" ref="G841:O841" si="2207">IF((G837+G838+G839)=0,0,(G838*$B841)/(G837+G838+G839))</f>
        <v>0</v>
      </c>
      <c r="H841" s="154">
        <f t="shared" si="2207"/>
        <v>0</v>
      </c>
      <c r="I841" s="154">
        <f t="shared" si="2207"/>
        <v>0</v>
      </c>
      <c r="J841" s="154">
        <f t="shared" si="2207"/>
        <v>0</v>
      </c>
      <c r="K841" s="154">
        <f t="shared" si="2207"/>
        <v>0</v>
      </c>
      <c r="L841" s="154">
        <f t="shared" si="2207"/>
        <v>5.18631705003188E-2</v>
      </c>
      <c r="M841" s="154">
        <f t="shared" si="2207"/>
        <v>1.2701184612322973E-2</v>
      </c>
      <c r="N841" s="154">
        <f t="shared" si="2207"/>
        <v>0</v>
      </c>
      <c r="O841" s="154">
        <f t="shared" si="2207"/>
        <v>0</v>
      </c>
      <c r="P841" s="154">
        <f>IF((P837+P838+P839)=0,0,(P838*$B841)/(P837+P838+P839))</f>
        <v>0</v>
      </c>
      <c r="Q841" s="154">
        <f t="shared" ref="Q841:Y841" si="2208">IF((Q837+Q838+Q839)=0,0,(Q838*$B841)/(Q837+Q838+Q839))</f>
        <v>0</v>
      </c>
      <c r="R841" s="154">
        <f t="shared" si="2208"/>
        <v>0</v>
      </c>
      <c r="S841" s="154">
        <f t="shared" si="2208"/>
        <v>0</v>
      </c>
      <c r="T841" s="154">
        <f t="shared" si="2208"/>
        <v>0</v>
      </c>
      <c r="U841" s="154">
        <f t="shared" si="2208"/>
        <v>0</v>
      </c>
      <c r="V841" s="154">
        <f t="shared" si="2208"/>
        <v>0</v>
      </c>
      <c r="W841" s="154">
        <f t="shared" si="2208"/>
        <v>0</v>
      </c>
      <c r="X841" s="154">
        <f t="shared" si="2208"/>
        <v>0</v>
      </c>
      <c r="Y841" s="159">
        <f t="shared" si="2208"/>
        <v>0</v>
      </c>
    </row>
    <row r="842" spans="2:25" ht="15" customHeight="1" thickBot="1" x14ac:dyDescent="0.25">
      <c r="B842" s="253"/>
      <c r="C842" s="93">
        <f>E842/SUM(E840:E842)</f>
        <v>0</v>
      </c>
      <c r="D842" s="75" t="s">
        <v>2</v>
      </c>
      <c r="E842" s="155">
        <f>IF((E837+E838+E839)=0,0,(E839*$B841)/(E837+E838+E839))</f>
        <v>0</v>
      </c>
      <c r="F842" s="155">
        <f>IF((F837+F838+F839)=0,0,(F839*$B841)/(F837+F838+F839))</f>
        <v>0</v>
      </c>
      <c r="G842" s="155">
        <f t="shared" ref="G842:Y842" si="2209">IF((G837+G838+G839)=0,0,(G839*$B841)/(G837+G838+G839))</f>
        <v>0</v>
      </c>
      <c r="H842" s="155">
        <f t="shared" si="2209"/>
        <v>0</v>
      </c>
      <c r="I842" s="155">
        <f t="shared" si="2209"/>
        <v>0</v>
      </c>
      <c r="J842" s="155">
        <f t="shared" si="2209"/>
        <v>0</v>
      </c>
      <c r="K842" s="155">
        <f t="shared" si="2209"/>
        <v>0</v>
      </c>
      <c r="L842" s="155">
        <f t="shared" si="2209"/>
        <v>0</v>
      </c>
      <c r="M842" s="155">
        <f t="shared" si="2209"/>
        <v>0</v>
      </c>
      <c r="N842" s="155">
        <f t="shared" si="2209"/>
        <v>0</v>
      </c>
      <c r="O842" s="155">
        <f t="shared" si="2209"/>
        <v>0</v>
      </c>
      <c r="P842" s="155">
        <f t="shared" si="2209"/>
        <v>0</v>
      </c>
      <c r="Q842" s="155">
        <f t="shared" si="2209"/>
        <v>0</v>
      </c>
      <c r="R842" s="155">
        <f t="shared" si="2209"/>
        <v>0</v>
      </c>
      <c r="S842" s="155">
        <f t="shared" si="2209"/>
        <v>0</v>
      </c>
      <c r="T842" s="155">
        <f t="shared" si="2209"/>
        <v>0</v>
      </c>
      <c r="U842" s="155">
        <f t="shared" si="2209"/>
        <v>0</v>
      </c>
      <c r="V842" s="155">
        <f t="shared" si="2209"/>
        <v>0</v>
      </c>
      <c r="W842" s="155">
        <f t="shared" si="2209"/>
        <v>0</v>
      </c>
      <c r="X842" s="155">
        <f t="shared" si="2209"/>
        <v>0</v>
      </c>
      <c r="Y842" s="160">
        <f t="shared" si="2209"/>
        <v>0</v>
      </c>
    </row>
    <row r="843" spans="2:25" ht="15" customHeight="1" x14ac:dyDescent="0.2">
      <c r="B843" s="249" t="s">
        <v>140</v>
      </c>
      <c r="C843" s="91">
        <f>E843/SUM(E843:E845)</f>
        <v>0.55757575757575761</v>
      </c>
      <c r="D843" s="67" t="s">
        <v>0</v>
      </c>
      <c r="E843" s="68">
        <f t="shared" si="2189"/>
        <v>92</v>
      </c>
      <c r="F843" s="68">
        <f>SUMIFS([0]!Chavez,[0]!Centro,B845,[0]!Turno,F$818)</f>
        <v>0</v>
      </c>
      <c r="G843" s="68">
        <f>SUMIFS([0]!Chavez,[0]!Centro,B845,[0]!Turno,G$818)</f>
        <v>33</v>
      </c>
      <c r="H843" s="68">
        <f>SUMIFS([0]!Chavez,[0]!Centro,B845,[0]!Turno,H$818)</f>
        <v>38</v>
      </c>
      <c r="I843" s="68">
        <f>SUMIFS([0]!Chavez,[0]!Centro,B845,[0]!Turno,I$818)</f>
        <v>0</v>
      </c>
      <c r="J843" s="68">
        <f>SUMIFS([0]!Chavez,[0]!Centro,B845,[0]!Turno,J$818)</f>
        <v>0</v>
      </c>
      <c r="K843" s="68">
        <f>SUMIFS([0]!Chavez,[0]!Centro,B845,[0]!Turno,K$818)</f>
        <v>0</v>
      </c>
      <c r="L843" s="68">
        <f>SUMIFS([0]!Chavez,[0]!Centro,B845,[0]!Turno,L$818)</f>
        <v>11</v>
      </c>
      <c r="M843" s="68">
        <f>SUMIFS([0]!Chavez,[0]!Centro,B845,[0]!Turno,M$818)</f>
        <v>10</v>
      </c>
      <c r="N843" s="68">
        <f>SUMIFS([0]!Chavez,[0]!Centro,B845,[0]!Turno,N$818)</f>
        <v>0</v>
      </c>
      <c r="O843" s="68">
        <f>SUMIFS([0]!Chavez,[0]!Centro,B845,[0]!Turno,O$818)</f>
        <v>0</v>
      </c>
      <c r="P843" s="68">
        <f>SUMIFS([0]!Chavez,[0]!Centro,B845,[0]!Turno,P$818)</f>
        <v>0</v>
      </c>
      <c r="Q843" s="68">
        <f>SUMIFS([0]!Chavez,[0]!Centro,B845,[0]!Turno,Q$818)</f>
        <v>0</v>
      </c>
      <c r="R843" s="68">
        <f>SUMIFS([0]!Chavez,[0]!Centro,B845,[0]!Turno,R$818)</f>
        <v>0</v>
      </c>
      <c r="S843" s="68">
        <f>SUMIFS([0]!Chavez,[0]!Centro,B845,[0]!Turno,S$818)</f>
        <v>0</v>
      </c>
      <c r="T843" s="68">
        <f>SUMIFS([0]!Chavez,[0]!Centro,B845,[0]!Turno,T$818)</f>
        <v>0</v>
      </c>
      <c r="U843" s="68">
        <f>SUMIFS([0]!Chavez,[0]!Centro,B845,[0]!Turno,U$818)</f>
        <v>0</v>
      </c>
      <c r="V843" s="68">
        <f>SUMIFS([0]!Chavez,[0]!Centro,B845,[0]!Turno,V$818)</f>
        <v>0</v>
      </c>
      <c r="W843" s="68">
        <f>SUMIFS([0]!Chavez,[0]!Centro,B845,[0]!Turno,W$818)</f>
        <v>0</v>
      </c>
      <c r="X843" s="68">
        <f>SUMIFS([0]!Chavez,[0]!Centro,B845,[0]!Turno,X$818)</f>
        <v>0</v>
      </c>
      <c r="Y843" s="69">
        <f>SUMIFS([0]!Chavez,[0]!Centro,B845,[0]!Turno,Y$818)</f>
        <v>0</v>
      </c>
    </row>
    <row r="844" spans="2:25" ht="15" customHeight="1" x14ac:dyDescent="0.2">
      <c r="B844" s="250"/>
      <c r="C844" s="92">
        <f>E844/SUM(E843:E845)</f>
        <v>0.44242424242424244</v>
      </c>
      <c r="D844" s="61" t="s">
        <v>1</v>
      </c>
      <c r="E844" s="62">
        <f t="shared" si="2189"/>
        <v>73</v>
      </c>
      <c r="F844" s="62">
        <f>SUMIFS([0]!Capriles,[0]!Centro,B845,[0]!Turno,F$818)</f>
        <v>0</v>
      </c>
      <c r="G844" s="62">
        <f>SUMIFS([0]!Capriles,[0]!Centro,B845,[0]!Turno,G$818)</f>
        <v>14</v>
      </c>
      <c r="H844" s="62">
        <f>SUMIFS([0]!Capriles,[0]!Centro,B845,[0]!Turno,H$818)</f>
        <v>28</v>
      </c>
      <c r="I844" s="62">
        <f>SUMIFS([0]!Capriles,[0]!Centro,B845,[0]!Turno,I$818)</f>
        <v>0</v>
      </c>
      <c r="J844" s="62">
        <f>SUMIFS([0]!Capriles,[0]!Centro,B845,[0]!Turno,J$818)</f>
        <v>0</v>
      </c>
      <c r="K844" s="62">
        <f>SUMIFS([0]!Capriles,[0]!Centro,B845,[0]!Turno,K$818)</f>
        <v>0</v>
      </c>
      <c r="L844" s="62">
        <f>SUMIFS([0]!Capriles,[0]!Centro,B845,[0]!Turno,L$818)</f>
        <v>11</v>
      </c>
      <c r="M844" s="62">
        <f>SUMIFS([0]!Capriles,[0]!Centro,B845,[0]!Turno,M$818)</f>
        <v>20</v>
      </c>
      <c r="N844" s="62">
        <f>SUMIFS([0]!Capriles,[0]!Centro,B845,[0]!Turno,N$818)</f>
        <v>0</v>
      </c>
      <c r="O844" s="62">
        <f>SUMIFS([0]!Capriles,[0]!Centro,B845,[0]!Turno,O$818)</f>
        <v>0</v>
      </c>
      <c r="P844" s="62">
        <f>SUMIFS([0]!Capriles,[0]!Centro,B845,[0]!Turno,P$818)</f>
        <v>0</v>
      </c>
      <c r="Q844" s="62">
        <f>SUMIFS([0]!Capriles,[0]!Centro,B845,[0]!Turno,Q$818)</f>
        <v>0</v>
      </c>
      <c r="R844" s="62">
        <f>SUMIFS([0]!Capriles,[0]!Centro,B845,[0]!Turno,R$818)</f>
        <v>0</v>
      </c>
      <c r="S844" s="62">
        <f>SUMIFS([0]!Capriles,[0]!Centro,B845,[0]!Turno,S$818)</f>
        <v>0</v>
      </c>
      <c r="T844" s="62">
        <f>SUMIFS([0]!Capriles,[0]!Centro,B845,[0]!Turno,T$818)</f>
        <v>0</v>
      </c>
      <c r="U844" s="62">
        <f>SUMIFS([0]!Capriles,[0]!Centro,B845,[0]!Turno,U$818)</f>
        <v>0</v>
      </c>
      <c r="V844" s="62">
        <f>SUMIFS([0]!Capriles,[0]!Centro,B845,[0]!Turno,V$818)</f>
        <v>0</v>
      </c>
      <c r="W844" s="62">
        <f>SUMIFS([0]!Capriles,[0]!Centro,B845,[0]!Turno,W$818)</f>
        <v>0</v>
      </c>
      <c r="X844" s="62">
        <f>SUMIFS([0]!Capriles,[0]!Centro,B845,[0]!Turno,X$818)</f>
        <v>0</v>
      </c>
      <c r="Y844" s="70">
        <f>SUMIFS([0]!Capriles,[0]!Centro,B845,[0]!Turno,Y$818)</f>
        <v>0</v>
      </c>
    </row>
    <row r="845" spans="2:25" ht="15" customHeight="1" thickBot="1" x14ac:dyDescent="0.25">
      <c r="B845" s="251">
        <v>117</v>
      </c>
      <c r="C845" s="100">
        <f>E845/SUM(E843:E845)</f>
        <v>0</v>
      </c>
      <c r="D845" s="71" t="s">
        <v>2</v>
      </c>
      <c r="E845" s="72">
        <f t="shared" si="2189"/>
        <v>0</v>
      </c>
      <c r="F845" s="72">
        <f>SUMIFS([0]!Otro,[0]!Centro,B845,[0]!Turno,F$818)</f>
        <v>0</v>
      </c>
      <c r="G845" s="72">
        <f>SUMIFS([0]!Otro,[0]!Centro,B845,[0]!Turno,G$818)</f>
        <v>0</v>
      </c>
      <c r="H845" s="72">
        <f>SUMIFS([0]!Otro,[0]!Centro,B845,[0]!Turno,H$818)</f>
        <v>0</v>
      </c>
      <c r="I845" s="72">
        <f>SUMIFS([0]!Otro,[0]!Centro,B845,[0]!Turno,I$818)</f>
        <v>0</v>
      </c>
      <c r="J845" s="72">
        <f>SUMIFS([0]!Otro,[0]!Centro,B845,[0]!Turno,J$818)</f>
        <v>0</v>
      </c>
      <c r="K845" s="72">
        <f>SUMIFS([0]!Otro,[0]!Centro,B845,[0]!Turno,K$818)</f>
        <v>0</v>
      </c>
      <c r="L845" s="72">
        <f>SUMIFS([0]!Otro,[0]!Centro,B845,[0]!Turno,L$818)</f>
        <v>0</v>
      </c>
      <c r="M845" s="72">
        <f>SUMIFS([0]!Otro,[0]!Centro,B845,[0]!Turno,M$818)</f>
        <v>0</v>
      </c>
      <c r="N845" s="72">
        <f>SUMIFS([0]!Otro,[0]!Centro,B845,[0]!Turno,N$818)</f>
        <v>0</v>
      </c>
      <c r="O845" s="72">
        <f>SUMIFS([0]!Otro,[0]!Centro,B845,[0]!Turno,O$818)</f>
        <v>0</v>
      </c>
      <c r="P845" s="72">
        <f>SUMIFS([0]!Otro,[0]!Centro,B845,[0]!Turno,P$818)</f>
        <v>0</v>
      </c>
      <c r="Q845" s="72">
        <f>SUMIFS([0]!Otro,[0]!Centro,B845,[0]!Turno,Q$818)</f>
        <v>0</v>
      </c>
      <c r="R845" s="72">
        <f>SUMIFS([0]!Otro,[0]!Centro,B845,[0]!Turno,R$818)</f>
        <v>0</v>
      </c>
      <c r="S845" s="72">
        <f>SUMIFS([0]!Otro,[0]!Centro,B845,[0]!Turno,S$818)</f>
        <v>0</v>
      </c>
      <c r="T845" s="72">
        <f>SUMIFS([0]!Otro,[0]!Centro,B845,[0]!Turno,T$818)</f>
        <v>0</v>
      </c>
      <c r="U845" s="72">
        <f>SUMIFS([0]!Otro,[0]!Centro,B845,[0]!Turno,U$818)</f>
        <v>0</v>
      </c>
      <c r="V845" s="72">
        <f>SUMIFS([0]!Otro,[0]!Centro,B845,[0]!Turno,V$818)</f>
        <v>0</v>
      </c>
      <c r="W845" s="72">
        <f>SUMIFS([0]!Otro,[0]!Centro,B845,[0]!Turno,W$818)</f>
        <v>0</v>
      </c>
      <c r="X845" s="72">
        <f>SUMIFS([0]!Otro,[0]!Centro,B845,[0]!Turno,X$818)</f>
        <v>0</v>
      </c>
      <c r="Y845" s="73">
        <f>SUMIFS([0]!Otro,[0]!Centro,B845,[0]!Turno,Y$818)</f>
        <v>0</v>
      </c>
    </row>
    <row r="846" spans="2:25" ht="15" customHeight="1" x14ac:dyDescent="0.2">
      <c r="B846" s="251"/>
      <c r="C846" s="94">
        <f>E846/SUM(E846:E848)</f>
        <v>0.55757575757575761</v>
      </c>
      <c r="D846" s="63" t="s">
        <v>0</v>
      </c>
      <c r="E846" s="150">
        <f>IF((E843+E844+E845)=0,0,(E843*$B847)/(E843+E844+E845))</f>
        <v>4.8051860527948791E-2</v>
      </c>
      <c r="F846" s="150">
        <f>IF((F843+F844+F845)=0,0,(F843*$B847)/(F843+F844+F845))</f>
        <v>0</v>
      </c>
      <c r="G846" s="150">
        <f t="shared" ref="G846:Y846" si="2210">IF((G843+G844+G845)=0,0,(G843*$B847)/(G843+G844+G845))</f>
        <v>6.0509338708298138E-2</v>
      </c>
      <c r="H846" s="150">
        <f t="shared" si="2210"/>
        <v>4.9618769023425387E-2</v>
      </c>
      <c r="I846" s="150">
        <f t="shared" si="2210"/>
        <v>0</v>
      </c>
      <c r="J846" s="150">
        <f t="shared" si="2210"/>
        <v>0</v>
      </c>
      <c r="K846" s="150">
        <f t="shared" si="2210"/>
        <v>0</v>
      </c>
      <c r="L846" s="150">
        <f t="shared" si="2210"/>
        <v>4.3089983625606253E-2</v>
      </c>
      <c r="M846" s="150">
        <f t="shared" si="2210"/>
        <v>2.872665575040417E-2</v>
      </c>
      <c r="N846" s="150">
        <f t="shared" si="2210"/>
        <v>0</v>
      </c>
      <c r="O846" s="150">
        <f t="shared" si="2210"/>
        <v>0</v>
      </c>
      <c r="P846" s="150">
        <f t="shared" si="2210"/>
        <v>0</v>
      </c>
      <c r="Q846" s="150">
        <f t="shared" si="2210"/>
        <v>0</v>
      </c>
      <c r="R846" s="150">
        <f t="shared" si="2210"/>
        <v>0</v>
      </c>
      <c r="S846" s="150">
        <f t="shared" si="2210"/>
        <v>0</v>
      </c>
      <c r="T846" s="150">
        <f t="shared" si="2210"/>
        <v>0</v>
      </c>
      <c r="U846" s="150">
        <f t="shared" si="2210"/>
        <v>0</v>
      </c>
      <c r="V846" s="150">
        <f t="shared" si="2210"/>
        <v>0</v>
      </c>
      <c r="W846" s="150">
        <f t="shared" si="2210"/>
        <v>0</v>
      </c>
      <c r="X846" s="150">
        <f t="shared" si="2210"/>
        <v>0</v>
      </c>
      <c r="Y846" s="163">
        <f t="shared" si="2210"/>
        <v>0</v>
      </c>
    </row>
    <row r="847" spans="2:25" ht="15" customHeight="1" x14ac:dyDescent="0.2">
      <c r="B847" s="252">
        <v>8.6179967251212505E-2</v>
      </c>
      <c r="C847" s="92">
        <f>E847/SUM(E846:E848)</f>
        <v>0.44242424242424244</v>
      </c>
      <c r="D847" s="61" t="s">
        <v>1</v>
      </c>
      <c r="E847" s="154">
        <f>IF((E843+E844+E845)=0,0,(E844*$B847)/(E843+E844+E845))</f>
        <v>3.8128106723263715E-2</v>
      </c>
      <c r="F847" s="154">
        <f>IF((F843+F844+F845)=0,0,(F844*$B847)/(F843+F844+F845))</f>
        <v>0</v>
      </c>
      <c r="G847" s="154">
        <f t="shared" ref="G847:O847" si="2211">IF((G843+G844+G845)=0,0,(G844*$B847)/(G843+G844+G845))</f>
        <v>2.5670628542914364E-2</v>
      </c>
      <c r="H847" s="154">
        <f t="shared" si="2211"/>
        <v>3.6561198227787126E-2</v>
      </c>
      <c r="I847" s="154">
        <f t="shared" si="2211"/>
        <v>0</v>
      </c>
      <c r="J847" s="154">
        <f t="shared" si="2211"/>
        <v>0</v>
      </c>
      <c r="K847" s="154">
        <f t="shared" si="2211"/>
        <v>0</v>
      </c>
      <c r="L847" s="154">
        <f t="shared" si="2211"/>
        <v>4.3089983625606253E-2</v>
      </c>
      <c r="M847" s="154">
        <f t="shared" si="2211"/>
        <v>5.7453311500808339E-2</v>
      </c>
      <c r="N847" s="154">
        <f t="shared" si="2211"/>
        <v>0</v>
      </c>
      <c r="O847" s="154">
        <f t="shared" si="2211"/>
        <v>0</v>
      </c>
      <c r="P847" s="154">
        <f>IF((P843+P844+P845)=0,0,(P844*$B847)/(P843+P844+P845))</f>
        <v>0</v>
      </c>
      <c r="Q847" s="154">
        <f t="shared" ref="Q847:Y847" si="2212">IF((Q843+Q844+Q845)=0,0,(Q844*$B847)/(Q843+Q844+Q845))</f>
        <v>0</v>
      </c>
      <c r="R847" s="154">
        <f t="shared" si="2212"/>
        <v>0</v>
      </c>
      <c r="S847" s="154">
        <f t="shared" si="2212"/>
        <v>0</v>
      </c>
      <c r="T847" s="154">
        <f t="shared" si="2212"/>
        <v>0</v>
      </c>
      <c r="U847" s="154">
        <f t="shared" si="2212"/>
        <v>0</v>
      </c>
      <c r="V847" s="154">
        <f t="shared" si="2212"/>
        <v>0</v>
      </c>
      <c r="W847" s="154">
        <f t="shared" si="2212"/>
        <v>0</v>
      </c>
      <c r="X847" s="154">
        <f t="shared" si="2212"/>
        <v>0</v>
      </c>
      <c r="Y847" s="159">
        <f t="shared" si="2212"/>
        <v>0</v>
      </c>
    </row>
    <row r="848" spans="2:25" ht="15" customHeight="1" thickBot="1" x14ac:dyDescent="0.25">
      <c r="B848" s="253"/>
      <c r="C848" s="93">
        <f>E848/SUM(E846:E848)</f>
        <v>0</v>
      </c>
      <c r="D848" s="75" t="s">
        <v>2</v>
      </c>
      <c r="E848" s="155">
        <f>IF((E843+E844+E845)=0,0,(E845*$B847)/(E843+E844+E845))</f>
        <v>0</v>
      </c>
      <c r="F848" s="155">
        <f>IF((F843+F844+F845)=0,0,(F845*$B847)/(F843+F844+F845))</f>
        <v>0</v>
      </c>
      <c r="G848" s="155">
        <f t="shared" ref="G848:Y848" si="2213">IF((G843+G844+G845)=0,0,(G845*$B847)/(G843+G844+G845))</f>
        <v>0</v>
      </c>
      <c r="H848" s="155">
        <f t="shared" si="2213"/>
        <v>0</v>
      </c>
      <c r="I848" s="155">
        <f t="shared" si="2213"/>
        <v>0</v>
      </c>
      <c r="J848" s="155">
        <f t="shared" si="2213"/>
        <v>0</v>
      </c>
      <c r="K848" s="155">
        <f t="shared" si="2213"/>
        <v>0</v>
      </c>
      <c r="L848" s="155">
        <f t="shared" si="2213"/>
        <v>0</v>
      </c>
      <c r="M848" s="155">
        <f t="shared" si="2213"/>
        <v>0</v>
      </c>
      <c r="N848" s="155">
        <f t="shared" si="2213"/>
        <v>0</v>
      </c>
      <c r="O848" s="155">
        <f t="shared" si="2213"/>
        <v>0</v>
      </c>
      <c r="P848" s="155">
        <f t="shared" si="2213"/>
        <v>0</v>
      </c>
      <c r="Q848" s="155">
        <f t="shared" si="2213"/>
        <v>0</v>
      </c>
      <c r="R848" s="155">
        <f t="shared" si="2213"/>
        <v>0</v>
      </c>
      <c r="S848" s="155">
        <f t="shared" si="2213"/>
        <v>0</v>
      </c>
      <c r="T848" s="155">
        <f t="shared" si="2213"/>
        <v>0</v>
      </c>
      <c r="U848" s="155">
        <f t="shared" si="2213"/>
        <v>0</v>
      </c>
      <c r="V848" s="155">
        <f t="shared" si="2213"/>
        <v>0</v>
      </c>
      <c r="W848" s="155">
        <f t="shared" si="2213"/>
        <v>0</v>
      </c>
      <c r="X848" s="155">
        <f t="shared" si="2213"/>
        <v>0</v>
      </c>
      <c r="Y848" s="160">
        <f t="shared" si="2213"/>
        <v>0</v>
      </c>
    </row>
    <row r="849" spans="2:25" ht="15" customHeight="1" x14ac:dyDescent="0.2">
      <c r="B849" s="249" t="s">
        <v>55</v>
      </c>
      <c r="C849" s="91">
        <f>E849/SUM(E849:E851)</f>
        <v>0.5161290322580645</v>
      </c>
      <c r="D849" s="67" t="s">
        <v>0</v>
      </c>
      <c r="E849" s="68">
        <f t="shared" si="2189"/>
        <v>256</v>
      </c>
      <c r="F849" s="68">
        <f>SUMIFS([0]!Chavez,[0]!Centro,B851,[0]!Turno,F$818)</f>
        <v>27</v>
      </c>
      <c r="G849" s="68">
        <f>SUMIFS([0]!Chavez,[0]!Centro,B851,[0]!Turno,G$818)</f>
        <v>42</v>
      </c>
      <c r="H849" s="68">
        <f>SUMIFS([0]!Chavez,[0]!Centro,B851,[0]!Turno,H$818)</f>
        <v>31</v>
      </c>
      <c r="I849" s="68">
        <f>SUMIFS([0]!Chavez,[0]!Centro,B851,[0]!Turno,I$818)</f>
        <v>24</v>
      </c>
      <c r="J849" s="68">
        <f>SUMIFS([0]!Chavez,[0]!Centro,B851,[0]!Turno,J$818)</f>
        <v>21</v>
      </c>
      <c r="K849" s="68">
        <f>SUMIFS([0]!Chavez,[0]!Centro,B851,[0]!Turno,K$818)</f>
        <v>0</v>
      </c>
      <c r="L849" s="68">
        <f>SUMIFS([0]!Chavez,[0]!Centro,B851,[0]!Turno,L$818)</f>
        <v>52</v>
      </c>
      <c r="M849" s="68">
        <f>SUMIFS([0]!Chavez,[0]!Centro,B851,[0]!Turno,M$818)</f>
        <v>59</v>
      </c>
      <c r="N849" s="68">
        <f>SUMIFS([0]!Chavez,[0]!Centro,B851,[0]!Turno,N$818)</f>
        <v>0</v>
      </c>
      <c r="O849" s="68">
        <f>SUMIFS([0]!Chavez,[0]!Centro,B851,[0]!Turno,O$818)</f>
        <v>0</v>
      </c>
      <c r="P849" s="68">
        <f>SUMIFS([0]!Chavez,[0]!Centro,B851,[0]!Turno,P$818)</f>
        <v>0</v>
      </c>
      <c r="Q849" s="68">
        <f>SUMIFS([0]!Chavez,[0]!Centro,B851,[0]!Turno,Q$818)</f>
        <v>0</v>
      </c>
      <c r="R849" s="68">
        <f>SUMIFS([0]!Chavez,[0]!Centro,B851,[0]!Turno,R$818)</f>
        <v>0</v>
      </c>
      <c r="S849" s="68">
        <f>SUMIFS([0]!Chavez,[0]!Centro,B851,[0]!Turno,S$818)</f>
        <v>0</v>
      </c>
      <c r="T849" s="68">
        <f>SUMIFS([0]!Chavez,[0]!Centro,B851,[0]!Turno,T$818)</f>
        <v>0</v>
      </c>
      <c r="U849" s="68">
        <f>SUMIFS([0]!Chavez,[0]!Centro,B851,[0]!Turno,U$818)</f>
        <v>0</v>
      </c>
      <c r="V849" s="68">
        <f>SUMIFS([0]!Chavez,[0]!Centro,B851,[0]!Turno,V$818)</f>
        <v>0</v>
      </c>
      <c r="W849" s="68">
        <f>SUMIFS([0]!Chavez,[0]!Centro,B851,[0]!Turno,W$818)</f>
        <v>0</v>
      </c>
      <c r="X849" s="68">
        <f>SUMIFS([0]!Chavez,[0]!Centro,B851,[0]!Turno,X$818)</f>
        <v>0</v>
      </c>
      <c r="Y849" s="69">
        <f>SUMIFS([0]!Chavez,[0]!Centro,B851,[0]!Turno,Y$818)</f>
        <v>0</v>
      </c>
    </row>
    <row r="850" spans="2:25" ht="15" customHeight="1" x14ac:dyDescent="0.2">
      <c r="B850" s="250"/>
      <c r="C850" s="92">
        <f>E850/SUM(E849:E851)</f>
        <v>0.46169354838709675</v>
      </c>
      <c r="D850" s="61" t="s">
        <v>1</v>
      </c>
      <c r="E850" s="62">
        <f t="shared" si="2189"/>
        <v>229</v>
      </c>
      <c r="F850" s="62">
        <f>SUMIFS([0]!Capriles,[0]!Centro,B851,[0]!Turno,F$818)</f>
        <v>34</v>
      </c>
      <c r="G850" s="62">
        <f>SUMIFS([0]!Capriles,[0]!Centro,B851,[0]!Turno,G$818)</f>
        <v>33</v>
      </c>
      <c r="H850" s="62">
        <f>SUMIFS([0]!Capriles,[0]!Centro,B851,[0]!Turno,H$818)</f>
        <v>15</v>
      </c>
      <c r="I850" s="62">
        <f>SUMIFS([0]!Capriles,[0]!Centro,B851,[0]!Turno,I$818)</f>
        <v>32</v>
      </c>
      <c r="J850" s="62">
        <f>SUMIFS([0]!Capriles,[0]!Centro,B851,[0]!Turno,J$818)</f>
        <v>13</v>
      </c>
      <c r="K850" s="62">
        <f>SUMIFS([0]!Capriles,[0]!Centro,B851,[0]!Turno,K$818)</f>
        <v>0</v>
      </c>
      <c r="L850" s="62">
        <f>SUMIFS([0]!Capriles,[0]!Centro,B851,[0]!Turno,L$818)</f>
        <v>59</v>
      </c>
      <c r="M850" s="62">
        <f>SUMIFS([0]!Capriles,[0]!Centro,B851,[0]!Turno,M$818)</f>
        <v>43</v>
      </c>
      <c r="N850" s="62">
        <f>SUMIFS([0]!Capriles,[0]!Centro,B851,[0]!Turno,N$818)</f>
        <v>0</v>
      </c>
      <c r="O850" s="62">
        <f>SUMIFS([0]!Capriles,[0]!Centro,B851,[0]!Turno,O$818)</f>
        <v>0</v>
      </c>
      <c r="P850" s="62">
        <f>SUMIFS([0]!Capriles,[0]!Centro,B851,[0]!Turno,P$818)</f>
        <v>0</v>
      </c>
      <c r="Q850" s="62">
        <f>SUMIFS([0]!Capriles,[0]!Centro,B851,[0]!Turno,Q$818)</f>
        <v>0</v>
      </c>
      <c r="R850" s="62">
        <f>SUMIFS([0]!Capriles,[0]!Centro,B851,[0]!Turno,R$818)</f>
        <v>0</v>
      </c>
      <c r="S850" s="62">
        <f>SUMIFS([0]!Capriles,[0]!Centro,B851,[0]!Turno,S$818)</f>
        <v>0</v>
      </c>
      <c r="T850" s="62">
        <f>SUMIFS([0]!Capriles,[0]!Centro,B851,[0]!Turno,T$818)</f>
        <v>0</v>
      </c>
      <c r="U850" s="62">
        <f>SUMIFS([0]!Capriles,[0]!Centro,B851,[0]!Turno,U$818)</f>
        <v>0</v>
      </c>
      <c r="V850" s="62">
        <f>SUMIFS([0]!Capriles,[0]!Centro,B851,[0]!Turno,V$818)</f>
        <v>0</v>
      </c>
      <c r="W850" s="62">
        <f>SUMIFS([0]!Capriles,[0]!Centro,B851,[0]!Turno,W$818)</f>
        <v>0</v>
      </c>
      <c r="X850" s="62">
        <f>SUMIFS([0]!Capriles,[0]!Centro,B851,[0]!Turno,X$818)</f>
        <v>0</v>
      </c>
      <c r="Y850" s="70">
        <f>SUMIFS([0]!Capriles,[0]!Centro,B851,[0]!Turno,Y$818)</f>
        <v>0</v>
      </c>
    </row>
    <row r="851" spans="2:25" ht="15" customHeight="1" thickBot="1" x14ac:dyDescent="0.25">
      <c r="B851" s="251">
        <v>118</v>
      </c>
      <c r="C851" s="100">
        <f>E851/SUM(E849:E851)</f>
        <v>2.2177419354838711E-2</v>
      </c>
      <c r="D851" s="71" t="s">
        <v>2</v>
      </c>
      <c r="E851" s="72">
        <f t="shared" si="2189"/>
        <v>11</v>
      </c>
      <c r="F851" s="72">
        <f>SUMIFS([0]!Otro,[0]!Centro,B851,[0]!Turno,F$818)</f>
        <v>1</v>
      </c>
      <c r="G851" s="72">
        <f>SUMIFS([0]!Otro,[0]!Centro,B851,[0]!Turno,G$818)</f>
        <v>1</v>
      </c>
      <c r="H851" s="72">
        <f>SUMIFS([0]!Otro,[0]!Centro,B851,[0]!Turno,H$818)</f>
        <v>2</v>
      </c>
      <c r="I851" s="72">
        <f>SUMIFS([0]!Otro,[0]!Centro,B851,[0]!Turno,I$818)</f>
        <v>4</v>
      </c>
      <c r="J851" s="72">
        <f>SUMIFS([0]!Otro,[0]!Centro,B851,[0]!Turno,J$818)</f>
        <v>1</v>
      </c>
      <c r="K851" s="72">
        <f>SUMIFS([0]!Otro,[0]!Centro,B851,[0]!Turno,K$818)</f>
        <v>0</v>
      </c>
      <c r="L851" s="72">
        <f>SUMIFS([0]!Otro,[0]!Centro,B851,[0]!Turno,L$818)</f>
        <v>0</v>
      </c>
      <c r="M851" s="72">
        <f>SUMIFS([0]!Otro,[0]!Centro,B851,[0]!Turno,M$818)</f>
        <v>2</v>
      </c>
      <c r="N851" s="72">
        <f>SUMIFS([0]!Otro,[0]!Centro,B851,[0]!Turno,N$818)</f>
        <v>0</v>
      </c>
      <c r="O851" s="72">
        <f>SUMIFS([0]!Otro,[0]!Centro,B851,[0]!Turno,O$818)</f>
        <v>0</v>
      </c>
      <c r="P851" s="72">
        <f>SUMIFS([0]!Otro,[0]!Centro,B851,[0]!Turno,P$818)</f>
        <v>0</v>
      </c>
      <c r="Q851" s="72">
        <f>SUMIFS([0]!Otro,[0]!Centro,B851,[0]!Turno,Q$818)</f>
        <v>0</v>
      </c>
      <c r="R851" s="72">
        <f>SUMIFS([0]!Otro,[0]!Centro,B851,[0]!Turno,R$818)</f>
        <v>0</v>
      </c>
      <c r="S851" s="72">
        <f>SUMIFS([0]!Otro,[0]!Centro,B851,[0]!Turno,S$818)</f>
        <v>0</v>
      </c>
      <c r="T851" s="72">
        <f>SUMIFS([0]!Otro,[0]!Centro,B851,[0]!Turno,T$818)</f>
        <v>0</v>
      </c>
      <c r="U851" s="72">
        <f>SUMIFS([0]!Otro,[0]!Centro,B851,[0]!Turno,U$818)</f>
        <v>0</v>
      </c>
      <c r="V851" s="72">
        <f>SUMIFS([0]!Otro,[0]!Centro,B851,[0]!Turno,V$818)</f>
        <v>0</v>
      </c>
      <c r="W851" s="72">
        <f>SUMIFS([0]!Otro,[0]!Centro,B851,[0]!Turno,W$818)</f>
        <v>0</v>
      </c>
      <c r="X851" s="72">
        <f>SUMIFS([0]!Otro,[0]!Centro,B851,[0]!Turno,X$818)</f>
        <v>0</v>
      </c>
      <c r="Y851" s="73">
        <f>SUMIFS([0]!Otro,[0]!Centro,B851,[0]!Turno,Y$818)</f>
        <v>0</v>
      </c>
    </row>
    <row r="852" spans="2:25" ht="15" customHeight="1" x14ac:dyDescent="0.2">
      <c r="B852" s="251"/>
      <c r="C852" s="94">
        <f>E852/SUM(E852:E854)</f>
        <v>0.5161290322580645</v>
      </c>
      <c r="D852" s="63" t="s">
        <v>0</v>
      </c>
      <c r="E852" s="150">
        <f>IF((E849+E850+E851)=0,0,(E849*$B853)/(E849+E850+E851))</f>
        <v>0.27607885768124024</v>
      </c>
      <c r="F852" s="150">
        <f>IF((F849+F850+F851)=0,0,(F849*$B853)/(F849+F850+F851))</f>
        <v>0.23294153616854646</v>
      </c>
      <c r="G852" s="150">
        <f t="shared" ref="G852:Y852" si="2214">IF((G849+G850+G851)=0,0,(G849*$B853)/(G849+G850+G851))</f>
        <v>0.29560417162909114</v>
      </c>
      <c r="H852" s="150">
        <f t="shared" si="2214"/>
        <v>0.34545804978082278</v>
      </c>
      <c r="I852" s="150">
        <f t="shared" si="2214"/>
        <v>0.2139611147029612</v>
      </c>
      <c r="J852" s="150">
        <f t="shared" si="2214"/>
        <v>0.3209416720544418</v>
      </c>
      <c r="K852" s="150">
        <f t="shared" si="2214"/>
        <v>0</v>
      </c>
      <c r="L852" s="150">
        <f t="shared" si="2214"/>
        <v>0.25058508929175638</v>
      </c>
      <c r="M852" s="150">
        <f t="shared" si="2214"/>
        <v>0.30345446556429595</v>
      </c>
      <c r="N852" s="150">
        <f t="shared" si="2214"/>
        <v>0</v>
      </c>
      <c r="O852" s="150">
        <f t="shared" si="2214"/>
        <v>0</v>
      </c>
      <c r="P852" s="150">
        <f t="shared" si="2214"/>
        <v>0</v>
      </c>
      <c r="Q852" s="150">
        <f t="shared" si="2214"/>
        <v>0</v>
      </c>
      <c r="R852" s="150">
        <f t="shared" si="2214"/>
        <v>0</v>
      </c>
      <c r="S852" s="150">
        <f t="shared" si="2214"/>
        <v>0</v>
      </c>
      <c r="T852" s="150">
        <f t="shared" si="2214"/>
        <v>0</v>
      </c>
      <c r="U852" s="150">
        <f t="shared" si="2214"/>
        <v>0</v>
      </c>
      <c r="V852" s="150">
        <f t="shared" si="2214"/>
        <v>0</v>
      </c>
      <c r="W852" s="150">
        <f t="shared" si="2214"/>
        <v>0</v>
      </c>
      <c r="X852" s="150">
        <f t="shared" si="2214"/>
        <v>0</v>
      </c>
      <c r="Y852" s="163">
        <f t="shared" si="2214"/>
        <v>0</v>
      </c>
    </row>
    <row r="853" spans="2:25" ht="15" customHeight="1" x14ac:dyDescent="0.2">
      <c r="B853" s="252">
        <v>0.53490278675740299</v>
      </c>
      <c r="C853" s="92">
        <f>E853/SUM(E852:E854)</f>
        <v>0.46169354838709675</v>
      </c>
      <c r="D853" s="61" t="s">
        <v>1</v>
      </c>
      <c r="E853" s="154">
        <f>IF((E849+E850+E851)=0,0,(E850*$B853)/(E849+E850+E851))</f>
        <v>0.24696116566017193</v>
      </c>
      <c r="F853" s="154">
        <f>IF((F849+F850+F851)=0,0,(F850*$B853)/(F849+F850+F851))</f>
        <v>0.29333378628631779</v>
      </c>
      <c r="G853" s="154">
        <f t="shared" ref="G853:O853" si="2215">IF((G849+G850+G851)=0,0,(G850*$B853)/(G849+G850+G851))</f>
        <v>0.23226042056571447</v>
      </c>
      <c r="H853" s="154">
        <f t="shared" si="2215"/>
        <v>0.16715712086168844</v>
      </c>
      <c r="I853" s="154">
        <f t="shared" si="2215"/>
        <v>0.28528148627061495</v>
      </c>
      <c r="J853" s="154">
        <f t="shared" si="2215"/>
        <v>0.19867817793846396</v>
      </c>
      <c r="K853" s="154">
        <f t="shared" si="2215"/>
        <v>0</v>
      </c>
      <c r="L853" s="154">
        <f t="shared" si="2215"/>
        <v>0.28431769746564661</v>
      </c>
      <c r="M853" s="154">
        <f t="shared" si="2215"/>
        <v>0.22116172914008009</v>
      </c>
      <c r="N853" s="154">
        <f t="shared" si="2215"/>
        <v>0</v>
      </c>
      <c r="O853" s="154">
        <f t="shared" si="2215"/>
        <v>0</v>
      </c>
      <c r="P853" s="154">
        <f>IF((P849+P850+P851)=0,0,(P850*$B853)/(P849+P850+P851))</f>
        <v>0</v>
      </c>
      <c r="Q853" s="154">
        <f t="shared" ref="Q853:Y853" si="2216">IF((Q849+Q850+Q851)=0,0,(Q850*$B853)/(Q849+Q850+Q851))</f>
        <v>0</v>
      </c>
      <c r="R853" s="154">
        <f t="shared" si="2216"/>
        <v>0</v>
      </c>
      <c r="S853" s="154">
        <f t="shared" si="2216"/>
        <v>0</v>
      </c>
      <c r="T853" s="154">
        <f t="shared" si="2216"/>
        <v>0</v>
      </c>
      <c r="U853" s="154">
        <f t="shared" si="2216"/>
        <v>0</v>
      </c>
      <c r="V853" s="154">
        <f t="shared" si="2216"/>
        <v>0</v>
      </c>
      <c r="W853" s="154">
        <f t="shared" si="2216"/>
        <v>0</v>
      </c>
      <c r="X853" s="154">
        <f t="shared" si="2216"/>
        <v>0</v>
      </c>
      <c r="Y853" s="159">
        <f t="shared" si="2216"/>
        <v>0</v>
      </c>
    </row>
    <row r="854" spans="2:25" ht="15" customHeight="1" thickBot="1" x14ac:dyDescent="0.25">
      <c r="B854" s="253"/>
      <c r="C854" s="93">
        <f>E854/SUM(E852:E854)</f>
        <v>2.2177419354838711E-2</v>
      </c>
      <c r="D854" s="75" t="s">
        <v>2</v>
      </c>
      <c r="E854" s="155">
        <f>IF((E849+E850+E851)=0,0,(E851*$B853)/(E849+E850+E851))</f>
        <v>1.1862763415990792E-2</v>
      </c>
      <c r="F854" s="155">
        <f>IF((F849+F850+F851)=0,0,(F851*$B853)/(F849+F850+F851))</f>
        <v>8.6274643025387576E-3</v>
      </c>
      <c r="G854" s="155">
        <f t="shared" ref="G854:Y854" si="2217">IF((G849+G850+G851)=0,0,(G851*$B853)/(G849+G850+G851))</f>
        <v>7.0381945625974081E-3</v>
      </c>
      <c r="H854" s="155">
        <f t="shared" si="2217"/>
        <v>2.228761611489179E-2</v>
      </c>
      <c r="I854" s="155">
        <f t="shared" si="2217"/>
        <v>3.5660185783826868E-2</v>
      </c>
      <c r="J854" s="155">
        <f t="shared" si="2217"/>
        <v>1.5282936764497228E-2</v>
      </c>
      <c r="K854" s="155">
        <f t="shared" si="2217"/>
        <v>0</v>
      </c>
      <c r="L854" s="155">
        <f t="shared" si="2217"/>
        <v>0</v>
      </c>
      <c r="M854" s="155">
        <f t="shared" si="2217"/>
        <v>1.0286592053026981E-2</v>
      </c>
      <c r="N854" s="155">
        <f t="shared" si="2217"/>
        <v>0</v>
      </c>
      <c r="O854" s="155">
        <f t="shared" si="2217"/>
        <v>0</v>
      </c>
      <c r="P854" s="155">
        <f t="shared" si="2217"/>
        <v>0</v>
      </c>
      <c r="Q854" s="155">
        <f t="shared" si="2217"/>
        <v>0</v>
      </c>
      <c r="R854" s="155">
        <f t="shared" si="2217"/>
        <v>0</v>
      </c>
      <c r="S854" s="155">
        <f t="shared" si="2217"/>
        <v>0</v>
      </c>
      <c r="T854" s="155">
        <f t="shared" si="2217"/>
        <v>0</v>
      </c>
      <c r="U854" s="155">
        <f t="shared" si="2217"/>
        <v>0</v>
      </c>
      <c r="V854" s="155">
        <f t="shared" si="2217"/>
        <v>0</v>
      </c>
      <c r="W854" s="155">
        <f t="shared" si="2217"/>
        <v>0</v>
      </c>
      <c r="X854" s="155">
        <f t="shared" si="2217"/>
        <v>0</v>
      </c>
      <c r="Y854" s="160">
        <f t="shared" si="2217"/>
        <v>0</v>
      </c>
    </row>
    <row r="855" spans="2:25" ht="15" customHeight="1" thickBot="1" x14ac:dyDescent="0.25">
      <c r="B855" s="18" t="s">
        <v>3</v>
      </c>
      <c r="C855" s="24" t="s">
        <v>226</v>
      </c>
      <c r="D855" s="25" t="s">
        <v>4</v>
      </c>
      <c r="E855" s="18" t="s">
        <v>225</v>
      </c>
      <c r="F855" s="19">
        <v>1</v>
      </c>
      <c r="G855" s="19">
        <v>2</v>
      </c>
      <c r="H855" s="19">
        <v>3</v>
      </c>
      <c r="I855" s="19">
        <v>4</v>
      </c>
      <c r="J855" s="19">
        <v>5</v>
      </c>
      <c r="K855" s="19">
        <v>6</v>
      </c>
      <c r="L855" s="19">
        <v>7</v>
      </c>
      <c r="M855" s="19">
        <v>8</v>
      </c>
      <c r="N855" s="19">
        <v>9</v>
      </c>
      <c r="O855" s="19">
        <v>10</v>
      </c>
      <c r="P855" s="19">
        <v>11</v>
      </c>
      <c r="Q855" s="19">
        <v>12</v>
      </c>
      <c r="R855" s="19">
        <v>13</v>
      </c>
      <c r="S855" s="19">
        <v>14</v>
      </c>
      <c r="T855" s="19">
        <v>15</v>
      </c>
      <c r="U855" s="19">
        <v>16</v>
      </c>
      <c r="V855" s="19">
        <v>17</v>
      </c>
      <c r="W855" s="19">
        <v>18</v>
      </c>
      <c r="X855" s="19">
        <v>19</v>
      </c>
      <c r="Y855" s="19">
        <v>20</v>
      </c>
    </row>
    <row r="856" spans="2:25" ht="15" customHeight="1" x14ac:dyDescent="0.2">
      <c r="B856" s="246" t="s">
        <v>141</v>
      </c>
      <c r="C856" s="95">
        <f>E856/SUM(E856:E858)</f>
        <v>0.32476802284082795</v>
      </c>
      <c r="D856" s="81" t="s">
        <v>0</v>
      </c>
      <c r="E856" s="82">
        <f>SUM(F856:Y856)</f>
        <v>455</v>
      </c>
      <c r="F856" s="82">
        <f t="shared" ref="F856:Y856" si="2218">SUM(F862,F868,F874,F880,F886,F892,F898)</f>
        <v>90</v>
      </c>
      <c r="G856" s="82">
        <f t="shared" si="2218"/>
        <v>57</v>
      </c>
      <c r="H856" s="82">
        <f t="shared" si="2218"/>
        <v>97</v>
      </c>
      <c r="I856" s="82">
        <f t="shared" si="2218"/>
        <v>64</v>
      </c>
      <c r="J856" s="82">
        <f t="shared" si="2218"/>
        <v>33</v>
      </c>
      <c r="K856" s="82">
        <f t="shared" si="2218"/>
        <v>5</v>
      </c>
      <c r="L856" s="82">
        <f t="shared" si="2218"/>
        <v>81</v>
      </c>
      <c r="M856" s="82">
        <f t="shared" si="2218"/>
        <v>28</v>
      </c>
      <c r="N856" s="82">
        <f t="shared" si="2218"/>
        <v>0</v>
      </c>
      <c r="O856" s="82">
        <f t="shared" si="2218"/>
        <v>0</v>
      </c>
      <c r="P856" s="82">
        <f t="shared" si="2218"/>
        <v>0</v>
      </c>
      <c r="Q856" s="82">
        <f t="shared" si="2218"/>
        <v>0</v>
      </c>
      <c r="R856" s="82">
        <f t="shared" si="2218"/>
        <v>0</v>
      </c>
      <c r="S856" s="82">
        <f t="shared" si="2218"/>
        <v>0</v>
      </c>
      <c r="T856" s="82">
        <f t="shared" ref="T856:T861" si="2219">SUM(T862,T868,T874,T880,T886,T892,T898)</f>
        <v>0</v>
      </c>
      <c r="U856" s="82">
        <f t="shared" si="2218"/>
        <v>0</v>
      </c>
      <c r="V856" s="82">
        <f t="shared" si="2218"/>
        <v>0</v>
      </c>
      <c r="W856" s="82">
        <f t="shared" si="2218"/>
        <v>0</v>
      </c>
      <c r="X856" s="82">
        <f t="shared" si="2218"/>
        <v>0</v>
      </c>
      <c r="Y856" s="83">
        <f t="shared" si="2218"/>
        <v>0</v>
      </c>
    </row>
    <row r="857" spans="2:25" ht="15" customHeight="1" x14ac:dyDescent="0.2">
      <c r="B857" s="247"/>
      <c r="C857" s="96">
        <f>E857/SUM(E856:E858)</f>
        <v>0.65881513204853681</v>
      </c>
      <c r="D857" s="79" t="s">
        <v>1</v>
      </c>
      <c r="E857" s="80">
        <f t="shared" ref="E857:E900" si="2220">SUM(F857:Y857)</f>
        <v>923</v>
      </c>
      <c r="F857" s="80">
        <f t="shared" ref="F857:Y857" si="2221">SUM(F863,F869,F875,F881,F887,F893,F899)</f>
        <v>137</v>
      </c>
      <c r="G857" s="80">
        <f t="shared" si="2221"/>
        <v>158</v>
      </c>
      <c r="H857" s="80">
        <f t="shared" si="2221"/>
        <v>164</v>
      </c>
      <c r="I857" s="80">
        <f t="shared" si="2221"/>
        <v>147</v>
      </c>
      <c r="J857" s="80">
        <f t="shared" si="2221"/>
        <v>76</v>
      </c>
      <c r="K857" s="80">
        <f t="shared" si="2221"/>
        <v>11</v>
      </c>
      <c r="L857" s="80">
        <f t="shared" si="2221"/>
        <v>166</v>
      </c>
      <c r="M857" s="80">
        <f t="shared" si="2221"/>
        <v>64</v>
      </c>
      <c r="N857" s="80">
        <f t="shared" si="2221"/>
        <v>0</v>
      </c>
      <c r="O857" s="80">
        <f t="shared" si="2221"/>
        <v>0</v>
      </c>
      <c r="P857" s="80">
        <f t="shared" si="2221"/>
        <v>0</v>
      </c>
      <c r="Q857" s="80">
        <f t="shared" si="2221"/>
        <v>0</v>
      </c>
      <c r="R857" s="80">
        <f t="shared" si="2221"/>
        <v>0</v>
      </c>
      <c r="S857" s="80">
        <f t="shared" si="2221"/>
        <v>0</v>
      </c>
      <c r="T857" s="80">
        <f t="shared" si="2219"/>
        <v>0</v>
      </c>
      <c r="U857" s="80">
        <f t="shared" si="2221"/>
        <v>0</v>
      </c>
      <c r="V857" s="80">
        <f t="shared" si="2221"/>
        <v>0</v>
      </c>
      <c r="W857" s="80">
        <f t="shared" si="2221"/>
        <v>0</v>
      </c>
      <c r="X857" s="80">
        <f t="shared" si="2221"/>
        <v>0</v>
      </c>
      <c r="Y857" s="84">
        <f t="shared" si="2221"/>
        <v>0</v>
      </c>
    </row>
    <row r="858" spans="2:25" ht="15" customHeight="1" thickBot="1" x14ac:dyDescent="0.25">
      <c r="B858" s="247"/>
      <c r="C858" s="97">
        <f>E858/SUM(E856:E858)</f>
        <v>1.6416845110635261E-2</v>
      </c>
      <c r="D858" s="86" t="s">
        <v>2</v>
      </c>
      <c r="E858" s="87">
        <f t="shared" si="2220"/>
        <v>23</v>
      </c>
      <c r="F858" s="87">
        <f t="shared" ref="F858:Y858" si="2222">SUM(F864,F870,F876,F882,F888,F894,F900)</f>
        <v>2</v>
      </c>
      <c r="G858" s="87">
        <f t="shared" si="2222"/>
        <v>3</v>
      </c>
      <c r="H858" s="87">
        <f t="shared" si="2222"/>
        <v>8</v>
      </c>
      <c r="I858" s="87">
        <f t="shared" si="2222"/>
        <v>3</v>
      </c>
      <c r="J858" s="87">
        <f t="shared" si="2222"/>
        <v>4</v>
      </c>
      <c r="K858" s="87">
        <f t="shared" si="2222"/>
        <v>0</v>
      </c>
      <c r="L858" s="87">
        <f t="shared" si="2222"/>
        <v>2</v>
      </c>
      <c r="M858" s="87">
        <f t="shared" si="2222"/>
        <v>1</v>
      </c>
      <c r="N858" s="87">
        <f t="shared" si="2222"/>
        <v>0</v>
      </c>
      <c r="O858" s="87">
        <f t="shared" si="2222"/>
        <v>0</v>
      </c>
      <c r="P858" s="87">
        <f t="shared" si="2222"/>
        <v>0</v>
      </c>
      <c r="Q858" s="87">
        <f t="shared" si="2222"/>
        <v>0</v>
      </c>
      <c r="R858" s="87">
        <f t="shared" si="2222"/>
        <v>0</v>
      </c>
      <c r="S858" s="87">
        <f t="shared" si="2222"/>
        <v>0</v>
      </c>
      <c r="T858" s="87">
        <f t="shared" si="2219"/>
        <v>0</v>
      </c>
      <c r="U858" s="87">
        <f t="shared" si="2222"/>
        <v>0</v>
      </c>
      <c r="V858" s="87">
        <f t="shared" si="2222"/>
        <v>0</v>
      </c>
      <c r="W858" s="87">
        <f t="shared" si="2222"/>
        <v>0</v>
      </c>
      <c r="X858" s="87">
        <f t="shared" si="2222"/>
        <v>0</v>
      </c>
      <c r="Y858" s="88">
        <f t="shared" si="2222"/>
        <v>0</v>
      </c>
    </row>
    <row r="859" spans="2:25" ht="15" customHeight="1" x14ac:dyDescent="0.2">
      <c r="B859" s="247"/>
      <c r="C859" s="98">
        <f>E859/SUM(E859:E861)</f>
        <v>0.31660272188067401</v>
      </c>
      <c r="D859" s="85" t="s">
        <v>0</v>
      </c>
      <c r="E859" s="151">
        <f t="shared" ref="E859" si="2223">SUM(E865,E871,E877,E883,E889,E895,E901)</f>
        <v>0.31660272188067429</v>
      </c>
      <c r="F859" s="151">
        <f t="shared" ref="F859:Y859" si="2224">SUM(F865,F871,F877,F883,F889,F895,F901)</f>
        <v>0.3492183634177255</v>
      </c>
      <c r="G859" s="151">
        <f t="shared" si="2224"/>
        <v>0.22742758080328407</v>
      </c>
      <c r="H859" s="151">
        <f t="shared" si="2224"/>
        <v>0.32334655244658972</v>
      </c>
      <c r="I859" s="151">
        <f t="shared" si="2224"/>
        <v>0.20404454325567545</v>
      </c>
      <c r="J859" s="151">
        <f t="shared" si="2224"/>
        <v>0.2744530999748131</v>
      </c>
      <c r="K859" s="151">
        <f t="shared" si="2224"/>
        <v>2.3391864549173091E-2</v>
      </c>
      <c r="L859" s="151">
        <f t="shared" si="2224"/>
        <v>0.33787008174986488</v>
      </c>
      <c r="M859" s="151">
        <f t="shared" si="2224"/>
        <v>9.0689863514334335E-2</v>
      </c>
      <c r="N859" s="151">
        <f t="shared" si="2224"/>
        <v>0</v>
      </c>
      <c r="O859" s="151">
        <f t="shared" si="2224"/>
        <v>0</v>
      </c>
      <c r="P859" s="151">
        <f t="shared" si="2224"/>
        <v>0</v>
      </c>
      <c r="Q859" s="151">
        <f t="shared" si="2224"/>
        <v>0</v>
      </c>
      <c r="R859" s="151">
        <f t="shared" si="2224"/>
        <v>0</v>
      </c>
      <c r="S859" s="151">
        <f t="shared" si="2224"/>
        <v>0</v>
      </c>
      <c r="T859" s="151">
        <f t="shared" si="2219"/>
        <v>0</v>
      </c>
      <c r="U859" s="151">
        <f t="shared" si="2224"/>
        <v>0</v>
      </c>
      <c r="V859" s="151">
        <f t="shared" si="2224"/>
        <v>0</v>
      </c>
      <c r="W859" s="151">
        <f t="shared" si="2224"/>
        <v>0</v>
      </c>
      <c r="X859" s="151">
        <f t="shared" si="2224"/>
        <v>0</v>
      </c>
      <c r="Y859" s="156">
        <f t="shared" si="2224"/>
        <v>0</v>
      </c>
    </row>
    <row r="860" spans="2:25" ht="15" customHeight="1" x14ac:dyDescent="0.2">
      <c r="B860" s="247"/>
      <c r="C860" s="96">
        <f>E860/SUM(E859:E861)</f>
        <v>0.66238458370313902</v>
      </c>
      <c r="D860" s="79" t="s">
        <v>1</v>
      </c>
      <c r="E860" s="152">
        <f t="shared" ref="E860" si="2225">SUM(E866,E872,E878,E884,E890,E896,E902)</f>
        <v>0.66238458370313957</v>
      </c>
      <c r="F860" s="152">
        <f t="shared" ref="F860:Y860" si="2226">SUM(F866,F872,F878,F884,F890,F896,F902)</f>
        <v>0.56833642641680893</v>
      </c>
      <c r="G860" s="152">
        <f t="shared" si="2226"/>
        <v>0.64516658131419291</v>
      </c>
      <c r="H860" s="152">
        <f t="shared" si="2226"/>
        <v>0.56764608907533998</v>
      </c>
      <c r="I860" s="152">
        <f t="shared" si="2226"/>
        <v>0.66747446067281535</v>
      </c>
      <c r="J860" s="152">
        <f t="shared" si="2226"/>
        <v>0.48998502738672856</v>
      </c>
      <c r="K860" s="152">
        <f t="shared" si="2226"/>
        <v>5.1462102008180799E-2</v>
      </c>
      <c r="L860" s="152">
        <f t="shared" si="2226"/>
        <v>0.65215062892563225</v>
      </c>
      <c r="M860" s="152">
        <f t="shared" si="2226"/>
        <v>0.22633153254250288</v>
      </c>
      <c r="N860" s="152">
        <f t="shared" si="2226"/>
        <v>0</v>
      </c>
      <c r="O860" s="152">
        <f t="shared" si="2226"/>
        <v>0</v>
      </c>
      <c r="P860" s="152">
        <f t="shared" si="2226"/>
        <v>0</v>
      </c>
      <c r="Q860" s="152">
        <f t="shared" si="2226"/>
        <v>0</v>
      </c>
      <c r="R860" s="152">
        <f t="shared" si="2226"/>
        <v>0</v>
      </c>
      <c r="S860" s="152">
        <f t="shared" si="2226"/>
        <v>0</v>
      </c>
      <c r="T860" s="152">
        <f t="shared" si="2219"/>
        <v>0</v>
      </c>
      <c r="U860" s="152">
        <f t="shared" si="2226"/>
        <v>0</v>
      </c>
      <c r="V860" s="152">
        <f t="shared" si="2226"/>
        <v>0</v>
      </c>
      <c r="W860" s="152">
        <f t="shared" si="2226"/>
        <v>0</v>
      </c>
      <c r="X860" s="152">
        <f t="shared" si="2226"/>
        <v>0</v>
      </c>
      <c r="Y860" s="157">
        <f t="shared" si="2226"/>
        <v>0</v>
      </c>
    </row>
    <row r="861" spans="2:25" ht="15" customHeight="1" thickBot="1" x14ac:dyDescent="0.25">
      <c r="B861" s="248"/>
      <c r="C861" s="99">
        <f>E861/SUM(E859:E861)</f>
        <v>2.1012694416187017E-2</v>
      </c>
      <c r="D861" s="89" t="s">
        <v>2</v>
      </c>
      <c r="E861" s="153">
        <f t="shared" ref="E861" si="2227">SUM(E867,E873,E879,E885,E891,E897,E903)</f>
        <v>2.1012694416187035E-2</v>
      </c>
      <c r="F861" s="153">
        <f t="shared" ref="F861:Y861" si="2228">SUM(F867,F873,F879,F885,F891,F897,F903)</f>
        <v>1.15090365016023E-2</v>
      </c>
      <c r="G861" s="153">
        <f t="shared" si="2228"/>
        <v>1.2315472866500881E-2</v>
      </c>
      <c r="H861" s="153">
        <f t="shared" si="2228"/>
        <v>3.4153391920717355E-2</v>
      </c>
      <c r="I861" s="153">
        <f t="shared" si="2228"/>
        <v>1.3390631055487098E-2</v>
      </c>
      <c r="J861" s="153">
        <f t="shared" si="2228"/>
        <v>5.1381936978433476E-2</v>
      </c>
      <c r="K861" s="153">
        <f t="shared" si="2228"/>
        <v>0</v>
      </c>
      <c r="L861" s="153">
        <f t="shared" si="2228"/>
        <v>9.979289324503671E-3</v>
      </c>
      <c r="M861" s="153">
        <f t="shared" si="2228"/>
        <v>3.7426983278676948E-3</v>
      </c>
      <c r="N861" s="153">
        <f t="shared" si="2228"/>
        <v>0</v>
      </c>
      <c r="O861" s="153">
        <f t="shared" si="2228"/>
        <v>0</v>
      </c>
      <c r="P861" s="153">
        <f t="shared" si="2228"/>
        <v>0</v>
      </c>
      <c r="Q861" s="153">
        <f t="shared" si="2228"/>
        <v>0</v>
      </c>
      <c r="R861" s="153">
        <f t="shared" si="2228"/>
        <v>0</v>
      </c>
      <c r="S861" s="153">
        <f t="shared" si="2228"/>
        <v>0</v>
      </c>
      <c r="T861" s="153">
        <f t="shared" si="2219"/>
        <v>0</v>
      </c>
      <c r="U861" s="153">
        <f t="shared" si="2228"/>
        <v>0</v>
      </c>
      <c r="V861" s="153">
        <f t="shared" si="2228"/>
        <v>0</v>
      </c>
      <c r="W861" s="153">
        <f t="shared" si="2228"/>
        <v>0</v>
      </c>
      <c r="X861" s="153">
        <f t="shared" si="2228"/>
        <v>0</v>
      </c>
      <c r="Y861" s="158">
        <f t="shared" si="2228"/>
        <v>0</v>
      </c>
    </row>
    <row r="862" spans="2:25" ht="15" customHeight="1" x14ac:dyDescent="0.2">
      <c r="B862" s="249" t="s">
        <v>142</v>
      </c>
      <c r="C862" s="91">
        <f>E862/SUM(E862:E864)</f>
        <v>0.24705882352941178</v>
      </c>
      <c r="D862" s="67" t="s">
        <v>0</v>
      </c>
      <c r="E862" s="68">
        <f t="shared" si="2220"/>
        <v>42</v>
      </c>
      <c r="F862" s="68">
        <f>SUMIFS([0]!Chavez,[0]!Centro,B864,[0]!Turno,F$855)</f>
        <v>9</v>
      </c>
      <c r="G862" s="68">
        <f>SUMIFS([0]!Chavez,[0]!Centro,B864,[0]!Turno,G$855)</f>
        <v>8</v>
      </c>
      <c r="H862" s="68">
        <f>SUMIFS([0]!Chavez,[0]!Centro,B864,[0]!Turno,H$855)</f>
        <v>0</v>
      </c>
      <c r="I862" s="68">
        <f>SUMIFS([0]!Chavez,[0]!Centro,B864,[0]!Turno,I$855)</f>
        <v>3</v>
      </c>
      <c r="J862" s="68">
        <f>SUMIFS([0]!Chavez,[0]!Centro,B864,[0]!Turno,J$855)</f>
        <v>4</v>
      </c>
      <c r="K862" s="68">
        <f>SUMIFS([0]!Chavez,[0]!Centro,B864,[0]!Turno,K$855)</f>
        <v>5</v>
      </c>
      <c r="L862" s="68">
        <f>SUMIFS([0]!Chavez,[0]!Centro,B864,[0]!Turno,L$855)</f>
        <v>6</v>
      </c>
      <c r="M862" s="68">
        <f>SUMIFS([0]!Chavez,[0]!Centro,B864,[0]!Turno,M$855)</f>
        <v>7</v>
      </c>
      <c r="N862" s="68">
        <f>SUMIFS([0]!Chavez,[0]!Centro,B864,[0]!Turno,N$855)</f>
        <v>0</v>
      </c>
      <c r="O862" s="68">
        <f>SUMIFS([0]!Chavez,[0]!Centro,B864,[0]!Turno,O$855)</f>
        <v>0</v>
      </c>
      <c r="P862" s="68">
        <f>SUMIFS([0]!Chavez,[0]!Centro,B864,[0]!Turno,P$855)</f>
        <v>0</v>
      </c>
      <c r="Q862" s="68">
        <f>SUMIFS([0]!Chavez,[0]!Centro,B864,[0]!Turno,Q$855)</f>
        <v>0</v>
      </c>
      <c r="R862" s="68">
        <f>SUMIFS([0]!Chavez,[0]!Centro,B864,[0]!Turno,R$855)</f>
        <v>0</v>
      </c>
      <c r="S862" s="68">
        <f>SUMIFS([0]!Chavez,[0]!Centro,B864,[0]!Turno,S$855)</f>
        <v>0</v>
      </c>
      <c r="T862" s="68">
        <f>SUMIFS([0]!Chavez,[0]!Centro,B864,[0]!Turno,T$855)</f>
        <v>0</v>
      </c>
      <c r="U862" s="68">
        <f>SUMIFS([0]!Chavez,[0]!Centro,B864,[0]!Turno,U$855)</f>
        <v>0</v>
      </c>
      <c r="V862" s="68">
        <f>SUMIFS([0]!Chavez,[0]!Centro,B864,[0]!Turno,V$855)</f>
        <v>0</v>
      </c>
      <c r="W862" s="68">
        <f>SUMIFS([0]!Chavez,[0]!Centro,B864,[0]!Turno,W$855)</f>
        <v>0</v>
      </c>
      <c r="X862" s="68">
        <f>SUMIFS([0]!Chavez,[0]!Centro,B864,[0]!Turno,X$855)</f>
        <v>0</v>
      </c>
      <c r="Y862" s="69">
        <f>SUMIFS([0]!Chavez,[0]!Centro,B864,[0]!Turno,Y$855)</f>
        <v>0</v>
      </c>
    </row>
    <row r="863" spans="2:25" ht="15" customHeight="1" x14ac:dyDescent="0.2">
      <c r="B863" s="250"/>
      <c r="C863" s="92">
        <f>E863/SUM(E862:E864)</f>
        <v>0.73529411764705888</v>
      </c>
      <c r="D863" s="61" t="s">
        <v>1</v>
      </c>
      <c r="E863" s="62">
        <f t="shared" si="2220"/>
        <v>125</v>
      </c>
      <c r="F863" s="62">
        <f>SUMIFS([0]!Capriles,[0]!Centro,B864,[0]!Turno,F$855)</f>
        <v>29</v>
      </c>
      <c r="G863" s="62">
        <f>SUMIFS([0]!Capriles,[0]!Centro,B864,[0]!Turno,G$855)</f>
        <v>16</v>
      </c>
      <c r="H863" s="62">
        <f>SUMIFS([0]!Capriles,[0]!Centro,B864,[0]!Turno,H$855)</f>
        <v>0</v>
      </c>
      <c r="I863" s="62">
        <f>SUMIFS([0]!Capriles,[0]!Centro,B864,[0]!Turno,I$855)</f>
        <v>25</v>
      </c>
      <c r="J863" s="62">
        <f>SUMIFS([0]!Capriles,[0]!Centro,B864,[0]!Turno,J$855)</f>
        <v>17</v>
      </c>
      <c r="K863" s="62">
        <f>SUMIFS([0]!Capriles,[0]!Centro,B864,[0]!Turno,K$855)</f>
        <v>11</v>
      </c>
      <c r="L863" s="62">
        <f>SUMIFS([0]!Capriles,[0]!Centro,B864,[0]!Turno,L$855)</f>
        <v>15</v>
      </c>
      <c r="M863" s="62">
        <f>SUMIFS([0]!Capriles,[0]!Centro,B864,[0]!Turno,M$855)</f>
        <v>12</v>
      </c>
      <c r="N863" s="62">
        <f>SUMIFS([0]!Capriles,[0]!Centro,B864,[0]!Turno,N$855)</f>
        <v>0</v>
      </c>
      <c r="O863" s="62">
        <f>SUMIFS([0]!Capriles,[0]!Centro,B864,[0]!Turno,O$855)</f>
        <v>0</v>
      </c>
      <c r="P863" s="62">
        <f>SUMIFS([0]!Capriles,[0]!Centro,B864,[0]!Turno,P$855)</f>
        <v>0</v>
      </c>
      <c r="Q863" s="62">
        <f>SUMIFS([0]!Capriles,[0]!Centro,B864,[0]!Turno,Q$855)</f>
        <v>0</v>
      </c>
      <c r="R863" s="62">
        <f>SUMIFS([0]!Capriles,[0]!Centro,B864,[0]!Turno,R$855)</f>
        <v>0</v>
      </c>
      <c r="S863" s="62">
        <f>SUMIFS([0]!Capriles,[0]!Centro,B864,[0]!Turno,S$855)</f>
        <v>0</v>
      </c>
      <c r="T863" s="62">
        <f>SUMIFS([0]!Capriles,[0]!Centro,B864,[0]!Turno,T$855)</f>
        <v>0</v>
      </c>
      <c r="U863" s="62">
        <f>SUMIFS([0]!Capriles,[0]!Centro,B864,[0]!Turno,U$855)</f>
        <v>0</v>
      </c>
      <c r="V863" s="62">
        <f>SUMIFS([0]!Capriles,[0]!Centro,B864,[0]!Turno,V$855)</f>
        <v>0</v>
      </c>
      <c r="W863" s="62">
        <f>SUMIFS([0]!Capriles,[0]!Centro,B864,[0]!Turno,W$855)</f>
        <v>0</v>
      </c>
      <c r="X863" s="62">
        <f>SUMIFS([0]!Capriles,[0]!Centro,B864,[0]!Turno,X$855)</f>
        <v>0</v>
      </c>
      <c r="Y863" s="70">
        <f>SUMIFS([0]!Capriles,[0]!Centro,B864,[0]!Turno,Y$855)</f>
        <v>0</v>
      </c>
    </row>
    <row r="864" spans="2:25" ht="15" customHeight="1" thickBot="1" x14ac:dyDescent="0.25">
      <c r="B864" s="251">
        <v>119</v>
      </c>
      <c r="C864" s="100">
        <f>E864/SUM(E862:E864)</f>
        <v>1.7647058823529412E-2</v>
      </c>
      <c r="D864" s="71" t="s">
        <v>2</v>
      </c>
      <c r="E864" s="72">
        <f t="shared" si="2220"/>
        <v>3</v>
      </c>
      <c r="F864" s="72">
        <f>SUMIFS([0]!Otro,[0]!Centro,B864,[0]!Turno,F$855)</f>
        <v>0</v>
      </c>
      <c r="G864" s="72">
        <f>SUMIFS([0]!Otro,[0]!Centro,B864,[0]!Turno,G$855)</f>
        <v>1</v>
      </c>
      <c r="H864" s="72">
        <f>SUMIFS([0]!Otro,[0]!Centro,B864,[0]!Turno,H$855)</f>
        <v>0</v>
      </c>
      <c r="I864" s="72">
        <f>SUMIFS([0]!Otro,[0]!Centro,B864,[0]!Turno,I$855)</f>
        <v>1</v>
      </c>
      <c r="J864" s="72">
        <f>SUMIFS([0]!Otro,[0]!Centro,B864,[0]!Turno,J$855)</f>
        <v>0</v>
      </c>
      <c r="K864" s="72">
        <f>SUMIFS([0]!Otro,[0]!Centro,B864,[0]!Turno,K$855)</f>
        <v>0</v>
      </c>
      <c r="L864" s="72">
        <f>SUMIFS([0]!Otro,[0]!Centro,B864,[0]!Turno,L$855)</f>
        <v>0</v>
      </c>
      <c r="M864" s="72">
        <f>SUMIFS([0]!Otro,[0]!Centro,B864,[0]!Turno,M$855)</f>
        <v>1</v>
      </c>
      <c r="N864" s="72">
        <f>SUMIFS([0]!Otro,[0]!Centro,B864,[0]!Turno,N$855)</f>
        <v>0</v>
      </c>
      <c r="O864" s="72">
        <f>SUMIFS([0]!Otro,[0]!Centro,B864,[0]!Turno,O$855)</f>
        <v>0</v>
      </c>
      <c r="P864" s="72">
        <f>SUMIFS([0]!Otro,[0]!Centro,B864,[0]!Turno,P$855)</f>
        <v>0</v>
      </c>
      <c r="Q864" s="72">
        <f>SUMIFS([0]!Otro,[0]!Centro,B864,[0]!Turno,Q$855)</f>
        <v>0</v>
      </c>
      <c r="R864" s="72">
        <f>SUMIFS([0]!Otro,[0]!Centro,B864,[0]!Turno,R$855)</f>
        <v>0</v>
      </c>
      <c r="S864" s="72">
        <f>SUMIFS([0]!Otro,[0]!Centro,B864,[0]!Turno,S$855)</f>
        <v>0</v>
      </c>
      <c r="T864" s="72">
        <f>SUMIFS([0]!Otro,[0]!Centro,B864,[0]!Turno,T$855)</f>
        <v>0</v>
      </c>
      <c r="U864" s="72">
        <f>SUMIFS([0]!Otro,[0]!Centro,B864,[0]!Turno,U$855)</f>
        <v>0</v>
      </c>
      <c r="V864" s="72">
        <f>SUMIFS([0]!Otro,[0]!Centro,B864,[0]!Turno,V$855)</f>
        <v>0</v>
      </c>
      <c r="W864" s="72">
        <f>SUMIFS([0]!Otro,[0]!Centro,B864,[0]!Turno,W$855)</f>
        <v>0</v>
      </c>
      <c r="X864" s="72">
        <f>SUMIFS([0]!Otro,[0]!Centro,B864,[0]!Turno,X$855)</f>
        <v>0</v>
      </c>
      <c r="Y864" s="73">
        <f>SUMIFS([0]!Otro,[0]!Centro,B864,[0]!Turno,Y$855)</f>
        <v>0</v>
      </c>
    </row>
    <row r="865" spans="2:25" ht="15" customHeight="1" x14ac:dyDescent="0.2">
      <c r="B865" s="251"/>
      <c r="C865" s="94">
        <f>E865/SUM(E865:E867)</f>
        <v>0.24705882352941178</v>
      </c>
      <c r="D865" s="63" t="s">
        <v>0</v>
      </c>
      <c r="E865" s="150">
        <f>IF((E862+E863+E864)=0,0,(E862*$B866)/(E862+E863+E864))</f>
        <v>1.8493332914169786E-2</v>
      </c>
      <c r="F865" s="150">
        <f>IF((F862+F863+F864)=0,0,(F862*$B866)/(F862+F863+F864))</f>
        <v>1.7728571026741712E-2</v>
      </c>
      <c r="G865" s="150">
        <f t="shared" ref="G865:Y865" si="2229">IF((G862+G863+G864)=0,0,(G862*$B866)/(G862+G863+G864))</f>
        <v>2.3953269298353244E-2</v>
      </c>
      <c r="H865" s="150">
        <f t="shared" si="2229"/>
        <v>0</v>
      </c>
      <c r="I865" s="150">
        <f t="shared" si="2229"/>
        <v>7.7435137817952306E-3</v>
      </c>
      <c r="J865" s="150">
        <f t="shared" si="2229"/>
        <v>1.4257898391876932E-2</v>
      </c>
      <c r="K865" s="150">
        <f t="shared" si="2229"/>
        <v>2.3391864549173091E-2</v>
      </c>
      <c r="L865" s="150">
        <f t="shared" si="2229"/>
        <v>2.1386847587815401E-2</v>
      </c>
      <c r="M865" s="150">
        <f t="shared" si="2229"/>
        <v>2.6198888295073865E-2</v>
      </c>
      <c r="N865" s="150">
        <f t="shared" si="2229"/>
        <v>0</v>
      </c>
      <c r="O865" s="150">
        <f t="shared" si="2229"/>
        <v>0</v>
      </c>
      <c r="P865" s="150">
        <f t="shared" si="2229"/>
        <v>0</v>
      </c>
      <c r="Q865" s="150">
        <f t="shared" si="2229"/>
        <v>0</v>
      </c>
      <c r="R865" s="150">
        <f t="shared" si="2229"/>
        <v>0</v>
      </c>
      <c r="S865" s="150">
        <f t="shared" si="2229"/>
        <v>0</v>
      </c>
      <c r="T865" s="150">
        <f t="shared" si="2229"/>
        <v>0</v>
      </c>
      <c r="U865" s="150">
        <f t="shared" si="2229"/>
        <v>0</v>
      </c>
      <c r="V865" s="150">
        <f t="shared" si="2229"/>
        <v>0</v>
      </c>
      <c r="W865" s="150">
        <f t="shared" si="2229"/>
        <v>0</v>
      </c>
      <c r="X865" s="150">
        <f t="shared" si="2229"/>
        <v>0</v>
      </c>
      <c r="Y865" s="163">
        <f t="shared" si="2229"/>
        <v>0</v>
      </c>
    </row>
    <row r="866" spans="2:25" ht="15" customHeight="1" x14ac:dyDescent="0.2">
      <c r="B866" s="252">
        <v>7.4853966557353893E-2</v>
      </c>
      <c r="C866" s="92">
        <f>E866/SUM(E865:E867)</f>
        <v>0.73529411764705888</v>
      </c>
      <c r="D866" s="61" t="s">
        <v>1</v>
      </c>
      <c r="E866" s="154">
        <f>IF((E862+E863+E864)=0,0,(E863*$B866)/(E862+E863+E864))</f>
        <v>5.5039681292171988E-2</v>
      </c>
      <c r="F866" s="154">
        <f>IF((F862+F863+F864)=0,0,(F863*$B866)/(F862+F863+F864))</f>
        <v>5.7125395530612182E-2</v>
      </c>
      <c r="G866" s="154">
        <f t="shared" ref="G866:O866" si="2230">IF((G862+G863+G864)=0,0,(G863*$B866)/(G862+G863+G864))</f>
        <v>4.7906538596706488E-2</v>
      </c>
      <c r="H866" s="154">
        <f t="shared" si="2230"/>
        <v>0</v>
      </c>
      <c r="I866" s="154">
        <f t="shared" si="2230"/>
        <v>6.4529281514960249E-2</v>
      </c>
      <c r="J866" s="154">
        <f t="shared" si="2230"/>
        <v>6.0596068165476968E-2</v>
      </c>
      <c r="K866" s="154">
        <f t="shared" si="2230"/>
        <v>5.1462102008180799E-2</v>
      </c>
      <c r="L866" s="154">
        <f t="shared" si="2230"/>
        <v>5.3467118969538492E-2</v>
      </c>
      <c r="M866" s="154">
        <f t="shared" si="2230"/>
        <v>4.4912379934412341E-2</v>
      </c>
      <c r="N866" s="154">
        <f t="shared" si="2230"/>
        <v>0</v>
      </c>
      <c r="O866" s="154">
        <f t="shared" si="2230"/>
        <v>0</v>
      </c>
      <c r="P866" s="154">
        <f>IF((P862+P863+P864)=0,0,(P863*$B866)/(P862+P863+P864))</f>
        <v>0</v>
      </c>
      <c r="Q866" s="154">
        <f t="shared" ref="Q866:Y866" si="2231">IF((Q862+Q863+Q864)=0,0,(Q863*$B866)/(Q862+Q863+Q864))</f>
        <v>0</v>
      </c>
      <c r="R866" s="154">
        <f t="shared" si="2231"/>
        <v>0</v>
      </c>
      <c r="S866" s="154">
        <f t="shared" si="2231"/>
        <v>0</v>
      </c>
      <c r="T866" s="154">
        <f t="shared" si="2231"/>
        <v>0</v>
      </c>
      <c r="U866" s="154">
        <f t="shared" si="2231"/>
        <v>0</v>
      </c>
      <c r="V866" s="154">
        <f t="shared" si="2231"/>
        <v>0</v>
      </c>
      <c r="W866" s="154">
        <f t="shared" si="2231"/>
        <v>0</v>
      </c>
      <c r="X866" s="154">
        <f t="shared" si="2231"/>
        <v>0</v>
      </c>
      <c r="Y866" s="159">
        <f t="shared" si="2231"/>
        <v>0</v>
      </c>
    </row>
    <row r="867" spans="2:25" ht="15" customHeight="1" thickBot="1" x14ac:dyDescent="0.25">
      <c r="B867" s="253"/>
      <c r="C867" s="93">
        <f>E867/SUM(E865:E867)</f>
        <v>1.7647058823529412E-2</v>
      </c>
      <c r="D867" s="75" t="s">
        <v>2</v>
      </c>
      <c r="E867" s="155">
        <f>IF((E862+E863+E864)=0,0,(E864*$B866)/(E862+E863+E864))</f>
        <v>1.3209523510121276E-3</v>
      </c>
      <c r="F867" s="155">
        <f>IF((F862+F863+F864)=0,0,(F864*$B866)/(F862+F863+F864))</f>
        <v>0</v>
      </c>
      <c r="G867" s="155">
        <f t="shared" ref="G867:Y867" si="2232">IF((G862+G863+G864)=0,0,(G864*$B866)/(G862+G863+G864))</f>
        <v>2.9941586622941555E-3</v>
      </c>
      <c r="H867" s="155">
        <f t="shared" si="2232"/>
        <v>0</v>
      </c>
      <c r="I867" s="155">
        <f t="shared" si="2232"/>
        <v>2.5811712605984102E-3</v>
      </c>
      <c r="J867" s="155">
        <f t="shared" si="2232"/>
        <v>0</v>
      </c>
      <c r="K867" s="155">
        <f t="shared" si="2232"/>
        <v>0</v>
      </c>
      <c r="L867" s="155">
        <f t="shared" si="2232"/>
        <v>0</v>
      </c>
      <c r="M867" s="155">
        <f t="shared" si="2232"/>
        <v>3.7426983278676948E-3</v>
      </c>
      <c r="N867" s="155">
        <f t="shared" si="2232"/>
        <v>0</v>
      </c>
      <c r="O867" s="155">
        <f t="shared" si="2232"/>
        <v>0</v>
      </c>
      <c r="P867" s="155">
        <f t="shared" si="2232"/>
        <v>0</v>
      </c>
      <c r="Q867" s="155">
        <f t="shared" si="2232"/>
        <v>0</v>
      </c>
      <c r="R867" s="155">
        <f t="shared" si="2232"/>
        <v>0</v>
      </c>
      <c r="S867" s="155">
        <f t="shared" si="2232"/>
        <v>0</v>
      </c>
      <c r="T867" s="155">
        <f t="shared" si="2232"/>
        <v>0</v>
      </c>
      <c r="U867" s="155">
        <f t="shared" si="2232"/>
        <v>0</v>
      </c>
      <c r="V867" s="155">
        <f t="shared" si="2232"/>
        <v>0</v>
      </c>
      <c r="W867" s="155">
        <f t="shared" si="2232"/>
        <v>0</v>
      </c>
      <c r="X867" s="155">
        <f t="shared" si="2232"/>
        <v>0</v>
      </c>
      <c r="Y867" s="160">
        <f t="shared" si="2232"/>
        <v>0</v>
      </c>
    </row>
    <row r="868" spans="2:25" ht="15" customHeight="1" x14ac:dyDescent="0.2">
      <c r="B868" s="249" t="s">
        <v>35</v>
      </c>
      <c r="C868" s="91">
        <f>E868/SUM(E868:E870)</f>
        <v>0.51200000000000001</v>
      </c>
      <c r="D868" s="67" t="s">
        <v>0</v>
      </c>
      <c r="E868" s="68">
        <f t="shared" si="2220"/>
        <v>128</v>
      </c>
      <c r="F868" s="68">
        <f>SUMIFS([0]!Chavez,[0]!Centro,B870,[0]!Turno,F$855)</f>
        <v>33</v>
      </c>
      <c r="G868" s="68">
        <f>SUMIFS([0]!Chavez,[0]!Centro,B870,[0]!Turno,G$855)</f>
        <v>12</v>
      </c>
      <c r="H868" s="68">
        <f>SUMIFS([0]!Chavez,[0]!Centro,B870,[0]!Turno,H$855)</f>
        <v>23</v>
      </c>
      <c r="I868" s="68">
        <f>SUMIFS([0]!Chavez,[0]!Centro,B870,[0]!Turno,I$855)</f>
        <v>27</v>
      </c>
      <c r="J868" s="68">
        <f>SUMIFS([0]!Chavez,[0]!Centro,B870,[0]!Turno,J$855)</f>
        <v>8</v>
      </c>
      <c r="K868" s="68">
        <f>SUMIFS([0]!Chavez,[0]!Centro,B870,[0]!Turno,K$855)</f>
        <v>0</v>
      </c>
      <c r="L868" s="68">
        <f>SUMIFS([0]!Chavez,[0]!Centro,B870,[0]!Turno,L$855)</f>
        <v>10</v>
      </c>
      <c r="M868" s="68">
        <f>SUMIFS([0]!Chavez,[0]!Centro,B870,[0]!Turno,M$855)</f>
        <v>15</v>
      </c>
      <c r="N868" s="68">
        <f>SUMIFS([0]!Chavez,[0]!Centro,B870,[0]!Turno,N$855)</f>
        <v>0</v>
      </c>
      <c r="O868" s="68">
        <f>SUMIFS([0]!Chavez,[0]!Centro,B870,[0]!Turno,O$855)</f>
        <v>0</v>
      </c>
      <c r="P868" s="68">
        <f>SUMIFS([0]!Chavez,[0]!Centro,B870,[0]!Turno,P$855)</f>
        <v>0</v>
      </c>
      <c r="Q868" s="68">
        <f>SUMIFS([0]!Chavez,[0]!Centro,B870,[0]!Turno,Q$855)</f>
        <v>0</v>
      </c>
      <c r="R868" s="68">
        <f>SUMIFS([0]!Chavez,[0]!Centro,B870,[0]!Turno,R$855)</f>
        <v>0</v>
      </c>
      <c r="S868" s="68">
        <f>SUMIFS([0]!Chavez,[0]!Centro,B870,[0]!Turno,S$855)</f>
        <v>0</v>
      </c>
      <c r="T868" s="68">
        <f>SUMIFS([0]!Chavez,[0]!Centro,B870,[0]!Turno,T$855)</f>
        <v>0</v>
      </c>
      <c r="U868" s="68">
        <f>SUMIFS([0]!Chavez,[0]!Centro,B870,[0]!Turno,U$855)</f>
        <v>0</v>
      </c>
      <c r="V868" s="68">
        <f>SUMIFS([0]!Chavez,[0]!Centro,B870,[0]!Turno,V$855)</f>
        <v>0</v>
      </c>
      <c r="W868" s="68">
        <f>SUMIFS([0]!Chavez,[0]!Centro,B870,[0]!Turno,W$855)</f>
        <v>0</v>
      </c>
      <c r="X868" s="68">
        <f>SUMIFS([0]!Chavez,[0]!Centro,B870,[0]!Turno,X$855)</f>
        <v>0</v>
      </c>
      <c r="Y868" s="69">
        <f>SUMIFS([0]!Chavez,[0]!Centro,B870,[0]!Turno,Y$855)</f>
        <v>0</v>
      </c>
    </row>
    <row r="869" spans="2:25" ht="15" customHeight="1" x14ac:dyDescent="0.2">
      <c r="B869" s="250"/>
      <c r="C869" s="92">
        <f>E869/SUM(E868:E870)</f>
        <v>0.48399999999999999</v>
      </c>
      <c r="D869" s="61" t="s">
        <v>1</v>
      </c>
      <c r="E869" s="62">
        <f t="shared" si="2220"/>
        <v>121</v>
      </c>
      <c r="F869" s="62">
        <f>SUMIFS([0]!Capriles,[0]!Centro,B870,[0]!Turno,F$855)</f>
        <v>10</v>
      </c>
      <c r="G869" s="62">
        <f>SUMIFS([0]!Capriles,[0]!Centro,B870,[0]!Turno,G$855)</f>
        <v>10</v>
      </c>
      <c r="H869" s="62">
        <f>SUMIFS([0]!Capriles,[0]!Centro,B870,[0]!Turno,H$855)</f>
        <v>19</v>
      </c>
      <c r="I869" s="62">
        <f>SUMIFS([0]!Capriles,[0]!Centro,B870,[0]!Turno,I$855)</f>
        <v>16</v>
      </c>
      <c r="J869" s="62">
        <f>SUMIFS([0]!Capriles,[0]!Centro,B870,[0]!Turno,J$855)</f>
        <v>13</v>
      </c>
      <c r="K869" s="62">
        <f>SUMIFS([0]!Capriles,[0]!Centro,B870,[0]!Turno,K$855)</f>
        <v>0</v>
      </c>
      <c r="L869" s="62">
        <f>SUMIFS([0]!Capriles,[0]!Centro,B870,[0]!Turno,L$855)</f>
        <v>28</v>
      </c>
      <c r="M869" s="62">
        <f>SUMIFS([0]!Capriles,[0]!Centro,B870,[0]!Turno,M$855)</f>
        <v>25</v>
      </c>
      <c r="N869" s="62">
        <f>SUMIFS([0]!Capriles,[0]!Centro,B870,[0]!Turno,N$855)</f>
        <v>0</v>
      </c>
      <c r="O869" s="62">
        <f>SUMIFS([0]!Capriles,[0]!Centro,B870,[0]!Turno,O$855)</f>
        <v>0</v>
      </c>
      <c r="P869" s="62">
        <f>SUMIFS([0]!Capriles,[0]!Centro,B870,[0]!Turno,P$855)</f>
        <v>0</v>
      </c>
      <c r="Q869" s="62">
        <f>SUMIFS([0]!Capriles,[0]!Centro,B870,[0]!Turno,Q$855)</f>
        <v>0</v>
      </c>
      <c r="R869" s="62">
        <f>SUMIFS([0]!Capriles,[0]!Centro,B870,[0]!Turno,R$855)</f>
        <v>0</v>
      </c>
      <c r="S869" s="62">
        <f>SUMIFS([0]!Capriles,[0]!Centro,B870,[0]!Turno,S$855)</f>
        <v>0</v>
      </c>
      <c r="T869" s="62">
        <f>SUMIFS([0]!Capriles,[0]!Centro,B870,[0]!Turno,T$855)</f>
        <v>0</v>
      </c>
      <c r="U869" s="62">
        <f>SUMIFS([0]!Capriles,[0]!Centro,B870,[0]!Turno,U$855)</f>
        <v>0</v>
      </c>
      <c r="V869" s="62">
        <f>SUMIFS([0]!Capriles,[0]!Centro,B870,[0]!Turno,V$855)</f>
        <v>0</v>
      </c>
      <c r="W869" s="62">
        <f>SUMIFS([0]!Capriles,[0]!Centro,B870,[0]!Turno,W$855)</f>
        <v>0</v>
      </c>
      <c r="X869" s="62">
        <f>SUMIFS([0]!Capriles,[0]!Centro,B870,[0]!Turno,X$855)</f>
        <v>0</v>
      </c>
      <c r="Y869" s="70">
        <f>SUMIFS([0]!Capriles,[0]!Centro,B870,[0]!Turno,Y$855)</f>
        <v>0</v>
      </c>
    </row>
    <row r="870" spans="2:25" ht="15" customHeight="1" thickBot="1" x14ac:dyDescent="0.25">
      <c r="B870" s="251">
        <v>120</v>
      </c>
      <c r="C870" s="100">
        <f>E870/SUM(E868:E870)</f>
        <v>4.0000000000000001E-3</v>
      </c>
      <c r="D870" s="71" t="s">
        <v>2</v>
      </c>
      <c r="E870" s="72">
        <f t="shared" si="2220"/>
        <v>1</v>
      </c>
      <c r="F870" s="72">
        <f>SUMIFS([0]!Otro,[0]!Centro,B870,[0]!Turno,F$855)</f>
        <v>0</v>
      </c>
      <c r="G870" s="72">
        <f>SUMIFS([0]!Otro,[0]!Centro,B870,[0]!Turno,G$855)</f>
        <v>0</v>
      </c>
      <c r="H870" s="72">
        <f>SUMIFS([0]!Otro,[0]!Centro,B870,[0]!Turno,H$855)</f>
        <v>0</v>
      </c>
      <c r="I870" s="72">
        <f>SUMIFS([0]!Otro,[0]!Centro,B870,[0]!Turno,I$855)</f>
        <v>1</v>
      </c>
      <c r="J870" s="72">
        <f>SUMIFS([0]!Otro,[0]!Centro,B870,[0]!Turno,J$855)</f>
        <v>0</v>
      </c>
      <c r="K870" s="72">
        <f>SUMIFS([0]!Otro,[0]!Centro,B870,[0]!Turno,K$855)</f>
        <v>0</v>
      </c>
      <c r="L870" s="72">
        <f>SUMIFS([0]!Otro,[0]!Centro,B870,[0]!Turno,L$855)</f>
        <v>0</v>
      </c>
      <c r="M870" s="72">
        <f>SUMIFS([0]!Otro,[0]!Centro,B870,[0]!Turno,M$855)</f>
        <v>0</v>
      </c>
      <c r="N870" s="72">
        <f>SUMIFS([0]!Otro,[0]!Centro,B870,[0]!Turno,N$855)</f>
        <v>0</v>
      </c>
      <c r="O870" s="72">
        <f>SUMIFS([0]!Otro,[0]!Centro,B870,[0]!Turno,O$855)</f>
        <v>0</v>
      </c>
      <c r="P870" s="72">
        <f>SUMIFS([0]!Otro,[0]!Centro,B870,[0]!Turno,P$855)</f>
        <v>0</v>
      </c>
      <c r="Q870" s="72">
        <f>SUMIFS([0]!Otro,[0]!Centro,B870,[0]!Turno,Q$855)</f>
        <v>0</v>
      </c>
      <c r="R870" s="72">
        <f>SUMIFS([0]!Otro,[0]!Centro,B870,[0]!Turno,R$855)</f>
        <v>0</v>
      </c>
      <c r="S870" s="72">
        <f>SUMIFS([0]!Otro,[0]!Centro,B870,[0]!Turno,S$855)</f>
        <v>0</v>
      </c>
      <c r="T870" s="72">
        <f>SUMIFS([0]!Otro,[0]!Centro,B870,[0]!Turno,T$855)</f>
        <v>0</v>
      </c>
      <c r="U870" s="72">
        <f>SUMIFS([0]!Otro,[0]!Centro,B870,[0]!Turno,U$855)</f>
        <v>0</v>
      </c>
      <c r="V870" s="72">
        <f>SUMIFS([0]!Otro,[0]!Centro,B870,[0]!Turno,V$855)</f>
        <v>0</v>
      </c>
      <c r="W870" s="72">
        <f>SUMIFS([0]!Otro,[0]!Centro,B870,[0]!Turno,W$855)</f>
        <v>0</v>
      </c>
      <c r="X870" s="72">
        <f>SUMIFS([0]!Otro,[0]!Centro,B870,[0]!Turno,X$855)</f>
        <v>0</v>
      </c>
      <c r="Y870" s="73">
        <f>SUMIFS([0]!Otro,[0]!Centro,B870,[0]!Turno,Y$855)</f>
        <v>0</v>
      </c>
    </row>
    <row r="871" spans="2:25" ht="15" customHeight="1" x14ac:dyDescent="0.2">
      <c r="B871" s="251"/>
      <c r="C871" s="94">
        <f>E871/SUM(E871:E873)</f>
        <v>0.51200000000000001</v>
      </c>
      <c r="D871" s="63" t="s">
        <v>0</v>
      </c>
      <c r="E871" s="150">
        <f>IF((E868+E869+E870)=0,0,(E868*$B872)/(E868+E869+E870))</f>
        <v>5.2424094842196484E-2</v>
      </c>
      <c r="F871" s="150">
        <f>IF((F868+F869+F870)=0,0,(F868*$B872)/(F868+F869+F870))</f>
        <v>7.8578993904091746E-2</v>
      </c>
      <c r="G871" s="150">
        <f t="shared" ref="G871:Y871" si="2233">IF((G868+G869+G870)=0,0,(G868*$B872)/(G868+G869+G870))</f>
        <v>5.5849532857453636E-2</v>
      </c>
      <c r="H871" s="150">
        <f t="shared" si="2233"/>
        <v>5.6071157987840362E-2</v>
      </c>
      <c r="I871" s="150">
        <f t="shared" si="2233"/>
        <v>6.2830724464635349E-2</v>
      </c>
      <c r="J871" s="150">
        <f t="shared" si="2233"/>
        <v>3.9006022948062859E-2</v>
      </c>
      <c r="K871" s="150">
        <f t="shared" si="2233"/>
        <v>0</v>
      </c>
      <c r="L871" s="150">
        <f t="shared" si="2233"/>
        <v>2.6944950062806582E-2</v>
      </c>
      <c r="M871" s="150">
        <f t="shared" si="2233"/>
        <v>3.8396553839499373E-2</v>
      </c>
      <c r="N871" s="150">
        <f t="shared" si="2233"/>
        <v>0</v>
      </c>
      <c r="O871" s="150">
        <f t="shared" si="2233"/>
        <v>0</v>
      </c>
      <c r="P871" s="150">
        <f t="shared" si="2233"/>
        <v>0</v>
      </c>
      <c r="Q871" s="150">
        <f t="shared" si="2233"/>
        <v>0</v>
      </c>
      <c r="R871" s="150">
        <f t="shared" si="2233"/>
        <v>0</v>
      </c>
      <c r="S871" s="150">
        <f t="shared" si="2233"/>
        <v>0</v>
      </c>
      <c r="T871" s="150">
        <f t="shared" si="2233"/>
        <v>0</v>
      </c>
      <c r="U871" s="150">
        <f t="shared" si="2233"/>
        <v>0</v>
      </c>
      <c r="V871" s="150">
        <f t="shared" si="2233"/>
        <v>0</v>
      </c>
      <c r="W871" s="150">
        <f t="shared" si="2233"/>
        <v>0</v>
      </c>
      <c r="X871" s="150">
        <f t="shared" si="2233"/>
        <v>0</v>
      </c>
      <c r="Y871" s="163">
        <f t="shared" si="2233"/>
        <v>0</v>
      </c>
    </row>
    <row r="872" spans="2:25" ht="15" customHeight="1" x14ac:dyDescent="0.2">
      <c r="B872" s="252">
        <v>0.102390810238665</v>
      </c>
      <c r="C872" s="92">
        <f>E872/SUM(E871:E873)</f>
        <v>0.48399999999999999</v>
      </c>
      <c r="D872" s="61" t="s">
        <v>1</v>
      </c>
      <c r="E872" s="154">
        <f>IF((E868+E869+E870)=0,0,(E869*$B872)/(E868+E869+E870))</f>
        <v>4.9557152155513859E-2</v>
      </c>
      <c r="F872" s="154">
        <f>IF((F868+F869+F870)=0,0,(F869*$B872)/(F868+F869+F870))</f>
        <v>2.3811816334573258E-2</v>
      </c>
      <c r="G872" s="154">
        <f t="shared" ref="G872:O872" si="2234">IF((G868+G869+G870)=0,0,(G869*$B872)/(G868+G869+G870))</f>
        <v>4.6541277381211367E-2</v>
      </c>
      <c r="H872" s="154">
        <f t="shared" si="2234"/>
        <v>4.6319652250824649E-2</v>
      </c>
      <c r="I872" s="154">
        <f t="shared" si="2234"/>
        <v>3.7233021904969091E-2</v>
      </c>
      <c r="J872" s="154">
        <f t="shared" si="2234"/>
        <v>6.3384787290602138E-2</v>
      </c>
      <c r="K872" s="154">
        <f t="shared" si="2234"/>
        <v>0</v>
      </c>
      <c r="L872" s="154">
        <f t="shared" si="2234"/>
        <v>7.5445860175858415E-2</v>
      </c>
      <c r="M872" s="154">
        <f t="shared" si="2234"/>
        <v>6.399425639916563E-2</v>
      </c>
      <c r="N872" s="154">
        <f t="shared" si="2234"/>
        <v>0</v>
      </c>
      <c r="O872" s="154">
        <f t="shared" si="2234"/>
        <v>0</v>
      </c>
      <c r="P872" s="154">
        <f>IF((P868+P869+P870)=0,0,(P869*$B872)/(P868+P869+P870))</f>
        <v>0</v>
      </c>
      <c r="Q872" s="154">
        <f t="shared" ref="Q872:Y872" si="2235">IF((Q868+Q869+Q870)=0,0,(Q869*$B872)/(Q868+Q869+Q870))</f>
        <v>0</v>
      </c>
      <c r="R872" s="154">
        <f t="shared" si="2235"/>
        <v>0</v>
      </c>
      <c r="S872" s="154">
        <f t="shared" si="2235"/>
        <v>0</v>
      </c>
      <c r="T872" s="154">
        <f t="shared" si="2235"/>
        <v>0</v>
      </c>
      <c r="U872" s="154">
        <f t="shared" si="2235"/>
        <v>0</v>
      </c>
      <c r="V872" s="154">
        <f t="shared" si="2235"/>
        <v>0</v>
      </c>
      <c r="W872" s="154">
        <f t="shared" si="2235"/>
        <v>0</v>
      </c>
      <c r="X872" s="154">
        <f t="shared" si="2235"/>
        <v>0</v>
      </c>
      <c r="Y872" s="159">
        <f t="shared" si="2235"/>
        <v>0</v>
      </c>
    </row>
    <row r="873" spans="2:25" ht="15" customHeight="1" thickBot="1" x14ac:dyDescent="0.25">
      <c r="B873" s="253"/>
      <c r="C873" s="93">
        <f>E873/SUM(E871:E873)</f>
        <v>4.0000000000000001E-3</v>
      </c>
      <c r="D873" s="75" t="s">
        <v>2</v>
      </c>
      <c r="E873" s="155">
        <f>IF((E868+E869+E870)=0,0,(E870*$B872)/(E868+E869+E870))</f>
        <v>4.0956324095466003E-4</v>
      </c>
      <c r="F873" s="155">
        <f>IF((F868+F869+F870)=0,0,(F870*$B872)/(F868+F869+F870))</f>
        <v>0</v>
      </c>
      <c r="G873" s="155">
        <f t="shared" ref="G873:Y873" si="2236">IF((G868+G869+G870)=0,0,(G870*$B872)/(G868+G869+G870))</f>
        <v>0</v>
      </c>
      <c r="H873" s="155">
        <f t="shared" si="2236"/>
        <v>0</v>
      </c>
      <c r="I873" s="155">
        <f t="shared" si="2236"/>
        <v>2.3270638690605682E-3</v>
      </c>
      <c r="J873" s="155">
        <f t="shared" si="2236"/>
        <v>0</v>
      </c>
      <c r="K873" s="155">
        <f t="shared" si="2236"/>
        <v>0</v>
      </c>
      <c r="L873" s="155">
        <f t="shared" si="2236"/>
        <v>0</v>
      </c>
      <c r="M873" s="155">
        <f t="shared" si="2236"/>
        <v>0</v>
      </c>
      <c r="N873" s="155">
        <f t="shared" si="2236"/>
        <v>0</v>
      </c>
      <c r="O873" s="155">
        <f t="shared" si="2236"/>
        <v>0</v>
      </c>
      <c r="P873" s="155">
        <f t="shared" si="2236"/>
        <v>0</v>
      </c>
      <c r="Q873" s="155">
        <f t="shared" si="2236"/>
        <v>0</v>
      </c>
      <c r="R873" s="155">
        <f t="shared" si="2236"/>
        <v>0</v>
      </c>
      <c r="S873" s="155">
        <f t="shared" si="2236"/>
        <v>0</v>
      </c>
      <c r="T873" s="155">
        <f t="shared" si="2236"/>
        <v>0</v>
      </c>
      <c r="U873" s="155">
        <f t="shared" si="2236"/>
        <v>0</v>
      </c>
      <c r="V873" s="155">
        <f t="shared" si="2236"/>
        <v>0</v>
      </c>
      <c r="W873" s="155">
        <f t="shared" si="2236"/>
        <v>0</v>
      </c>
      <c r="X873" s="155">
        <f t="shared" si="2236"/>
        <v>0</v>
      </c>
      <c r="Y873" s="160">
        <f t="shared" si="2236"/>
        <v>0</v>
      </c>
    </row>
    <row r="874" spans="2:25" ht="15" customHeight="1" x14ac:dyDescent="0.2">
      <c r="B874" s="249" t="s">
        <v>143</v>
      </c>
      <c r="C874" s="91">
        <f>E874/SUM(E874:E876)</f>
        <v>0.16606498194945848</v>
      </c>
      <c r="D874" s="67" t="s">
        <v>0</v>
      </c>
      <c r="E874" s="68">
        <f t="shared" si="2220"/>
        <v>46</v>
      </c>
      <c r="F874" s="68">
        <f>SUMIFS([0]!Chavez,[0]!Centro,B876,[0]!Turno,F$855)</f>
        <v>9</v>
      </c>
      <c r="G874" s="68">
        <f>SUMIFS([0]!Chavez,[0]!Centro,B876,[0]!Turno,G$855)</f>
        <v>4</v>
      </c>
      <c r="H874" s="68">
        <f>SUMIFS([0]!Chavez,[0]!Centro,B876,[0]!Turno,H$855)</f>
        <v>8</v>
      </c>
      <c r="I874" s="68">
        <f>SUMIFS([0]!Chavez,[0]!Centro,B876,[0]!Turno,I$855)</f>
        <v>7</v>
      </c>
      <c r="J874" s="68">
        <f>SUMIFS([0]!Chavez,[0]!Centro,B876,[0]!Turno,J$855)</f>
        <v>4</v>
      </c>
      <c r="K874" s="68">
        <f>SUMIFS([0]!Chavez,[0]!Centro,B876,[0]!Turno,K$855)</f>
        <v>0</v>
      </c>
      <c r="L874" s="68">
        <f>SUMIFS([0]!Chavez,[0]!Centro,B876,[0]!Turno,L$855)</f>
        <v>8</v>
      </c>
      <c r="M874" s="68">
        <f>SUMIFS([0]!Chavez,[0]!Centro,B876,[0]!Turno,M$855)</f>
        <v>6</v>
      </c>
      <c r="N874" s="68">
        <f>SUMIFS([0]!Chavez,[0]!Centro,B876,[0]!Turno,N$855)</f>
        <v>0</v>
      </c>
      <c r="O874" s="68">
        <f>SUMIFS([0]!Chavez,[0]!Centro,B876,[0]!Turno,O$855)</f>
        <v>0</v>
      </c>
      <c r="P874" s="68">
        <f>SUMIFS([0]!Chavez,[0]!Centro,B876,[0]!Turno,P$855)</f>
        <v>0</v>
      </c>
      <c r="Q874" s="68">
        <f>SUMIFS([0]!Chavez,[0]!Centro,B876,[0]!Turno,Q$855)</f>
        <v>0</v>
      </c>
      <c r="R874" s="68">
        <f>SUMIFS([0]!Chavez,[0]!Centro,B876,[0]!Turno,R$855)</f>
        <v>0</v>
      </c>
      <c r="S874" s="68">
        <f>SUMIFS([0]!Chavez,[0]!Centro,B876,[0]!Turno,S$855)</f>
        <v>0</v>
      </c>
      <c r="T874" s="68">
        <f>SUMIFS([0]!Chavez,[0]!Centro,B876,[0]!Turno,T$855)</f>
        <v>0</v>
      </c>
      <c r="U874" s="68">
        <f>SUMIFS([0]!Chavez,[0]!Centro,B876,[0]!Turno,U$855)</f>
        <v>0</v>
      </c>
      <c r="V874" s="68">
        <f>SUMIFS([0]!Chavez,[0]!Centro,B876,[0]!Turno,V$855)</f>
        <v>0</v>
      </c>
      <c r="W874" s="68">
        <f>SUMIFS([0]!Chavez,[0]!Centro,B876,[0]!Turno,W$855)</f>
        <v>0</v>
      </c>
      <c r="X874" s="68">
        <f>SUMIFS([0]!Chavez,[0]!Centro,B876,[0]!Turno,X$855)</f>
        <v>0</v>
      </c>
      <c r="Y874" s="69">
        <f>SUMIFS([0]!Chavez,[0]!Centro,B876,[0]!Turno,Y$855)</f>
        <v>0</v>
      </c>
    </row>
    <row r="875" spans="2:25" ht="15" customHeight="1" x14ac:dyDescent="0.2">
      <c r="B875" s="250"/>
      <c r="C875" s="92">
        <f>E875/SUM(E874:E876)</f>
        <v>0.8267148014440433</v>
      </c>
      <c r="D875" s="61" t="s">
        <v>1</v>
      </c>
      <c r="E875" s="62">
        <f t="shared" si="2220"/>
        <v>229</v>
      </c>
      <c r="F875" s="62">
        <f>SUMIFS([0]!Capriles,[0]!Centro,B876,[0]!Turno,F$855)</f>
        <v>31</v>
      </c>
      <c r="G875" s="62">
        <f>SUMIFS([0]!Capriles,[0]!Centro,B876,[0]!Turno,G$855)</f>
        <v>37</v>
      </c>
      <c r="H875" s="62">
        <f>SUMIFS([0]!Capriles,[0]!Centro,B876,[0]!Turno,H$855)</f>
        <v>41</v>
      </c>
      <c r="I875" s="62">
        <f>SUMIFS([0]!Capriles,[0]!Centro,B876,[0]!Turno,I$855)</f>
        <v>38</v>
      </c>
      <c r="J875" s="62">
        <f>SUMIFS([0]!Capriles,[0]!Centro,B876,[0]!Turno,J$855)</f>
        <v>26</v>
      </c>
      <c r="K875" s="62">
        <f>SUMIFS([0]!Capriles,[0]!Centro,B876,[0]!Turno,K$855)</f>
        <v>0</v>
      </c>
      <c r="L875" s="62">
        <f>SUMIFS([0]!Capriles,[0]!Centro,B876,[0]!Turno,L$855)</f>
        <v>29</v>
      </c>
      <c r="M875" s="62">
        <f>SUMIFS([0]!Capriles,[0]!Centro,B876,[0]!Turno,M$855)</f>
        <v>27</v>
      </c>
      <c r="N875" s="62">
        <f>SUMIFS([0]!Capriles,[0]!Centro,B876,[0]!Turno,N$855)</f>
        <v>0</v>
      </c>
      <c r="O875" s="62">
        <f>SUMIFS([0]!Capriles,[0]!Centro,B876,[0]!Turno,O$855)</f>
        <v>0</v>
      </c>
      <c r="P875" s="62">
        <f>SUMIFS([0]!Capriles,[0]!Centro,B876,[0]!Turno,P$855)</f>
        <v>0</v>
      </c>
      <c r="Q875" s="62">
        <f>SUMIFS([0]!Capriles,[0]!Centro,B876,[0]!Turno,Q$855)</f>
        <v>0</v>
      </c>
      <c r="R875" s="62">
        <f>SUMIFS([0]!Capriles,[0]!Centro,B876,[0]!Turno,R$855)</f>
        <v>0</v>
      </c>
      <c r="S875" s="62">
        <f>SUMIFS([0]!Capriles,[0]!Centro,B876,[0]!Turno,S$855)</f>
        <v>0</v>
      </c>
      <c r="T875" s="62">
        <f>SUMIFS([0]!Capriles,[0]!Centro,B876,[0]!Turno,T$855)</f>
        <v>0</v>
      </c>
      <c r="U875" s="62">
        <f>SUMIFS([0]!Capriles,[0]!Centro,B876,[0]!Turno,U$855)</f>
        <v>0</v>
      </c>
      <c r="V875" s="62">
        <f>SUMIFS([0]!Capriles,[0]!Centro,B876,[0]!Turno,V$855)</f>
        <v>0</v>
      </c>
      <c r="W875" s="62">
        <f>SUMIFS([0]!Capriles,[0]!Centro,B876,[0]!Turno,W$855)</f>
        <v>0</v>
      </c>
      <c r="X875" s="62">
        <f>SUMIFS([0]!Capriles,[0]!Centro,B876,[0]!Turno,X$855)</f>
        <v>0</v>
      </c>
      <c r="Y875" s="70">
        <f>SUMIFS([0]!Capriles,[0]!Centro,B876,[0]!Turno,Y$855)</f>
        <v>0</v>
      </c>
    </row>
    <row r="876" spans="2:25" ht="15" customHeight="1" thickBot="1" x14ac:dyDescent="0.25">
      <c r="B876" s="251">
        <v>121</v>
      </c>
      <c r="C876" s="100">
        <f>E876/SUM(E874:E876)</f>
        <v>7.2202166064981952E-3</v>
      </c>
      <c r="D876" s="71" t="s">
        <v>2</v>
      </c>
      <c r="E876" s="72">
        <f t="shared" si="2220"/>
        <v>2</v>
      </c>
      <c r="F876" s="72">
        <f>SUMIFS([0]!Otro,[0]!Centro,B876,[0]!Turno,F$855)</f>
        <v>0</v>
      </c>
      <c r="G876" s="72">
        <f>SUMIFS([0]!Otro,[0]!Centro,B876,[0]!Turno,G$855)</f>
        <v>0</v>
      </c>
      <c r="H876" s="72">
        <f>SUMIFS([0]!Otro,[0]!Centro,B876,[0]!Turno,H$855)</f>
        <v>0</v>
      </c>
      <c r="I876" s="72">
        <f>SUMIFS([0]!Otro,[0]!Centro,B876,[0]!Turno,I$855)</f>
        <v>0</v>
      </c>
      <c r="J876" s="72">
        <f>SUMIFS([0]!Otro,[0]!Centro,B876,[0]!Turno,J$855)</f>
        <v>2</v>
      </c>
      <c r="K876" s="72">
        <f>SUMIFS([0]!Otro,[0]!Centro,B876,[0]!Turno,K$855)</f>
        <v>0</v>
      </c>
      <c r="L876" s="72">
        <f>SUMIFS([0]!Otro,[0]!Centro,B876,[0]!Turno,L$855)</f>
        <v>0</v>
      </c>
      <c r="M876" s="72">
        <f>SUMIFS([0]!Otro,[0]!Centro,B876,[0]!Turno,M$855)</f>
        <v>0</v>
      </c>
      <c r="N876" s="72">
        <f>SUMIFS([0]!Otro,[0]!Centro,B876,[0]!Turno,N$855)</f>
        <v>0</v>
      </c>
      <c r="O876" s="72">
        <f>SUMIFS([0]!Otro,[0]!Centro,B876,[0]!Turno,O$855)</f>
        <v>0</v>
      </c>
      <c r="P876" s="72">
        <f>SUMIFS([0]!Otro,[0]!Centro,B876,[0]!Turno,P$855)</f>
        <v>0</v>
      </c>
      <c r="Q876" s="72">
        <f>SUMIFS([0]!Otro,[0]!Centro,B876,[0]!Turno,Q$855)</f>
        <v>0</v>
      </c>
      <c r="R876" s="72">
        <f>SUMIFS([0]!Otro,[0]!Centro,B876,[0]!Turno,R$855)</f>
        <v>0</v>
      </c>
      <c r="S876" s="72">
        <f>SUMIFS([0]!Otro,[0]!Centro,B876,[0]!Turno,S$855)</f>
        <v>0</v>
      </c>
      <c r="T876" s="72">
        <f>SUMIFS([0]!Otro,[0]!Centro,B876,[0]!Turno,T$855)</f>
        <v>0</v>
      </c>
      <c r="U876" s="72">
        <f>SUMIFS([0]!Otro,[0]!Centro,B876,[0]!Turno,U$855)</f>
        <v>0</v>
      </c>
      <c r="V876" s="72">
        <f>SUMIFS([0]!Otro,[0]!Centro,B876,[0]!Turno,V$855)</f>
        <v>0</v>
      </c>
      <c r="W876" s="72">
        <f>SUMIFS([0]!Otro,[0]!Centro,B876,[0]!Turno,W$855)</f>
        <v>0</v>
      </c>
      <c r="X876" s="72">
        <f>SUMIFS([0]!Otro,[0]!Centro,B876,[0]!Turno,X$855)</f>
        <v>0</v>
      </c>
      <c r="Y876" s="73">
        <f>SUMIFS([0]!Otro,[0]!Centro,B876,[0]!Turno,Y$855)</f>
        <v>0</v>
      </c>
    </row>
    <row r="877" spans="2:25" ht="15" customHeight="1" x14ac:dyDescent="0.2">
      <c r="B877" s="251"/>
      <c r="C877" s="94">
        <f>E877/SUM(E877:E879)</f>
        <v>0.16606498194945848</v>
      </c>
      <c r="D877" s="63" t="s">
        <v>0</v>
      </c>
      <c r="E877" s="150">
        <f>IF((E874+E875+E876)=0,0,(E874*$B878)/(E874+E875+E876))</f>
        <v>2.3833532884763739E-2</v>
      </c>
      <c r="F877" s="150">
        <f>IF((F874+F875+F876)=0,0,(F874*$B878)/(F874+F875+F876))</f>
        <v>3.2291846457454351E-2</v>
      </c>
      <c r="G877" s="150">
        <f t="shared" ref="G877:Y877" si="2237">IF((G874+G875+G876)=0,0,(G874*$B878)/(G874+G875+G876))</f>
        <v>1.4001884642798633E-2</v>
      </c>
      <c r="H877" s="150">
        <f t="shared" si="2237"/>
        <v>2.3431725320601796E-2</v>
      </c>
      <c r="I877" s="150">
        <f t="shared" si="2237"/>
        <v>2.2325227180462266E-2</v>
      </c>
      <c r="J877" s="150">
        <f t="shared" si="2237"/>
        <v>1.793991469858575E-2</v>
      </c>
      <c r="K877" s="150">
        <f t="shared" si="2237"/>
        <v>0</v>
      </c>
      <c r="L877" s="150">
        <f t="shared" si="2237"/>
        <v>3.1031203802959133E-2</v>
      </c>
      <c r="M877" s="150">
        <f t="shared" si="2237"/>
        <v>2.609442137976109E-2</v>
      </c>
      <c r="N877" s="150">
        <f t="shared" si="2237"/>
        <v>0</v>
      </c>
      <c r="O877" s="150">
        <f t="shared" si="2237"/>
        <v>0</v>
      </c>
      <c r="P877" s="150">
        <f t="shared" si="2237"/>
        <v>0</v>
      </c>
      <c r="Q877" s="150">
        <f t="shared" si="2237"/>
        <v>0</v>
      </c>
      <c r="R877" s="150">
        <f t="shared" si="2237"/>
        <v>0</v>
      </c>
      <c r="S877" s="150">
        <f t="shared" si="2237"/>
        <v>0</v>
      </c>
      <c r="T877" s="150">
        <f t="shared" si="2237"/>
        <v>0</v>
      </c>
      <c r="U877" s="150">
        <f t="shared" si="2237"/>
        <v>0</v>
      </c>
      <c r="V877" s="150">
        <f t="shared" si="2237"/>
        <v>0</v>
      </c>
      <c r="W877" s="150">
        <f t="shared" si="2237"/>
        <v>0</v>
      </c>
      <c r="X877" s="150">
        <f t="shared" si="2237"/>
        <v>0</v>
      </c>
      <c r="Y877" s="163">
        <f t="shared" si="2237"/>
        <v>0</v>
      </c>
    </row>
    <row r="878" spans="2:25" ht="15" customHeight="1" x14ac:dyDescent="0.2">
      <c r="B878" s="252">
        <v>0.143519317588686</v>
      </c>
      <c r="C878" s="92">
        <f>E878/SUM(E877:E879)</f>
        <v>0.8267148014440433</v>
      </c>
      <c r="D878" s="61" t="s">
        <v>1</v>
      </c>
      <c r="E878" s="154">
        <f>IF((E874+E875+E876)=0,0,(E875*$B878)/(E874+E875+E876))</f>
        <v>0.11864954414371513</v>
      </c>
      <c r="F878" s="154">
        <f>IF((F874+F875+F876)=0,0,(F875*$B878)/(F874+F875+F876))</f>
        <v>0.11122747113123163</v>
      </c>
      <c r="G878" s="154">
        <f t="shared" ref="G878:O878" si="2238">IF((G874+G875+G876)=0,0,(G875*$B878)/(G874+G875+G876))</f>
        <v>0.12951743294588736</v>
      </c>
      <c r="H878" s="154">
        <f t="shared" si="2238"/>
        <v>0.1200875922680842</v>
      </c>
      <c r="I878" s="154">
        <f t="shared" si="2238"/>
        <v>0.12119409040822372</v>
      </c>
      <c r="J878" s="154">
        <f t="shared" si="2238"/>
        <v>0.11660944554080738</v>
      </c>
      <c r="K878" s="154">
        <f t="shared" si="2238"/>
        <v>0</v>
      </c>
      <c r="L878" s="154">
        <f t="shared" si="2238"/>
        <v>0.11248811378572685</v>
      </c>
      <c r="M878" s="154">
        <f t="shared" si="2238"/>
        <v>0.11742489620892491</v>
      </c>
      <c r="N878" s="154">
        <f t="shared" si="2238"/>
        <v>0</v>
      </c>
      <c r="O878" s="154">
        <f t="shared" si="2238"/>
        <v>0</v>
      </c>
      <c r="P878" s="154">
        <f>IF((P874+P875+P876)=0,0,(P875*$B878)/(P874+P875+P876))</f>
        <v>0</v>
      </c>
      <c r="Q878" s="154">
        <f t="shared" ref="Q878:Y878" si="2239">IF((Q874+Q875+Q876)=0,0,(Q875*$B878)/(Q874+Q875+Q876))</f>
        <v>0</v>
      </c>
      <c r="R878" s="154">
        <f t="shared" si="2239"/>
        <v>0</v>
      </c>
      <c r="S878" s="154">
        <f t="shared" si="2239"/>
        <v>0</v>
      </c>
      <c r="T878" s="154">
        <f t="shared" si="2239"/>
        <v>0</v>
      </c>
      <c r="U878" s="154">
        <f t="shared" si="2239"/>
        <v>0</v>
      </c>
      <c r="V878" s="154">
        <f t="shared" si="2239"/>
        <v>0</v>
      </c>
      <c r="W878" s="154">
        <f t="shared" si="2239"/>
        <v>0</v>
      </c>
      <c r="X878" s="154">
        <f t="shared" si="2239"/>
        <v>0</v>
      </c>
      <c r="Y878" s="159">
        <f t="shared" si="2239"/>
        <v>0</v>
      </c>
    </row>
    <row r="879" spans="2:25" ht="15" customHeight="1" thickBot="1" x14ac:dyDescent="0.25">
      <c r="B879" s="253"/>
      <c r="C879" s="93">
        <f>E879/SUM(E877:E879)</f>
        <v>7.2202166064981952E-3</v>
      </c>
      <c r="D879" s="75" t="s">
        <v>2</v>
      </c>
      <c r="E879" s="155">
        <f>IF((E874+E875+E876)=0,0,(E876*$B878)/(E874+E875+E876))</f>
        <v>1.0362405602071191E-3</v>
      </c>
      <c r="F879" s="155">
        <f>IF((F874+F875+F876)=0,0,(F876*$B878)/(F874+F875+F876))</f>
        <v>0</v>
      </c>
      <c r="G879" s="155">
        <f t="shared" ref="G879:Y879" si="2240">IF((G874+G875+G876)=0,0,(G876*$B878)/(G874+G875+G876))</f>
        <v>0</v>
      </c>
      <c r="H879" s="155">
        <f t="shared" si="2240"/>
        <v>0</v>
      </c>
      <c r="I879" s="155">
        <f t="shared" si="2240"/>
        <v>0</v>
      </c>
      <c r="J879" s="155">
        <f t="shared" si="2240"/>
        <v>8.9699573492928748E-3</v>
      </c>
      <c r="K879" s="155">
        <f t="shared" si="2240"/>
        <v>0</v>
      </c>
      <c r="L879" s="155">
        <f t="shared" si="2240"/>
        <v>0</v>
      </c>
      <c r="M879" s="155">
        <f t="shared" si="2240"/>
        <v>0</v>
      </c>
      <c r="N879" s="155">
        <f t="shared" si="2240"/>
        <v>0</v>
      </c>
      <c r="O879" s="155">
        <f t="shared" si="2240"/>
        <v>0</v>
      </c>
      <c r="P879" s="155">
        <f t="shared" si="2240"/>
        <v>0</v>
      </c>
      <c r="Q879" s="155">
        <f t="shared" si="2240"/>
        <v>0</v>
      </c>
      <c r="R879" s="155">
        <f t="shared" si="2240"/>
        <v>0</v>
      </c>
      <c r="S879" s="155">
        <f t="shared" si="2240"/>
        <v>0</v>
      </c>
      <c r="T879" s="155">
        <f t="shared" si="2240"/>
        <v>0</v>
      </c>
      <c r="U879" s="155">
        <f t="shared" si="2240"/>
        <v>0</v>
      </c>
      <c r="V879" s="155">
        <f t="shared" si="2240"/>
        <v>0</v>
      </c>
      <c r="W879" s="155">
        <f t="shared" si="2240"/>
        <v>0</v>
      </c>
      <c r="X879" s="155">
        <f t="shared" si="2240"/>
        <v>0</v>
      </c>
      <c r="Y879" s="160">
        <f t="shared" si="2240"/>
        <v>0</v>
      </c>
    </row>
    <row r="880" spans="2:25" ht="15" customHeight="1" x14ac:dyDescent="0.2">
      <c r="B880" s="249" t="s">
        <v>144</v>
      </c>
      <c r="C880" s="91">
        <f>E880/SUM(E880:E882)</f>
        <v>0.52500000000000002</v>
      </c>
      <c r="D880" s="67" t="s">
        <v>0</v>
      </c>
      <c r="E880" s="68">
        <f t="shared" si="2220"/>
        <v>63</v>
      </c>
      <c r="F880" s="68">
        <f>SUMIFS([0]!Chavez,[0]!Centro,B882,[0]!Turno,F$855)</f>
        <v>7</v>
      </c>
      <c r="G880" s="68">
        <f>SUMIFS([0]!Chavez,[0]!Centro,B882,[0]!Turno,G$855)</f>
        <v>11</v>
      </c>
      <c r="H880" s="68">
        <f>SUMIFS([0]!Chavez,[0]!Centro,B882,[0]!Turno,H$855)</f>
        <v>15</v>
      </c>
      <c r="I880" s="68">
        <f>SUMIFS([0]!Chavez,[0]!Centro,B882,[0]!Turno,I$855)</f>
        <v>16</v>
      </c>
      <c r="J880" s="68">
        <f>SUMIFS([0]!Chavez,[0]!Centro,B882,[0]!Turno,J$855)</f>
        <v>0</v>
      </c>
      <c r="K880" s="68">
        <f>SUMIFS([0]!Chavez,[0]!Centro,B882,[0]!Turno,K$855)</f>
        <v>0</v>
      </c>
      <c r="L880" s="68">
        <f>SUMIFS([0]!Chavez,[0]!Centro,B882,[0]!Turno,L$855)</f>
        <v>14</v>
      </c>
      <c r="M880" s="68">
        <f>SUMIFS([0]!Chavez,[0]!Centro,B882,[0]!Turno,M$855)</f>
        <v>0</v>
      </c>
      <c r="N880" s="68">
        <f>SUMIFS([0]!Chavez,[0]!Centro,B882,[0]!Turno,N$855)</f>
        <v>0</v>
      </c>
      <c r="O880" s="68">
        <f>SUMIFS([0]!Chavez,[0]!Centro,B882,[0]!Turno,O$855)</f>
        <v>0</v>
      </c>
      <c r="P880" s="68">
        <f>SUMIFS([0]!Chavez,[0]!Centro,B882,[0]!Turno,P$855)</f>
        <v>0</v>
      </c>
      <c r="Q880" s="68">
        <f>SUMIFS([0]!Chavez,[0]!Centro,B882,[0]!Turno,Q$855)</f>
        <v>0</v>
      </c>
      <c r="R880" s="68">
        <f>SUMIFS([0]!Chavez,[0]!Centro,B882,[0]!Turno,R$855)</f>
        <v>0</v>
      </c>
      <c r="S880" s="68">
        <f>SUMIFS([0]!Chavez,[0]!Centro,B882,[0]!Turno,S$855)</f>
        <v>0</v>
      </c>
      <c r="T880" s="68">
        <f>SUMIFS([0]!Chavez,[0]!Centro,B882,[0]!Turno,T$855)</f>
        <v>0</v>
      </c>
      <c r="U880" s="68">
        <f>SUMIFS([0]!Chavez,[0]!Centro,B882,[0]!Turno,U$855)</f>
        <v>0</v>
      </c>
      <c r="V880" s="68">
        <f>SUMIFS([0]!Chavez,[0]!Centro,B882,[0]!Turno,V$855)</f>
        <v>0</v>
      </c>
      <c r="W880" s="68">
        <f>SUMIFS([0]!Chavez,[0]!Centro,B882,[0]!Turno,W$855)</f>
        <v>0</v>
      </c>
      <c r="X880" s="68">
        <f>SUMIFS([0]!Chavez,[0]!Centro,B882,[0]!Turno,X$855)</f>
        <v>0</v>
      </c>
      <c r="Y880" s="69">
        <f>SUMIFS([0]!Chavez,[0]!Centro,B882,[0]!Turno,Y$855)</f>
        <v>0</v>
      </c>
    </row>
    <row r="881" spans="2:25" ht="15" customHeight="1" x14ac:dyDescent="0.2">
      <c r="B881" s="250"/>
      <c r="C881" s="92">
        <f>E881/SUM(E880:E882)</f>
        <v>0.47499999999999998</v>
      </c>
      <c r="D881" s="61" t="s">
        <v>1</v>
      </c>
      <c r="E881" s="62">
        <f t="shared" si="2220"/>
        <v>57</v>
      </c>
      <c r="F881" s="62">
        <f>SUMIFS([0]!Capriles,[0]!Centro,B882,[0]!Turno,F$855)</f>
        <v>5</v>
      </c>
      <c r="G881" s="62">
        <f>SUMIFS([0]!Capriles,[0]!Centro,B882,[0]!Turno,G$855)</f>
        <v>8</v>
      </c>
      <c r="H881" s="62">
        <f>SUMIFS([0]!Capriles,[0]!Centro,B882,[0]!Turno,H$855)</f>
        <v>13</v>
      </c>
      <c r="I881" s="62">
        <f>SUMIFS([0]!Capriles,[0]!Centro,B882,[0]!Turno,I$855)</f>
        <v>10</v>
      </c>
      <c r="J881" s="62">
        <f>SUMIFS([0]!Capriles,[0]!Centro,B882,[0]!Turno,J$855)</f>
        <v>0</v>
      </c>
      <c r="K881" s="62">
        <f>SUMIFS([0]!Capriles,[0]!Centro,B882,[0]!Turno,K$855)</f>
        <v>0</v>
      </c>
      <c r="L881" s="62">
        <f>SUMIFS([0]!Capriles,[0]!Centro,B882,[0]!Turno,L$855)</f>
        <v>21</v>
      </c>
      <c r="M881" s="62">
        <f>SUMIFS([0]!Capriles,[0]!Centro,B882,[0]!Turno,M$855)</f>
        <v>0</v>
      </c>
      <c r="N881" s="62">
        <f>SUMIFS([0]!Capriles,[0]!Centro,B882,[0]!Turno,N$855)</f>
        <v>0</v>
      </c>
      <c r="O881" s="62">
        <f>SUMIFS([0]!Capriles,[0]!Centro,B882,[0]!Turno,O$855)</f>
        <v>0</v>
      </c>
      <c r="P881" s="62">
        <f>SUMIFS([0]!Capriles,[0]!Centro,B882,[0]!Turno,P$855)</f>
        <v>0</v>
      </c>
      <c r="Q881" s="62">
        <f>SUMIFS([0]!Capriles,[0]!Centro,B882,[0]!Turno,Q$855)</f>
        <v>0</v>
      </c>
      <c r="R881" s="62">
        <f>SUMIFS([0]!Capriles,[0]!Centro,B882,[0]!Turno,R$855)</f>
        <v>0</v>
      </c>
      <c r="S881" s="62">
        <f>SUMIFS([0]!Capriles,[0]!Centro,B882,[0]!Turno,S$855)</f>
        <v>0</v>
      </c>
      <c r="T881" s="62">
        <f>SUMIFS([0]!Capriles,[0]!Centro,B882,[0]!Turno,T$855)</f>
        <v>0</v>
      </c>
      <c r="U881" s="62">
        <f>SUMIFS([0]!Capriles,[0]!Centro,B882,[0]!Turno,U$855)</f>
        <v>0</v>
      </c>
      <c r="V881" s="62">
        <f>SUMIFS([0]!Capriles,[0]!Centro,B882,[0]!Turno,V$855)</f>
        <v>0</v>
      </c>
      <c r="W881" s="62">
        <f>SUMIFS([0]!Capriles,[0]!Centro,B882,[0]!Turno,W$855)</f>
        <v>0</v>
      </c>
      <c r="X881" s="62">
        <f>SUMIFS([0]!Capriles,[0]!Centro,B882,[0]!Turno,X$855)</f>
        <v>0</v>
      </c>
      <c r="Y881" s="70">
        <f>SUMIFS([0]!Capriles,[0]!Centro,B882,[0]!Turno,Y$855)</f>
        <v>0</v>
      </c>
    </row>
    <row r="882" spans="2:25" ht="15" customHeight="1" thickBot="1" x14ac:dyDescent="0.25">
      <c r="B882" s="251">
        <v>122</v>
      </c>
      <c r="C882" s="100">
        <f>E882/SUM(E880:E882)</f>
        <v>0</v>
      </c>
      <c r="D882" s="71" t="s">
        <v>2</v>
      </c>
      <c r="E882" s="72">
        <f t="shared" si="2220"/>
        <v>0</v>
      </c>
      <c r="F882" s="72">
        <f>SUMIFS([0]!Otro,[0]!Centro,B882,[0]!Turno,F$855)</f>
        <v>0</v>
      </c>
      <c r="G882" s="72">
        <f>SUMIFS([0]!Otro,[0]!Centro,B882,[0]!Turno,G$855)</f>
        <v>0</v>
      </c>
      <c r="H882" s="72">
        <f>SUMIFS([0]!Otro,[0]!Centro,B882,[0]!Turno,H$855)</f>
        <v>0</v>
      </c>
      <c r="I882" s="72">
        <f>SUMIFS([0]!Otro,[0]!Centro,B882,[0]!Turno,I$855)</f>
        <v>0</v>
      </c>
      <c r="J882" s="72">
        <f>SUMIFS([0]!Otro,[0]!Centro,B882,[0]!Turno,J$855)</f>
        <v>0</v>
      </c>
      <c r="K882" s="72">
        <f>SUMIFS([0]!Otro,[0]!Centro,B882,[0]!Turno,K$855)</f>
        <v>0</v>
      </c>
      <c r="L882" s="72">
        <f>SUMIFS([0]!Otro,[0]!Centro,B882,[0]!Turno,L$855)</f>
        <v>0</v>
      </c>
      <c r="M882" s="72">
        <f>SUMIFS([0]!Otro,[0]!Centro,B882,[0]!Turno,M$855)</f>
        <v>0</v>
      </c>
      <c r="N882" s="72">
        <f>SUMIFS([0]!Otro,[0]!Centro,B882,[0]!Turno,N$855)</f>
        <v>0</v>
      </c>
      <c r="O882" s="72">
        <f>SUMIFS([0]!Otro,[0]!Centro,B882,[0]!Turno,O$855)</f>
        <v>0</v>
      </c>
      <c r="P882" s="72">
        <f>SUMIFS([0]!Otro,[0]!Centro,B882,[0]!Turno,P$855)</f>
        <v>0</v>
      </c>
      <c r="Q882" s="72">
        <f>SUMIFS([0]!Otro,[0]!Centro,B882,[0]!Turno,Q$855)</f>
        <v>0</v>
      </c>
      <c r="R882" s="72">
        <f>SUMIFS([0]!Otro,[0]!Centro,B882,[0]!Turno,R$855)</f>
        <v>0</v>
      </c>
      <c r="S882" s="72">
        <f>SUMIFS([0]!Otro,[0]!Centro,B882,[0]!Turno,S$855)</f>
        <v>0</v>
      </c>
      <c r="T882" s="72">
        <f>SUMIFS([0]!Otro,[0]!Centro,B882,[0]!Turno,T$855)</f>
        <v>0</v>
      </c>
      <c r="U882" s="72">
        <f>SUMIFS([0]!Otro,[0]!Centro,B882,[0]!Turno,U$855)</f>
        <v>0</v>
      </c>
      <c r="V882" s="72">
        <f>SUMIFS([0]!Otro,[0]!Centro,B882,[0]!Turno,V$855)</f>
        <v>0</v>
      </c>
      <c r="W882" s="72">
        <f>SUMIFS([0]!Otro,[0]!Centro,B882,[0]!Turno,W$855)</f>
        <v>0</v>
      </c>
      <c r="X882" s="72">
        <f>SUMIFS([0]!Otro,[0]!Centro,B882,[0]!Turno,X$855)</f>
        <v>0</v>
      </c>
      <c r="Y882" s="73">
        <f>SUMIFS([0]!Otro,[0]!Centro,B882,[0]!Turno,Y$855)</f>
        <v>0</v>
      </c>
    </row>
    <row r="883" spans="2:25" ht="15" customHeight="1" x14ac:dyDescent="0.2">
      <c r="B883" s="251"/>
      <c r="C883" s="94">
        <f>E883/SUM(E883:E885)</f>
        <v>0.52500000000000002</v>
      </c>
      <c r="D883" s="63" t="s">
        <v>0</v>
      </c>
      <c r="E883" s="150">
        <f>IF((E880+E881+E882)=0,0,(E880*$B884)/(E880+E881+E882))</f>
        <v>3.6272024588101463E-2</v>
      </c>
      <c r="F883" s="150">
        <f>IF((F880+F881+F882)=0,0,(F880*$B884)/(F880+F881+F882))</f>
        <v>4.0302249542334967E-2</v>
      </c>
      <c r="G883" s="150">
        <f t="shared" ref="G883:Y883" si="2241">IF((G880+G881+G882)=0,0,(G880*$B884)/(G880+G881+G882))</f>
        <v>3.9999225109685829E-2</v>
      </c>
      <c r="H883" s="150">
        <f t="shared" si="2241"/>
        <v>3.7012269987858636E-2</v>
      </c>
      <c r="I883" s="150">
        <f t="shared" si="2241"/>
        <v>4.2516658857847875E-2</v>
      </c>
      <c r="J883" s="150">
        <f t="shared" si="2241"/>
        <v>0</v>
      </c>
      <c r="K883" s="150">
        <f t="shared" si="2241"/>
        <v>0</v>
      </c>
      <c r="L883" s="150">
        <f t="shared" si="2241"/>
        <v>2.7635828257601119E-2</v>
      </c>
      <c r="M883" s="150">
        <f t="shared" si="2241"/>
        <v>0</v>
      </c>
      <c r="N883" s="150">
        <f t="shared" si="2241"/>
        <v>0</v>
      </c>
      <c r="O883" s="150">
        <f t="shared" si="2241"/>
        <v>0</v>
      </c>
      <c r="P883" s="150">
        <f t="shared" si="2241"/>
        <v>0</v>
      </c>
      <c r="Q883" s="150">
        <f t="shared" si="2241"/>
        <v>0</v>
      </c>
      <c r="R883" s="150">
        <f t="shared" si="2241"/>
        <v>0</v>
      </c>
      <c r="S883" s="150">
        <f t="shared" si="2241"/>
        <v>0</v>
      </c>
      <c r="T883" s="150">
        <f t="shared" si="2241"/>
        <v>0</v>
      </c>
      <c r="U883" s="150">
        <f t="shared" si="2241"/>
        <v>0</v>
      </c>
      <c r="V883" s="150">
        <f t="shared" si="2241"/>
        <v>0</v>
      </c>
      <c r="W883" s="150">
        <f t="shared" si="2241"/>
        <v>0</v>
      </c>
      <c r="X883" s="150">
        <f t="shared" si="2241"/>
        <v>0</v>
      </c>
      <c r="Y883" s="163">
        <f t="shared" si="2241"/>
        <v>0</v>
      </c>
    </row>
    <row r="884" spans="2:25" ht="15" customHeight="1" x14ac:dyDescent="0.2">
      <c r="B884" s="252">
        <v>6.9089570644002798E-2</v>
      </c>
      <c r="C884" s="92">
        <f>E884/SUM(E883:E885)</f>
        <v>0.47500000000000009</v>
      </c>
      <c r="D884" s="61" t="s">
        <v>1</v>
      </c>
      <c r="E884" s="154">
        <f>IF((E880+E881+E882)=0,0,(E881*$B884)/(E880+E881+E882))</f>
        <v>3.2817546055901328E-2</v>
      </c>
      <c r="F884" s="154">
        <f>IF((F880+F881+F882)=0,0,(F881*$B884)/(F880+F881+F882))</f>
        <v>2.8787321101667832E-2</v>
      </c>
      <c r="G884" s="154">
        <f t="shared" ref="G884:O884" si="2242">IF((G880+G881+G882)=0,0,(G881*$B884)/(G880+G881+G882))</f>
        <v>2.9090345534316969E-2</v>
      </c>
      <c r="H884" s="154">
        <f t="shared" si="2242"/>
        <v>3.2077300656144156E-2</v>
      </c>
      <c r="I884" s="154">
        <f t="shared" si="2242"/>
        <v>2.657291178615492E-2</v>
      </c>
      <c r="J884" s="154">
        <f t="shared" si="2242"/>
        <v>0</v>
      </c>
      <c r="K884" s="154">
        <f t="shared" si="2242"/>
        <v>0</v>
      </c>
      <c r="L884" s="154">
        <f t="shared" si="2242"/>
        <v>4.1453742386401683E-2</v>
      </c>
      <c r="M884" s="154">
        <f t="shared" si="2242"/>
        <v>0</v>
      </c>
      <c r="N884" s="154">
        <f t="shared" si="2242"/>
        <v>0</v>
      </c>
      <c r="O884" s="154">
        <f t="shared" si="2242"/>
        <v>0</v>
      </c>
      <c r="P884" s="154">
        <f>IF((P880+P881+P882)=0,0,(P881*$B884)/(P880+P881+P882))</f>
        <v>0</v>
      </c>
      <c r="Q884" s="154">
        <f t="shared" ref="Q884:Y884" si="2243">IF((Q880+Q881+Q882)=0,0,(Q881*$B884)/(Q880+Q881+Q882))</f>
        <v>0</v>
      </c>
      <c r="R884" s="154">
        <f t="shared" si="2243"/>
        <v>0</v>
      </c>
      <c r="S884" s="154">
        <f t="shared" si="2243"/>
        <v>0</v>
      </c>
      <c r="T884" s="154">
        <f t="shared" si="2243"/>
        <v>0</v>
      </c>
      <c r="U884" s="154">
        <f t="shared" si="2243"/>
        <v>0</v>
      </c>
      <c r="V884" s="154">
        <f t="shared" si="2243"/>
        <v>0</v>
      </c>
      <c r="W884" s="154">
        <f t="shared" si="2243"/>
        <v>0</v>
      </c>
      <c r="X884" s="154">
        <f t="shared" si="2243"/>
        <v>0</v>
      </c>
      <c r="Y884" s="159">
        <f t="shared" si="2243"/>
        <v>0</v>
      </c>
    </row>
    <row r="885" spans="2:25" ht="15" customHeight="1" thickBot="1" x14ac:dyDescent="0.25">
      <c r="B885" s="253"/>
      <c r="C885" s="93">
        <f>E885/SUM(E883:E885)</f>
        <v>0</v>
      </c>
      <c r="D885" s="75" t="s">
        <v>2</v>
      </c>
      <c r="E885" s="155">
        <f>IF((E880+E881+E882)=0,0,(E882*$B884)/(E880+E881+E882))</f>
        <v>0</v>
      </c>
      <c r="F885" s="155">
        <f>IF((F880+F881+F882)=0,0,(F882*$B884)/(F880+F881+F882))</f>
        <v>0</v>
      </c>
      <c r="G885" s="155">
        <f t="shared" ref="G885:Y885" si="2244">IF((G880+G881+G882)=0,0,(G882*$B884)/(G880+G881+G882))</f>
        <v>0</v>
      </c>
      <c r="H885" s="155">
        <f t="shared" si="2244"/>
        <v>0</v>
      </c>
      <c r="I885" s="155">
        <f t="shared" si="2244"/>
        <v>0</v>
      </c>
      <c r="J885" s="155">
        <f t="shared" si="2244"/>
        <v>0</v>
      </c>
      <c r="K885" s="155">
        <f t="shared" si="2244"/>
        <v>0</v>
      </c>
      <c r="L885" s="155">
        <f t="shared" si="2244"/>
        <v>0</v>
      </c>
      <c r="M885" s="155">
        <f t="shared" si="2244"/>
        <v>0</v>
      </c>
      <c r="N885" s="155">
        <f t="shared" si="2244"/>
        <v>0</v>
      </c>
      <c r="O885" s="155">
        <f t="shared" si="2244"/>
        <v>0</v>
      </c>
      <c r="P885" s="155">
        <f t="shared" si="2244"/>
        <v>0</v>
      </c>
      <c r="Q885" s="155">
        <f t="shared" si="2244"/>
        <v>0</v>
      </c>
      <c r="R885" s="155">
        <f t="shared" si="2244"/>
        <v>0</v>
      </c>
      <c r="S885" s="155">
        <f t="shared" si="2244"/>
        <v>0</v>
      </c>
      <c r="T885" s="155">
        <f t="shared" si="2244"/>
        <v>0</v>
      </c>
      <c r="U885" s="155">
        <f t="shared" si="2244"/>
        <v>0</v>
      </c>
      <c r="V885" s="155">
        <f t="shared" si="2244"/>
        <v>0</v>
      </c>
      <c r="W885" s="155">
        <f t="shared" si="2244"/>
        <v>0</v>
      </c>
      <c r="X885" s="155">
        <f t="shared" si="2244"/>
        <v>0</v>
      </c>
      <c r="Y885" s="160">
        <f t="shared" si="2244"/>
        <v>0</v>
      </c>
    </row>
    <row r="886" spans="2:25" ht="15" customHeight="1" x14ac:dyDescent="0.2">
      <c r="B886" s="249" t="s">
        <v>145</v>
      </c>
      <c r="C886" s="91">
        <f>E886/SUM(E886:E888)</f>
        <v>0.40579710144927539</v>
      </c>
      <c r="D886" s="67" t="s">
        <v>0</v>
      </c>
      <c r="E886" s="68">
        <f t="shared" si="2220"/>
        <v>28</v>
      </c>
      <c r="F886" s="68">
        <f>SUMIFS([0]!Chavez,[0]!Centro,B888,[0]!Turno,F$855)</f>
        <v>10</v>
      </c>
      <c r="G886" s="68">
        <f>SUMIFS([0]!Chavez,[0]!Centro,B888,[0]!Turno,G$855)</f>
        <v>0</v>
      </c>
      <c r="H886" s="68">
        <f>SUMIFS([0]!Chavez,[0]!Centro,B888,[0]!Turno,H$855)</f>
        <v>8</v>
      </c>
      <c r="I886" s="68">
        <f>SUMIFS([0]!Chavez,[0]!Centro,B888,[0]!Turno,I$855)</f>
        <v>0</v>
      </c>
      <c r="J886" s="68">
        <f>SUMIFS([0]!Chavez,[0]!Centro,B888,[0]!Turno,J$855)</f>
        <v>0</v>
      </c>
      <c r="K886" s="68">
        <f>SUMIFS([0]!Chavez,[0]!Centro,B888,[0]!Turno,K$855)</f>
        <v>0</v>
      </c>
      <c r="L886" s="68">
        <f>SUMIFS([0]!Chavez,[0]!Centro,B888,[0]!Turno,L$855)</f>
        <v>10</v>
      </c>
      <c r="M886" s="68">
        <f>SUMIFS([0]!Chavez,[0]!Centro,B888,[0]!Turno,M$855)</f>
        <v>0</v>
      </c>
      <c r="N886" s="68">
        <f>SUMIFS([0]!Chavez,[0]!Centro,B888,[0]!Turno,N$855)</f>
        <v>0</v>
      </c>
      <c r="O886" s="68">
        <f>SUMIFS([0]!Chavez,[0]!Centro,B888,[0]!Turno,O$855)</f>
        <v>0</v>
      </c>
      <c r="P886" s="68">
        <f>SUMIFS([0]!Chavez,[0]!Centro,B888,[0]!Turno,P$855)</f>
        <v>0</v>
      </c>
      <c r="Q886" s="68">
        <f>SUMIFS([0]!Chavez,[0]!Centro,B888,[0]!Turno,Q$855)</f>
        <v>0</v>
      </c>
      <c r="R886" s="68">
        <f>SUMIFS([0]!Chavez,[0]!Centro,B888,[0]!Turno,R$855)</f>
        <v>0</v>
      </c>
      <c r="S886" s="68">
        <f>SUMIFS([0]!Chavez,[0]!Centro,B888,[0]!Turno,S$855)</f>
        <v>0</v>
      </c>
      <c r="T886" s="68">
        <f>SUMIFS([0]!Chavez,[0]!Centro,B888,[0]!Turno,T$855)</f>
        <v>0</v>
      </c>
      <c r="U886" s="68">
        <f>SUMIFS([0]!Chavez,[0]!Centro,B888,[0]!Turno,U$855)</f>
        <v>0</v>
      </c>
      <c r="V886" s="68">
        <f>SUMIFS([0]!Chavez,[0]!Centro,B888,[0]!Turno,V$855)</f>
        <v>0</v>
      </c>
      <c r="W886" s="68">
        <f>SUMIFS([0]!Chavez,[0]!Centro,B888,[0]!Turno,W$855)</f>
        <v>0</v>
      </c>
      <c r="X886" s="68">
        <f>SUMIFS([0]!Chavez,[0]!Centro,B888,[0]!Turno,X$855)</f>
        <v>0</v>
      </c>
      <c r="Y886" s="69">
        <f>SUMIFS([0]!Chavez,[0]!Centro,B888,[0]!Turno,Y$855)</f>
        <v>0</v>
      </c>
    </row>
    <row r="887" spans="2:25" ht="15" customHeight="1" x14ac:dyDescent="0.2">
      <c r="B887" s="250"/>
      <c r="C887" s="92">
        <f>E887/SUM(E886:E888)</f>
        <v>0.56521739130434778</v>
      </c>
      <c r="D887" s="61" t="s">
        <v>1</v>
      </c>
      <c r="E887" s="62">
        <f t="shared" si="2220"/>
        <v>39</v>
      </c>
      <c r="F887" s="62">
        <f>SUMIFS([0]!Capriles,[0]!Centro,B888,[0]!Turno,F$855)</f>
        <v>8</v>
      </c>
      <c r="G887" s="62">
        <f>SUMIFS([0]!Capriles,[0]!Centro,B888,[0]!Turno,G$855)</f>
        <v>0</v>
      </c>
      <c r="H887" s="62">
        <f>SUMIFS([0]!Capriles,[0]!Centro,B888,[0]!Turno,H$855)</f>
        <v>25</v>
      </c>
      <c r="I887" s="62">
        <f>SUMIFS([0]!Capriles,[0]!Centro,B888,[0]!Turno,I$855)</f>
        <v>0</v>
      </c>
      <c r="J887" s="62">
        <f>SUMIFS([0]!Capriles,[0]!Centro,B888,[0]!Turno,J$855)</f>
        <v>0</v>
      </c>
      <c r="K887" s="62">
        <f>SUMIFS([0]!Capriles,[0]!Centro,B888,[0]!Turno,K$855)</f>
        <v>0</v>
      </c>
      <c r="L887" s="62">
        <f>SUMIFS([0]!Capriles,[0]!Centro,B888,[0]!Turno,L$855)</f>
        <v>6</v>
      </c>
      <c r="M887" s="62">
        <f>SUMIFS([0]!Capriles,[0]!Centro,B888,[0]!Turno,M$855)</f>
        <v>0</v>
      </c>
      <c r="N887" s="62">
        <f>SUMIFS([0]!Capriles,[0]!Centro,B888,[0]!Turno,N$855)</f>
        <v>0</v>
      </c>
      <c r="O887" s="62">
        <f>SUMIFS([0]!Capriles,[0]!Centro,B888,[0]!Turno,O$855)</f>
        <v>0</v>
      </c>
      <c r="P887" s="62">
        <f>SUMIFS([0]!Capriles,[0]!Centro,B888,[0]!Turno,P$855)</f>
        <v>0</v>
      </c>
      <c r="Q887" s="62">
        <f>SUMIFS([0]!Capriles,[0]!Centro,B888,[0]!Turno,Q$855)</f>
        <v>0</v>
      </c>
      <c r="R887" s="62">
        <f>SUMIFS([0]!Capriles,[0]!Centro,B888,[0]!Turno,R$855)</f>
        <v>0</v>
      </c>
      <c r="S887" s="62">
        <f>SUMIFS([0]!Capriles,[0]!Centro,B888,[0]!Turno,S$855)</f>
        <v>0</v>
      </c>
      <c r="T887" s="62">
        <f>SUMIFS([0]!Capriles,[0]!Centro,B888,[0]!Turno,T$855)</f>
        <v>0</v>
      </c>
      <c r="U887" s="62">
        <f>SUMIFS([0]!Capriles,[0]!Centro,B888,[0]!Turno,U$855)</f>
        <v>0</v>
      </c>
      <c r="V887" s="62">
        <f>SUMIFS([0]!Capriles,[0]!Centro,B888,[0]!Turno,V$855)</f>
        <v>0</v>
      </c>
      <c r="W887" s="62">
        <f>SUMIFS([0]!Capriles,[0]!Centro,B888,[0]!Turno,W$855)</f>
        <v>0</v>
      </c>
      <c r="X887" s="62">
        <f>SUMIFS([0]!Capriles,[0]!Centro,B888,[0]!Turno,X$855)</f>
        <v>0</v>
      </c>
      <c r="Y887" s="70">
        <f>SUMIFS([0]!Capriles,[0]!Centro,B888,[0]!Turno,Y$855)</f>
        <v>0</v>
      </c>
    </row>
    <row r="888" spans="2:25" ht="15" customHeight="1" thickBot="1" x14ac:dyDescent="0.25">
      <c r="B888" s="251">
        <v>123</v>
      </c>
      <c r="C888" s="100">
        <f>E888/SUM(E886:E888)</f>
        <v>2.8985507246376812E-2</v>
      </c>
      <c r="D888" s="71" t="s">
        <v>2</v>
      </c>
      <c r="E888" s="72">
        <f t="shared" si="2220"/>
        <v>2</v>
      </c>
      <c r="F888" s="72">
        <f>SUMIFS([0]!Otro,[0]!Centro,B888,[0]!Turno,F$855)</f>
        <v>2</v>
      </c>
      <c r="G888" s="72">
        <f>SUMIFS([0]!Otro,[0]!Centro,B888,[0]!Turno,G$855)</f>
        <v>0</v>
      </c>
      <c r="H888" s="72">
        <f>SUMIFS([0]!Otro,[0]!Centro,B888,[0]!Turno,H$855)</f>
        <v>0</v>
      </c>
      <c r="I888" s="72">
        <f>SUMIFS([0]!Otro,[0]!Centro,B888,[0]!Turno,I$855)</f>
        <v>0</v>
      </c>
      <c r="J888" s="72">
        <f>SUMIFS([0]!Otro,[0]!Centro,B888,[0]!Turno,J$855)</f>
        <v>0</v>
      </c>
      <c r="K888" s="72">
        <f>SUMIFS([0]!Otro,[0]!Centro,B888,[0]!Turno,K$855)</f>
        <v>0</v>
      </c>
      <c r="L888" s="72">
        <f>SUMIFS([0]!Otro,[0]!Centro,B888,[0]!Turno,L$855)</f>
        <v>0</v>
      </c>
      <c r="M888" s="72">
        <f>SUMIFS([0]!Otro,[0]!Centro,B888,[0]!Turno,M$855)</f>
        <v>0</v>
      </c>
      <c r="N888" s="72">
        <f>SUMIFS([0]!Otro,[0]!Centro,B888,[0]!Turno,N$855)</f>
        <v>0</v>
      </c>
      <c r="O888" s="72">
        <f>SUMIFS([0]!Otro,[0]!Centro,B888,[0]!Turno,O$855)</f>
        <v>0</v>
      </c>
      <c r="P888" s="72">
        <f>SUMIFS([0]!Otro,[0]!Centro,B888,[0]!Turno,P$855)</f>
        <v>0</v>
      </c>
      <c r="Q888" s="72">
        <f>SUMIFS([0]!Otro,[0]!Centro,B888,[0]!Turno,Q$855)</f>
        <v>0</v>
      </c>
      <c r="R888" s="72">
        <f>SUMIFS([0]!Otro,[0]!Centro,B888,[0]!Turno,R$855)</f>
        <v>0</v>
      </c>
      <c r="S888" s="72">
        <f>SUMIFS([0]!Otro,[0]!Centro,B888,[0]!Turno,S$855)</f>
        <v>0</v>
      </c>
      <c r="T888" s="72">
        <f>SUMIFS([0]!Otro,[0]!Centro,B888,[0]!Turno,T$855)</f>
        <v>0</v>
      </c>
      <c r="U888" s="72">
        <f>SUMIFS([0]!Otro,[0]!Centro,B888,[0]!Turno,U$855)</f>
        <v>0</v>
      </c>
      <c r="V888" s="72">
        <f>SUMIFS([0]!Otro,[0]!Centro,B888,[0]!Turno,V$855)</f>
        <v>0</v>
      </c>
      <c r="W888" s="72">
        <f>SUMIFS([0]!Otro,[0]!Centro,B888,[0]!Turno,W$855)</f>
        <v>0</v>
      </c>
      <c r="X888" s="72">
        <f>SUMIFS([0]!Otro,[0]!Centro,B888,[0]!Turno,X$855)</f>
        <v>0</v>
      </c>
      <c r="Y888" s="73">
        <f>SUMIFS([0]!Otro,[0]!Centro,B888,[0]!Turno,Y$855)</f>
        <v>0</v>
      </c>
    </row>
    <row r="889" spans="2:25" ht="15" customHeight="1" x14ac:dyDescent="0.2">
      <c r="B889" s="251"/>
      <c r="C889" s="94">
        <f>E889/SUM(E889:E891)</f>
        <v>0.40579710144927533</v>
      </c>
      <c r="D889" s="63" t="s">
        <v>0</v>
      </c>
      <c r="E889" s="150">
        <f>IF((E886+E887+E888)=0,0,(E886*$B890)/(E886+E887+E888))</f>
        <v>4.670333652824122E-2</v>
      </c>
      <c r="F889" s="150">
        <f>IF((F886+F887+F888)=0,0,(F886*$B890)/(F886+F887+F888))</f>
        <v>5.7545182508011508E-2</v>
      </c>
      <c r="G889" s="150">
        <f t="shared" ref="G889:Y889" si="2245">IF((G886+G887+G888)=0,0,(G886*$B890)/(G886+G887+G888))</f>
        <v>0</v>
      </c>
      <c r="H889" s="150">
        <f t="shared" si="2245"/>
        <v>2.7900694549338911E-2</v>
      </c>
      <c r="I889" s="150">
        <f t="shared" si="2245"/>
        <v>0</v>
      </c>
      <c r="J889" s="150">
        <f t="shared" si="2245"/>
        <v>0</v>
      </c>
      <c r="K889" s="150">
        <f t="shared" si="2245"/>
        <v>0</v>
      </c>
      <c r="L889" s="150">
        <f t="shared" si="2245"/>
        <v>7.1931478135014382E-2</v>
      </c>
      <c r="M889" s="150">
        <f t="shared" si="2245"/>
        <v>0</v>
      </c>
      <c r="N889" s="150">
        <f t="shared" si="2245"/>
        <v>0</v>
      </c>
      <c r="O889" s="150">
        <f t="shared" si="2245"/>
        <v>0</v>
      </c>
      <c r="P889" s="150">
        <f t="shared" si="2245"/>
        <v>0</v>
      </c>
      <c r="Q889" s="150">
        <f t="shared" si="2245"/>
        <v>0</v>
      </c>
      <c r="R889" s="150">
        <f t="shared" si="2245"/>
        <v>0</v>
      </c>
      <c r="S889" s="150">
        <f t="shared" si="2245"/>
        <v>0</v>
      </c>
      <c r="T889" s="150">
        <f t="shared" si="2245"/>
        <v>0</v>
      </c>
      <c r="U889" s="150">
        <f t="shared" si="2245"/>
        <v>0</v>
      </c>
      <c r="V889" s="150">
        <f t="shared" si="2245"/>
        <v>0</v>
      </c>
      <c r="W889" s="150">
        <f t="shared" si="2245"/>
        <v>0</v>
      </c>
      <c r="X889" s="150">
        <f t="shared" si="2245"/>
        <v>0</v>
      </c>
      <c r="Y889" s="163">
        <f t="shared" si="2245"/>
        <v>0</v>
      </c>
    </row>
    <row r="890" spans="2:25" ht="15" customHeight="1" x14ac:dyDescent="0.2">
      <c r="B890" s="252">
        <v>0.115090365016023</v>
      </c>
      <c r="C890" s="92">
        <f>E890/SUM(E889:E891)</f>
        <v>0.56521739130434778</v>
      </c>
      <c r="D890" s="61" t="s">
        <v>1</v>
      </c>
      <c r="E890" s="154">
        <f>IF((E886+E887+E888)=0,0,(E887*$B890)/(E886+E887+E888))</f>
        <v>6.5051075878621703E-2</v>
      </c>
      <c r="F890" s="154">
        <f>IF((F886+F887+F888)=0,0,(F887*$B890)/(F886+F887+F888))</f>
        <v>4.60361460064092E-2</v>
      </c>
      <c r="G890" s="154">
        <f t="shared" ref="G890:O890" si="2246">IF((G886+G887+G888)=0,0,(G887*$B890)/(G886+G887+G888))</f>
        <v>0</v>
      </c>
      <c r="H890" s="154">
        <f t="shared" si="2246"/>
        <v>8.7189670466684105E-2</v>
      </c>
      <c r="I890" s="154">
        <f t="shared" si="2246"/>
        <v>0</v>
      </c>
      <c r="J890" s="154">
        <f t="shared" si="2246"/>
        <v>0</v>
      </c>
      <c r="K890" s="154">
        <f t="shared" si="2246"/>
        <v>0</v>
      </c>
      <c r="L890" s="154">
        <f t="shared" si="2246"/>
        <v>4.3158886881008628E-2</v>
      </c>
      <c r="M890" s="154">
        <f t="shared" si="2246"/>
        <v>0</v>
      </c>
      <c r="N890" s="154">
        <f t="shared" si="2246"/>
        <v>0</v>
      </c>
      <c r="O890" s="154">
        <f t="shared" si="2246"/>
        <v>0</v>
      </c>
      <c r="P890" s="154">
        <f>IF((P886+P887+P888)=0,0,(P887*$B890)/(P886+P887+P888))</f>
        <v>0</v>
      </c>
      <c r="Q890" s="154">
        <f t="shared" ref="Q890:Y890" si="2247">IF((Q886+Q887+Q888)=0,0,(Q887*$B890)/(Q886+Q887+Q888))</f>
        <v>0</v>
      </c>
      <c r="R890" s="154">
        <f t="shared" si="2247"/>
        <v>0</v>
      </c>
      <c r="S890" s="154">
        <f t="shared" si="2247"/>
        <v>0</v>
      </c>
      <c r="T890" s="154">
        <f t="shared" si="2247"/>
        <v>0</v>
      </c>
      <c r="U890" s="154">
        <f t="shared" si="2247"/>
        <v>0</v>
      </c>
      <c r="V890" s="154">
        <f t="shared" si="2247"/>
        <v>0</v>
      </c>
      <c r="W890" s="154">
        <f t="shared" si="2247"/>
        <v>0</v>
      </c>
      <c r="X890" s="154">
        <f t="shared" si="2247"/>
        <v>0</v>
      </c>
      <c r="Y890" s="159">
        <f t="shared" si="2247"/>
        <v>0</v>
      </c>
    </row>
    <row r="891" spans="2:25" ht="15" customHeight="1" thickBot="1" x14ac:dyDescent="0.25">
      <c r="B891" s="253"/>
      <c r="C891" s="93">
        <f>E891/SUM(E889:E891)</f>
        <v>2.8985507246376808E-2</v>
      </c>
      <c r="D891" s="75" t="s">
        <v>2</v>
      </c>
      <c r="E891" s="155">
        <f>IF((E886+E887+E888)=0,0,(E888*$B890)/(E886+E887+E888))</f>
        <v>3.3359526091600871E-3</v>
      </c>
      <c r="F891" s="155">
        <f>IF((F886+F887+F888)=0,0,(F888*$B890)/(F886+F887+F888))</f>
        <v>1.15090365016023E-2</v>
      </c>
      <c r="G891" s="155">
        <f t="shared" ref="G891:Y891" si="2248">IF((G886+G887+G888)=0,0,(G888*$B890)/(G886+G887+G888))</f>
        <v>0</v>
      </c>
      <c r="H891" s="155">
        <f t="shared" si="2248"/>
        <v>0</v>
      </c>
      <c r="I891" s="155">
        <f t="shared" si="2248"/>
        <v>0</v>
      </c>
      <c r="J891" s="155">
        <f t="shared" si="2248"/>
        <v>0</v>
      </c>
      <c r="K891" s="155">
        <f t="shared" si="2248"/>
        <v>0</v>
      </c>
      <c r="L891" s="155">
        <f t="shared" si="2248"/>
        <v>0</v>
      </c>
      <c r="M891" s="155">
        <f t="shared" si="2248"/>
        <v>0</v>
      </c>
      <c r="N891" s="155">
        <f t="shared" si="2248"/>
        <v>0</v>
      </c>
      <c r="O891" s="155">
        <f t="shared" si="2248"/>
        <v>0</v>
      </c>
      <c r="P891" s="155">
        <f t="shared" si="2248"/>
        <v>0</v>
      </c>
      <c r="Q891" s="155">
        <f t="shared" si="2248"/>
        <v>0</v>
      </c>
      <c r="R891" s="155">
        <f t="shared" si="2248"/>
        <v>0</v>
      </c>
      <c r="S891" s="155">
        <f t="shared" si="2248"/>
        <v>0</v>
      </c>
      <c r="T891" s="155">
        <f t="shared" si="2248"/>
        <v>0</v>
      </c>
      <c r="U891" s="155">
        <f t="shared" si="2248"/>
        <v>0</v>
      </c>
      <c r="V891" s="155">
        <f t="shared" si="2248"/>
        <v>0</v>
      </c>
      <c r="W891" s="155">
        <f t="shared" si="2248"/>
        <v>0</v>
      </c>
      <c r="X891" s="155">
        <f t="shared" si="2248"/>
        <v>0</v>
      </c>
      <c r="Y891" s="160">
        <f t="shared" si="2248"/>
        <v>0</v>
      </c>
    </row>
    <row r="892" spans="2:25" ht="15" customHeight="1" x14ac:dyDescent="0.2">
      <c r="B892" s="249" t="s">
        <v>146</v>
      </c>
      <c r="C892" s="91">
        <f>E892/SUM(E892:E894)</f>
        <v>0.41666666666666669</v>
      </c>
      <c r="D892" s="67" t="s">
        <v>0</v>
      </c>
      <c r="E892" s="68">
        <f t="shared" si="2220"/>
        <v>40</v>
      </c>
      <c r="F892" s="68">
        <f>SUMIFS([0]!Chavez,[0]!Centro,B894,[0]!Turno,F$855)</f>
        <v>0</v>
      </c>
      <c r="G892" s="68">
        <f>SUMIFS([0]!Chavez,[0]!Centro,B894,[0]!Turno,G$855)</f>
        <v>8</v>
      </c>
      <c r="H892" s="68">
        <f>SUMIFS([0]!Chavez,[0]!Centro,B894,[0]!Turno,H$855)</f>
        <v>11</v>
      </c>
      <c r="I892" s="68">
        <f>SUMIFS([0]!Chavez,[0]!Centro,B894,[0]!Turno,I$855)</f>
        <v>5</v>
      </c>
      <c r="J892" s="68">
        <f>SUMIFS([0]!Chavez,[0]!Centro,B894,[0]!Turno,J$855)</f>
        <v>9</v>
      </c>
      <c r="K892" s="68">
        <f>SUMIFS([0]!Chavez,[0]!Centro,B894,[0]!Turno,K$855)</f>
        <v>0</v>
      </c>
      <c r="L892" s="68">
        <f>SUMIFS([0]!Chavez,[0]!Centro,B894,[0]!Turno,L$855)</f>
        <v>7</v>
      </c>
      <c r="M892" s="68">
        <f>SUMIFS([0]!Chavez,[0]!Centro,B894,[0]!Turno,M$855)</f>
        <v>0</v>
      </c>
      <c r="N892" s="68">
        <f>SUMIFS([0]!Chavez,[0]!Centro,B894,[0]!Turno,N$855)</f>
        <v>0</v>
      </c>
      <c r="O892" s="68">
        <f>SUMIFS([0]!Chavez,[0]!Centro,B894,[0]!Turno,O$855)</f>
        <v>0</v>
      </c>
      <c r="P892" s="68">
        <f>SUMIFS([0]!Chavez,[0]!Centro,B894,[0]!Turno,P$855)</f>
        <v>0</v>
      </c>
      <c r="Q892" s="68">
        <f>SUMIFS([0]!Chavez,[0]!Centro,B894,[0]!Turno,Q$855)</f>
        <v>0</v>
      </c>
      <c r="R892" s="68">
        <f>SUMIFS([0]!Chavez,[0]!Centro,B894,[0]!Turno,R$855)</f>
        <v>0</v>
      </c>
      <c r="S892" s="68">
        <f>SUMIFS([0]!Chavez,[0]!Centro,B894,[0]!Turno,S$855)</f>
        <v>0</v>
      </c>
      <c r="T892" s="68">
        <f>SUMIFS([0]!Chavez,[0]!Centro,B894,[0]!Turno,T$855)</f>
        <v>0</v>
      </c>
      <c r="U892" s="68">
        <f>SUMIFS([0]!Chavez,[0]!Centro,B894,[0]!Turno,U$855)</f>
        <v>0</v>
      </c>
      <c r="V892" s="68">
        <f>SUMIFS([0]!Chavez,[0]!Centro,B894,[0]!Turno,V$855)</f>
        <v>0</v>
      </c>
      <c r="W892" s="68">
        <f>SUMIFS([0]!Chavez,[0]!Centro,B894,[0]!Turno,W$855)</f>
        <v>0</v>
      </c>
      <c r="X892" s="68">
        <f>SUMIFS([0]!Chavez,[0]!Centro,B894,[0]!Turno,X$855)</f>
        <v>0</v>
      </c>
      <c r="Y892" s="69">
        <f>SUMIFS([0]!Chavez,[0]!Centro,B894,[0]!Turno,Y$855)</f>
        <v>0</v>
      </c>
    </row>
    <row r="893" spans="2:25" ht="15" customHeight="1" x14ac:dyDescent="0.2">
      <c r="B893" s="250"/>
      <c r="C893" s="92">
        <f>E893/SUM(E892:E894)</f>
        <v>0.57291666666666663</v>
      </c>
      <c r="D893" s="61" t="s">
        <v>1</v>
      </c>
      <c r="E893" s="62">
        <f t="shared" si="2220"/>
        <v>55</v>
      </c>
      <c r="F893" s="62">
        <f>SUMIFS([0]!Capriles,[0]!Centro,B894,[0]!Turno,F$855)</f>
        <v>0</v>
      </c>
      <c r="G893" s="62">
        <f>SUMIFS([0]!Capriles,[0]!Centro,B894,[0]!Turno,G$855)</f>
        <v>12</v>
      </c>
      <c r="H893" s="62">
        <f>SUMIFS([0]!Capriles,[0]!Centro,B894,[0]!Turno,H$855)</f>
        <v>8</v>
      </c>
      <c r="I893" s="62">
        <f>SUMIFS([0]!Capriles,[0]!Centro,B894,[0]!Turno,I$855)</f>
        <v>15</v>
      </c>
      <c r="J893" s="62">
        <f>SUMIFS([0]!Capriles,[0]!Centro,B894,[0]!Turno,J$855)</f>
        <v>10</v>
      </c>
      <c r="K893" s="62">
        <f>SUMIFS([0]!Capriles,[0]!Centro,B894,[0]!Turno,K$855)</f>
        <v>0</v>
      </c>
      <c r="L893" s="62">
        <f>SUMIFS([0]!Capriles,[0]!Centro,B894,[0]!Turno,L$855)</f>
        <v>10</v>
      </c>
      <c r="M893" s="62">
        <f>SUMIFS([0]!Capriles,[0]!Centro,B894,[0]!Turno,M$855)</f>
        <v>0</v>
      </c>
      <c r="N893" s="62">
        <f>SUMIFS([0]!Capriles,[0]!Centro,B894,[0]!Turno,N$855)</f>
        <v>0</v>
      </c>
      <c r="O893" s="62">
        <f>SUMIFS([0]!Capriles,[0]!Centro,B894,[0]!Turno,O$855)</f>
        <v>0</v>
      </c>
      <c r="P893" s="62">
        <f>SUMIFS([0]!Capriles,[0]!Centro,B894,[0]!Turno,P$855)</f>
        <v>0</v>
      </c>
      <c r="Q893" s="62">
        <f>SUMIFS([0]!Capriles,[0]!Centro,B894,[0]!Turno,Q$855)</f>
        <v>0</v>
      </c>
      <c r="R893" s="62">
        <f>SUMIFS([0]!Capriles,[0]!Centro,B894,[0]!Turno,R$855)</f>
        <v>0</v>
      </c>
      <c r="S893" s="62">
        <f>SUMIFS([0]!Capriles,[0]!Centro,B894,[0]!Turno,S$855)</f>
        <v>0</v>
      </c>
      <c r="T893" s="62">
        <f>SUMIFS([0]!Capriles,[0]!Centro,B894,[0]!Turno,T$855)</f>
        <v>0</v>
      </c>
      <c r="U893" s="62">
        <f>SUMIFS([0]!Capriles,[0]!Centro,B894,[0]!Turno,U$855)</f>
        <v>0</v>
      </c>
      <c r="V893" s="62">
        <f>SUMIFS([0]!Capriles,[0]!Centro,B894,[0]!Turno,V$855)</f>
        <v>0</v>
      </c>
      <c r="W893" s="62">
        <f>SUMIFS([0]!Capriles,[0]!Centro,B894,[0]!Turno,W$855)</f>
        <v>0</v>
      </c>
      <c r="X893" s="62">
        <f>SUMIFS([0]!Capriles,[0]!Centro,B894,[0]!Turno,X$855)</f>
        <v>0</v>
      </c>
      <c r="Y893" s="70">
        <f>SUMIFS([0]!Capriles,[0]!Centro,B894,[0]!Turno,Y$855)</f>
        <v>0</v>
      </c>
    </row>
    <row r="894" spans="2:25" ht="15" customHeight="1" thickBot="1" x14ac:dyDescent="0.25">
      <c r="B894" s="251">
        <v>124</v>
      </c>
      <c r="C894" s="100">
        <f>E894/SUM(E892:E894)</f>
        <v>1.0416666666666666E-2</v>
      </c>
      <c r="D894" s="71" t="s">
        <v>2</v>
      </c>
      <c r="E894" s="72">
        <f t="shared" si="2220"/>
        <v>1</v>
      </c>
      <c r="F894" s="72">
        <f>SUMIFS([0]!Otro,[0]!Centro,B894,[0]!Turno,F$855)</f>
        <v>0</v>
      </c>
      <c r="G894" s="72">
        <f>SUMIFS([0]!Otro,[0]!Centro,B894,[0]!Turno,G$855)</f>
        <v>0</v>
      </c>
      <c r="H894" s="72">
        <f>SUMIFS([0]!Otro,[0]!Centro,B894,[0]!Turno,H$855)</f>
        <v>1</v>
      </c>
      <c r="I894" s="72">
        <f>SUMIFS([0]!Otro,[0]!Centro,B894,[0]!Turno,I$855)</f>
        <v>0</v>
      </c>
      <c r="J894" s="72">
        <f>SUMIFS([0]!Otro,[0]!Centro,B894,[0]!Turno,J$855)</f>
        <v>0</v>
      </c>
      <c r="K894" s="72">
        <f>SUMIFS([0]!Otro,[0]!Centro,B894,[0]!Turno,K$855)</f>
        <v>0</v>
      </c>
      <c r="L894" s="72">
        <f>SUMIFS([0]!Otro,[0]!Centro,B894,[0]!Turno,L$855)</f>
        <v>0</v>
      </c>
      <c r="M894" s="72">
        <f>SUMIFS([0]!Otro,[0]!Centro,B894,[0]!Turno,M$855)</f>
        <v>0</v>
      </c>
      <c r="N894" s="72">
        <f>SUMIFS([0]!Otro,[0]!Centro,B894,[0]!Turno,N$855)</f>
        <v>0</v>
      </c>
      <c r="O894" s="72">
        <f>SUMIFS([0]!Otro,[0]!Centro,B894,[0]!Turno,O$855)</f>
        <v>0</v>
      </c>
      <c r="P894" s="72">
        <f>SUMIFS([0]!Otro,[0]!Centro,B894,[0]!Turno,P$855)</f>
        <v>0</v>
      </c>
      <c r="Q894" s="72">
        <f>SUMIFS([0]!Otro,[0]!Centro,B894,[0]!Turno,Q$855)</f>
        <v>0</v>
      </c>
      <c r="R894" s="72">
        <f>SUMIFS([0]!Otro,[0]!Centro,B894,[0]!Turno,R$855)</f>
        <v>0</v>
      </c>
      <c r="S894" s="72">
        <f>SUMIFS([0]!Otro,[0]!Centro,B894,[0]!Turno,S$855)</f>
        <v>0</v>
      </c>
      <c r="T894" s="72">
        <f>SUMIFS([0]!Otro,[0]!Centro,B894,[0]!Turno,T$855)</f>
        <v>0</v>
      </c>
      <c r="U894" s="72">
        <f>SUMIFS([0]!Otro,[0]!Centro,B894,[0]!Turno,U$855)</f>
        <v>0</v>
      </c>
      <c r="V894" s="72">
        <f>SUMIFS([0]!Otro,[0]!Centro,B894,[0]!Turno,V$855)</f>
        <v>0</v>
      </c>
      <c r="W894" s="72">
        <f>SUMIFS([0]!Otro,[0]!Centro,B894,[0]!Turno,W$855)</f>
        <v>0</v>
      </c>
      <c r="X894" s="72">
        <f>SUMIFS([0]!Otro,[0]!Centro,B894,[0]!Turno,X$855)</f>
        <v>0</v>
      </c>
      <c r="Y894" s="73">
        <f>SUMIFS([0]!Otro,[0]!Centro,B894,[0]!Turno,Y$855)</f>
        <v>0</v>
      </c>
    </row>
    <row r="895" spans="2:25" ht="15" customHeight="1" x14ac:dyDescent="0.2">
      <c r="B895" s="251"/>
      <c r="C895" s="94">
        <f>E895/SUM(E895:E897)</f>
        <v>0.41666666666666663</v>
      </c>
      <c r="D895" s="63" t="s">
        <v>0</v>
      </c>
      <c r="E895" s="150">
        <f>IF((E892+E893+E894)=0,0,(E892*$B896)/(E892+E893+E894))</f>
        <v>2.9556739026610084E-2</v>
      </c>
      <c r="F895" s="150">
        <f>IF((F892+F893+F894)=0,0,(F892*$B896)/(F892+F893+F894))</f>
        <v>0</v>
      </c>
      <c r="G895" s="150">
        <f t="shared" ref="G895:Y895" si="2249">IF((G892+G893+G894)=0,0,(G892*$B896)/(G892+G893+G894))</f>
        <v>2.8374469465545681E-2</v>
      </c>
      <c r="H895" s="150">
        <f t="shared" si="2249"/>
        <v>3.9014895515125311E-2</v>
      </c>
      <c r="I895" s="150">
        <f t="shared" si="2249"/>
        <v>1.7734043415966051E-2</v>
      </c>
      <c r="J895" s="150">
        <f t="shared" si="2249"/>
        <v>3.3601345419725148E-2</v>
      </c>
      <c r="K895" s="150">
        <f t="shared" si="2249"/>
        <v>0</v>
      </c>
      <c r="L895" s="150">
        <f t="shared" si="2249"/>
        <v>2.9209012685120557E-2</v>
      </c>
      <c r="M895" s="150">
        <f t="shared" si="2249"/>
        <v>0</v>
      </c>
      <c r="N895" s="150">
        <f t="shared" si="2249"/>
        <v>0</v>
      </c>
      <c r="O895" s="150">
        <f t="shared" si="2249"/>
        <v>0</v>
      </c>
      <c r="P895" s="150">
        <f t="shared" si="2249"/>
        <v>0</v>
      </c>
      <c r="Q895" s="150">
        <f t="shared" si="2249"/>
        <v>0</v>
      </c>
      <c r="R895" s="150">
        <f t="shared" si="2249"/>
        <v>0</v>
      </c>
      <c r="S895" s="150">
        <f t="shared" si="2249"/>
        <v>0</v>
      </c>
      <c r="T895" s="150">
        <f t="shared" si="2249"/>
        <v>0</v>
      </c>
      <c r="U895" s="150">
        <f t="shared" si="2249"/>
        <v>0</v>
      </c>
      <c r="V895" s="150">
        <f t="shared" si="2249"/>
        <v>0</v>
      </c>
      <c r="W895" s="150">
        <f t="shared" si="2249"/>
        <v>0</v>
      </c>
      <c r="X895" s="150">
        <f t="shared" si="2249"/>
        <v>0</v>
      </c>
      <c r="Y895" s="163">
        <f t="shared" si="2249"/>
        <v>0</v>
      </c>
    </row>
    <row r="896" spans="2:25" ht="15" customHeight="1" x14ac:dyDescent="0.2">
      <c r="B896" s="252">
        <v>7.0936173663864205E-2</v>
      </c>
      <c r="C896" s="92">
        <f>E896/SUM(E895:E897)</f>
        <v>0.57291666666666674</v>
      </c>
      <c r="D896" s="61" t="s">
        <v>1</v>
      </c>
      <c r="E896" s="154">
        <f>IF((E892+E893+E894)=0,0,(E893*$B896)/(E892+E893+E894))</f>
        <v>4.0640516161588869E-2</v>
      </c>
      <c r="F896" s="154">
        <f>IF((F892+F893+F894)=0,0,(F893*$B896)/(F892+F893+F894))</f>
        <v>0</v>
      </c>
      <c r="G896" s="154">
        <f t="shared" ref="G896:O896" si="2250">IF((G892+G893+G894)=0,0,(G893*$B896)/(G892+G893+G894))</f>
        <v>4.256170419831852E-2</v>
      </c>
      <c r="H896" s="154">
        <f t="shared" si="2250"/>
        <v>2.8374469465545681E-2</v>
      </c>
      <c r="I896" s="154">
        <f t="shared" si="2250"/>
        <v>5.3202130247898147E-2</v>
      </c>
      <c r="J896" s="154">
        <f t="shared" si="2250"/>
        <v>3.733482824413905E-2</v>
      </c>
      <c r="K896" s="154">
        <f t="shared" si="2250"/>
        <v>0</v>
      </c>
      <c r="L896" s="154">
        <f t="shared" si="2250"/>
        <v>4.1727160978743648E-2</v>
      </c>
      <c r="M896" s="154">
        <f t="shared" si="2250"/>
        <v>0</v>
      </c>
      <c r="N896" s="154">
        <f t="shared" si="2250"/>
        <v>0</v>
      </c>
      <c r="O896" s="154">
        <f t="shared" si="2250"/>
        <v>0</v>
      </c>
      <c r="P896" s="154">
        <f>IF((P892+P893+P894)=0,0,(P893*$B896)/(P892+P893+P894))</f>
        <v>0</v>
      </c>
      <c r="Q896" s="154">
        <f t="shared" ref="Q896:Y896" si="2251">IF((Q892+Q893+Q894)=0,0,(Q893*$B896)/(Q892+Q893+Q894))</f>
        <v>0</v>
      </c>
      <c r="R896" s="154">
        <f t="shared" si="2251"/>
        <v>0</v>
      </c>
      <c r="S896" s="154">
        <f t="shared" si="2251"/>
        <v>0</v>
      </c>
      <c r="T896" s="154">
        <f t="shared" si="2251"/>
        <v>0</v>
      </c>
      <c r="U896" s="154">
        <f t="shared" si="2251"/>
        <v>0</v>
      </c>
      <c r="V896" s="154">
        <f t="shared" si="2251"/>
        <v>0</v>
      </c>
      <c r="W896" s="154">
        <f t="shared" si="2251"/>
        <v>0</v>
      </c>
      <c r="X896" s="154">
        <f t="shared" si="2251"/>
        <v>0</v>
      </c>
      <c r="Y896" s="159">
        <f t="shared" si="2251"/>
        <v>0</v>
      </c>
    </row>
    <row r="897" spans="2:25" ht="15" customHeight="1" thickBot="1" x14ac:dyDescent="0.25">
      <c r="B897" s="253"/>
      <c r="C897" s="93">
        <f>E897/SUM(E895:E897)</f>
        <v>1.0416666666666668E-2</v>
      </c>
      <c r="D897" s="75" t="s">
        <v>2</v>
      </c>
      <c r="E897" s="155">
        <f>IF((E892+E893+E894)=0,0,(E894*$B896)/(E892+E893+E894))</f>
        <v>7.3891847566525217E-4</v>
      </c>
      <c r="F897" s="155">
        <f>IF((F892+F893+F894)=0,0,(F894*$B896)/(F892+F893+F894))</f>
        <v>0</v>
      </c>
      <c r="G897" s="155">
        <f t="shared" ref="G897:Y897" si="2252">IF((G892+G893+G894)=0,0,(G894*$B896)/(G892+G893+G894))</f>
        <v>0</v>
      </c>
      <c r="H897" s="155">
        <f t="shared" si="2252"/>
        <v>3.5468086831932102E-3</v>
      </c>
      <c r="I897" s="155">
        <f t="shared" si="2252"/>
        <v>0</v>
      </c>
      <c r="J897" s="155">
        <f t="shared" si="2252"/>
        <v>0</v>
      </c>
      <c r="K897" s="155">
        <f t="shared" si="2252"/>
        <v>0</v>
      </c>
      <c r="L897" s="155">
        <f t="shared" si="2252"/>
        <v>0</v>
      </c>
      <c r="M897" s="155">
        <f t="shared" si="2252"/>
        <v>0</v>
      </c>
      <c r="N897" s="155">
        <f t="shared" si="2252"/>
        <v>0</v>
      </c>
      <c r="O897" s="155">
        <f t="shared" si="2252"/>
        <v>0</v>
      </c>
      <c r="P897" s="155">
        <f t="shared" si="2252"/>
        <v>0</v>
      </c>
      <c r="Q897" s="155">
        <f t="shared" si="2252"/>
        <v>0</v>
      </c>
      <c r="R897" s="155">
        <f t="shared" si="2252"/>
        <v>0</v>
      </c>
      <c r="S897" s="155">
        <f t="shared" si="2252"/>
        <v>0</v>
      </c>
      <c r="T897" s="155">
        <f t="shared" si="2252"/>
        <v>0</v>
      </c>
      <c r="U897" s="155">
        <f t="shared" si="2252"/>
        <v>0</v>
      </c>
      <c r="V897" s="155">
        <f t="shared" si="2252"/>
        <v>0</v>
      </c>
      <c r="W897" s="155">
        <f t="shared" si="2252"/>
        <v>0</v>
      </c>
      <c r="X897" s="155">
        <f t="shared" si="2252"/>
        <v>0</v>
      </c>
      <c r="Y897" s="160">
        <f t="shared" si="2252"/>
        <v>0</v>
      </c>
    </row>
    <row r="898" spans="2:25" ht="15" customHeight="1" x14ac:dyDescent="0.2">
      <c r="B898" s="249" t="s">
        <v>147</v>
      </c>
      <c r="C898" s="91">
        <f>E898/SUM(E898:E900)</f>
        <v>0.25775656324582341</v>
      </c>
      <c r="D898" s="67" t="s">
        <v>0</v>
      </c>
      <c r="E898" s="68">
        <f t="shared" si="2220"/>
        <v>108</v>
      </c>
      <c r="F898" s="68">
        <f>SUMIFS([0]!Chavez,[0]!Centro,B900,[0]!Turno,F$855)</f>
        <v>22</v>
      </c>
      <c r="G898" s="68">
        <f>SUMIFS([0]!Chavez,[0]!Centro,B900,[0]!Turno,G$855)</f>
        <v>14</v>
      </c>
      <c r="H898" s="68">
        <f>SUMIFS([0]!Chavez,[0]!Centro,B900,[0]!Turno,H$855)</f>
        <v>32</v>
      </c>
      <c r="I898" s="68">
        <f>SUMIFS([0]!Chavez,[0]!Centro,B900,[0]!Turno,I$855)</f>
        <v>6</v>
      </c>
      <c r="J898" s="68">
        <f>SUMIFS([0]!Chavez,[0]!Centro,B900,[0]!Turno,J$855)</f>
        <v>8</v>
      </c>
      <c r="K898" s="68">
        <f>SUMIFS([0]!Chavez,[0]!Centro,B900,[0]!Turno,K$855)</f>
        <v>0</v>
      </c>
      <c r="L898" s="68">
        <f>SUMIFS([0]!Chavez,[0]!Centro,B900,[0]!Turno,L$855)</f>
        <v>26</v>
      </c>
      <c r="M898" s="68">
        <f>SUMIFS([0]!Chavez,[0]!Centro,B900,[0]!Turno,M$855)</f>
        <v>0</v>
      </c>
      <c r="N898" s="68">
        <f>SUMIFS([0]!Chavez,[0]!Centro,B900,[0]!Turno,N$855)</f>
        <v>0</v>
      </c>
      <c r="O898" s="68">
        <f>SUMIFS([0]!Chavez,[0]!Centro,B900,[0]!Turno,O$855)</f>
        <v>0</v>
      </c>
      <c r="P898" s="68">
        <f>SUMIFS([0]!Chavez,[0]!Centro,B900,[0]!Turno,P$855)</f>
        <v>0</v>
      </c>
      <c r="Q898" s="68">
        <f>SUMIFS([0]!Chavez,[0]!Centro,B900,[0]!Turno,Q$855)</f>
        <v>0</v>
      </c>
      <c r="R898" s="68">
        <f>SUMIFS([0]!Chavez,[0]!Centro,B900,[0]!Turno,R$855)</f>
        <v>0</v>
      </c>
      <c r="S898" s="68">
        <f>SUMIFS([0]!Chavez,[0]!Centro,B900,[0]!Turno,S$855)</f>
        <v>0</v>
      </c>
      <c r="T898" s="68">
        <f>SUMIFS([0]!Chavez,[0]!Centro,B900,[0]!Turno,T$855)</f>
        <v>0</v>
      </c>
      <c r="U898" s="68">
        <f>SUMIFS([0]!Chavez,[0]!Centro,B900,[0]!Turno,U$855)</f>
        <v>0</v>
      </c>
      <c r="V898" s="68">
        <f>SUMIFS([0]!Chavez,[0]!Centro,B900,[0]!Turno,V$855)</f>
        <v>0</v>
      </c>
      <c r="W898" s="68">
        <f>SUMIFS([0]!Chavez,[0]!Centro,B900,[0]!Turno,W$855)</f>
        <v>0</v>
      </c>
      <c r="X898" s="68">
        <f>SUMIFS([0]!Chavez,[0]!Centro,B900,[0]!Turno,X$855)</f>
        <v>0</v>
      </c>
      <c r="Y898" s="69">
        <f>SUMIFS([0]!Chavez,[0]!Centro,B900,[0]!Turno,Y$855)</f>
        <v>0</v>
      </c>
    </row>
    <row r="899" spans="2:25" ht="15" customHeight="1" x14ac:dyDescent="0.2">
      <c r="B899" s="250"/>
      <c r="C899" s="92">
        <f>E899/SUM(E898:E900)</f>
        <v>0.70883054892601427</v>
      </c>
      <c r="D899" s="61" t="s">
        <v>1</v>
      </c>
      <c r="E899" s="62">
        <f t="shared" si="2220"/>
        <v>297</v>
      </c>
      <c r="F899" s="62">
        <f>SUMIFS([0]!Capriles,[0]!Centro,B900,[0]!Turno,F$855)</f>
        <v>54</v>
      </c>
      <c r="G899" s="62">
        <f>SUMIFS([0]!Capriles,[0]!Centro,B900,[0]!Turno,G$855)</f>
        <v>75</v>
      </c>
      <c r="H899" s="62">
        <f>SUMIFS([0]!Capriles,[0]!Centro,B900,[0]!Turno,H$855)</f>
        <v>58</v>
      </c>
      <c r="I899" s="62">
        <f>SUMIFS([0]!Capriles,[0]!Centro,B900,[0]!Turno,I$855)</f>
        <v>43</v>
      </c>
      <c r="J899" s="62">
        <f>SUMIFS([0]!Capriles,[0]!Centro,B900,[0]!Turno,J$855)</f>
        <v>10</v>
      </c>
      <c r="K899" s="62">
        <f>SUMIFS([0]!Capriles,[0]!Centro,B900,[0]!Turno,K$855)</f>
        <v>0</v>
      </c>
      <c r="L899" s="62">
        <f>SUMIFS([0]!Capriles,[0]!Centro,B900,[0]!Turno,L$855)</f>
        <v>57</v>
      </c>
      <c r="M899" s="62">
        <f>SUMIFS([0]!Capriles,[0]!Centro,B900,[0]!Turno,M$855)</f>
        <v>0</v>
      </c>
      <c r="N899" s="62">
        <f>SUMIFS([0]!Capriles,[0]!Centro,B900,[0]!Turno,N$855)</f>
        <v>0</v>
      </c>
      <c r="O899" s="62">
        <f>SUMIFS([0]!Capriles,[0]!Centro,B900,[0]!Turno,O$855)</f>
        <v>0</v>
      </c>
      <c r="P899" s="62">
        <f>SUMIFS([0]!Capriles,[0]!Centro,B900,[0]!Turno,P$855)</f>
        <v>0</v>
      </c>
      <c r="Q899" s="62">
        <f>SUMIFS([0]!Capriles,[0]!Centro,B900,[0]!Turno,Q$855)</f>
        <v>0</v>
      </c>
      <c r="R899" s="62">
        <f>SUMIFS([0]!Capriles,[0]!Centro,B900,[0]!Turno,R$855)</f>
        <v>0</v>
      </c>
      <c r="S899" s="62">
        <f>SUMIFS([0]!Capriles,[0]!Centro,B900,[0]!Turno,S$855)</f>
        <v>0</v>
      </c>
      <c r="T899" s="62">
        <f>SUMIFS([0]!Capriles,[0]!Centro,B900,[0]!Turno,T$855)</f>
        <v>0</v>
      </c>
      <c r="U899" s="62">
        <f>SUMIFS([0]!Capriles,[0]!Centro,B900,[0]!Turno,U$855)</f>
        <v>0</v>
      </c>
      <c r="V899" s="62">
        <f>SUMIFS([0]!Capriles,[0]!Centro,B900,[0]!Turno,V$855)</f>
        <v>0</v>
      </c>
      <c r="W899" s="62">
        <f>SUMIFS([0]!Capriles,[0]!Centro,B900,[0]!Turno,W$855)</f>
        <v>0</v>
      </c>
      <c r="X899" s="62">
        <f>SUMIFS([0]!Capriles,[0]!Centro,B900,[0]!Turno,X$855)</f>
        <v>0</v>
      </c>
      <c r="Y899" s="70">
        <f>SUMIFS([0]!Capriles,[0]!Centro,B900,[0]!Turno,Y$855)</f>
        <v>0</v>
      </c>
    </row>
    <row r="900" spans="2:25" ht="15" customHeight="1" thickBot="1" x14ac:dyDescent="0.25">
      <c r="B900" s="251">
        <v>125</v>
      </c>
      <c r="C900" s="100">
        <f>E900/SUM(E898:E900)</f>
        <v>3.3412887828162291E-2</v>
      </c>
      <c r="D900" s="71" t="s">
        <v>2</v>
      </c>
      <c r="E900" s="72">
        <f t="shared" si="2220"/>
        <v>14</v>
      </c>
      <c r="F900" s="72">
        <f>SUMIFS([0]!Otro,[0]!Centro,B900,[0]!Turno,F$855)</f>
        <v>0</v>
      </c>
      <c r="G900" s="72">
        <f>SUMIFS([0]!Otro,[0]!Centro,B900,[0]!Turno,G$855)</f>
        <v>2</v>
      </c>
      <c r="H900" s="72">
        <f>SUMIFS([0]!Otro,[0]!Centro,B900,[0]!Turno,H$855)</f>
        <v>7</v>
      </c>
      <c r="I900" s="72">
        <f>SUMIFS([0]!Otro,[0]!Centro,B900,[0]!Turno,I$855)</f>
        <v>1</v>
      </c>
      <c r="J900" s="72">
        <f>SUMIFS([0]!Otro,[0]!Centro,B900,[0]!Turno,J$855)</f>
        <v>2</v>
      </c>
      <c r="K900" s="72">
        <f>SUMIFS([0]!Otro,[0]!Centro,B900,[0]!Turno,K$855)</f>
        <v>0</v>
      </c>
      <c r="L900" s="72">
        <f>SUMIFS([0]!Otro,[0]!Centro,B900,[0]!Turno,L$855)</f>
        <v>2</v>
      </c>
      <c r="M900" s="72">
        <f>SUMIFS([0]!Otro,[0]!Centro,B900,[0]!Turno,M$855)</f>
        <v>0</v>
      </c>
      <c r="N900" s="72">
        <f>SUMIFS([0]!Otro,[0]!Centro,B900,[0]!Turno,N$855)</f>
        <v>0</v>
      </c>
      <c r="O900" s="72">
        <f>SUMIFS([0]!Otro,[0]!Centro,B900,[0]!Turno,O$855)</f>
        <v>0</v>
      </c>
      <c r="P900" s="72">
        <f>SUMIFS([0]!Otro,[0]!Centro,B900,[0]!Turno,P$855)</f>
        <v>0</v>
      </c>
      <c r="Q900" s="72">
        <f>SUMIFS([0]!Otro,[0]!Centro,B900,[0]!Turno,Q$855)</f>
        <v>0</v>
      </c>
      <c r="R900" s="72">
        <f>SUMIFS([0]!Otro,[0]!Centro,B900,[0]!Turno,R$855)</f>
        <v>0</v>
      </c>
      <c r="S900" s="72">
        <f>SUMIFS([0]!Otro,[0]!Centro,B900,[0]!Turno,S$855)</f>
        <v>0</v>
      </c>
      <c r="T900" s="72">
        <f>SUMIFS([0]!Otro,[0]!Centro,B900,[0]!Turno,T$855)</f>
        <v>0</v>
      </c>
      <c r="U900" s="72">
        <f>SUMIFS([0]!Otro,[0]!Centro,B900,[0]!Turno,U$855)</f>
        <v>0</v>
      </c>
      <c r="V900" s="72">
        <f>SUMIFS([0]!Otro,[0]!Centro,B900,[0]!Turno,V$855)</f>
        <v>0</v>
      </c>
      <c r="W900" s="72">
        <f>SUMIFS([0]!Otro,[0]!Centro,B900,[0]!Turno,W$855)</f>
        <v>0</v>
      </c>
      <c r="X900" s="72">
        <f>SUMIFS([0]!Otro,[0]!Centro,B900,[0]!Turno,X$855)</f>
        <v>0</v>
      </c>
      <c r="Y900" s="73">
        <f>SUMIFS([0]!Otro,[0]!Centro,B900,[0]!Turno,Y$855)</f>
        <v>0</v>
      </c>
    </row>
    <row r="901" spans="2:25" ht="15" customHeight="1" x14ac:dyDescent="0.2">
      <c r="B901" s="251"/>
      <c r="C901" s="94">
        <f>E901/SUM(E901:E903)</f>
        <v>0.25775656324582336</v>
      </c>
      <c r="D901" s="63" t="s">
        <v>0</v>
      </c>
      <c r="E901" s="150">
        <f>IF((E898+E899+E900)=0,0,(E898*$B902)/(E898+E899+E900))</f>
        <v>0.10931966109659152</v>
      </c>
      <c r="F901" s="150">
        <f>IF((F898+F899+F900)=0,0,(F898*$B902)/(F898+F899+F900))</f>
        <v>0.12277151997909122</v>
      </c>
      <c r="G901" s="150">
        <f t="shared" ref="G901:Y901" si="2253">IF((G898+G899+G900)=0,0,(G898*$B902)/(G898+G899+G900))</f>
        <v>6.5249199429447083E-2</v>
      </c>
      <c r="H901" s="150">
        <f t="shared" si="2253"/>
        <v>0.13991580908582466</v>
      </c>
      <c r="I901" s="150">
        <f t="shared" si="2253"/>
        <v>5.0894375554968715E-2</v>
      </c>
      <c r="J901" s="150">
        <f t="shared" si="2253"/>
        <v>0.16964791851656241</v>
      </c>
      <c r="K901" s="150">
        <f t="shared" si="2253"/>
        <v>0</v>
      </c>
      <c r="L901" s="150">
        <f t="shared" si="2253"/>
        <v>0.12973076121854771</v>
      </c>
      <c r="M901" s="150">
        <f t="shared" si="2253"/>
        <v>0</v>
      </c>
      <c r="N901" s="150">
        <f t="shared" si="2253"/>
        <v>0</v>
      </c>
      <c r="O901" s="150">
        <f t="shared" si="2253"/>
        <v>0</v>
      </c>
      <c r="P901" s="150">
        <f t="shared" si="2253"/>
        <v>0</v>
      </c>
      <c r="Q901" s="150">
        <f t="shared" si="2253"/>
        <v>0</v>
      </c>
      <c r="R901" s="150">
        <f t="shared" si="2253"/>
        <v>0</v>
      </c>
      <c r="S901" s="150">
        <f t="shared" si="2253"/>
        <v>0</v>
      </c>
      <c r="T901" s="150">
        <f t="shared" si="2253"/>
        <v>0</v>
      </c>
      <c r="U901" s="150">
        <f t="shared" si="2253"/>
        <v>0</v>
      </c>
      <c r="V901" s="150">
        <f t="shared" si="2253"/>
        <v>0</v>
      </c>
      <c r="W901" s="150">
        <f t="shared" si="2253"/>
        <v>0</v>
      </c>
      <c r="X901" s="150">
        <f t="shared" si="2253"/>
        <v>0</v>
      </c>
      <c r="Y901" s="163">
        <f t="shared" si="2253"/>
        <v>0</v>
      </c>
    </row>
    <row r="902" spans="2:25" ht="15" customHeight="1" x14ac:dyDescent="0.2">
      <c r="B902" s="252">
        <v>0.424119796291406</v>
      </c>
      <c r="C902" s="92">
        <f>E902/SUM(E901:E903)</f>
        <v>0.70883054892601427</v>
      </c>
      <c r="D902" s="61" t="s">
        <v>1</v>
      </c>
      <c r="E902" s="154">
        <f>IF((E898+E899+E900)=0,0,(E899*$B902)/(E898+E899+E900))</f>
        <v>0.30062906801562672</v>
      </c>
      <c r="F902" s="154">
        <f>IF((F898+F899+F900)=0,0,(F899*$B902)/(F898+F899+F900))</f>
        <v>0.30134827631231476</v>
      </c>
      <c r="G902" s="154">
        <f t="shared" ref="G902:O902" si="2254">IF((G898+G899+G900)=0,0,(G899*$B902)/(G898+G899+G900))</f>
        <v>0.3495492826577522</v>
      </c>
      <c r="H902" s="154">
        <f t="shared" si="2254"/>
        <v>0.25359740396805719</v>
      </c>
      <c r="I902" s="154">
        <f t="shared" si="2254"/>
        <v>0.36474302481060916</v>
      </c>
      <c r="J902" s="154">
        <f t="shared" si="2254"/>
        <v>0.212059898145703</v>
      </c>
      <c r="K902" s="154">
        <f t="shared" si="2254"/>
        <v>0</v>
      </c>
      <c r="L902" s="154">
        <f t="shared" si="2254"/>
        <v>0.28440974574835459</v>
      </c>
      <c r="M902" s="154">
        <f t="shared" si="2254"/>
        <v>0</v>
      </c>
      <c r="N902" s="154">
        <f t="shared" si="2254"/>
        <v>0</v>
      </c>
      <c r="O902" s="154">
        <f t="shared" si="2254"/>
        <v>0</v>
      </c>
      <c r="P902" s="154">
        <f>IF((P898+P899+P900)=0,0,(P899*$B902)/(P898+P899+P900))</f>
        <v>0</v>
      </c>
      <c r="Q902" s="154">
        <f t="shared" ref="Q902:Y902" si="2255">IF((Q898+Q899+Q900)=0,0,(Q899*$B902)/(Q898+Q899+Q900))</f>
        <v>0</v>
      </c>
      <c r="R902" s="154">
        <f t="shared" si="2255"/>
        <v>0</v>
      </c>
      <c r="S902" s="154">
        <f t="shared" si="2255"/>
        <v>0</v>
      </c>
      <c r="T902" s="154">
        <f t="shared" si="2255"/>
        <v>0</v>
      </c>
      <c r="U902" s="154">
        <f t="shared" si="2255"/>
        <v>0</v>
      </c>
      <c r="V902" s="154">
        <f t="shared" si="2255"/>
        <v>0</v>
      </c>
      <c r="W902" s="154">
        <f t="shared" si="2255"/>
        <v>0</v>
      </c>
      <c r="X902" s="154">
        <f t="shared" si="2255"/>
        <v>0</v>
      </c>
      <c r="Y902" s="159">
        <f t="shared" si="2255"/>
        <v>0</v>
      </c>
    </row>
    <row r="903" spans="2:25" ht="15" customHeight="1" thickBot="1" x14ac:dyDescent="0.25">
      <c r="B903" s="253"/>
      <c r="C903" s="93">
        <f>E903/SUM(E901:E903)</f>
        <v>3.3412887828162284E-2</v>
      </c>
      <c r="D903" s="75" t="s">
        <v>2</v>
      </c>
      <c r="E903" s="155">
        <f>IF((E898+E899+E900)=0,0,(E900*$B902)/(E898+E899+E900))</f>
        <v>1.417106717918779E-2</v>
      </c>
      <c r="F903" s="155">
        <f>IF((F898+F899+F900)=0,0,(F900*$B902)/(F898+F899+F900))</f>
        <v>0</v>
      </c>
      <c r="G903" s="155">
        <f t="shared" ref="G903:Y903" si="2256">IF((G898+G899+G900)=0,0,(G900*$B902)/(G898+G899+G900))</f>
        <v>9.3213142042067251E-3</v>
      </c>
      <c r="H903" s="155">
        <f t="shared" si="2256"/>
        <v>3.0606583237524146E-2</v>
      </c>
      <c r="I903" s="155">
        <f t="shared" si="2256"/>
        <v>8.4823959258281192E-3</v>
      </c>
      <c r="J903" s="155">
        <f t="shared" si="2256"/>
        <v>4.2411979629140603E-2</v>
      </c>
      <c r="K903" s="155">
        <f t="shared" si="2256"/>
        <v>0</v>
      </c>
      <c r="L903" s="155">
        <f t="shared" si="2256"/>
        <v>9.979289324503671E-3</v>
      </c>
      <c r="M903" s="155">
        <f t="shared" si="2256"/>
        <v>0</v>
      </c>
      <c r="N903" s="155">
        <f t="shared" si="2256"/>
        <v>0</v>
      </c>
      <c r="O903" s="155">
        <f t="shared" si="2256"/>
        <v>0</v>
      </c>
      <c r="P903" s="155">
        <f t="shared" si="2256"/>
        <v>0</v>
      </c>
      <c r="Q903" s="155">
        <f t="shared" si="2256"/>
        <v>0</v>
      </c>
      <c r="R903" s="155">
        <f t="shared" si="2256"/>
        <v>0</v>
      </c>
      <c r="S903" s="155">
        <f t="shared" si="2256"/>
        <v>0</v>
      </c>
      <c r="T903" s="155">
        <f t="shared" si="2256"/>
        <v>0</v>
      </c>
      <c r="U903" s="155">
        <f t="shared" si="2256"/>
        <v>0</v>
      </c>
      <c r="V903" s="155">
        <f t="shared" si="2256"/>
        <v>0</v>
      </c>
      <c r="W903" s="155">
        <f t="shared" si="2256"/>
        <v>0</v>
      </c>
      <c r="X903" s="155">
        <f t="shared" si="2256"/>
        <v>0</v>
      </c>
      <c r="Y903" s="160">
        <f t="shared" si="2256"/>
        <v>0</v>
      </c>
    </row>
    <row r="904" spans="2:25" ht="15" customHeight="1" thickBot="1" x14ac:dyDescent="0.25">
      <c r="B904" s="18" t="s">
        <v>3</v>
      </c>
      <c r="C904" s="24" t="s">
        <v>226</v>
      </c>
      <c r="D904" s="25" t="s">
        <v>4</v>
      </c>
      <c r="E904" s="18" t="s">
        <v>225</v>
      </c>
      <c r="F904" s="19">
        <v>1</v>
      </c>
      <c r="G904" s="19">
        <v>2</v>
      </c>
      <c r="H904" s="19">
        <v>3</v>
      </c>
      <c r="I904" s="19">
        <v>4</v>
      </c>
      <c r="J904" s="19">
        <v>5</v>
      </c>
      <c r="K904" s="19">
        <v>6</v>
      </c>
      <c r="L904" s="19">
        <v>7</v>
      </c>
      <c r="M904" s="19">
        <v>8</v>
      </c>
      <c r="N904" s="19">
        <v>9</v>
      </c>
      <c r="O904" s="19">
        <v>10</v>
      </c>
      <c r="P904" s="19">
        <v>11</v>
      </c>
      <c r="Q904" s="19">
        <v>12</v>
      </c>
      <c r="R904" s="19">
        <v>13</v>
      </c>
      <c r="S904" s="19">
        <v>14</v>
      </c>
      <c r="T904" s="19">
        <v>15</v>
      </c>
      <c r="U904" s="19">
        <v>16</v>
      </c>
      <c r="V904" s="19">
        <v>17</v>
      </c>
      <c r="W904" s="19">
        <v>18</v>
      </c>
      <c r="X904" s="19">
        <v>19</v>
      </c>
      <c r="Y904" s="19">
        <v>20</v>
      </c>
    </row>
    <row r="905" spans="2:25" ht="15" customHeight="1" x14ac:dyDescent="0.2">
      <c r="B905" s="246" t="s">
        <v>148</v>
      </c>
      <c r="C905" s="95">
        <f>E905/SUM(E905:E907)</f>
        <v>0.67918088737201365</v>
      </c>
      <c r="D905" s="81" t="s">
        <v>0</v>
      </c>
      <c r="E905" s="82">
        <f>SUM(F905:Y905)</f>
        <v>398</v>
      </c>
      <c r="F905" s="82">
        <f t="shared" ref="F905:Y905" si="2257">SUM(F911,F917,F923,F929,F935)</f>
        <v>71</v>
      </c>
      <c r="G905" s="82">
        <f t="shared" si="2257"/>
        <v>60</v>
      </c>
      <c r="H905" s="82">
        <f t="shared" si="2257"/>
        <v>90</v>
      </c>
      <c r="I905" s="82">
        <f t="shared" si="2257"/>
        <v>0</v>
      </c>
      <c r="J905" s="82">
        <f t="shared" si="2257"/>
        <v>55</v>
      </c>
      <c r="K905" s="82">
        <f t="shared" si="2257"/>
        <v>61</v>
      </c>
      <c r="L905" s="82">
        <f t="shared" si="2257"/>
        <v>18</v>
      </c>
      <c r="M905" s="82">
        <f t="shared" si="2257"/>
        <v>43</v>
      </c>
      <c r="N905" s="82">
        <f t="shared" si="2257"/>
        <v>0</v>
      </c>
      <c r="O905" s="82">
        <f t="shared" si="2257"/>
        <v>0</v>
      </c>
      <c r="P905" s="82">
        <f t="shared" si="2257"/>
        <v>0</v>
      </c>
      <c r="Q905" s="82">
        <f t="shared" si="2257"/>
        <v>0</v>
      </c>
      <c r="R905" s="82">
        <f t="shared" ref="R905:R910" si="2258">SUM(R911,R917,R923,R929,R935)</f>
        <v>0</v>
      </c>
      <c r="S905" s="82">
        <f t="shared" si="2257"/>
        <v>0</v>
      </c>
      <c r="T905" s="82">
        <f t="shared" si="2257"/>
        <v>0</v>
      </c>
      <c r="U905" s="82">
        <f t="shared" si="2257"/>
        <v>0</v>
      </c>
      <c r="V905" s="82">
        <f t="shared" si="2257"/>
        <v>0</v>
      </c>
      <c r="W905" s="82">
        <f t="shared" si="2257"/>
        <v>0</v>
      </c>
      <c r="X905" s="82">
        <f t="shared" si="2257"/>
        <v>0</v>
      </c>
      <c r="Y905" s="83">
        <f t="shared" si="2257"/>
        <v>0</v>
      </c>
    </row>
    <row r="906" spans="2:25" ht="15" customHeight="1" x14ac:dyDescent="0.2">
      <c r="B906" s="247"/>
      <c r="C906" s="96">
        <f>E906/SUM(E905:E907)</f>
        <v>0.30887372013651876</v>
      </c>
      <c r="D906" s="79" t="s">
        <v>1</v>
      </c>
      <c r="E906" s="80">
        <f t="shared" ref="E906:E937" si="2259">SUM(F906:Y906)</f>
        <v>181</v>
      </c>
      <c r="F906" s="80">
        <f t="shared" ref="F906:Y906" si="2260">SUM(F912,F918,F924,F930,F936)</f>
        <v>24</v>
      </c>
      <c r="G906" s="80">
        <f t="shared" si="2260"/>
        <v>25</v>
      </c>
      <c r="H906" s="80">
        <f t="shared" si="2260"/>
        <v>38</v>
      </c>
      <c r="I906" s="80">
        <f t="shared" si="2260"/>
        <v>0</v>
      </c>
      <c r="J906" s="80">
        <f t="shared" si="2260"/>
        <v>36</v>
      </c>
      <c r="K906" s="80">
        <f t="shared" si="2260"/>
        <v>17</v>
      </c>
      <c r="L906" s="80">
        <f t="shared" si="2260"/>
        <v>24</v>
      </c>
      <c r="M906" s="80">
        <f t="shared" si="2260"/>
        <v>17</v>
      </c>
      <c r="N906" s="80">
        <f t="shared" si="2260"/>
        <v>0</v>
      </c>
      <c r="O906" s="80">
        <f t="shared" si="2260"/>
        <v>0</v>
      </c>
      <c r="P906" s="80">
        <f t="shared" si="2260"/>
        <v>0</v>
      </c>
      <c r="Q906" s="80">
        <f t="shared" si="2260"/>
        <v>0</v>
      </c>
      <c r="R906" s="80">
        <f t="shared" si="2258"/>
        <v>0</v>
      </c>
      <c r="S906" s="80">
        <f t="shared" si="2260"/>
        <v>0</v>
      </c>
      <c r="T906" s="80">
        <f t="shared" si="2260"/>
        <v>0</v>
      </c>
      <c r="U906" s="80">
        <f t="shared" si="2260"/>
        <v>0</v>
      </c>
      <c r="V906" s="80">
        <f t="shared" si="2260"/>
        <v>0</v>
      </c>
      <c r="W906" s="80">
        <f t="shared" si="2260"/>
        <v>0</v>
      </c>
      <c r="X906" s="80">
        <f t="shared" si="2260"/>
        <v>0</v>
      </c>
      <c r="Y906" s="84">
        <f t="shared" si="2260"/>
        <v>0</v>
      </c>
    </row>
    <row r="907" spans="2:25" ht="15" customHeight="1" thickBot="1" x14ac:dyDescent="0.25">
      <c r="B907" s="247"/>
      <c r="C907" s="97">
        <f>E907/SUM(E905:E907)</f>
        <v>1.1945392491467578E-2</v>
      </c>
      <c r="D907" s="86" t="s">
        <v>2</v>
      </c>
      <c r="E907" s="87">
        <f t="shared" si="2259"/>
        <v>7</v>
      </c>
      <c r="F907" s="87">
        <f t="shared" ref="F907:Y907" si="2261">SUM(F913,F919,F925,F931,F937)</f>
        <v>1</v>
      </c>
      <c r="G907" s="87">
        <f t="shared" si="2261"/>
        <v>0</v>
      </c>
      <c r="H907" s="87">
        <f t="shared" si="2261"/>
        <v>0</v>
      </c>
      <c r="I907" s="87">
        <f t="shared" si="2261"/>
        <v>0</v>
      </c>
      <c r="J907" s="87">
        <f t="shared" si="2261"/>
        <v>3</v>
      </c>
      <c r="K907" s="87">
        <f t="shared" si="2261"/>
        <v>1</v>
      </c>
      <c r="L907" s="87">
        <f t="shared" si="2261"/>
        <v>0</v>
      </c>
      <c r="M907" s="87">
        <f t="shared" si="2261"/>
        <v>2</v>
      </c>
      <c r="N907" s="87">
        <f t="shared" si="2261"/>
        <v>0</v>
      </c>
      <c r="O907" s="87">
        <f t="shared" si="2261"/>
        <v>0</v>
      </c>
      <c r="P907" s="87">
        <f t="shared" si="2261"/>
        <v>0</v>
      </c>
      <c r="Q907" s="87">
        <f t="shared" si="2261"/>
        <v>0</v>
      </c>
      <c r="R907" s="87">
        <f t="shared" si="2258"/>
        <v>0</v>
      </c>
      <c r="S907" s="87">
        <f t="shared" si="2261"/>
        <v>0</v>
      </c>
      <c r="T907" s="87">
        <f t="shared" si="2261"/>
        <v>0</v>
      </c>
      <c r="U907" s="87">
        <f t="shared" si="2261"/>
        <v>0</v>
      </c>
      <c r="V907" s="87">
        <f t="shared" si="2261"/>
        <v>0</v>
      </c>
      <c r="W907" s="87">
        <f t="shared" si="2261"/>
        <v>0</v>
      </c>
      <c r="X907" s="87">
        <f t="shared" si="2261"/>
        <v>0</v>
      </c>
      <c r="Y907" s="88">
        <f t="shared" si="2261"/>
        <v>0</v>
      </c>
    </row>
    <row r="908" spans="2:25" ht="15" customHeight="1" x14ac:dyDescent="0.2">
      <c r="B908" s="247"/>
      <c r="C908" s="98">
        <f>E908/SUM(E908:E910)</f>
        <v>0.67135621782923793</v>
      </c>
      <c r="D908" s="85" t="s">
        <v>0</v>
      </c>
      <c r="E908" s="172">
        <f t="shared" ref="E908" si="2262">SUM(E914,E920,E926,E932,E938)</f>
        <v>0.67135621782923804</v>
      </c>
      <c r="F908" s="172">
        <f t="shared" ref="F908:Y908" si="2263">SUM(F914,F920,F926,F932,F938)</f>
        <v>0.61733054667650178</v>
      </c>
      <c r="G908" s="172">
        <f t="shared" si="2263"/>
        <v>0.66751283814913331</v>
      </c>
      <c r="H908" s="172">
        <f t="shared" si="2263"/>
        <v>0.69737421439466452</v>
      </c>
      <c r="I908" s="172">
        <f t="shared" si="2263"/>
        <v>0</v>
      </c>
      <c r="J908" s="172">
        <f t="shared" si="2263"/>
        <v>0.39444036650804859</v>
      </c>
      <c r="K908" s="172">
        <f t="shared" si="2263"/>
        <v>0.49568669157148032</v>
      </c>
      <c r="L908" s="172">
        <f t="shared" si="2263"/>
        <v>0.18153291738382127</v>
      </c>
      <c r="M908" s="172">
        <f t="shared" si="2263"/>
        <v>0.47194787683457212</v>
      </c>
      <c r="N908" s="172">
        <f t="shared" si="2263"/>
        <v>0</v>
      </c>
      <c r="O908" s="172">
        <f t="shared" si="2263"/>
        <v>0</v>
      </c>
      <c r="P908" s="172">
        <f t="shared" si="2263"/>
        <v>0</v>
      </c>
      <c r="Q908" s="172">
        <f t="shared" si="2263"/>
        <v>0</v>
      </c>
      <c r="R908" s="172">
        <f t="shared" si="2258"/>
        <v>0</v>
      </c>
      <c r="S908" s="172">
        <f t="shared" si="2263"/>
        <v>0</v>
      </c>
      <c r="T908" s="172">
        <f t="shared" si="2263"/>
        <v>0</v>
      </c>
      <c r="U908" s="172">
        <f t="shared" si="2263"/>
        <v>0</v>
      </c>
      <c r="V908" s="172">
        <f t="shared" si="2263"/>
        <v>0</v>
      </c>
      <c r="W908" s="172">
        <f t="shared" si="2263"/>
        <v>0</v>
      </c>
      <c r="X908" s="172">
        <f t="shared" si="2263"/>
        <v>0</v>
      </c>
      <c r="Y908" s="173">
        <f t="shared" si="2263"/>
        <v>0</v>
      </c>
    </row>
    <row r="909" spans="2:25" ht="15" customHeight="1" x14ac:dyDescent="0.2">
      <c r="B909" s="247"/>
      <c r="C909" s="96">
        <f>E909/SUM(E908:E910)</f>
        <v>0.32077140320432512</v>
      </c>
      <c r="D909" s="79" t="s">
        <v>1</v>
      </c>
      <c r="E909" s="174">
        <f t="shared" ref="E909" si="2264">SUM(E915,E921,E927,E933,E939)</f>
        <v>0.32077140320432518</v>
      </c>
      <c r="F909" s="174">
        <f t="shared" ref="F909:Y909" si="2265">SUM(F915,F921,F927,F933,F939)</f>
        <v>0.24273341045070818</v>
      </c>
      <c r="G909" s="174">
        <f t="shared" si="2265"/>
        <v>0.33248716185086657</v>
      </c>
      <c r="H909" s="174">
        <f t="shared" si="2265"/>
        <v>0.30262578560533548</v>
      </c>
      <c r="I909" s="174">
        <f t="shared" si="2265"/>
        <v>0</v>
      </c>
      <c r="J909" s="174">
        <f t="shared" si="2265"/>
        <v>0.23353161068644313</v>
      </c>
      <c r="K909" s="174">
        <f t="shared" si="2265"/>
        <v>0.1386782682678766</v>
      </c>
      <c r="L909" s="174">
        <f t="shared" si="2265"/>
        <v>0.17898773666092971</v>
      </c>
      <c r="M909" s="174">
        <f t="shared" si="2265"/>
        <v>0.14195953854121621</v>
      </c>
      <c r="N909" s="174">
        <f t="shared" si="2265"/>
        <v>0</v>
      </c>
      <c r="O909" s="174">
        <f t="shared" si="2265"/>
        <v>0</v>
      </c>
      <c r="P909" s="174">
        <f t="shared" si="2265"/>
        <v>0</v>
      </c>
      <c r="Q909" s="174">
        <f t="shared" si="2265"/>
        <v>0</v>
      </c>
      <c r="R909" s="174">
        <f t="shared" si="2258"/>
        <v>0</v>
      </c>
      <c r="S909" s="174">
        <f t="shared" si="2265"/>
        <v>0</v>
      </c>
      <c r="T909" s="174">
        <f t="shared" si="2265"/>
        <v>0</v>
      </c>
      <c r="U909" s="174">
        <f t="shared" si="2265"/>
        <v>0</v>
      </c>
      <c r="V909" s="174">
        <f t="shared" si="2265"/>
        <v>0</v>
      </c>
      <c r="W909" s="174">
        <f t="shared" si="2265"/>
        <v>0</v>
      </c>
      <c r="X909" s="174">
        <f t="shared" si="2265"/>
        <v>0</v>
      </c>
      <c r="Y909" s="175">
        <f t="shared" si="2265"/>
        <v>0</v>
      </c>
    </row>
    <row r="910" spans="2:25" ht="15" customHeight="1" thickBot="1" x14ac:dyDescent="0.25">
      <c r="B910" s="248"/>
      <c r="C910" s="99">
        <f>E910/SUM(E908:E910)</f>
        <v>7.8723789664369107E-3</v>
      </c>
      <c r="D910" s="89" t="s">
        <v>2</v>
      </c>
      <c r="E910" s="176">
        <f t="shared" ref="E910" si="2266">SUM(E916,E922,E928,E934,E940)</f>
        <v>7.8723789664369125E-3</v>
      </c>
      <c r="F910" s="176">
        <f t="shared" ref="F910:Y910" si="2267">SUM(F916,F922,F928,F934,F940)</f>
        <v>1.081599123767797E-2</v>
      </c>
      <c r="G910" s="176">
        <f t="shared" si="2267"/>
        <v>0</v>
      </c>
      <c r="H910" s="176">
        <f t="shared" si="2267"/>
        <v>0</v>
      </c>
      <c r="I910" s="176">
        <f t="shared" si="2267"/>
        <v>0</v>
      </c>
      <c r="J910" s="176">
        <f t="shared" si="2267"/>
        <v>1.15073687607573E-2</v>
      </c>
      <c r="K910" s="176">
        <f t="shared" si="2267"/>
        <v>5.114386115892133E-3</v>
      </c>
      <c r="L910" s="176">
        <f t="shared" si="2267"/>
        <v>0</v>
      </c>
      <c r="M910" s="176">
        <f t="shared" si="2267"/>
        <v>2.5571930579460667E-2</v>
      </c>
      <c r="N910" s="176">
        <f t="shared" si="2267"/>
        <v>0</v>
      </c>
      <c r="O910" s="176">
        <f t="shared" si="2267"/>
        <v>0</v>
      </c>
      <c r="P910" s="176">
        <f t="shared" si="2267"/>
        <v>0</v>
      </c>
      <c r="Q910" s="176">
        <f t="shared" si="2267"/>
        <v>0</v>
      </c>
      <c r="R910" s="176">
        <f t="shared" si="2258"/>
        <v>0</v>
      </c>
      <c r="S910" s="176">
        <f t="shared" si="2267"/>
        <v>0</v>
      </c>
      <c r="T910" s="176">
        <f t="shared" si="2267"/>
        <v>0</v>
      </c>
      <c r="U910" s="176">
        <f t="shared" si="2267"/>
        <v>0</v>
      </c>
      <c r="V910" s="176">
        <f t="shared" si="2267"/>
        <v>0</v>
      </c>
      <c r="W910" s="176">
        <f t="shared" si="2267"/>
        <v>0</v>
      </c>
      <c r="X910" s="176">
        <f t="shared" si="2267"/>
        <v>0</v>
      </c>
      <c r="Y910" s="177">
        <f t="shared" si="2267"/>
        <v>0</v>
      </c>
    </row>
    <row r="911" spans="2:25" ht="15" customHeight="1" x14ac:dyDescent="0.2">
      <c r="B911" s="249" t="s">
        <v>227</v>
      </c>
      <c r="C911" s="91">
        <f>E911/SUM(E911:E913)</f>
        <v>0.60256410256410253</v>
      </c>
      <c r="D911" s="67" t="s">
        <v>0</v>
      </c>
      <c r="E911" s="68">
        <f t="shared" si="2259"/>
        <v>47</v>
      </c>
      <c r="F911" s="68">
        <f>SUMIFS([0]!Chavez,[0]!Centro,B913,[0]!Turno,F$904)</f>
        <v>13</v>
      </c>
      <c r="G911" s="68">
        <f>SUMIFS([0]!Chavez,[0]!Centro,B913,[0]!Turno,G$904)</f>
        <v>8</v>
      </c>
      <c r="H911" s="68">
        <f>SUMIFS([0]!Chavez,[0]!Centro,B913,[0]!Turno,H$904)</f>
        <v>11</v>
      </c>
      <c r="I911" s="68">
        <f>SUMIFS([0]!Chavez,[0]!Centro,B913,[0]!Turno,I$904)</f>
        <v>0</v>
      </c>
      <c r="J911" s="68">
        <f>SUMIFS([0]!Chavez,[0]!Centro,B913,[0]!Turno,J$904)</f>
        <v>0</v>
      </c>
      <c r="K911" s="68">
        <f>SUMIFS([0]!Chavez,[0]!Centro,B913,[0]!Turno,K$904)</f>
        <v>0</v>
      </c>
      <c r="L911" s="68">
        <f>SUMIFS([0]!Chavez,[0]!Centro,B913,[0]!Turno,L$904)</f>
        <v>15</v>
      </c>
      <c r="M911" s="68">
        <f>SUMIFS([0]!Chavez,[0]!Centro,B913,[0]!Turno,M$904)</f>
        <v>0</v>
      </c>
      <c r="N911" s="68">
        <f>SUMIFS([0]!Chavez,[0]!Centro,B913,[0]!Turno,N$904)</f>
        <v>0</v>
      </c>
      <c r="O911" s="68">
        <f>SUMIFS([0]!Chavez,[0]!Centro,B913,[0]!Turno,O$904)</f>
        <v>0</v>
      </c>
      <c r="P911" s="68">
        <f>SUMIFS([0]!Chavez,[0]!Centro,B913,[0]!Turno,P$904)</f>
        <v>0</v>
      </c>
      <c r="Q911" s="68">
        <f>SUMIFS([0]!Chavez,[0]!Centro,B913,[0]!Turno,Q$904)</f>
        <v>0</v>
      </c>
      <c r="R911" s="68">
        <f>SUMIFS([0]!Chavez,[0]!Centro,B913,[0]!Turno,R$904)</f>
        <v>0</v>
      </c>
      <c r="S911" s="68">
        <f>SUMIFS([0]!Chavez,[0]!Centro,B913,[0]!Turno,S$904)</f>
        <v>0</v>
      </c>
      <c r="T911" s="68">
        <f>SUMIFS([0]!Chavez,[0]!Centro,B913,[0]!Turno,T$904)</f>
        <v>0</v>
      </c>
      <c r="U911" s="68">
        <f>SUMIFS([0]!Chavez,[0]!Centro,B913,[0]!Turno,U$904)</f>
        <v>0</v>
      </c>
      <c r="V911" s="68">
        <f>SUMIFS([0]!Chavez,[0]!Centro,B913,[0]!Turno,V$904)</f>
        <v>0</v>
      </c>
      <c r="W911" s="68">
        <f>SUMIFS([0]!Chavez,[0]!Centro,B913,[0]!Turno,W$904)</f>
        <v>0</v>
      </c>
      <c r="X911" s="68">
        <f>SUMIFS([0]!Chavez,[0]!Centro,B913,[0]!Turno,X$904)</f>
        <v>0</v>
      </c>
      <c r="Y911" s="69">
        <f>SUMIFS([0]!Chavez,[0]!Centro,B913,[0]!Turno,Y$904)</f>
        <v>0</v>
      </c>
    </row>
    <row r="912" spans="2:25" ht="15" customHeight="1" x14ac:dyDescent="0.2">
      <c r="B912" s="250"/>
      <c r="C912" s="92">
        <f>E912/SUM(E911:E913)</f>
        <v>0.39743589743589741</v>
      </c>
      <c r="D912" s="61" t="s">
        <v>1</v>
      </c>
      <c r="E912" s="62">
        <f t="shared" si="2259"/>
        <v>31</v>
      </c>
      <c r="F912" s="62">
        <f>SUMIFS([0]!Capriles,[0]!Centro,B913,[0]!Turno,F$904)</f>
        <v>9</v>
      </c>
      <c r="G912" s="62">
        <f>SUMIFS([0]!Capriles,[0]!Centro,B913,[0]!Turno,G$904)</f>
        <v>7</v>
      </c>
      <c r="H912" s="62">
        <f>SUMIFS([0]!Capriles,[0]!Centro,B913,[0]!Turno,H$904)</f>
        <v>8</v>
      </c>
      <c r="I912" s="62">
        <f>SUMIFS([0]!Capriles,[0]!Centro,B913,[0]!Turno,I$904)</f>
        <v>0</v>
      </c>
      <c r="J912" s="62">
        <f>SUMIFS([0]!Capriles,[0]!Centro,B913,[0]!Turno,J$904)</f>
        <v>0</v>
      </c>
      <c r="K912" s="62">
        <f>SUMIFS([0]!Capriles,[0]!Centro,B913,[0]!Turno,K$904)</f>
        <v>0</v>
      </c>
      <c r="L912" s="62">
        <f>SUMIFS([0]!Capriles,[0]!Centro,B913,[0]!Turno,L$904)</f>
        <v>7</v>
      </c>
      <c r="M912" s="62">
        <f>SUMIFS([0]!Capriles,[0]!Centro,B913,[0]!Turno,M$904)</f>
        <v>0</v>
      </c>
      <c r="N912" s="62">
        <f>SUMIFS([0]!Capriles,[0]!Centro,B913,[0]!Turno,N$904)</f>
        <v>0</v>
      </c>
      <c r="O912" s="62">
        <f>SUMIFS([0]!Capriles,[0]!Centro,B913,[0]!Turno,O$904)</f>
        <v>0</v>
      </c>
      <c r="P912" s="62">
        <f>SUMIFS([0]!Capriles,[0]!Centro,B913,[0]!Turno,P$904)</f>
        <v>0</v>
      </c>
      <c r="Q912" s="62">
        <f>SUMIFS([0]!Capriles,[0]!Centro,B913,[0]!Turno,Q$904)</f>
        <v>0</v>
      </c>
      <c r="R912" s="62">
        <f>SUMIFS([0]!Capriles,[0]!Centro,B913,[0]!Turno,R$904)</f>
        <v>0</v>
      </c>
      <c r="S912" s="62">
        <f>SUMIFS([0]!Capriles,[0]!Centro,B913,[0]!Turno,S$904)</f>
        <v>0</v>
      </c>
      <c r="T912" s="62">
        <f>SUMIFS([0]!Capriles,[0]!Centro,B913,[0]!Turno,T$904)</f>
        <v>0</v>
      </c>
      <c r="U912" s="62">
        <f>SUMIFS([0]!Capriles,[0]!Centro,B913,[0]!Turno,U$904)</f>
        <v>0</v>
      </c>
      <c r="V912" s="62">
        <f>SUMIFS([0]!Capriles,[0]!Centro,B913,[0]!Turno,V$904)</f>
        <v>0</v>
      </c>
      <c r="W912" s="62">
        <f>SUMIFS([0]!Capriles,[0]!Centro,B913,[0]!Turno,W$904)</f>
        <v>0</v>
      </c>
      <c r="X912" s="62">
        <f>SUMIFS([0]!Capriles,[0]!Centro,B913,[0]!Turno,X$904)</f>
        <v>0</v>
      </c>
      <c r="Y912" s="70">
        <f>SUMIFS([0]!Capriles,[0]!Centro,B913,[0]!Turno,Y$904)</f>
        <v>0</v>
      </c>
    </row>
    <row r="913" spans="2:25" ht="15" customHeight="1" thickBot="1" x14ac:dyDescent="0.25">
      <c r="B913" s="251">
        <v>126</v>
      </c>
      <c r="C913" s="100">
        <f>E913/SUM(E911:E913)</f>
        <v>0</v>
      </c>
      <c r="D913" s="71" t="s">
        <v>2</v>
      </c>
      <c r="E913" s="72">
        <f t="shared" si="2259"/>
        <v>0</v>
      </c>
      <c r="F913" s="72">
        <f>SUMIFS([0]!Otro,[0]!Centro,B913,[0]!Turno,F$904)</f>
        <v>0</v>
      </c>
      <c r="G913" s="72">
        <f>SUMIFS([0]!Otro,[0]!Centro,B913,[0]!Turno,G$904)</f>
        <v>0</v>
      </c>
      <c r="H913" s="72">
        <f>SUMIFS([0]!Otro,[0]!Centro,B913,[0]!Turno,H$904)</f>
        <v>0</v>
      </c>
      <c r="I913" s="72">
        <f>SUMIFS([0]!Otro,[0]!Centro,B913,[0]!Turno,I$904)</f>
        <v>0</v>
      </c>
      <c r="J913" s="72">
        <f>SUMIFS([0]!Otro,[0]!Centro,B913,[0]!Turno,J$904)</f>
        <v>0</v>
      </c>
      <c r="K913" s="72">
        <f>SUMIFS([0]!Otro,[0]!Centro,B913,[0]!Turno,K$904)</f>
        <v>0</v>
      </c>
      <c r="L913" s="72">
        <f>SUMIFS([0]!Otro,[0]!Centro,B913,[0]!Turno,L$904)</f>
        <v>0</v>
      </c>
      <c r="M913" s="72">
        <f>SUMIFS([0]!Otro,[0]!Centro,B913,[0]!Turno,M$904)</f>
        <v>0</v>
      </c>
      <c r="N913" s="72">
        <f>SUMIFS([0]!Otro,[0]!Centro,B913,[0]!Turno,N$904)</f>
        <v>0</v>
      </c>
      <c r="O913" s="72">
        <f>SUMIFS([0]!Otro,[0]!Centro,B913,[0]!Turno,O$904)</f>
        <v>0</v>
      </c>
      <c r="P913" s="72">
        <f>SUMIFS([0]!Otro,[0]!Centro,B913,[0]!Turno,P$904)</f>
        <v>0</v>
      </c>
      <c r="Q913" s="72">
        <f>SUMIFS([0]!Otro,[0]!Centro,B913,[0]!Turno,Q$904)</f>
        <v>0</v>
      </c>
      <c r="R913" s="72">
        <f>SUMIFS([0]!Otro,[0]!Centro,B913,[0]!Turno,R$904)</f>
        <v>0</v>
      </c>
      <c r="S913" s="72">
        <f>SUMIFS([0]!Otro,[0]!Centro,B913,[0]!Turno,S$904)</f>
        <v>0</v>
      </c>
      <c r="T913" s="72">
        <f>SUMIFS([0]!Otro,[0]!Centro,B913,[0]!Turno,T$904)</f>
        <v>0</v>
      </c>
      <c r="U913" s="72">
        <f>SUMIFS([0]!Otro,[0]!Centro,B913,[0]!Turno,U$904)</f>
        <v>0</v>
      </c>
      <c r="V913" s="72">
        <f>SUMIFS([0]!Otro,[0]!Centro,B913,[0]!Turno,V$904)</f>
        <v>0</v>
      </c>
      <c r="W913" s="72">
        <f>SUMIFS([0]!Otro,[0]!Centro,B913,[0]!Turno,W$904)</f>
        <v>0</v>
      </c>
      <c r="X913" s="72">
        <f>SUMIFS([0]!Otro,[0]!Centro,B913,[0]!Turno,X$904)</f>
        <v>0</v>
      </c>
      <c r="Y913" s="73">
        <f>SUMIFS([0]!Otro,[0]!Centro,B913,[0]!Turno,Y$904)</f>
        <v>0</v>
      </c>
    </row>
    <row r="914" spans="2:25" ht="15" customHeight="1" x14ac:dyDescent="0.2">
      <c r="B914" s="251"/>
      <c r="C914" s="94">
        <f>E914/SUM(E914:E916)</f>
        <v>0.60256410256410253</v>
      </c>
      <c r="D914" s="63" t="s">
        <v>0</v>
      </c>
      <c r="E914" s="150">
        <f>IF((E911+E912+E913)=0,0,(E911*$B915)/(E911+E912+E913))</f>
        <v>0.1444096900422204</v>
      </c>
      <c r="F914" s="150">
        <f>IF((F911+F912+F913)=0,0,(F911*$B915)/(F911+F912+F913))</f>
        <v>0.14161646586345403</v>
      </c>
      <c r="G914" s="150">
        <f t="shared" ref="G914:Y914" si="2268">IF((G911+G912+G913)=0,0,(G911*$B915)/(G911+G912+G913))</f>
        <v>0.12781793842034828</v>
      </c>
      <c r="H914" s="150">
        <f t="shared" si="2268"/>
        <v>0.13874973578524649</v>
      </c>
      <c r="I914" s="150">
        <f t="shared" si="2268"/>
        <v>0</v>
      </c>
      <c r="J914" s="150">
        <f t="shared" si="2268"/>
        <v>0</v>
      </c>
      <c r="K914" s="150">
        <f t="shared" si="2268"/>
        <v>0</v>
      </c>
      <c r="L914" s="150">
        <f t="shared" si="2268"/>
        <v>0.16340361445783158</v>
      </c>
      <c r="M914" s="150">
        <f t="shared" si="2268"/>
        <v>0</v>
      </c>
      <c r="N914" s="150">
        <f t="shared" si="2268"/>
        <v>0</v>
      </c>
      <c r="O914" s="150">
        <f t="shared" si="2268"/>
        <v>0</v>
      </c>
      <c r="P914" s="150">
        <f t="shared" si="2268"/>
        <v>0</v>
      </c>
      <c r="Q914" s="150">
        <f t="shared" si="2268"/>
        <v>0</v>
      </c>
      <c r="R914" s="150">
        <f t="shared" si="2268"/>
        <v>0</v>
      </c>
      <c r="S914" s="150">
        <f t="shared" si="2268"/>
        <v>0</v>
      </c>
      <c r="T914" s="150">
        <f t="shared" si="2268"/>
        <v>0</v>
      </c>
      <c r="U914" s="150">
        <f t="shared" si="2268"/>
        <v>0</v>
      </c>
      <c r="V914" s="150">
        <f t="shared" si="2268"/>
        <v>0</v>
      </c>
      <c r="W914" s="150">
        <f t="shared" si="2268"/>
        <v>0</v>
      </c>
      <c r="X914" s="150">
        <f t="shared" si="2268"/>
        <v>0</v>
      </c>
      <c r="Y914" s="163">
        <f t="shared" si="2268"/>
        <v>0</v>
      </c>
    </row>
    <row r="915" spans="2:25" ht="15" customHeight="1" x14ac:dyDescent="0.2">
      <c r="B915" s="252">
        <v>0.239658634538153</v>
      </c>
      <c r="C915" s="92">
        <f>E915/SUM(E914:E916)</f>
        <v>0.39743589743589741</v>
      </c>
      <c r="D915" s="61" t="s">
        <v>1</v>
      </c>
      <c r="E915" s="154">
        <f>IF((E911+E912+E913)=0,0,(E912*$B915)/(E911+E912+E913))</f>
        <v>9.5248944495932603E-2</v>
      </c>
      <c r="F915" s="154">
        <f>IF((F911+F912+F913)=0,0,(F912*$B915)/(F911+F912+F913))</f>
        <v>9.8042168674698962E-2</v>
      </c>
      <c r="G915" s="154">
        <f t="shared" ref="G915:O915" si="2269">IF((G911+G912+G913)=0,0,(G912*$B915)/(G911+G912+G913))</f>
        <v>0.11184069611780473</v>
      </c>
      <c r="H915" s="154">
        <f t="shared" si="2269"/>
        <v>0.10090889875290653</v>
      </c>
      <c r="I915" s="154">
        <f t="shared" si="2269"/>
        <v>0</v>
      </c>
      <c r="J915" s="154">
        <f t="shared" si="2269"/>
        <v>0</v>
      </c>
      <c r="K915" s="154">
        <f t="shared" si="2269"/>
        <v>0</v>
      </c>
      <c r="L915" s="154">
        <f t="shared" si="2269"/>
        <v>7.6255020080321409E-2</v>
      </c>
      <c r="M915" s="154">
        <f t="shared" si="2269"/>
        <v>0</v>
      </c>
      <c r="N915" s="154">
        <f t="shared" si="2269"/>
        <v>0</v>
      </c>
      <c r="O915" s="154">
        <f t="shared" si="2269"/>
        <v>0</v>
      </c>
      <c r="P915" s="154">
        <f>IF((P911+P912+P913)=0,0,(P912*$B915)/(P911+P912+P913))</f>
        <v>0</v>
      </c>
      <c r="Q915" s="154">
        <f t="shared" ref="Q915:Y915" si="2270">IF((Q911+Q912+Q913)=0,0,(Q912*$B915)/(Q911+Q912+Q913))</f>
        <v>0</v>
      </c>
      <c r="R915" s="154">
        <f t="shared" si="2270"/>
        <v>0</v>
      </c>
      <c r="S915" s="154">
        <f t="shared" si="2270"/>
        <v>0</v>
      </c>
      <c r="T915" s="154">
        <f t="shared" si="2270"/>
        <v>0</v>
      </c>
      <c r="U915" s="154">
        <f t="shared" si="2270"/>
        <v>0</v>
      </c>
      <c r="V915" s="154">
        <f t="shared" si="2270"/>
        <v>0</v>
      </c>
      <c r="W915" s="154">
        <f t="shared" si="2270"/>
        <v>0</v>
      </c>
      <c r="X915" s="154">
        <f t="shared" si="2270"/>
        <v>0</v>
      </c>
      <c r="Y915" s="159">
        <f t="shared" si="2270"/>
        <v>0</v>
      </c>
    </row>
    <row r="916" spans="2:25" ht="15" customHeight="1" thickBot="1" x14ac:dyDescent="0.25">
      <c r="B916" s="253"/>
      <c r="C916" s="93">
        <f>E916/SUM(E914:E916)</f>
        <v>0</v>
      </c>
      <c r="D916" s="75" t="s">
        <v>2</v>
      </c>
      <c r="E916" s="155">
        <f>IF((E911+E912+E913)=0,0,(E913*$B915)/(E911+E912+E913))</f>
        <v>0</v>
      </c>
      <c r="F916" s="155">
        <f>IF((F911+F912+F913)=0,0,(F913*$B915)/(F911+F912+F913))</f>
        <v>0</v>
      </c>
      <c r="G916" s="155">
        <f t="shared" ref="G916:Y916" si="2271">IF((G911+G912+G913)=0,0,(G913*$B915)/(G911+G912+G913))</f>
        <v>0</v>
      </c>
      <c r="H916" s="155">
        <f t="shared" si="2271"/>
        <v>0</v>
      </c>
      <c r="I916" s="155">
        <f t="shared" si="2271"/>
        <v>0</v>
      </c>
      <c r="J916" s="155">
        <f t="shared" si="2271"/>
        <v>0</v>
      </c>
      <c r="K916" s="155">
        <f t="shared" si="2271"/>
        <v>0</v>
      </c>
      <c r="L916" s="155">
        <f t="shared" si="2271"/>
        <v>0</v>
      </c>
      <c r="M916" s="155">
        <f t="shared" si="2271"/>
        <v>0</v>
      </c>
      <c r="N916" s="155">
        <f t="shared" si="2271"/>
        <v>0</v>
      </c>
      <c r="O916" s="155">
        <f t="shared" si="2271"/>
        <v>0</v>
      </c>
      <c r="P916" s="155">
        <f t="shared" si="2271"/>
        <v>0</v>
      </c>
      <c r="Q916" s="155">
        <f t="shared" si="2271"/>
        <v>0</v>
      </c>
      <c r="R916" s="155">
        <f t="shared" si="2271"/>
        <v>0</v>
      </c>
      <c r="S916" s="155">
        <f t="shared" si="2271"/>
        <v>0</v>
      </c>
      <c r="T916" s="155">
        <f t="shared" si="2271"/>
        <v>0</v>
      </c>
      <c r="U916" s="155">
        <f t="shared" si="2271"/>
        <v>0</v>
      </c>
      <c r="V916" s="155">
        <f t="shared" si="2271"/>
        <v>0</v>
      </c>
      <c r="W916" s="155">
        <f t="shared" si="2271"/>
        <v>0</v>
      </c>
      <c r="X916" s="155">
        <f t="shared" si="2271"/>
        <v>0</v>
      </c>
      <c r="Y916" s="160">
        <f t="shared" si="2271"/>
        <v>0</v>
      </c>
    </row>
    <row r="917" spans="2:25" ht="15" customHeight="1" x14ac:dyDescent="0.2">
      <c r="B917" s="249" t="s">
        <v>228</v>
      </c>
      <c r="C917" s="91">
        <f>E917/SUM(E917:E919)</f>
        <v>0.73750000000000004</v>
      </c>
      <c r="D917" s="67" t="s">
        <v>0</v>
      </c>
      <c r="E917" s="68">
        <f t="shared" si="2259"/>
        <v>59</v>
      </c>
      <c r="F917" s="68">
        <f>SUMIFS([0]!Chavez,[0]!Centro,B919,[0]!Turno,F$904)</f>
        <v>20</v>
      </c>
      <c r="G917" s="68">
        <f>SUMIFS([0]!Chavez,[0]!Centro,B919,[0]!Turno,G$904)</f>
        <v>20</v>
      </c>
      <c r="H917" s="68">
        <f>SUMIFS([0]!Chavez,[0]!Centro,B919,[0]!Turno,H$904)</f>
        <v>16</v>
      </c>
      <c r="I917" s="68">
        <f>SUMIFS([0]!Chavez,[0]!Centro,B919,[0]!Turno,I$904)</f>
        <v>0</v>
      </c>
      <c r="J917" s="68">
        <f>SUMIFS([0]!Chavez,[0]!Centro,B919,[0]!Turno,J$904)</f>
        <v>0</v>
      </c>
      <c r="K917" s="68">
        <f>SUMIFS([0]!Chavez,[0]!Centro,B919,[0]!Turno,K$904)</f>
        <v>0</v>
      </c>
      <c r="L917" s="68">
        <f>SUMIFS([0]!Chavez,[0]!Centro,B919,[0]!Turno,L$904)</f>
        <v>3</v>
      </c>
      <c r="M917" s="68">
        <f>SUMIFS([0]!Chavez,[0]!Centro,B919,[0]!Turno,M$904)</f>
        <v>0</v>
      </c>
      <c r="N917" s="68">
        <f>SUMIFS([0]!Chavez,[0]!Centro,B919,[0]!Turno,N$904)</f>
        <v>0</v>
      </c>
      <c r="O917" s="68">
        <f>SUMIFS([0]!Chavez,[0]!Centro,B919,[0]!Turno,O$904)</f>
        <v>0</v>
      </c>
      <c r="P917" s="68">
        <f>SUMIFS([0]!Chavez,[0]!Centro,B919,[0]!Turno,P$904)</f>
        <v>0</v>
      </c>
      <c r="Q917" s="68">
        <f>SUMIFS([0]!Chavez,[0]!Centro,B919,[0]!Turno,Q$904)</f>
        <v>0</v>
      </c>
      <c r="R917" s="68">
        <f>SUMIFS([0]!Chavez,[0]!Centro,B919,[0]!Turno,R$904)</f>
        <v>0</v>
      </c>
      <c r="S917" s="68">
        <f>SUMIFS([0]!Chavez,[0]!Centro,B919,[0]!Turno,S$904)</f>
        <v>0</v>
      </c>
      <c r="T917" s="68">
        <f>SUMIFS([0]!Chavez,[0]!Centro,B919,[0]!Turno,T$904)</f>
        <v>0</v>
      </c>
      <c r="U917" s="68">
        <f>SUMIFS([0]!Chavez,[0]!Centro,B919,[0]!Turno,U$904)</f>
        <v>0</v>
      </c>
      <c r="V917" s="68">
        <f>SUMIFS([0]!Chavez,[0]!Centro,B919,[0]!Turno,V$904)</f>
        <v>0</v>
      </c>
      <c r="W917" s="68">
        <f>SUMIFS([0]!Chavez,[0]!Centro,B919,[0]!Turno,W$904)</f>
        <v>0</v>
      </c>
      <c r="X917" s="68">
        <f>SUMIFS([0]!Chavez,[0]!Centro,B919,[0]!Turno,X$904)</f>
        <v>0</v>
      </c>
      <c r="Y917" s="69">
        <f>SUMIFS([0]!Chavez,[0]!Centro,B919,[0]!Turno,Y$904)</f>
        <v>0</v>
      </c>
    </row>
    <row r="918" spans="2:25" ht="15" customHeight="1" x14ac:dyDescent="0.2">
      <c r="B918" s="250"/>
      <c r="C918" s="92">
        <f>E918/SUM(E917:E919)</f>
        <v>0.26250000000000001</v>
      </c>
      <c r="D918" s="61" t="s">
        <v>1</v>
      </c>
      <c r="E918" s="62">
        <f t="shared" si="2259"/>
        <v>21</v>
      </c>
      <c r="F918" s="62">
        <f>SUMIFS([0]!Capriles,[0]!Centro,B919,[0]!Turno,F$904)</f>
        <v>0</v>
      </c>
      <c r="G918" s="62">
        <f>SUMIFS([0]!Capriles,[0]!Centro,B919,[0]!Turno,G$904)</f>
        <v>0</v>
      </c>
      <c r="H918" s="62">
        <f>SUMIFS([0]!Capriles,[0]!Centro,B919,[0]!Turno,H$904)</f>
        <v>4</v>
      </c>
      <c r="I918" s="62">
        <f>SUMIFS([0]!Capriles,[0]!Centro,B919,[0]!Turno,I$904)</f>
        <v>0</v>
      </c>
      <c r="J918" s="62">
        <f>SUMIFS([0]!Capriles,[0]!Centro,B919,[0]!Turno,J$904)</f>
        <v>0</v>
      </c>
      <c r="K918" s="62">
        <f>SUMIFS([0]!Capriles,[0]!Centro,B919,[0]!Turno,K$904)</f>
        <v>0</v>
      </c>
      <c r="L918" s="62">
        <f>SUMIFS([0]!Capriles,[0]!Centro,B919,[0]!Turno,L$904)</f>
        <v>17</v>
      </c>
      <c r="M918" s="62">
        <f>SUMIFS([0]!Capriles,[0]!Centro,B919,[0]!Turno,M$904)</f>
        <v>0</v>
      </c>
      <c r="N918" s="62">
        <f>SUMIFS([0]!Capriles,[0]!Centro,B919,[0]!Turno,N$904)</f>
        <v>0</v>
      </c>
      <c r="O918" s="62">
        <f>SUMIFS([0]!Capriles,[0]!Centro,B919,[0]!Turno,O$904)</f>
        <v>0</v>
      </c>
      <c r="P918" s="62">
        <f>SUMIFS([0]!Capriles,[0]!Centro,B919,[0]!Turno,P$904)</f>
        <v>0</v>
      </c>
      <c r="Q918" s="62">
        <f>SUMIFS([0]!Capriles,[0]!Centro,B919,[0]!Turno,Q$904)</f>
        <v>0</v>
      </c>
      <c r="R918" s="62">
        <f>SUMIFS([0]!Capriles,[0]!Centro,B919,[0]!Turno,R$904)</f>
        <v>0</v>
      </c>
      <c r="S918" s="62">
        <f>SUMIFS([0]!Capriles,[0]!Centro,B919,[0]!Turno,S$904)</f>
        <v>0</v>
      </c>
      <c r="T918" s="62">
        <f>SUMIFS([0]!Capriles,[0]!Centro,B919,[0]!Turno,T$904)</f>
        <v>0</v>
      </c>
      <c r="U918" s="62">
        <f>SUMIFS([0]!Capriles,[0]!Centro,B919,[0]!Turno,U$904)</f>
        <v>0</v>
      </c>
      <c r="V918" s="62">
        <f>SUMIFS([0]!Capriles,[0]!Centro,B919,[0]!Turno,V$904)</f>
        <v>0</v>
      </c>
      <c r="W918" s="62">
        <f>SUMIFS([0]!Capriles,[0]!Centro,B919,[0]!Turno,W$904)</f>
        <v>0</v>
      </c>
      <c r="X918" s="62">
        <f>SUMIFS([0]!Capriles,[0]!Centro,B919,[0]!Turno,X$904)</f>
        <v>0</v>
      </c>
      <c r="Y918" s="70">
        <f>SUMIFS([0]!Capriles,[0]!Centro,B919,[0]!Turno,Y$904)</f>
        <v>0</v>
      </c>
    </row>
    <row r="919" spans="2:25" ht="15" customHeight="1" thickBot="1" x14ac:dyDescent="0.25">
      <c r="B919" s="251">
        <v>127</v>
      </c>
      <c r="C919" s="100">
        <f>E919/SUM(E917:E919)</f>
        <v>0</v>
      </c>
      <c r="D919" s="71" t="s">
        <v>2</v>
      </c>
      <c r="E919" s="72">
        <f t="shared" si="2259"/>
        <v>0</v>
      </c>
      <c r="F919" s="72">
        <f>SUMIFS([0]!Otro,[0]!Centro,B919,[0]!Turno,F$904)</f>
        <v>0</v>
      </c>
      <c r="G919" s="72">
        <f>SUMIFS([0]!Otro,[0]!Centro,B919,[0]!Turno,G$904)</f>
        <v>0</v>
      </c>
      <c r="H919" s="72">
        <f>SUMIFS([0]!Otro,[0]!Centro,B919,[0]!Turno,H$904)</f>
        <v>0</v>
      </c>
      <c r="I919" s="72">
        <f>SUMIFS([0]!Otro,[0]!Centro,B919,[0]!Turno,I$904)</f>
        <v>0</v>
      </c>
      <c r="J919" s="72">
        <f>SUMIFS([0]!Otro,[0]!Centro,B919,[0]!Turno,J$904)</f>
        <v>0</v>
      </c>
      <c r="K919" s="72">
        <f>SUMIFS([0]!Otro,[0]!Centro,B919,[0]!Turno,K$904)</f>
        <v>0</v>
      </c>
      <c r="L919" s="72">
        <f>SUMIFS([0]!Otro,[0]!Centro,B919,[0]!Turno,L$904)</f>
        <v>0</v>
      </c>
      <c r="M919" s="72">
        <f>SUMIFS([0]!Otro,[0]!Centro,B919,[0]!Turno,M$904)</f>
        <v>0</v>
      </c>
      <c r="N919" s="72">
        <f>SUMIFS([0]!Otro,[0]!Centro,B919,[0]!Turno,N$904)</f>
        <v>0</v>
      </c>
      <c r="O919" s="72">
        <f>SUMIFS([0]!Otro,[0]!Centro,B919,[0]!Turno,O$904)</f>
        <v>0</v>
      </c>
      <c r="P919" s="72">
        <f>SUMIFS([0]!Otro,[0]!Centro,B919,[0]!Turno,P$904)</f>
        <v>0</v>
      </c>
      <c r="Q919" s="72">
        <f>SUMIFS([0]!Otro,[0]!Centro,B919,[0]!Turno,Q$904)</f>
        <v>0</v>
      </c>
      <c r="R919" s="72">
        <f>SUMIFS([0]!Otro,[0]!Centro,B919,[0]!Turno,R$904)</f>
        <v>0</v>
      </c>
      <c r="S919" s="72">
        <f>SUMIFS([0]!Otro,[0]!Centro,B919,[0]!Turno,S$904)</f>
        <v>0</v>
      </c>
      <c r="T919" s="72">
        <f>SUMIFS([0]!Otro,[0]!Centro,B919,[0]!Turno,T$904)</f>
        <v>0</v>
      </c>
      <c r="U919" s="72">
        <f>SUMIFS([0]!Otro,[0]!Centro,B919,[0]!Turno,U$904)</f>
        <v>0</v>
      </c>
      <c r="V919" s="72">
        <f>SUMIFS([0]!Otro,[0]!Centro,B919,[0]!Turno,V$904)</f>
        <v>0</v>
      </c>
      <c r="W919" s="72">
        <f>SUMIFS([0]!Otro,[0]!Centro,B919,[0]!Turno,W$904)</f>
        <v>0</v>
      </c>
      <c r="X919" s="72">
        <f>SUMIFS([0]!Otro,[0]!Centro,B919,[0]!Turno,X$904)</f>
        <v>0</v>
      </c>
      <c r="Y919" s="73">
        <f>SUMIFS([0]!Otro,[0]!Centro,B919,[0]!Turno,Y$904)</f>
        <v>0</v>
      </c>
    </row>
    <row r="920" spans="2:25" ht="15" customHeight="1" x14ac:dyDescent="0.2">
      <c r="B920" s="251"/>
      <c r="C920" s="94">
        <f>E920/SUM(E920:E922)</f>
        <v>0.73750000000000004</v>
      </c>
      <c r="D920" s="63" t="s">
        <v>0</v>
      </c>
      <c r="E920" s="150">
        <f>IF((E917+E918+E919)=0,0,(E917*$B921)/(E917+E918+E919))</f>
        <v>8.9135739386116034E-2</v>
      </c>
      <c r="F920" s="150">
        <f>IF((F917+F918+F919)=0,0,(F917*$B921)/(F917+F918+F919))</f>
        <v>0.120862019506598</v>
      </c>
      <c r="G920" s="150">
        <f t="shared" ref="G920:Y920" si="2272">IF((G917+G918+G919)=0,0,(G917*$B921)/(G917+G918+G919))</f>
        <v>0.120862019506598</v>
      </c>
      <c r="H920" s="150">
        <f t="shared" si="2272"/>
        <v>9.6689615605278403E-2</v>
      </c>
      <c r="I920" s="150">
        <f t="shared" si="2272"/>
        <v>0</v>
      </c>
      <c r="J920" s="150">
        <f t="shared" si="2272"/>
        <v>0</v>
      </c>
      <c r="K920" s="150">
        <f t="shared" si="2272"/>
        <v>0</v>
      </c>
      <c r="L920" s="150">
        <f t="shared" si="2272"/>
        <v>1.8129302925989698E-2</v>
      </c>
      <c r="M920" s="150">
        <f t="shared" si="2272"/>
        <v>0</v>
      </c>
      <c r="N920" s="150">
        <f t="shared" si="2272"/>
        <v>0</v>
      </c>
      <c r="O920" s="150">
        <f t="shared" si="2272"/>
        <v>0</v>
      </c>
      <c r="P920" s="150">
        <f t="shared" si="2272"/>
        <v>0</v>
      </c>
      <c r="Q920" s="150">
        <f t="shared" si="2272"/>
        <v>0</v>
      </c>
      <c r="R920" s="150">
        <f t="shared" si="2272"/>
        <v>0</v>
      </c>
      <c r="S920" s="150">
        <f t="shared" si="2272"/>
        <v>0</v>
      </c>
      <c r="T920" s="150">
        <f t="shared" si="2272"/>
        <v>0</v>
      </c>
      <c r="U920" s="150">
        <f t="shared" si="2272"/>
        <v>0</v>
      </c>
      <c r="V920" s="150">
        <f t="shared" si="2272"/>
        <v>0</v>
      </c>
      <c r="W920" s="150">
        <f t="shared" si="2272"/>
        <v>0</v>
      </c>
      <c r="X920" s="150">
        <f t="shared" si="2272"/>
        <v>0</v>
      </c>
      <c r="Y920" s="163">
        <f t="shared" si="2272"/>
        <v>0</v>
      </c>
    </row>
    <row r="921" spans="2:25" ht="15" customHeight="1" x14ac:dyDescent="0.2">
      <c r="B921" s="252">
        <v>0.120862019506598</v>
      </c>
      <c r="C921" s="92">
        <f>E921/SUM(E920:E922)</f>
        <v>0.26250000000000001</v>
      </c>
      <c r="D921" s="61" t="s">
        <v>1</v>
      </c>
      <c r="E921" s="154">
        <f>IF((E917+E918+E919)=0,0,(E918*$B921)/(E917+E918+E919))</f>
        <v>3.1726280120481974E-2</v>
      </c>
      <c r="F921" s="154">
        <f>IF((F917+F918+F919)=0,0,(F918*$B921)/(F917+F918+F919))</f>
        <v>0</v>
      </c>
      <c r="G921" s="154">
        <f t="shared" ref="G921:O921" si="2273">IF((G917+G918+G919)=0,0,(G918*$B921)/(G917+G918+G919))</f>
        <v>0</v>
      </c>
      <c r="H921" s="154">
        <f t="shared" si="2273"/>
        <v>2.4172403901319601E-2</v>
      </c>
      <c r="I921" s="154">
        <f t="shared" si="2273"/>
        <v>0</v>
      </c>
      <c r="J921" s="154">
        <f t="shared" si="2273"/>
        <v>0</v>
      </c>
      <c r="K921" s="154">
        <f t="shared" si="2273"/>
        <v>0</v>
      </c>
      <c r="L921" s="154">
        <f t="shared" si="2273"/>
        <v>0.1027327165806083</v>
      </c>
      <c r="M921" s="154">
        <f t="shared" si="2273"/>
        <v>0</v>
      </c>
      <c r="N921" s="154">
        <f t="shared" si="2273"/>
        <v>0</v>
      </c>
      <c r="O921" s="154">
        <f t="shared" si="2273"/>
        <v>0</v>
      </c>
      <c r="P921" s="154">
        <f>IF((P917+P918+P919)=0,0,(P918*$B921)/(P917+P918+P919))</f>
        <v>0</v>
      </c>
      <c r="Q921" s="154">
        <f t="shared" ref="Q921:Y921" si="2274">IF((Q917+Q918+Q919)=0,0,(Q918*$B921)/(Q917+Q918+Q919))</f>
        <v>0</v>
      </c>
      <c r="R921" s="154">
        <f t="shared" si="2274"/>
        <v>0</v>
      </c>
      <c r="S921" s="154">
        <f t="shared" si="2274"/>
        <v>0</v>
      </c>
      <c r="T921" s="154">
        <f t="shared" si="2274"/>
        <v>0</v>
      </c>
      <c r="U921" s="154">
        <f t="shared" si="2274"/>
        <v>0</v>
      </c>
      <c r="V921" s="154">
        <f t="shared" si="2274"/>
        <v>0</v>
      </c>
      <c r="W921" s="154">
        <f t="shared" si="2274"/>
        <v>0</v>
      </c>
      <c r="X921" s="154">
        <f t="shared" si="2274"/>
        <v>0</v>
      </c>
      <c r="Y921" s="159">
        <f t="shared" si="2274"/>
        <v>0</v>
      </c>
    </row>
    <row r="922" spans="2:25" ht="15" customHeight="1" thickBot="1" x14ac:dyDescent="0.25">
      <c r="B922" s="253"/>
      <c r="C922" s="93">
        <f>E922/SUM(E920:E922)</f>
        <v>0</v>
      </c>
      <c r="D922" s="75" t="s">
        <v>2</v>
      </c>
      <c r="E922" s="155">
        <f>IF((E917+E918+E919)=0,0,(E919*$B921)/(E917+E918+E919))</f>
        <v>0</v>
      </c>
      <c r="F922" s="155">
        <f>IF((F917+F918+F919)=0,0,(F919*$B921)/(F917+F918+F919))</f>
        <v>0</v>
      </c>
      <c r="G922" s="155">
        <f t="shared" ref="G922:Y922" si="2275">IF((G917+G918+G919)=0,0,(G919*$B921)/(G917+G918+G919))</f>
        <v>0</v>
      </c>
      <c r="H922" s="155">
        <f t="shared" si="2275"/>
        <v>0</v>
      </c>
      <c r="I922" s="155">
        <f t="shared" si="2275"/>
        <v>0</v>
      </c>
      <c r="J922" s="155">
        <f t="shared" si="2275"/>
        <v>0</v>
      </c>
      <c r="K922" s="155">
        <f t="shared" si="2275"/>
        <v>0</v>
      </c>
      <c r="L922" s="155">
        <f t="shared" si="2275"/>
        <v>0</v>
      </c>
      <c r="M922" s="155">
        <f t="shared" si="2275"/>
        <v>0</v>
      </c>
      <c r="N922" s="155">
        <f t="shared" si="2275"/>
        <v>0</v>
      </c>
      <c r="O922" s="155">
        <f t="shared" si="2275"/>
        <v>0</v>
      </c>
      <c r="P922" s="155">
        <f t="shared" si="2275"/>
        <v>0</v>
      </c>
      <c r="Q922" s="155">
        <f t="shared" si="2275"/>
        <v>0</v>
      </c>
      <c r="R922" s="155">
        <f t="shared" si="2275"/>
        <v>0</v>
      </c>
      <c r="S922" s="155">
        <f t="shared" si="2275"/>
        <v>0</v>
      </c>
      <c r="T922" s="155">
        <f t="shared" si="2275"/>
        <v>0</v>
      </c>
      <c r="U922" s="155">
        <f t="shared" si="2275"/>
        <v>0</v>
      </c>
      <c r="V922" s="155">
        <f t="shared" si="2275"/>
        <v>0</v>
      </c>
      <c r="W922" s="155">
        <f t="shared" si="2275"/>
        <v>0</v>
      </c>
      <c r="X922" s="155">
        <f t="shared" si="2275"/>
        <v>0</v>
      </c>
      <c r="Y922" s="160">
        <f t="shared" si="2275"/>
        <v>0</v>
      </c>
    </row>
    <row r="923" spans="2:25" ht="15" customHeight="1" x14ac:dyDescent="0.2">
      <c r="B923" s="249" t="s">
        <v>229</v>
      </c>
      <c r="C923" s="91">
        <f>E923/SUM(E923:E925)</f>
        <v>0.55263157894736847</v>
      </c>
      <c r="D923" s="67" t="s">
        <v>0</v>
      </c>
      <c r="E923" s="68">
        <f t="shared" si="2259"/>
        <v>42</v>
      </c>
      <c r="F923" s="68">
        <f>SUMIFS([0]!Chavez,[0]!Centro,B925,[0]!Turno,F$904)</f>
        <v>0</v>
      </c>
      <c r="G923" s="68">
        <f>SUMIFS([0]!Chavez,[0]!Centro,B925,[0]!Turno,G$904)</f>
        <v>3</v>
      </c>
      <c r="H923" s="68">
        <f>SUMIFS([0]!Chavez,[0]!Centro,B925,[0]!Turno,H$904)</f>
        <v>8</v>
      </c>
      <c r="I923" s="68">
        <f>SUMIFS([0]!Chavez,[0]!Centro,B925,[0]!Turno,I$904)</f>
        <v>0</v>
      </c>
      <c r="J923" s="68">
        <f>SUMIFS([0]!Chavez,[0]!Centro,B925,[0]!Turno,J$904)</f>
        <v>9</v>
      </c>
      <c r="K923" s="68">
        <f>SUMIFS([0]!Chavez,[0]!Centro,B925,[0]!Turno,K$904)</f>
        <v>12</v>
      </c>
      <c r="L923" s="68">
        <f>SUMIFS([0]!Chavez,[0]!Centro,B925,[0]!Turno,L$904)</f>
        <v>0</v>
      </c>
      <c r="M923" s="68">
        <f>SUMIFS([0]!Chavez,[0]!Centro,B925,[0]!Turno,M$904)</f>
        <v>10</v>
      </c>
      <c r="N923" s="68">
        <f>SUMIFS([0]!Chavez,[0]!Centro,B925,[0]!Turno,N$904)</f>
        <v>0</v>
      </c>
      <c r="O923" s="68">
        <f>SUMIFS([0]!Chavez,[0]!Centro,B925,[0]!Turno,O$904)</f>
        <v>0</v>
      </c>
      <c r="P923" s="68">
        <f>SUMIFS([0]!Chavez,[0]!Centro,B925,[0]!Turno,P$904)</f>
        <v>0</v>
      </c>
      <c r="Q923" s="68">
        <f>SUMIFS([0]!Chavez,[0]!Centro,B925,[0]!Turno,Q$904)</f>
        <v>0</v>
      </c>
      <c r="R923" s="68">
        <f>SUMIFS([0]!Chavez,[0]!Centro,B925,[0]!Turno,R$904)</f>
        <v>0</v>
      </c>
      <c r="S923" s="68">
        <f>SUMIFS([0]!Chavez,[0]!Centro,B925,[0]!Turno,S$904)</f>
        <v>0</v>
      </c>
      <c r="T923" s="68">
        <f>SUMIFS([0]!Chavez,[0]!Centro,B925,[0]!Turno,T$904)</f>
        <v>0</v>
      </c>
      <c r="U923" s="68">
        <f>SUMIFS([0]!Chavez,[0]!Centro,B925,[0]!Turno,U$904)</f>
        <v>0</v>
      </c>
      <c r="V923" s="68">
        <f>SUMIFS([0]!Chavez,[0]!Centro,B925,[0]!Turno,V$904)</f>
        <v>0</v>
      </c>
      <c r="W923" s="68">
        <f>SUMIFS([0]!Chavez,[0]!Centro,B925,[0]!Turno,W$904)</f>
        <v>0</v>
      </c>
      <c r="X923" s="68">
        <f>SUMIFS([0]!Chavez,[0]!Centro,B925,[0]!Turno,X$904)</f>
        <v>0</v>
      </c>
      <c r="Y923" s="69">
        <f>SUMIFS([0]!Chavez,[0]!Centro,B925,[0]!Turno,Y$904)</f>
        <v>0</v>
      </c>
    </row>
    <row r="924" spans="2:25" ht="15" customHeight="1" x14ac:dyDescent="0.2">
      <c r="B924" s="250"/>
      <c r="C924" s="92">
        <f>E924/SUM(E923:E925)</f>
        <v>0.44736842105263158</v>
      </c>
      <c r="D924" s="61" t="s">
        <v>1</v>
      </c>
      <c r="E924" s="62">
        <f t="shared" si="2259"/>
        <v>34</v>
      </c>
      <c r="F924" s="62">
        <f>SUMIFS([0]!Capriles,[0]!Centro,B925,[0]!Turno,F$904)</f>
        <v>0</v>
      </c>
      <c r="G924" s="62">
        <f>SUMIFS([0]!Capriles,[0]!Centro,B925,[0]!Turno,G$904)</f>
        <v>1</v>
      </c>
      <c r="H924" s="62">
        <f>SUMIFS([0]!Capriles,[0]!Centro,B925,[0]!Turno,H$904)</f>
        <v>7</v>
      </c>
      <c r="I924" s="62">
        <f>SUMIFS([0]!Capriles,[0]!Centro,B925,[0]!Turno,I$904)</f>
        <v>0</v>
      </c>
      <c r="J924" s="62">
        <f>SUMIFS([0]!Capriles,[0]!Centro,B925,[0]!Turno,J$904)</f>
        <v>11</v>
      </c>
      <c r="K924" s="62">
        <f>SUMIFS([0]!Capriles,[0]!Centro,B925,[0]!Turno,K$904)</f>
        <v>4</v>
      </c>
      <c r="L924" s="62">
        <f>SUMIFS([0]!Capriles,[0]!Centro,B925,[0]!Turno,L$904)</f>
        <v>0</v>
      </c>
      <c r="M924" s="62">
        <f>SUMIFS([0]!Capriles,[0]!Centro,B925,[0]!Turno,M$904)</f>
        <v>11</v>
      </c>
      <c r="N924" s="62">
        <f>SUMIFS([0]!Capriles,[0]!Centro,B925,[0]!Turno,N$904)</f>
        <v>0</v>
      </c>
      <c r="O924" s="62">
        <f>SUMIFS([0]!Capriles,[0]!Centro,B925,[0]!Turno,O$904)</f>
        <v>0</v>
      </c>
      <c r="P924" s="62">
        <f>SUMIFS([0]!Capriles,[0]!Centro,B925,[0]!Turno,P$904)</f>
        <v>0</v>
      </c>
      <c r="Q924" s="62">
        <f>SUMIFS([0]!Capriles,[0]!Centro,B925,[0]!Turno,Q$904)</f>
        <v>0</v>
      </c>
      <c r="R924" s="62">
        <f>SUMIFS([0]!Capriles,[0]!Centro,B925,[0]!Turno,R$904)</f>
        <v>0</v>
      </c>
      <c r="S924" s="62">
        <f>SUMIFS([0]!Capriles,[0]!Centro,B925,[0]!Turno,S$904)</f>
        <v>0</v>
      </c>
      <c r="T924" s="62">
        <f>SUMIFS([0]!Capriles,[0]!Centro,B925,[0]!Turno,T$904)</f>
        <v>0</v>
      </c>
      <c r="U924" s="62">
        <f>SUMIFS([0]!Capriles,[0]!Centro,B925,[0]!Turno,U$904)</f>
        <v>0</v>
      </c>
      <c r="V924" s="62">
        <f>SUMIFS([0]!Capriles,[0]!Centro,B925,[0]!Turno,V$904)</f>
        <v>0</v>
      </c>
      <c r="W924" s="62">
        <f>SUMIFS([0]!Capriles,[0]!Centro,B925,[0]!Turno,W$904)</f>
        <v>0</v>
      </c>
      <c r="X924" s="62">
        <f>SUMIFS([0]!Capriles,[0]!Centro,B925,[0]!Turno,X$904)</f>
        <v>0</v>
      </c>
      <c r="Y924" s="70">
        <f>SUMIFS([0]!Capriles,[0]!Centro,B925,[0]!Turno,Y$904)</f>
        <v>0</v>
      </c>
    </row>
    <row r="925" spans="2:25" ht="15" customHeight="1" thickBot="1" x14ac:dyDescent="0.25">
      <c r="B925" s="251">
        <v>128</v>
      </c>
      <c r="C925" s="100">
        <f>E925/SUM(E923:E925)</f>
        <v>0</v>
      </c>
      <c r="D925" s="71" t="s">
        <v>2</v>
      </c>
      <c r="E925" s="72">
        <f t="shared" si="2259"/>
        <v>0</v>
      </c>
      <c r="F925" s="72">
        <f>SUMIFS([0]!Otro,[0]!Centro,B925,[0]!Turno,F$904)</f>
        <v>0</v>
      </c>
      <c r="G925" s="72">
        <f>SUMIFS([0]!Otro,[0]!Centro,B925,[0]!Turno,G$904)</f>
        <v>0</v>
      </c>
      <c r="H925" s="72">
        <f>SUMIFS([0]!Otro,[0]!Centro,B925,[0]!Turno,H$904)</f>
        <v>0</v>
      </c>
      <c r="I925" s="72">
        <f>SUMIFS([0]!Otro,[0]!Centro,B925,[0]!Turno,I$904)</f>
        <v>0</v>
      </c>
      <c r="J925" s="72">
        <f>SUMIFS([0]!Otro,[0]!Centro,B925,[0]!Turno,J$904)</f>
        <v>0</v>
      </c>
      <c r="K925" s="72">
        <f>SUMIFS([0]!Otro,[0]!Centro,B925,[0]!Turno,K$904)</f>
        <v>0</v>
      </c>
      <c r="L925" s="72">
        <f>SUMIFS([0]!Otro,[0]!Centro,B925,[0]!Turno,L$904)</f>
        <v>0</v>
      </c>
      <c r="M925" s="72">
        <f>SUMIFS([0]!Otro,[0]!Centro,B925,[0]!Turno,M$904)</f>
        <v>0</v>
      </c>
      <c r="N925" s="72">
        <f>SUMIFS([0]!Otro,[0]!Centro,B925,[0]!Turno,N$904)</f>
        <v>0</v>
      </c>
      <c r="O925" s="72">
        <f>SUMIFS([0]!Otro,[0]!Centro,B925,[0]!Turno,O$904)</f>
        <v>0</v>
      </c>
      <c r="P925" s="72">
        <f>SUMIFS([0]!Otro,[0]!Centro,B925,[0]!Turno,P$904)</f>
        <v>0</v>
      </c>
      <c r="Q925" s="72">
        <f>SUMIFS([0]!Otro,[0]!Centro,B925,[0]!Turno,Q$904)</f>
        <v>0</v>
      </c>
      <c r="R925" s="72">
        <f>SUMIFS([0]!Otro,[0]!Centro,B925,[0]!Turno,R$904)</f>
        <v>0</v>
      </c>
      <c r="S925" s="72">
        <f>SUMIFS([0]!Otro,[0]!Centro,B925,[0]!Turno,S$904)</f>
        <v>0</v>
      </c>
      <c r="T925" s="72">
        <f>SUMIFS([0]!Otro,[0]!Centro,B925,[0]!Turno,T$904)</f>
        <v>0</v>
      </c>
      <c r="U925" s="72">
        <f>SUMIFS([0]!Otro,[0]!Centro,B925,[0]!Turno,U$904)</f>
        <v>0</v>
      </c>
      <c r="V925" s="72">
        <f>SUMIFS([0]!Otro,[0]!Centro,B925,[0]!Turno,V$904)</f>
        <v>0</v>
      </c>
      <c r="W925" s="72">
        <f>SUMIFS([0]!Otro,[0]!Centro,B925,[0]!Turno,W$904)</f>
        <v>0</v>
      </c>
      <c r="X925" s="72">
        <f>SUMIFS([0]!Otro,[0]!Centro,B925,[0]!Turno,X$904)</f>
        <v>0</v>
      </c>
      <c r="Y925" s="73">
        <f>SUMIFS([0]!Otro,[0]!Centro,B925,[0]!Turno,Y$904)</f>
        <v>0</v>
      </c>
    </row>
    <row r="926" spans="2:25" ht="15" customHeight="1" x14ac:dyDescent="0.2">
      <c r="B926" s="251"/>
      <c r="C926" s="94">
        <f>E926/SUM(E926:E928)</f>
        <v>0.55263157894736847</v>
      </c>
      <c r="D926" s="63" t="s">
        <v>0</v>
      </c>
      <c r="E926" s="150">
        <f>IF((E923+E924+E925)=0,0,(E923*$B927)/(E923+E924+E925))</f>
        <v>7.1355818008877692E-2</v>
      </c>
      <c r="F926" s="150">
        <f>IF((F923+F924+F925)=0,0,(F923*$B927)/(F923+F924+F925))</f>
        <v>0</v>
      </c>
      <c r="G926" s="150">
        <f t="shared" ref="G926:Y926" si="2276">IF((G923+G924+G925)=0,0,(G923*$B927)/(G923+G924+G925))</f>
        <v>9.684003872633401E-2</v>
      </c>
      <c r="H926" s="150">
        <f t="shared" si="2276"/>
        <v>6.8864027538726405E-2</v>
      </c>
      <c r="I926" s="150">
        <f t="shared" si="2276"/>
        <v>0</v>
      </c>
      <c r="J926" s="150">
        <f t="shared" si="2276"/>
        <v>5.8104023235800405E-2</v>
      </c>
      <c r="K926" s="150">
        <f t="shared" si="2276"/>
        <v>9.684003872633401E-2</v>
      </c>
      <c r="L926" s="150">
        <f t="shared" si="2276"/>
        <v>0</v>
      </c>
      <c r="M926" s="150">
        <f t="shared" si="2276"/>
        <v>6.1485738873862855E-2</v>
      </c>
      <c r="N926" s="150">
        <f t="shared" si="2276"/>
        <v>0</v>
      </c>
      <c r="O926" s="150">
        <f t="shared" si="2276"/>
        <v>0</v>
      </c>
      <c r="P926" s="150">
        <f t="shared" si="2276"/>
        <v>0</v>
      </c>
      <c r="Q926" s="150">
        <f t="shared" si="2276"/>
        <v>0</v>
      </c>
      <c r="R926" s="150">
        <f t="shared" si="2276"/>
        <v>0</v>
      </c>
      <c r="S926" s="150">
        <f t="shared" si="2276"/>
        <v>0</v>
      </c>
      <c r="T926" s="150">
        <f t="shared" si="2276"/>
        <v>0</v>
      </c>
      <c r="U926" s="150">
        <f t="shared" si="2276"/>
        <v>0</v>
      </c>
      <c r="V926" s="150">
        <f t="shared" si="2276"/>
        <v>0</v>
      </c>
      <c r="W926" s="150">
        <f t="shared" si="2276"/>
        <v>0</v>
      </c>
      <c r="X926" s="150">
        <f t="shared" si="2276"/>
        <v>0</v>
      </c>
      <c r="Y926" s="163">
        <f t="shared" si="2276"/>
        <v>0</v>
      </c>
    </row>
    <row r="927" spans="2:25" ht="15" customHeight="1" x14ac:dyDescent="0.2">
      <c r="B927" s="252">
        <v>0.129120051635112</v>
      </c>
      <c r="C927" s="92">
        <f>E927/SUM(E926:E928)</f>
        <v>0.44736842105263158</v>
      </c>
      <c r="D927" s="61" t="s">
        <v>1</v>
      </c>
      <c r="E927" s="154">
        <f>IF((E923+E924+E925)=0,0,(E924*$B927)/(E923+E924+E925))</f>
        <v>5.776423362623432E-2</v>
      </c>
      <c r="F927" s="154">
        <f>IF((F923+F924+F925)=0,0,(F924*$B927)/(F923+F924+F925))</f>
        <v>0</v>
      </c>
      <c r="G927" s="154">
        <f t="shared" ref="G927:O927" si="2277">IF((G923+G924+G925)=0,0,(G924*$B927)/(G923+G924+G925))</f>
        <v>3.2280012908778001E-2</v>
      </c>
      <c r="H927" s="154">
        <f t="shared" si="2277"/>
        <v>6.0256024096385606E-2</v>
      </c>
      <c r="I927" s="154">
        <f t="shared" si="2277"/>
        <v>0</v>
      </c>
      <c r="J927" s="154">
        <f t="shared" si="2277"/>
        <v>7.1016028399311606E-2</v>
      </c>
      <c r="K927" s="154">
        <f t="shared" si="2277"/>
        <v>3.2280012908778001E-2</v>
      </c>
      <c r="L927" s="154">
        <f t="shared" si="2277"/>
        <v>0</v>
      </c>
      <c r="M927" s="154">
        <f t="shared" si="2277"/>
        <v>6.7634312761249149E-2</v>
      </c>
      <c r="N927" s="154">
        <f t="shared" si="2277"/>
        <v>0</v>
      </c>
      <c r="O927" s="154">
        <f t="shared" si="2277"/>
        <v>0</v>
      </c>
      <c r="P927" s="154">
        <f>IF((P923+P924+P925)=0,0,(P924*$B927)/(P923+P924+P925))</f>
        <v>0</v>
      </c>
      <c r="Q927" s="154">
        <f t="shared" ref="Q927:Y927" si="2278">IF((Q923+Q924+Q925)=0,0,(Q924*$B927)/(Q923+Q924+Q925))</f>
        <v>0</v>
      </c>
      <c r="R927" s="154">
        <f t="shared" si="2278"/>
        <v>0</v>
      </c>
      <c r="S927" s="154">
        <f t="shared" si="2278"/>
        <v>0</v>
      </c>
      <c r="T927" s="154">
        <f t="shared" si="2278"/>
        <v>0</v>
      </c>
      <c r="U927" s="154">
        <f t="shared" si="2278"/>
        <v>0</v>
      </c>
      <c r="V927" s="154">
        <f t="shared" si="2278"/>
        <v>0</v>
      </c>
      <c r="W927" s="154">
        <f t="shared" si="2278"/>
        <v>0</v>
      </c>
      <c r="X927" s="154">
        <f t="shared" si="2278"/>
        <v>0</v>
      </c>
      <c r="Y927" s="159">
        <f t="shared" si="2278"/>
        <v>0</v>
      </c>
    </row>
    <row r="928" spans="2:25" ht="15" customHeight="1" thickBot="1" x14ac:dyDescent="0.25">
      <c r="B928" s="253"/>
      <c r="C928" s="93">
        <f>E928/SUM(E926:E928)</f>
        <v>0</v>
      </c>
      <c r="D928" s="75" t="s">
        <v>2</v>
      </c>
      <c r="E928" s="155">
        <f>IF((E923+E924+E925)=0,0,(E925*$B927)/(E923+E924+E925))</f>
        <v>0</v>
      </c>
      <c r="F928" s="155">
        <f>IF((F923+F924+F925)=0,0,(F925*$B927)/(F923+F924+F925))</f>
        <v>0</v>
      </c>
      <c r="G928" s="155">
        <f t="shared" ref="G928:Y928" si="2279">IF((G923+G924+G925)=0,0,(G925*$B927)/(G923+G924+G925))</f>
        <v>0</v>
      </c>
      <c r="H928" s="155">
        <f t="shared" si="2279"/>
        <v>0</v>
      </c>
      <c r="I928" s="155">
        <f t="shared" si="2279"/>
        <v>0</v>
      </c>
      <c r="J928" s="155">
        <f t="shared" si="2279"/>
        <v>0</v>
      </c>
      <c r="K928" s="155">
        <f t="shared" si="2279"/>
        <v>0</v>
      </c>
      <c r="L928" s="155">
        <f t="shared" si="2279"/>
        <v>0</v>
      </c>
      <c r="M928" s="155">
        <f t="shared" si="2279"/>
        <v>0</v>
      </c>
      <c r="N928" s="155">
        <f t="shared" si="2279"/>
        <v>0</v>
      </c>
      <c r="O928" s="155">
        <f t="shared" si="2279"/>
        <v>0</v>
      </c>
      <c r="P928" s="155">
        <f t="shared" si="2279"/>
        <v>0</v>
      </c>
      <c r="Q928" s="155">
        <f t="shared" si="2279"/>
        <v>0</v>
      </c>
      <c r="R928" s="155">
        <f t="shared" si="2279"/>
        <v>0</v>
      </c>
      <c r="S928" s="155">
        <f t="shared" si="2279"/>
        <v>0</v>
      </c>
      <c r="T928" s="155">
        <f t="shared" si="2279"/>
        <v>0</v>
      </c>
      <c r="U928" s="155">
        <f t="shared" si="2279"/>
        <v>0</v>
      </c>
      <c r="V928" s="155">
        <f t="shared" si="2279"/>
        <v>0</v>
      </c>
      <c r="W928" s="155">
        <f t="shared" si="2279"/>
        <v>0</v>
      </c>
      <c r="X928" s="155">
        <f t="shared" si="2279"/>
        <v>0</v>
      </c>
      <c r="Y928" s="160">
        <f t="shared" si="2279"/>
        <v>0</v>
      </c>
    </row>
    <row r="929" spans="2:25" ht="15" customHeight="1" x14ac:dyDescent="0.2">
      <c r="B929" s="249" t="s">
        <v>148</v>
      </c>
      <c r="C929" s="91">
        <f>E929/SUM(E929:E931)</f>
        <v>0.67549668874172186</v>
      </c>
      <c r="D929" s="67" t="s">
        <v>0</v>
      </c>
      <c r="E929" s="68">
        <f t="shared" si="2259"/>
        <v>102</v>
      </c>
      <c r="F929" s="68">
        <f>SUMIFS([0]!Chavez,[0]!Centro,B931,[0]!Turno,F$904)</f>
        <v>16</v>
      </c>
      <c r="G929" s="68">
        <f>SUMIFS([0]!Chavez,[0]!Centro,B931,[0]!Turno,G$904)</f>
        <v>7</v>
      </c>
      <c r="H929" s="68">
        <f>SUMIFS([0]!Chavez,[0]!Centro,B931,[0]!Turno,H$904)</f>
        <v>25</v>
      </c>
      <c r="I929" s="68">
        <f>SUMIFS([0]!Chavez,[0]!Centro,B931,[0]!Turno,I$904)</f>
        <v>0</v>
      </c>
      <c r="J929" s="68">
        <f>SUMIFS([0]!Chavez,[0]!Centro,B931,[0]!Turno,J$904)</f>
        <v>22</v>
      </c>
      <c r="K929" s="68">
        <f>SUMIFS([0]!Chavez,[0]!Centro,B931,[0]!Turno,K$904)</f>
        <v>23</v>
      </c>
      <c r="L929" s="68">
        <f>SUMIFS([0]!Chavez,[0]!Centro,B931,[0]!Turno,L$904)</f>
        <v>0</v>
      </c>
      <c r="M929" s="68">
        <f>SUMIFS([0]!Chavez,[0]!Centro,B931,[0]!Turno,M$904)</f>
        <v>9</v>
      </c>
      <c r="N929" s="68">
        <f>SUMIFS([0]!Chavez,[0]!Centro,B931,[0]!Turno,N$904)</f>
        <v>0</v>
      </c>
      <c r="O929" s="68">
        <f>SUMIFS([0]!Chavez,[0]!Centro,B931,[0]!Turno,O$904)</f>
        <v>0</v>
      </c>
      <c r="P929" s="68">
        <f>SUMIFS([0]!Chavez,[0]!Centro,B931,[0]!Turno,P$904)</f>
        <v>0</v>
      </c>
      <c r="Q929" s="68">
        <f>SUMIFS([0]!Chavez,[0]!Centro,B931,[0]!Turno,Q$904)</f>
        <v>0</v>
      </c>
      <c r="R929" s="68">
        <f>SUMIFS([0]!Chavez,[0]!Centro,B931,[0]!Turno,R$904)</f>
        <v>0</v>
      </c>
      <c r="S929" s="68">
        <f>SUMIFS([0]!Chavez,[0]!Centro,B931,[0]!Turno,S$904)</f>
        <v>0</v>
      </c>
      <c r="T929" s="68">
        <f>SUMIFS([0]!Chavez,[0]!Centro,B931,[0]!Turno,T$904)</f>
        <v>0</v>
      </c>
      <c r="U929" s="68">
        <f>SUMIFS([0]!Chavez,[0]!Centro,B931,[0]!Turno,U$904)</f>
        <v>0</v>
      </c>
      <c r="V929" s="68">
        <f>SUMIFS([0]!Chavez,[0]!Centro,B931,[0]!Turno,V$904)</f>
        <v>0</v>
      </c>
      <c r="W929" s="68">
        <f>SUMIFS([0]!Chavez,[0]!Centro,B931,[0]!Turno,W$904)</f>
        <v>0</v>
      </c>
      <c r="X929" s="68">
        <f>SUMIFS([0]!Chavez,[0]!Centro,B931,[0]!Turno,X$904)</f>
        <v>0</v>
      </c>
      <c r="Y929" s="69">
        <f>SUMIFS([0]!Chavez,[0]!Centro,B931,[0]!Turno,Y$904)</f>
        <v>0</v>
      </c>
    </row>
    <row r="930" spans="2:25" ht="15" customHeight="1" x14ac:dyDescent="0.2">
      <c r="B930" s="250"/>
      <c r="C930" s="92">
        <f>E930/SUM(E929:E931)</f>
        <v>0.28476821192052981</v>
      </c>
      <c r="D930" s="61" t="s">
        <v>1</v>
      </c>
      <c r="E930" s="62">
        <f t="shared" si="2259"/>
        <v>43</v>
      </c>
      <c r="F930" s="62">
        <f>SUMIFS([0]!Capriles,[0]!Centro,B931,[0]!Turno,F$904)</f>
        <v>5</v>
      </c>
      <c r="G930" s="62">
        <f>SUMIFS([0]!Capriles,[0]!Centro,B931,[0]!Turno,G$904)</f>
        <v>4</v>
      </c>
      <c r="H930" s="62">
        <f>SUMIFS([0]!Capriles,[0]!Centro,B931,[0]!Turno,H$904)</f>
        <v>12</v>
      </c>
      <c r="I930" s="62">
        <f>SUMIFS([0]!Capriles,[0]!Centro,B931,[0]!Turno,I$904)</f>
        <v>0</v>
      </c>
      <c r="J930" s="62">
        <f>SUMIFS([0]!Capriles,[0]!Centro,B931,[0]!Turno,J$904)</f>
        <v>15</v>
      </c>
      <c r="K930" s="62">
        <f>SUMIFS([0]!Capriles,[0]!Centro,B931,[0]!Turno,K$904)</f>
        <v>6</v>
      </c>
      <c r="L930" s="62">
        <f>SUMIFS([0]!Capriles,[0]!Centro,B931,[0]!Turno,L$904)</f>
        <v>0</v>
      </c>
      <c r="M930" s="62">
        <f>SUMIFS([0]!Capriles,[0]!Centro,B931,[0]!Turno,M$904)</f>
        <v>1</v>
      </c>
      <c r="N930" s="62">
        <f>SUMIFS([0]!Capriles,[0]!Centro,B931,[0]!Turno,N$904)</f>
        <v>0</v>
      </c>
      <c r="O930" s="62">
        <f>SUMIFS([0]!Capriles,[0]!Centro,B931,[0]!Turno,O$904)</f>
        <v>0</v>
      </c>
      <c r="P930" s="62">
        <f>SUMIFS([0]!Capriles,[0]!Centro,B931,[0]!Turno,P$904)</f>
        <v>0</v>
      </c>
      <c r="Q930" s="62">
        <f>SUMIFS([0]!Capriles,[0]!Centro,B931,[0]!Turno,Q$904)</f>
        <v>0</v>
      </c>
      <c r="R930" s="62">
        <f>SUMIFS([0]!Capriles,[0]!Centro,B931,[0]!Turno,R$904)</f>
        <v>0</v>
      </c>
      <c r="S930" s="62">
        <f>SUMIFS([0]!Capriles,[0]!Centro,B931,[0]!Turno,S$904)</f>
        <v>0</v>
      </c>
      <c r="T930" s="62">
        <f>SUMIFS([0]!Capriles,[0]!Centro,B931,[0]!Turno,T$904)</f>
        <v>0</v>
      </c>
      <c r="U930" s="62">
        <f>SUMIFS([0]!Capriles,[0]!Centro,B931,[0]!Turno,U$904)</f>
        <v>0</v>
      </c>
      <c r="V930" s="62">
        <f>SUMIFS([0]!Capriles,[0]!Centro,B931,[0]!Turno,V$904)</f>
        <v>0</v>
      </c>
      <c r="W930" s="62">
        <f>SUMIFS([0]!Capriles,[0]!Centro,B931,[0]!Turno,W$904)</f>
        <v>0</v>
      </c>
      <c r="X930" s="62">
        <f>SUMIFS([0]!Capriles,[0]!Centro,B931,[0]!Turno,X$904)</f>
        <v>0</v>
      </c>
      <c r="Y930" s="70">
        <f>SUMIFS([0]!Capriles,[0]!Centro,B931,[0]!Turno,Y$904)</f>
        <v>0</v>
      </c>
    </row>
    <row r="931" spans="2:25" ht="15" customHeight="1" thickBot="1" x14ac:dyDescent="0.25">
      <c r="B931" s="251">
        <v>129</v>
      </c>
      <c r="C931" s="100">
        <f>E931/SUM(E929:E931)</f>
        <v>3.9735099337748346E-2</v>
      </c>
      <c r="D931" s="71" t="s">
        <v>2</v>
      </c>
      <c r="E931" s="72">
        <f t="shared" si="2259"/>
        <v>6</v>
      </c>
      <c r="F931" s="72">
        <f>SUMIFS([0]!Otro,[0]!Centro,B931,[0]!Turno,F$904)</f>
        <v>0</v>
      </c>
      <c r="G931" s="72">
        <f>SUMIFS([0]!Otro,[0]!Centro,B931,[0]!Turno,G$904)</f>
        <v>0</v>
      </c>
      <c r="H931" s="72">
        <f>SUMIFS([0]!Otro,[0]!Centro,B931,[0]!Turno,H$904)</f>
        <v>0</v>
      </c>
      <c r="I931" s="72">
        <f>SUMIFS([0]!Otro,[0]!Centro,B931,[0]!Turno,I$904)</f>
        <v>0</v>
      </c>
      <c r="J931" s="72">
        <f>SUMIFS([0]!Otro,[0]!Centro,B931,[0]!Turno,J$904)</f>
        <v>3</v>
      </c>
      <c r="K931" s="72">
        <f>SUMIFS([0]!Otro,[0]!Centro,B931,[0]!Turno,K$904)</f>
        <v>1</v>
      </c>
      <c r="L931" s="72">
        <f>SUMIFS([0]!Otro,[0]!Centro,B931,[0]!Turno,L$904)</f>
        <v>0</v>
      </c>
      <c r="M931" s="72">
        <f>SUMIFS([0]!Otro,[0]!Centro,B931,[0]!Turno,M$904)</f>
        <v>2</v>
      </c>
      <c r="N931" s="72">
        <f>SUMIFS([0]!Otro,[0]!Centro,B931,[0]!Turno,N$904)</f>
        <v>0</v>
      </c>
      <c r="O931" s="72">
        <f>SUMIFS([0]!Otro,[0]!Centro,B931,[0]!Turno,O$904)</f>
        <v>0</v>
      </c>
      <c r="P931" s="72">
        <f>SUMIFS([0]!Otro,[0]!Centro,B931,[0]!Turno,P$904)</f>
        <v>0</v>
      </c>
      <c r="Q931" s="72">
        <f>SUMIFS([0]!Otro,[0]!Centro,B931,[0]!Turno,Q$904)</f>
        <v>0</v>
      </c>
      <c r="R931" s="72">
        <f>SUMIFS([0]!Otro,[0]!Centro,B931,[0]!Turno,R$904)</f>
        <v>0</v>
      </c>
      <c r="S931" s="72">
        <f>SUMIFS([0]!Otro,[0]!Centro,B931,[0]!Turno,S$904)</f>
        <v>0</v>
      </c>
      <c r="T931" s="72">
        <f>SUMIFS([0]!Otro,[0]!Centro,B931,[0]!Turno,T$904)</f>
        <v>0</v>
      </c>
      <c r="U931" s="72">
        <f>SUMIFS([0]!Otro,[0]!Centro,B931,[0]!Turno,U$904)</f>
        <v>0</v>
      </c>
      <c r="V931" s="72">
        <f>SUMIFS([0]!Otro,[0]!Centro,B931,[0]!Turno,V$904)</f>
        <v>0</v>
      </c>
      <c r="W931" s="72">
        <f>SUMIFS([0]!Otro,[0]!Centro,B931,[0]!Turno,W$904)</f>
        <v>0</v>
      </c>
      <c r="X931" s="72">
        <f>SUMIFS([0]!Otro,[0]!Centro,B931,[0]!Turno,X$904)</f>
        <v>0</v>
      </c>
      <c r="Y931" s="73">
        <f>SUMIFS([0]!Otro,[0]!Centro,B931,[0]!Turno,Y$904)</f>
        <v>0</v>
      </c>
    </row>
    <row r="932" spans="2:25" ht="15" customHeight="1" x14ac:dyDescent="0.2">
      <c r="B932" s="251"/>
      <c r="C932" s="94">
        <f>E932/SUM(E932:E934)</f>
        <v>0.67549668874172186</v>
      </c>
      <c r="D932" s="63" t="s">
        <v>0</v>
      </c>
      <c r="E932" s="150">
        <f>IF((E929+E930+E931)=0,0,(E929*$B933)/(E929+E930+E931))</f>
        <v>0.10364252658695317</v>
      </c>
      <c r="F932" s="150">
        <f>IF((F929+F930+F931)=0,0,(F929*$B933)/(F929+F930+F931))</f>
        <v>0.11690025407753447</v>
      </c>
      <c r="G932" s="150">
        <f t="shared" ref="G932:Y932" si="2280">IF((G929+G930+G931)=0,0,(G929*$B933)/(G929+G930+G931))</f>
        <v>9.7638280394304347E-2</v>
      </c>
      <c r="H932" s="150">
        <f t="shared" si="2280"/>
        <v>0.10366998883565136</v>
      </c>
      <c r="I932" s="150">
        <f t="shared" si="2280"/>
        <v>0</v>
      </c>
      <c r="J932" s="150">
        <f t="shared" si="2280"/>
        <v>8.4387370912220191E-2</v>
      </c>
      <c r="K932" s="150">
        <f t="shared" si="2280"/>
        <v>0.11763088066551906</v>
      </c>
      <c r="L932" s="150">
        <f t="shared" si="2280"/>
        <v>0</v>
      </c>
      <c r="M932" s="150">
        <f t="shared" si="2280"/>
        <v>0.11507368760757301</v>
      </c>
      <c r="N932" s="150">
        <f t="shared" si="2280"/>
        <v>0</v>
      </c>
      <c r="O932" s="150">
        <f t="shared" si="2280"/>
        <v>0</v>
      </c>
      <c r="P932" s="150">
        <f t="shared" si="2280"/>
        <v>0</v>
      </c>
      <c r="Q932" s="150">
        <f t="shared" si="2280"/>
        <v>0</v>
      </c>
      <c r="R932" s="150">
        <f t="shared" si="2280"/>
        <v>0</v>
      </c>
      <c r="S932" s="150">
        <f t="shared" si="2280"/>
        <v>0</v>
      </c>
      <c r="T932" s="150">
        <f t="shared" si="2280"/>
        <v>0</v>
      </c>
      <c r="U932" s="150">
        <f t="shared" si="2280"/>
        <v>0</v>
      </c>
      <c r="V932" s="150">
        <f t="shared" si="2280"/>
        <v>0</v>
      </c>
      <c r="W932" s="150">
        <f t="shared" si="2280"/>
        <v>0</v>
      </c>
      <c r="X932" s="150">
        <f t="shared" si="2280"/>
        <v>0</v>
      </c>
      <c r="Y932" s="163">
        <f t="shared" si="2280"/>
        <v>0</v>
      </c>
    </row>
    <row r="933" spans="2:25" ht="15" customHeight="1" x14ac:dyDescent="0.2">
      <c r="B933" s="252">
        <v>0.153431583476764</v>
      </c>
      <c r="C933" s="92">
        <f>E933/SUM(E932:E934)</f>
        <v>0.28476821192052981</v>
      </c>
      <c r="D933" s="61" t="s">
        <v>1</v>
      </c>
      <c r="E933" s="154">
        <f>IF((E929+E930+E931)=0,0,(E930*$B933)/(E929+E930+E931))</f>
        <v>4.3692437678813589E-2</v>
      </c>
      <c r="F933" s="154">
        <f>IF((F929+F930+F931)=0,0,(F930*$B933)/(F929+F930+F931))</f>
        <v>3.6531329399229526E-2</v>
      </c>
      <c r="G933" s="154">
        <f t="shared" ref="G933:O933" si="2281">IF((G929+G930+G931)=0,0,(G930*$B933)/(G929+G930+G931))</f>
        <v>5.5793303082459639E-2</v>
      </c>
      <c r="H933" s="154">
        <f t="shared" si="2281"/>
        <v>4.9761594641112648E-2</v>
      </c>
      <c r="I933" s="154">
        <f t="shared" si="2281"/>
        <v>0</v>
      </c>
      <c r="J933" s="154">
        <f t="shared" si="2281"/>
        <v>5.75368438037865E-2</v>
      </c>
      <c r="K933" s="154">
        <f t="shared" si="2281"/>
        <v>3.0686316695352801E-2</v>
      </c>
      <c r="L933" s="154">
        <f t="shared" si="2281"/>
        <v>0</v>
      </c>
      <c r="M933" s="154">
        <f t="shared" si="2281"/>
        <v>1.2785965289730333E-2</v>
      </c>
      <c r="N933" s="154">
        <f t="shared" si="2281"/>
        <v>0</v>
      </c>
      <c r="O933" s="154">
        <f t="shared" si="2281"/>
        <v>0</v>
      </c>
      <c r="P933" s="154">
        <f>IF((P929+P930+P931)=0,0,(P930*$B933)/(P929+P930+P931))</f>
        <v>0</v>
      </c>
      <c r="Q933" s="154">
        <f t="shared" ref="Q933:Y933" si="2282">IF((Q929+Q930+Q931)=0,0,(Q930*$B933)/(Q929+Q930+Q931))</f>
        <v>0</v>
      </c>
      <c r="R933" s="154">
        <f t="shared" si="2282"/>
        <v>0</v>
      </c>
      <c r="S933" s="154">
        <f t="shared" si="2282"/>
        <v>0</v>
      </c>
      <c r="T933" s="154">
        <f t="shared" si="2282"/>
        <v>0</v>
      </c>
      <c r="U933" s="154">
        <f t="shared" si="2282"/>
        <v>0</v>
      </c>
      <c r="V933" s="154">
        <f t="shared" si="2282"/>
        <v>0</v>
      </c>
      <c r="W933" s="154">
        <f t="shared" si="2282"/>
        <v>0</v>
      </c>
      <c r="X933" s="154">
        <f t="shared" si="2282"/>
        <v>0</v>
      </c>
      <c r="Y933" s="159">
        <f t="shared" si="2282"/>
        <v>0</v>
      </c>
    </row>
    <row r="934" spans="2:25" ht="15" customHeight="1" thickBot="1" x14ac:dyDescent="0.25">
      <c r="B934" s="253"/>
      <c r="C934" s="93">
        <f>E934/SUM(E932:E934)</f>
        <v>3.9735099337748346E-2</v>
      </c>
      <c r="D934" s="75" t="s">
        <v>2</v>
      </c>
      <c r="E934" s="155">
        <f>IF((E929+E930+E931)=0,0,(E931*$B933)/(E929+E930+E931))</f>
        <v>6.096619210997245E-3</v>
      </c>
      <c r="F934" s="155">
        <f>IF((F929+F930+F931)=0,0,(F931*$B933)/(F929+F930+F931))</f>
        <v>0</v>
      </c>
      <c r="G934" s="155">
        <f t="shared" ref="G934:Y934" si="2283">IF((G929+G930+G931)=0,0,(G931*$B933)/(G929+G930+G931))</f>
        <v>0</v>
      </c>
      <c r="H934" s="155">
        <f t="shared" si="2283"/>
        <v>0</v>
      </c>
      <c r="I934" s="155">
        <f t="shared" si="2283"/>
        <v>0</v>
      </c>
      <c r="J934" s="155">
        <f t="shared" si="2283"/>
        <v>1.15073687607573E-2</v>
      </c>
      <c r="K934" s="155">
        <f t="shared" si="2283"/>
        <v>5.114386115892133E-3</v>
      </c>
      <c r="L934" s="155">
        <f t="shared" si="2283"/>
        <v>0</v>
      </c>
      <c r="M934" s="155">
        <f t="shared" si="2283"/>
        <v>2.5571930579460667E-2</v>
      </c>
      <c r="N934" s="155">
        <f t="shared" si="2283"/>
        <v>0</v>
      </c>
      <c r="O934" s="155">
        <f t="shared" si="2283"/>
        <v>0</v>
      </c>
      <c r="P934" s="155">
        <f t="shared" si="2283"/>
        <v>0</v>
      </c>
      <c r="Q934" s="155">
        <f t="shared" si="2283"/>
        <v>0</v>
      </c>
      <c r="R934" s="155">
        <f t="shared" si="2283"/>
        <v>0</v>
      </c>
      <c r="S934" s="155">
        <f t="shared" si="2283"/>
        <v>0</v>
      </c>
      <c r="T934" s="155">
        <f t="shared" si="2283"/>
        <v>0</v>
      </c>
      <c r="U934" s="155">
        <f t="shared" si="2283"/>
        <v>0</v>
      </c>
      <c r="V934" s="155">
        <f t="shared" si="2283"/>
        <v>0</v>
      </c>
      <c r="W934" s="155">
        <f t="shared" si="2283"/>
        <v>0</v>
      </c>
      <c r="X934" s="155">
        <f t="shared" si="2283"/>
        <v>0</v>
      </c>
      <c r="Y934" s="160">
        <f t="shared" si="2283"/>
        <v>0</v>
      </c>
    </row>
    <row r="935" spans="2:25" ht="15" customHeight="1" x14ac:dyDescent="0.2">
      <c r="B935" s="249" t="s">
        <v>230</v>
      </c>
      <c r="C935" s="91">
        <f>E935/SUM(E935:E937)</f>
        <v>0.73631840796019898</v>
      </c>
      <c r="D935" s="67" t="s">
        <v>0</v>
      </c>
      <c r="E935" s="68">
        <f t="shared" si="2259"/>
        <v>148</v>
      </c>
      <c r="F935" s="68">
        <f>SUMIFS([0]!Chavez,[0]!Centro,B937,[0]!Turno,F$904)</f>
        <v>22</v>
      </c>
      <c r="G935" s="68">
        <f>SUMIFS([0]!Chavez,[0]!Centro,B937,[0]!Turno,G$904)</f>
        <v>22</v>
      </c>
      <c r="H935" s="68">
        <f>SUMIFS([0]!Chavez,[0]!Centro,B937,[0]!Turno,H$904)</f>
        <v>30</v>
      </c>
      <c r="I935" s="68">
        <f>SUMIFS([0]!Chavez,[0]!Centro,B937,[0]!Turno,I$904)</f>
        <v>0</v>
      </c>
      <c r="J935" s="68">
        <f>SUMIFS([0]!Chavez,[0]!Centro,B937,[0]!Turno,J$904)</f>
        <v>24</v>
      </c>
      <c r="K935" s="68">
        <f>SUMIFS([0]!Chavez,[0]!Centro,B937,[0]!Turno,K$904)</f>
        <v>26</v>
      </c>
      <c r="L935" s="68">
        <f>SUMIFS([0]!Chavez,[0]!Centro,B937,[0]!Turno,L$904)</f>
        <v>0</v>
      </c>
      <c r="M935" s="68">
        <f>SUMIFS([0]!Chavez,[0]!Centro,B937,[0]!Turno,M$904)</f>
        <v>24</v>
      </c>
      <c r="N935" s="68">
        <f>SUMIFS([0]!Chavez,[0]!Centro,B937,[0]!Turno,N$904)</f>
        <v>0</v>
      </c>
      <c r="O935" s="68">
        <f>SUMIFS([0]!Chavez,[0]!Centro,B937,[0]!Turno,O$904)</f>
        <v>0</v>
      </c>
      <c r="P935" s="68">
        <f>SUMIFS([0]!Chavez,[0]!Centro,B937,[0]!Turno,P$904)</f>
        <v>0</v>
      </c>
      <c r="Q935" s="68">
        <f>SUMIFS([0]!Chavez,[0]!Centro,B937,[0]!Turno,Q$904)</f>
        <v>0</v>
      </c>
      <c r="R935" s="68">
        <f>SUMIFS([0]!Chavez,[0]!Centro,B937,[0]!Turno,R$904)</f>
        <v>0</v>
      </c>
      <c r="S935" s="68">
        <f>SUMIFS([0]!Chavez,[0]!Centro,B937,[0]!Turno,S$904)</f>
        <v>0</v>
      </c>
      <c r="T935" s="68">
        <f>SUMIFS([0]!Chavez,[0]!Centro,B937,[0]!Turno,T$904)</f>
        <v>0</v>
      </c>
      <c r="U935" s="68">
        <f>SUMIFS([0]!Chavez,[0]!Centro,B937,[0]!Turno,U$904)</f>
        <v>0</v>
      </c>
      <c r="V935" s="68">
        <f>SUMIFS([0]!Chavez,[0]!Centro,B937,[0]!Turno,V$904)</f>
        <v>0</v>
      </c>
      <c r="W935" s="68">
        <f>SUMIFS([0]!Chavez,[0]!Centro,B937,[0]!Turno,W$904)</f>
        <v>0</v>
      </c>
      <c r="X935" s="68">
        <f>SUMIFS([0]!Chavez,[0]!Centro,B937,[0]!Turno,X$904)</f>
        <v>0</v>
      </c>
      <c r="Y935" s="69">
        <f>SUMIFS([0]!Chavez,[0]!Centro,B937,[0]!Turno,Y$904)</f>
        <v>0</v>
      </c>
    </row>
    <row r="936" spans="2:25" ht="15" customHeight="1" x14ac:dyDescent="0.2">
      <c r="B936" s="250"/>
      <c r="C936" s="92">
        <f>E936/SUM(E935:E937)</f>
        <v>0.25870646766169153</v>
      </c>
      <c r="D936" s="61" t="s">
        <v>1</v>
      </c>
      <c r="E936" s="62">
        <f t="shared" si="2259"/>
        <v>52</v>
      </c>
      <c r="F936" s="62">
        <f>SUMIFS([0]!Capriles,[0]!Centro,B937,[0]!Turno,F$904)</f>
        <v>10</v>
      </c>
      <c r="G936" s="62">
        <f>SUMIFS([0]!Capriles,[0]!Centro,B937,[0]!Turno,G$904)</f>
        <v>13</v>
      </c>
      <c r="H936" s="62">
        <f>SUMIFS([0]!Capriles,[0]!Centro,B937,[0]!Turno,H$904)</f>
        <v>7</v>
      </c>
      <c r="I936" s="62">
        <f>SUMIFS([0]!Capriles,[0]!Centro,B937,[0]!Turno,I$904)</f>
        <v>0</v>
      </c>
      <c r="J936" s="62">
        <f>SUMIFS([0]!Capriles,[0]!Centro,B937,[0]!Turno,J$904)</f>
        <v>10</v>
      </c>
      <c r="K936" s="62">
        <f>SUMIFS([0]!Capriles,[0]!Centro,B937,[0]!Turno,K$904)</f>
        <v>7</v>
      </c>
      <c r="L936" s="62">
        <f>SUMIFS([0]!Capriles,[0]!Centro,B937,[0]!Turno,L$904)</f>
        <v>0</v>
      </c>
      <c r="M936" s="62">
        <f>SUMIFS([0]!Capriles,[0]!Centro,B937,[0]!Turno,M$904)</f>
        <v>5</v>
      </c>
      <c r="N936" s="62">
        <f>SUMIFS([0]!Capriles,[0]!Centro,B937,[0]!Turno,N$904)</f>
        <v>0</v>
      </c>
      <c r="O936" s="62">
        <f>SUMIFS([0]!Capriles,[0]!Centro,B937,[0]!Turno,O$904)</f>
        <v>0</v>
      </c>
      <c r="P936" s="62">
        <f>SUMIFS([0]!Capriles,[0]!Centro,B937,[0]!Turno,P$904)</f>
        <v>0</v>
      </c>
      <c r="Q936" s="62">
        <f>SUMIFS([0]!Capriles,[0]!Centro,B937,[0]!Turno,Q$904)</f>
        <v>0</v>
      </c>
      <c r="R936" s="62">
        <f>SUMIFS([0]!Capriles,[0]!Centro,B937,[0]!Turno,R$904)</f>
        <v>0</v>
      </c>
      <c r="S936" s="62">
        <f>SUMIFS([0]!Capriles,[0]!Centro,B937,[0]!Turno,S$904)</f>
        <v>0</v>
      </c>
      <c r="T936" s="62">
        <f>SUMIFS([0]!Capriles,[0]!Centro,B937,[0]!Turno,T$904)</f>
        <v>0</v>
      </c>
      <c r="U936" s="62">
        <f>SUMIFS([0]!Capriles,[0]!Centro,B937,[0]!Turno,U$904)</f>
        <v>0</v>
      </c>
      <c r="V936" s="62">
        <f>SUMIFS([0]!Capriles,[0]!Centro,B937,[0]!Turno,V$904)</f>
        <v>0</v>
      </c>
      <c r="W936" s="62">
        <f>SUMIFS([0]!Capriles,[0]!Centro,B937,[0]!Turno,W$904)</f>
        <v>0</v>
      </c>
      <c r="X936" s="62">
        <f>SUMIFS([0]!Capriles,[0]!Centro,B937,[0]!Turno,X$904)</f>
        <v>0</v>
      </c>
      <c r="Y936" s="70">
        <f>SUMIFS([0]!Capriles,[0]!Centro,B937,[0]!Turno,Y$904)</f>
        <v>0</v>
      </c>
    </row>
    <row r="937" spans="2:25" ht="15" customHeight="1" thickBot="1" x14ac:dyDescent="0.25">
      <c r="B937" s="251">
        <v>130</v>
      </c>
      <c r="C937" s="100">
        <f>E937/SUM(E935:E937)</f>
        <v>4.9751243781094526E-3</v>
      </c>
      <c r="D937" s="71" t="s">
        <v>2</v>
      </c>
      <c r="E937" s="72">
        <f t="shared" si="2259"/>
        <v>1</v>
      </c>
      <c r="F937" s="72">
        <f>SUMIFS([0]!Otro,[0]!Centro,B937,[0]!Turno,F$904)</f>
        <v>1</v>
      </c>
      <c r="G937" s="72">
        <f>SUMIFS([0]!Otro,[0]!Centro,B937,[0]!Turno,G$904)</f>
        <v>0</v>
      </c>
      <c r="H937" s="72">
        <f>SUMIFS([0]!Otro,[0]!Centro,B937,[0]!Turno,H$904)</f>
        <v>0</v>
      </c>
      <c r="I937" s="72">
        <f>SUMIFS([0]!Otro,[0]!Centro,B937,[0]!Turno,I$904)</f>
        <v>0</v>
      </c>
      <c r="J937" s="72">
        <f>SUMIFS([0]!Otro,[0]!Centro,B937,[0]!Turno,J$904)</f>
        <v>0</v>
      </c>
      <c r="K937" s="72">
        <f>SUMIFS([0]!Otro,[0]!Centro,B937,[0]!Turno,K$904)</f>
        <v>0</v>
      </c>
      <c r="L937" s="72">
        <f>SUMIFS([0]!Otro,[0]!Centro,B937,[0]!Turno,L$904)</f>
        <v>0</v>
      </c>
      <c r="M937" s="72">
        <f>SUMIFS([0]!Otro,[0]!Centro,B937,[0]!Turno,M$904)</f>
        <v>0</v>
      </c>
      <c r="N937" s="72">
        <f>SUMIFS([0]!Otro,[0]!Centro,B937,[0]!Turno,N$904)</f>
        <v>0</v>
      </c>
      <c r="O937" s="72">
        <f>SUMIFS([0]!Otro,[0]!Centro,B937,[0]!Turno,O$904)</f>
        <v>0</v>
      </c>
      <c r="P937" s="72">
        <f>SUMIFS([0]!Otro,[0]!Centro,B937,[0]!Turno,P$904)</f>
        <v>0</v>
      </c>
      <c r="Q937" s="72">
        <f>SUMIFS([0]!Otro,[0]!Centro,B937,[0]!Turno,Q$904)</f>
        <v>0</v>
      </c>
      <c r="R937" s="72">
        <f>SUMIFS([0]!Otro,[0]!Centro,B937,[0]!Turno,R$904)</f>
        <v>0</v>
      </c>
      <c r="S937" s="72">
        <f>SUMIFS([0]!Otro,[0]!Centro,B937,[0]!Turno,S$904)</f>
        <v>0</v>
      </c>
      <c r="T937" s="72">
        <f>SUMIFS([0]!Otro,[0]!Centro,B937,[0]!Turno,T$904)</f>
        <v>0</v>
      </c>
      <c r="U937" s="72">
        <f>SUMIFS([0]!Otro,[0]!Centro,B937,[0]!Turno,U$904)</f>
        <v>0</v>
      </c>
      <c r="V937" s="72">
        <f>SUMIFS([0]!Otro,[0]!Centro,B937,[0]!Turno,V$904)</f>
        <v>0</v>
      </c>
      <c r="W937" s="72">
        <f>SUMIFS([0]!Otro,[0]!Centro,B937,[0]!Turno,W$904)</f>
        <v>0</v>
      </c>
      <c r="X937" s="72">
        <f>SUMIFS([0]!Otro,[0]!Centro,B937,[0]!Turno,X$904)</f>
        <v>0</v>
      </c>
      <c r="Y937" s="73">
        <f>SUMIFS([0]!Otro,[0]!Centro,B937,[0]!Turno,Y$904)</f>
        <v>0</v>
      </c>
    </row>
    <row r="938" spans="2:25" ht="15" customHeight="1" x14ac:dyDescent="0.2">
      <c r="B938" s="251"/>
      <c r="C938" s="94">
        <f>E938/SUM(E938:E940)</f>
        <v>0.7363184079601991</v>
      </c>
      <c r="D938" s="63" t="s">
        <v>0</v>
      </c>
      <c r="E938" s="150">
        <f>IF((E935+E936+E937)=0,0,(E935*$B939)/(E935+E936+E937))</f>
        <v>0.26281244380507068</v>
      </c>
      <c r="F938" s="150">
        <f>IF((F935+F936+F937)=0,0,(F935*$B939)/(F935+F936+F937))</f>
        <v>0.23795180722891532</v>
      </c>
      <c r="G938" s="150">
        <f t="shared" ref="G938:Y938" si="2284">IF((G935+G936+G937)=0,0,(G935*$B939)/(G935+G936+G937))</f>
        <v>0.22435456110154872</v>
      </c>
      <c r="H938" s="150">
        <f t="shared" si="2284"/>
        <v>0.28940084662976184</v>
      </c>
      <c r="I938" s="150">
        <f t="shared" si="2284"/>
        <v>0</v>
      </c>
      <c r="J938" s="150">
        <f t="shared" si="2284"/>
        <v>0.251948972360028</v>
      </c>
      <c r="K938" s="150">
        <f t="shared" si="2284"/>
        <v>0.28121577217962723</v>
      </c>
      <c r="L938" s="150">
        <f t="shared" si="2284"/>
        <v>0</v>
      </c>
      <c r="M938" s="150">
        <f t="shared" si="2284"/>
        <v>0.29538845035313627</v>
      </c>
      <c r="N938" s="150">
        <f t="shared" si="2284"/>
        <v>0</v>
      </c>
      <c r="O938" s="150">
        <f t="shared" si="2284"/>
        <v>0</v>
      </c>
      <c r="P938" s="150">
        <f t="shared" si="2284"/>
        <v>0</v>
      </c>
      <c r="Q938" s="150">
        <f t="shared" si="2284"/>
        <v>0</v>
      </c>
      <c r="R938" s="150">
        <f t="shared" si="2284"/>
        <v>0</v>
      </c>
      <c r="S938" s="150">
        <f t="shared" si="2284"/>
        <v>0</v>
      </c>
      <c r="T938" s="150">
        <f t="shared" si="2284"/>
        <v>0</v>
      </c>
      <c r="U938" s="150">
        <f t="shared" si="2284"/>
        <v>0</v>
      </c>
      <c r="V938" s="150">
        <f t="shared" si="2284"/>
        <v>0</v>
      </c>
      <c r="W938" s="150">
        <f t="shared" si="2284"/>
        <v>0</v>
      </c>
      <c r="X938" s="150">
        <f t="shared" si="2284"/>
        <v>0</v>
      </c>
      <c r="Y938" s="163">
        <f t="shared" si="2284"/>
        <v>0</v>
      </c>
    </row>
    <row r="939" spans="2:25" ht="15" customHeight="1" x14ac:dyDescent="0.2">
      <c r="B939" s="252">
        <v>0.35692771084337299</v>
      </c>
      <c r="C939" s="92">
        <f>E939/SUM(E938:E940)</f>
        <v>0.25870646766169153</v>
      </c>
      <c r="D939" s="61" t="s">
        <v>1</v>
      </c>
      <c r="E939" s="154">
        <f>IF((E935+E936+E937)=0,0,(E936*$B939)/(E935+E936+E937))</f>
        <v>9.2339507282862665E-2</v>
      </c>
      <c r="F939" s="154">
        <f>IF((F935+F936+F937)=0,0,(F936*$B939)/(F935+F936+F937))</f>
        <v>0.1081599123767797</v>
      </c>
      <c r="G939" s="154">
        <f t="shared" ref="G939:O939" si="2285">IF((G935+G936+G937)=0,0,(G936*$B939)/(G935+G936+G937))</f>
        <v>0.13257314974182424</v>
      </c>
      <c r="H939" s="154">
        <f t="shared" si="2285"/>
        <v>6.7526864213611107E-2</v>
      </c>
      <c r="I939" s="154">
        <f t="shared" si="2285"/>
        <v>0</v>
      </c>
      <c r="J939" s="154">
        <f t="shared" si="2285"/>
        <v>0.104978738483345</v>
      </c>
      <c r="K939" s="154">
        <f t="shared" si="2285"/>
        <v>7.5711938663745787E-2</v>
      </c>
      <c r="L939" s="154">
        <f t="shared" si="2285"/>
        <v>0</v>
      </c>
      <c r="M939" s="154">
        <f t="shared" si="2285"/>
        <v>6.1539260490236725E-2</v>
      </c>
      <c r="N939" s="154">
        <f t="shared" si="2285"/>
        <v>0</v>
      </c>
      <c r="O939" s="154">
        <f t="shared" si="2285"/>
        <v>0</v>
      </c>
      <c r="P939" s="154">
        <f>IF((P935+P936+P937)=0,0,(P936*$B939)/(P935+P936+P937))</f>
        <v>0</v>
      </c>
      <c r="Q939" s="154">
        <f t="shared" ref="Q939:Y939" si="2286">IF((Q935+Q936+Q937)=0,0,(Q936*$B939)/(Q935+Q936+Q937))</f>
        <v>0</v>
      </c>
      <c r="R939" s="154">
        <f t="shared" si="2286"/>
        <v>0</v>
      </c>
      <c r="S939" s="154">
        <f t="shared" si="2286"/>
        <v>0</v>
      </c>
      <c r="T939" s="154">
        <f t="shared" si="2286"/>
        <v>0</v>
      </c>
      <c r="U939" s="154">
        <f t="shared" si="2286"/>
        <v>0</v>
      </c>
      <c r="V939" s="154">
        <f t="shared" si="2286"/>
        <v>0</v>
      </c>
      <c r="W939" s="154">
        <f t="shared" si="2286"/>
        <v>0</v>
      </c>
      <c r="X939" s="154">
        <f t="shared" si="2286"/>
        <v>0</v>
      </c>
      <c r="Y939" s="159">
        <f t="shared" si="2286"/>
        <v>0</v>
      </c>
    </row>
    <row r="940" spans="2:25" ht="15" customHeight="1" thickBot="1" x14ac:dyDescent="0.25">
      <c r="B940" s="253"/>
      <c r="C940" s="93">
        <f>E940/SUM(E938:E940)</f>
        <v>4.9751243781094526E-3</v>
      </c>
      <c r="D940" s="75" t="s">
        <v>2</v>
      </c>
      <c r="E940" s="155">
        <f>IF((E935+E936+E937)=0,0,(E937*$B939)/(E935+E936+E937))</f>
        <v>1.7757597554396666E-3</v>
      </c>
      <c r="F940" s="155">
        <f>IF((F935+F936+F937)=0,0,(F937*$B939)/(F935+F936+F937))</f>
        <v>1.081599123767797E-2</v>
      </c>
      <c r="G940" s="155">
        <f t="shared" ref="G940:Y940" si="2287">IF((G935+G936+G937)=0,0,(G937*$B939)/(G935+G936+G937))</f>
        <v>0</v>
      </c>
      <c r="H940" s="155">
        <f t="shared" si="2287"/>
        <v>0</v>
      </c>
      <c r="I940" s="155">
        <f t="shared" si="2287"/>
        <v>0</v>
      </c>
      <c r="J940" s="155">
        <f t="shared" si="2287"/>
        <v>0</v>
      </c>
      <c r="K940" s="155">
        <f t="shared" si="2287"/>
        <v>0</v>
      </c>
      <c r="L940" s="155">
        <f t="shared" si="2287"/>
        <v>0</v>
      </c>
      <c r="M940" s="155">
        <f t="shared" si="2287"/>
        <v>0</v>
      </c>
      <c r="N940" s="155">
        <f t="shared" si="2287"/>
        <v>0</v>
      </c>
      <c r="O940" s="155">
        <f t="shared" si="2287"/>
        <v>0</v>
      </c>
      <c r="P940" s="155">
        <f t="shared" si="2287"/>
        <v>0</v>
      </c>
      <c r="Q940" s="155">
        <f t="shared" si="2287"/>
        <v>0</v>
      </c>
      <c r="R940" s="155">
        <f t="shared" si="2287"/>
        <v>0</v>
      </c>
      <c r="S940" s="155">
        <f t="shared" si="2287"/>
        <v>0</v>
      </c>
      <c r="T940" s="155">
        <f t="shared" si="2287"/>
        <v>0</v>
      </c>
      <c r="U940" s="155">
        <f t="shared" si="2287"/>
        <v>0</v>
      </c>
      <c r="V940" s="155">
        <f t="shared" si="2287"/>
        <v>0</v>
      </c>
      <c r="W940" s="155">
        <f t="shared" si="2287"/>
        <v>0</v>
      </c>
      <c r="X940" s="155">
        <f t="shared" si="2287"/>
        <v>0</v>
      </c>
      <c r="Y940" s="160">
        <f t="shared" si="2287"/>
        <v>0</v>
      </c>
    </row>
    <row r="941" spans="2:25" ht="15" customHeight="1" thickBot="1" x14ac:dyDescent="0.25">
      <c r="B941" s="161" t="s">
        <v>3</v>
      </c>
      <c r="C941" s="24" t="s">
        <v>226</v>
      </c>
      <c r="D941" s="25" t="s">
        <v>4</v>
      </c>
      <c r="E941" s="18" t="s">
        <v>225</v>
      </c>
      <c r="F941" s="19">
        <v>1</v>
      </c>
      <c r="G941" s="19">
        <v>2</v>
      </c>
      <c r="H941" s="19">
        <v>3</v>
      </c>
      <c r="I941" s="19">
        <v>4</v>
      </c>
      <c r="J941" s="19">
        <v>5</v>
      </c>
      <c r="K941" s="19">
        <v>6</v>
      </c>
      <c r="L941" s="19">
        <v>7</v>
      </c>
      <c r="M941" s="19">
        <v>8</v>
      </c>
      <c r="N941" s="19">
        <v>9</v>
      </c>
      <c r="O941" s="19">
        <v>10</v>
      </c>
      <c r="P941" s="19">
        <v>11</v>
      </c>
      <c r="Q941" s="19">
        <v>12</v>
      </c>
      <c r="R941" s="19">
        <v>13</v>
      </c>
      <c r="S941" s="19">
        <v>14</v>
      </c>
      <c r="T941" s="19">
        <v>15</v>
      </c>
      <c r="U941" s="19">
        <v>16</v>
      </c>
      <c r="V941" s="19">
        <v>17</v>
      </c>
      <c r="W941" s="19">
        <v>18</v>
      </c>
      <c r="X941" s="19">
        <v>19</v>
      </c>
      <c r="Y941" s="162">
        <v>20</v>
      </c>
    </row>
    <row r="942" spans="2:25" ht="15" customHeight="1" x14ac:dyDescent="0.2">
      <c r="B942" s="246" t="s">
        <v>149</v>
      </c>
      <c r="C942" s="95">
        <f>E942/SUM(E942:E944)</f>
        <v>0.5955555555555555</v>
      </c>
      <c r="D942" s="81" t="s">
        <v>0</v>
      </c>
      <c r="E942" s="82">
        <f>SUM(F942:Y942)</f>
        <v>268</v>
      </c>
      <c r="F942" s="82">
        <f t="shared" ref="F942:Y944" si="2288">SUM(F948,F954,F960)</f>
        <v>20</v>
      </c>
      <c r="G942" s="82">
        <f t="shared" si="2288"/>
        <v>34</v>
      </c>
      <c r="H942" s="82">
        <f t="shared" si="2288"/>
        <v>64</v>
      </c>
      <c r="I942" s="82">
        <f t="shared" si="2288"/>
        <v>41</v>
      </c>
      <c r="J942" s="82">
        <f t="shared" si="2288"/>
        <v>33</v>
      </c>
      <c r="K942" s="82">
        <f t="shared" si="2288"/>
        <v>39</v>
      </c>
      <c r="L942" s="82">
        <f t="shared" si="2288"/>
        <v>0</v>
      </c>
      <c r="M942" s="82">
        <f t="shared" si="2288"/>
        <v>37</v>
      </c>
      <c r="N942" s="82">
        <f t="shared" si="2288"/>
        <v>0</v>
      </c>
      <c r="O942" s="82">
        <f t="shared" si="2288"/>
        <v>0</v>
      </c>
      <c r="P942" s="82">
        <f t="shared" si="2288"/>
        <v>0</v>
      </c>
      <c r="Q942" s="82">
        <f t="shared" si="2288"/>
        <v>0</v>
      </c>
      <c r="R942" s="82">
        <f t="shared" si="2288"/>
        <v>0</v>
      </c>
      <c r="S942" s="82">
        <f t="shared" si="2288"/>
        <v>0</v>
      </c>
      <c r="T942" s="82">
        <f t="shared" si="2288"/>
        <v>0</v>
      </c>
      <c r="U942" s="82">
        <f t="shared" si="2288"/>
        <v>0</v>
      </c>
      <c r="V942" s="82">
        <f t="shared" si="2288"/>
        <v>0</v>
      </c>
      <c r="W942" s="82">
        <f t="shared" ref="W942:Y945" si="2289">SUM(W948,W954,W960)</f>
        <v>0</v>
      </c>
      <c r="X942" s="82">
        <f t="shared" si="2288"/>
        <v>0</v>
      </c>
      <c r="Y942" s="83">
        <f t="shared" si="2288"/>
        <v>0</v>
      </c>
    </row>
    <row r="943" spans="2:25" ht="15" customHeight="1" x14ac:dyDescent="0.2">
      <c r="B943" s="247"/>
      <c r="C943" s="96">
        <f>E943/SUM(E942:E944)</f>
        <v>0.40444444444444444</v>
      </c>
      <c r="D943" s="79" t="s">
        <v>1</v>
      </c>
      <c r="E943" s="80">
        <f t="shared" ref="E943:E962" si="2290">SUM(F943:Y943)</f>
        <v>182</v>
      </c>
      <c r="F943" s="80">
        <f t="shared" ref="F943:T943" si="2291">SUM(F949,F955,F961)</f>
        <v>9</v>
      </c>
      <c r="G943" s="80">
        <f t="shared" si="2291"/>
        <v>21</v>
      </c>
      <c r="H943" s="80">
        <f t="shared" si="2291"/>
        <v>54</v>
      </c>
      <c r="I943" s="80">
        <f t="shared" si="2291"/>
        <v>37</v>
      </c>
      <c r="J943" s="80">
        <f t="shared" si="2291"/>
        <v>19</v>
      </c>
      <c r="K943" s="80">
        <f t="shared" si="2291"/>
        <v>28</v>
      </c>
      <c r="L943" s="80">
        <f t="shared" si="2291"/>
        <v>0</v>
      </c>
      <c r="M943" s="80">
        <f t="shared" si="2291"/>
        <v>14</v>
      </c>
      <c r="N943" s="80">
        <f t="shared" si="2291"/>
        <v>0</v>
      </c>
      <c r="O943" s="80">
        <f t="shared" si="2291"/>
        <v>0</v>
      </c>
      <c r="P943" s="80">
        <f t="shared" si="2291"/>
        <v>0</v>
      </c>
      <c r="Q943" s="80">
        <f t="shared" si="2291"/>
        <v>0</v>
      </c>
      <c r="R943" s="80">
        <f t="shared" si="2291"/>
        <v>0</v>
      </c>
      <c r="S943" s="80">
        <f t="shared" si="2291"/>
        <v>0</v>
      </c>
      <c r="T943" s="80">
        <f t="shared" si="2291"/>
        <v>0</v>
      </c>
      <c r="U943" s="80">
        <f t="shared" si="2288"/>
        <v>0</v>
      </c>
      <c r="V943" s="80">
        <f t="shared" si="2288"/>
        <v>0</v>
      </c>
      <c r="W943" s="80">
        <f t="shared" si="2289"/>
        <v>0</v>
      </c>
      <c r="X943" s="80">
        <f t="shared" si="2288"/>
        <v>0</v>
      </c>
      <c r="Y943" s="84">
        <f t="shared" si="2288"/>
        <v>0</v>
      </c>
    </row>
    <row r="944" spans="2:25" ht="15" customHeight="1" thickBot="1" x14ac:dyDescent="0.25">
      <c r="B944" s="247"/>
      <c r="C944" s="97">
        <f>E944/SUM(E942:E944)</f>
        <v>0</v>
      </c>
      <c r="D944" s="86" t="s">
        <v>2</v>
      </c>
      <c r="E944" s="87">
        <f t="shared" si="2290"/>
        <v>0</v>
      </c>
      <c r="F944" s="87">
        <f t="shared" si="2288"/>
        <v>0</v>
      </c>
      <c r="G944" s="87">
        <f t="shared" si="2288"/>
        <v>0</v>
      </c>
      <c r="H944" s="87">
        <f t="shared" si="2288"/>
        <v>0</v>
      </c>
      <c r="I944" s="87">
        <f t="shared" si="2288"/>
        <v>0</v>
      </c>
      <c r="J944" s="87">
        <f t="shared" si="2288"/>
        <v>0</v>
      </c>
      <c r="K944" s="87">
        <f t="shared" si="2288"/>
        <v>0</v>
      </c>
      <c r="L944" s="87">
        <f t="shared" si="2288"/>
        <v>0</v>
      </c>
      <c r="M944" s="87">
        <f t="shared" si="2288"/>
        <v>0</v>
      </c>
      <c r="N944" s="87">
        <f t="shared" si="2288"/>
        <v>0</v>
      </c>
      <c r="O944" s="87">
        <f t="shared" si="2288"/>
        <v>0</v>
      </c>
      <c r="P944" s="87">
        <f t="shared" si="2288"/>
        <v>0</v>
      </c>
      <c r="Q944" s="87">
        <f t="shared" si="2288"/>
        <v>0</v>
      </c>
      <c r="R944" s="87">
        <f t="shared" si="2288"/>
        <v>0</v>
      </c>
      <c r="S944" s="87">
        <f t="shared" si="2288"/>
        <v>0</v>
      </c>
      <c r="T944" s="87">
        <f t="shared" si="2288"/>
        <v>0</v>
      </c>
      <c r="U944" s="87">
        <f t="shared" si="2288"/>
        <v>0</v>
      </c>
      <c r="V944" s="87">
        <f t="shared" si="2288"/>
        <v>0</v>
      </c>
      <c r="W944" s="87">
        <f t="shared" si="2289"/>
        <v>0</v>
      </c>
      <c r="X944" s="87">
        <f t="shared" si="2288"/>
        <v>0</v>
      </c>
      <c r="Y944" s="88">
        <f t="shared" si="2288"/>
        <v>0</v>
      </c>
    </row>
    <row r="945" spans="2:25" ht="15" customHeight="1" x14ac:dyDescent="0.2">
      <c r="B945" s="247"/>
      <c r="C945" s="98">
        <f>E945/SUM(E945:E947)</f>
        <v>0.58970964747514787</v>
      </c>
      <c r="D945" s="85" t="s">
        <v>0</v>
      </c>
      <c r="E945" s="151">
        <f>SUM(E951,E957,E963)</f>
        <v>0.58970964747514787</v>
      </c>
      <c r="F945" s="151">
        <f t="shared" ref="F945:Y947" si="2292">SUM(F951,F957,F963)</f>
        <v>0.3480602105823879</v>
      </c>
      <c r="G945" s="151">
        <f t="shared" si="2292"/>
        <v>0.4478000426098151</v>
      </c>
      <c r="H945" s="151">
        <f t="shared" si="2292"/>
        <v>0.54240144283759717</v>
      </c>
      <c r="I945" s="151">
        <f t="shared" si="2292"/>
        <v>0.38994715509573791</v>
      </c>
      <c r="J945" s="151">
        <f t="shared" si="2292"/>
        <v>0.63496076997317963</v>
      </c>
      <c r="K945" s="151">
        <f t="shared" si="2292"/>
        <v>0.57502108592958234</v>
      </c>
      <c r="L945" s="151">
        <f t="shared" si="2292"/>
        <v>0</v>
      </c>
      <c r="M945" s="151">
        <f t="shared" si="2292"/>
        <v>0.56419568834216782</v>
      </c>
      <c r="N945" s="151">
        <f t="shared" si="2292"/>
        <v>0</v>
      </c>
      <c r="O945" s="151">
        <f t="shared" si="2292"/>
        <v>0</v>
      </c>
      <c r="P945" s="151">
        <f t="shared" si="2292"/>
        <v>0</v>
      </c>
      <c r="Q945" s="151">
        <f t="shared" si="2292"/>
        <v>0</v>
      </c>
      <c r="R945" s="151">
        <f t="shared" si="2292"/>
        <v>0</v>
      </c>
      <c r="S945" s="151">
        <f t="shared" si="2292"/>
        <v>0</v>
      </c>
      <c r="T945" s="151">
        <f t="shared" si="2292"/>
        <v>0</v>
      </c>
      <c r="U945" s="151">
        <f t="shared" si="2292"/>
        <v>0</v>
      </c>
      <c r="V945" s="151">
        <f t="shared" si="2292"/>
        <v>0</v>
      </c>
      <c r="W945" s="151">
        <f t="shared" si="2289"/>
        <v>0</v>
      </c>
      <c r="X945" s="151">
        <f t="shared" si="2289"/>
        <v>0</v>
      </c>
      <c r="Y945" s="156">
        <f t="shared" si="2289"/>
        <v>0</v>
      </c>
    </row>
    <row r="946" spans="2:25" ht="15" customHeight="1" x14ac:dyDescent="0.2">
      <c r="B946" s="247"/>
      <c r="C946" s="96">
        <f>E946/SUM(E945:E947)</f>
        <v>0.41029035252485213</v>
      </c>
      <c r="D946" s="79" t="s">
        <v>1</v>
      </c>
      <c r="E946" s="152">
        <f t="shared" ref="E946:T947" si="2293">SUM(E952,E958,E964)</f>
        <v>0.41029035252485213</v>
      </c>
      <c r="F946" s="152">
        <f t="shared" si="2293"/>
        <v>0.15662709476207456</v>
      </c>
      <c r="G946" s="152">
        <f t="shared" si="2293"/>
        <v>0.29021696249794626</v>
      </c>
      <c r="H946" s="152">
        <f t="shared" si="2293"/>
        <v>0.45759855716240283</v>
      </c>
      <c r="I946" s="152">
        <f t="shared" si="2293"/>
        <v>0.3480698500120234</v>
      </c>
      <c r="J946" s="152">
        <f t="shared" si="2293"/>
        <v>0.36503923002682043</v>
      </c>
      <c r="K946" s="152">
        <f t="shared" si="2293"/>
        <v>0.42497891407041777</v>
      </c>
      <c r="L946" s="152">
        <f t="shared" si="2293"/>
        <v>0</v>
      </c>
      <c r="M946" s="152">
        <f t="shared" si="2293"/>
        <v>0.20247461189453339</v>
      </c>
      <c r="N946" s="152">
        <f t="shared" si="2293"/>
        <v>0</v>
      </c>
      <c r="O946" s="152">
        <f t="shared" si="2293"/>
        <v>0</v>
      </c>
      <c r="P946" s="152">
        <f t="shared" si="2293"/>
        <v>0</v>
      </c>
      <c r="Q946" s="152">
        <f t="shared" si="2293"/>
        <v>0</v>
      </c>
      <c r="R946" s="152">
        <f t="shared" si="2293"/>
        <v>0</v>
      </c>
      <c r="S946" s="152">
        <f t="shared" si="2293"/>
        <v>0</v>
      </c>
      <c r="T946" s="152">
        <f t="shared" si="2293"/>
        <v>0</v>
      </c>
      <c r="U946" s="152">
        <f t="shared" si="2292"/>
        <v>0</v>
      </c>
      <c r="V946" s="152">
        <f t="shared" si="2292"/>
        <v>0</v>
      </c>
      <c r="W946" s="152">
        <f t="shared" si="2292"/>
        <v>0</v>
      </c>
      <c r="X946" s="152">
        <f t="shared" si="2292"/>
        <v>0</v>
      </c>
      <c r="Y946" s="157">
        <f t="shared" si="2292"/>
        <v>0</v>
      </c>
    </row>
    <row r="947" spans="2:25" ht="15" customHeight="1" thickBot="1" x14ac:dyDescent="0.25">
      <c r="B947" s="248"/>
      <c r="C947" s="99">
        <f>E947/SUM(E945:E947)</f>
        <v>0</v>
      </c>
      <c r="D947" s="89" t="s">
        <v>2</v>
      </c>
      <c r="E947" s="153">
        <f t="shared" si="2293"/>
        <v>0</v>
      </c>
      <c r="F947" s="153">
        <f t="shared" si="2292"/>
        <v>0</v>
      </c>
      <c r="G947" s="153">
        <f t="shared" si="2292"/>
        <v>0</v>
      </c>
      <c r="H947" s="153">
        <f t="shared" si="2292"/>
        <v>0</v>
      </c>
      <c r="I947" s="153">
        <f t="shared" si="2292"/>
        <v>0</v>
      </c>
      <c r="J947" s="153">
        <f t="shared" si="2292"/>
        <v>0</v>
      </c>
      <c r="K947" s="153">
        <f t="shared" si="2292"/>
        <v>0</v>
      </c>
      <c r="L947" s="153">
        <f t="shared" si="2292"/>
        <v>0</v>
      </c>
      <c r="M947" s="153">
        <f t="shared" si="2292"/>
        <v>0</v>
      </c>
      <c r="N947" s="153">
        <f t="shared" si="2292"/>
        <v>0</v>
      </c>
      <c r="O947" s="153">
        <f t="shared" si="2292"/>
        <v>0</v>
      </c>
      <c r="P947" s="153">
        <f t="shared" si="2292"/>
        <v>0</v>
      </c>
      <c r="Q947" s="153">
        <f t="shared" si="2292"/>
        <v>0</v>
      </c>
      <c r="R947" s="153">
        <f t="shared" si="2292"/>
        <v>0</v>
      </c>
      <c r="S947" s="153">
        <f t="shared" si="2292"/>
        <v>0</v>
      </c>
      <c r="T947" s="153">
        <f t="shared" si="2292"/>
        <v>0</v>
      </c>
      <c r="U947" s="153">
        <f t="shared" si="2292"/>
        <v>0</v>
      </c>
      <c r="V947" s="153">
        <f t="shared" si="2292"/>
        <v>0</v>
      </c>
      <c r="W947" s="153">
        <f t="shared" si="2292"/>
        <v>0</v>
      </c>
      <c r="X947" s="153">
        <f t="shared" si="2292"/>
        <v>0</v>
      </c>
      <c r="Y947" s="158">
        <f t="shared" si="2292"/>
        <v>0</v>
      </c>
    </row>
    <row r="948" spans="2:25" ht="15" customHeight="1" x14ac:dyDescent="0.2">
      <c r="B948" s="249" t="s">
        <v>151</v>
      </c>
      <c r="C948" s="91">
        <f>E948/SUM(E948:E950)</f>
        <v>0.61290322580645162</v>
      </c>
      <c r="D948" s="67" t="s">
        <v>0</v>
      </c>
      <c r="E948" s="68">
        <f t="shared" si="2290"/>
        <v>171</v>
      </c>
      <c r="F948" s="68">
        <f>SUMIFS([0]!Chavez,[0]!Centro,B950,[0]!Turno,F$941)</f>
        <v>20</v>
      </c>
      <c r="G948" s="68">
        <f>SUMIFS([0]!Chavez,[0]!Centro,B950,[0]!Turno,G$941)</f>
        <v>29</v>
      </c>
      <c r="H948" s="68">
        <f>SUMIFS([0]!Chavez,[0]!Centro,B950,[0]!Turno,H$941)</f>
        <v>36</v>
      </c>
      <c r="I948" s="68">
        <f>SUMIFS([0]!Chavez,[0]!Centro,B950,[0]!Turno,I$941)</f>
        <v>23</v>
      </c>
      <c r="J948" s="68">
        <f>SUMIFS([0]!Chavez,[0]!Centro,B950,[0]!Turno,J$941)</f>
        <v>14</v>
      </c>
      <c r="K948" s="68">
        <f>SUMIFS([0]!Chavez,[0]!Centro,B950,[0]!Turno,K$941)</f>
        <v>24</v>
      </c>
      <c r="L948" s="68">
        <f>SUMIFS([0]!Chavez,[0]!Centro,B950,[0]!Turno,L$941)</f>
        <v>0</v>
      </c>
      <c r="M948" s="68">
        <f>SUMIFS([0]!Chavez,[0]!Centro,B950,[0]!Turno,M$941)</f>
        <v>25</v>
      </c>
      <c r="N948" s="68">
        <f>SUMIFS([0]!Chavez,[0]!Centro,B950,[0]!Turno,N$941)</f>
        <v>0</v>
      </c>
      <c r="O948" s="68">
        <f>SUMIFS([0]!Chavez,[0]!Centro,B950,[0]!Turno,O$941)</f>
        <v>0</v>
      </c>
      <c r="P948" s="68">
        <f>SUMIFS([0]!Chavez,[0]!Centro,B950,[0]!Turno,P$941)</f>
        <v>0</v>
      </c>
      <c r="Q948" s="68">
        <f>SUMIFS([0]!Chavez,[0]!Centro,B950,[0]!Turno,Q$941)</f>
        <v>0</v>
      </c>
      <c r="R948" s="68">
        <f>SUMIFS([0]!Chavez,[0]!Centro,B950,[0]!Turno,R$941)</f>
        <v>0</v>
      </c>
      <c r="S948" s="68">
        <f>SUMIFS([0]!Chavez,[0]!Centro,B950,[0]!Turno,S$941)</f>
        <v>0</v>
      </c>
      <c r="T948" s="68">
        <f>SUMIFS([0]!Chavez,[0]!Centro,B950,[0]!Turno,T$941)</f>
        <v>0</v>
      </c>
      <c r="U948" s="68">
        <f>SUMIFS([0]!Chavez,[0]!Centro,B950,[0]!Turno,U$941)</f>
        <v>0</v>
      </c>
      <c r="V948" s="68">
        <f>SUMIFS([0]!Chavez,[0]!Centro,B950,[0]!Turno,V$941)</f>
        <v>0</v>
      </c>
      <c r="W948" s="68">
        <f>SUMIFS([0]!Chavez,[0]!Centro,B950,[0]!Turno,W$941)</f>
        <v>0</v>
      </c>
      <c r="X948" s="68">
        <f>SUMIFS([0]!Chavez,[0]!Centro,B950,[0]!Turno,X$941)</f>
        <v>0</v>
      </c>
      <c r="Y948" s="69">
        <f>SUMIFS([0]!Chavez,[0]!Centro,B950,[0]!Turno,Y$941)</f>
        <v>0</v>
      </c>
    </row>
    <row r="949" spans="2:25" ht="15" customHeight="1" x14ac:dyDescent="0.2">
      <c r="B949" s="250"/>
      <c r="C949" s="92">
        <f>E949/SUM(E948:E950)</f>
        <v>0.38709677419354838</v>
      </c>
      <c r="D949" s="61" t="s">
        <v>1</v>
      </c>
      <c r="E949" s="62">
        <f t="shared" si="2290"/>
        <v>108</v>
      </c>
      <c r="F949" s="62">
        <f>SUMIFS([0]!Capriles,[0]!Centro,B950,[0]!Turno,F$941)</f>
        <v>9</v>
      </c>
      <c r="G949" s="62">
        <f>SUMIFS([0]!Capriles,[0]!Centro,B950,[0]!Turno,G$941)</f>
        <v>17</v>
      </c>
      <c r="H949" s="62">
        <f>SUMIFS([0]!Capriles,[0]!Centro,B950,[0]!Turno,H$941)</f>
        <v>28</v>
      </c>
      <c r="I949" s="62">
        <f>SUMIFS([0]!Capriles,[0]!Centro,B950,[0]!Turno,I$941)</f>
        <v>20</v>
      </c>
      <c r="J949" s="62">
        <f>SUMIFS([0]!Capriles,[0]!Centro,B950,[0]!Turno,J$941)</f>
        <v>15</v>
      </c>
      <c r="K949" s="62">
        <f>SUMIFS([0]!Capriles,[0]!Centro,B950,[0]!Turno,K$941)</f>
        <v>13</v>
      </c>
      <c r="L949" s="62">
        <f>SUMIFS([0]!Capriles,[0]!Centro,B950,[0]!Turno,L$941)</f>
        <v>0</v>
      </c>
      <c r="M949" s="62">
        <f>SUMIFS([0]!Capriles,[0]!Centro,B950,[0]!Turno,M$941)</f>
        <v>6</v>
      </c>
      <c r="N949" s="62">
        <f>SUMIFS([0]!Capriles,[0]!Centro,B950,[0]!Turno,N$941)</f>
        <v>0</v>
      </c>
      <c r="O949" s="62">
        <f>SUMIFS([0]!Capriles,[0]!Centro,B950,[0]!Turno,O$941)</f>
        <v>0</v>
      </c>
      <c r="P949" s="62">
        <f>SUMIFS([0]!Capriles,[0]!Centro,B950,[0]!Turno,P$941)</f>
        <v>0</v>
      </c>
      <c r="Q949" s="62">
        <f>SUMIFS([0]!Capriles,[0]!Centro,B950,[0]!Turno,Q$941)</f>
        <v>0</v>
      </c>
      <c r="R949" s="62">
        <f>SUMIFS([0]!Capriles,[0]!Centro,B950,[0]!Turno,R$941)</f>
        <v>0</v>
      </c>
      <c r="S949" s="62">
        <f>SUMIFS([0]!Capriles,[0]!Centro,B950,[0]!Turno,S$941)</f>
        <v>0</v>
      </c>
      <c r="T949" s="62">
        <f>SUMIFS([0]!Capriles,[0]!Centro,B950,[0]!Turno,T$941)</f>
        <v>0</v>
      </c>
      <c r="U949" s="62">
        <f>SUMIFS([0]!Capriles,[0]!Centro,B950,[0]!Turno,U$941)</f>
        <v>0</v>
      </c>
      <c r="V949" s="62">
        <f>SUMIFS([0]!Capriles,[0]!Centro,B950,[0]!Turno,V$941)</f>
        <v>0</v>
      </c>
      <c r="W949" s="62">
        <f>SUMIFS([0]!Capriles,[0]!Centro,B950,[0]!Turno,W$941)</f>
        <v>0</v>
      </c>
      <c r="X949" s="62">
        <f>SUMIFS([0]!Capriles,[0]!Centro,B950,[0]!Turno,X$941)</f>
        <v>0</v>
      </c>
      <c r="Y949" s="70">
        <f>SUMIFS([0]!Capriles,[0]!Centro,B950,[0]!Turno,Y$941)</f>
        <v>0</v>
      </c>
    </row>
    <row r="950" spans="2:25" ht="15" customHeight="1" thickBot="1" x14ac:dyDescent="0.25">
      <c r="B950" s="251">
        <v>155</v>
      </c>
      <c r="C950" s="100">
        <f>E950/SUM(E948:E950)</f>
        <v>0</v>
      </c>
      <c r="D950" s="71" t="s">
        <v>2</v>
      </c>
      <c r="E950" s="72">
        <f t="shared" si="2290"/>
        <v>0</v>
      </c>
      <c r="F950" s="72">
        <f>SUMIFS([0]!Otro,[0]!Centro,B950,[0]!Turno,F$941)</f>
        <v>0</v>
      </c>
      <c r="G950" s="72">
        <f>SUMIFS([0]!Otro,[0]!Centro,B950,[0]!Turno,G$941)</f>
        <v>0</v>
      </c>
      <c r="H950" s="72">
        <f>SUMIFS([0]!Otro,[0]!Centro,B950,[0]!Turno,H$941)</f>
        <v>0</v>
      </c>
      <c r="I950" s="72">
        <f>SUMIFS([0]!Otro,[0]!Centro,B950,[0]!Turno,I$941)</f>
        <v>0</v>
      </c>
      <c r="J950" s="72">
        <f>SUMIFS([0]!Otro,[0]!Centro,B950,[0]!Turno,J$941)</f>
        <v>0</v>
      </c>
      <c r="K950" s="72">
        <f>SUMIFS([0]!Otro,[0]!Centro,B950,[0]!Turno,K$941)</f>
        <v>0</v>
      </c>
      <c r="L950" s="72">
        <f>SUMIFS([0]!Otro,[0]!Centro,B950,[0]!Turno,L$941)</f>
        <v>0</v>
      </c>
      <c r="M950" s="72">
        <f>SUMIFS([0]!Otro,[0]!Centro,B950,[0]!Turno,M$941)</f>
        <v>0</v>
      </c>
      <c r="N950" s="72">
        <f>SUMIFS([0]!Otro,[0]!Centro,B950,[0]!Turno,N$941)</f>
        <v>0</v>
      </c>
      <c r="O950" s="72">
        <f>SUMIFS([0]!Otro,[0]!Centro,B950,[0]!Turno,O$941)</f>
        <v>0</v>
      </c>
      <c r="P950" s="72">
        <f>SUMIFS([0]!Otro,[0]!Centro,B950,[0]!Turno,P$941)</f>
        <v>0</v>
      </c>
      <c r="Q950" s="72">
        <f>SUMIFS([0]!Otro,[0]!Centro,B950,[0]!Turno,Q$941)</f>
        <v>0</v>
      </c>
      <c r="R950" s="72">
        <f>SUMIFS([0]!Otro,[0]!Centro,B950,[0]!Turno,R$941)</f>
        <v>0</v>
      </c>
      <c r="S950" s="72">
        <f>SUMIFS([0]!Otro,[0]!Centro,B950,[0]!Turno,S$941)</f>
        <v>0</v>
      </c>
      <c r="T950" s="72">
        <f>SUMIFS([0]!Otro,[0]!Centro,B950,[0]!Turno,T$941)</f>
        <v>0</v>
      </c>
      <c r="U950" s="72">
        <f>SUMIFS([0]!Otro,[0]!Centro,B950,[0]!Turno,U$941)</f>
        <v>0</v>
      </c>
      <c r="V950" s="72">
        <f>SUMIFS([0]!Otro,[0]!Centro,B950,[0]!Turno,V$941)</f>
        <v>0</v>
      </c>
      <c r="W950" s="72">
        <f>SUMIFS([0]!Otro,[0]!Centro,B950,[0]!Turno,W$941)</f>
        <v>0</v>
      </c>
      <c r="X950" s="72">
        <f>SUMIFS([0]!Otro,[0]!Centro,B950,[0]!Turno,X$941)</f>
        <v>0</v>
      </c>
      <c r="Y950" s="73">
        <f>SUMIFS([0]!Otro,[0]!Centro,B950,[0]!Turno,Y$941)</f>
        <v>0</v>
      </c>
    </row>
    <row r="951" spans="2:25" ht="15" customHeight="1" x14ac:dyDescent="0.2">
      <c r="B951" s="251"/>
      <c r="C951" s="94">
        <f>E951/SUM(E951:E953)</f>
        <v>0.61290322580645162</v>
      </c>
      <c r="D951" s="63" t="s">
        <v>0</v>
      </c>
      <c r="E951" s="150">
        <f>IF((E948+E949+E950)=0,0,(E948*$B952)/(E948+E949+E950))</f>
        <v>0.30932447746918668</v>
      </c>
      <c r="F951" s="150">
        <f>IF((F948+F949+F950)=0,0,(F948*$B952)/(F948+F949+F950))</f>
        <v>0.3480602105823879</v>
      </c>
      <c r="G951" s="150">
        <f t="shared" ref="G951:Y951" si="2294">IF((G948+G949+G950)=0,0,(G948*$B952)/(G948+G949+G950))</f>
        <v>0.31817243163020459</v>
      </c>
      <c r="H951" s="150">
        <f t="shared" si="2294"/>
        <v>0.28388660925626014</v>
      </c>
      <c r="I951" s="150">
        <f t="shared" si="2294"/>
        <v>0.26994902378889851</v>
      </c>
      <c r="J951" s="150">
        <f t="shared" si="2294"/>
        <v>0.24364214740767157</v>
      </c>
      <c r="K951" s="150">
        <f t="shared" si="2294"/>
        <v>0.32736473860181353</v>
      </c>
      <c r="L951" s="150">
        <f t="shared" si="2294"/>
        <v>0</v>
      </c>
      <c r="M951" s="150">
        <f t="shared" si="2294"/>
        <v>0.40700589140682458</v>
      </c>
      <c r="N951" s="150">
        <f t="shared" si="2294"/>
        <v>0</v>
      </c>
      <c r="O951" s="150">
        <f t="shared" si="2294"/>
        <v>0</v>
      </c>
      <c r="P951" s="150">
        <f t="shared" si="2294"/>
        <v>0</v>
      </c>
      <c r="Q951" s="150">
        <f t="shared" si="2294"/>
        <v>0</v>
      </c>
      <c r="R951" s="150">
        <f t="shared" si="2294"/>
        <v>0</v>
      </c>
      <c r="S951" s="150">
        <f t="shared" si="2294"/>
        <v>0</v>
      </c>
      <c r="T951" s="150">
        <f t="shared" si="2294"/>
        <v>0</v>
      </c>
      <c r="U951" s="150">
        <f t="shared" si="2294"/>
        <v>0</v>
      </c>
      <c r="V951" s="150">
        <f t="shared" si="2294"/>
        <v>0</v>
      </c>
      <c r="W951" s="150">
        <f t="shared" si="2294"/>
        <v>0</v>
      </c>
      <c r="X951" s="150">
        <f t="shared" si="2294"/>
        <v>0</v>
      </c>
      <c r="Y951" s="163">
        <f t="shared" si="2294"/>
        <v>0</v>
      </c>
    </row>
    <row r="952" spans="2:25" ht="15" customHeight="1" x14ac:dyDescent="0.2">
      <c r="B952" s="252">
        <v>0.50468730534446249</v>
      </c>
      <c r="C952" s="92">
        <f>E952/SUM(E951:E953)</f>
        <v>0.38709677419354843</v>
      </c>
      <c r="D952" s="61" t="s">
        <v>1</v>
      </c>
      <c r="E952" s="154">
        <f>IF((E948+E949+E950)=0,0,(E949*$B952)/(E948+E949+E950))</f>
        <v>0.19536282787527581</v>
      </c>
      <c r="F952" s="154">
        <f>IF((F948+F949+F950)=0,0,(F949*$B952)/(F948+F949+F950))</f>
        <v>0.15662709476207456</v>
      </c>
      <c r="G952" s="154">
        <f t="shared" ref="G952:Y952" si="2295">IF((G948+G949+G950)=0,0,(G949*$B952)/(G948+G949+G950))</f>
        <v>0.1865148737142579</v>
      </c>
      <c r="H952" s="154">
        <f t="shared" si="2295"/>
        <v>0.22080069608820235</v>
      </c>
      <c r="I952" s="154">
        <f t="shared" si="2295"/>
        <v>0.23473828155556392</v>
      </c>
      <c r="J952" s="154">
        <f t="shared" si="2295"/>
        <v>0.26104515793679095</v>
      </c>
      <c r="K952" s="154">
        <f t="shared" si="2295"/>
        <v>0.17732256674264898</v>
      </c>
      <c r="L952" s="154">
        <f t="shared" si="2295"/>
        <v>0</v>
      </c>
      <c r="M952" s="154">
        <f t="shared" si="2295"/>
        <v>9.7681413937637906E-2</v>
      </c>
      <c r="N952" s="154">
        <f t="shared" si="2295"/>
        <v>0</v>
      </c>
      <c r="O952" s="154">
        <f t="shared" si="2295"/>
        <v>0</v>
      </c>
      <c r="P952" s="154">
        <f t="shared" si="2295"/>
        <v>0</v>
      </c>
      <c r="Q952" s="154">
        <f t="shared" si="2295"/>
        <v>0</v>
      </c>
      <c r="R952" s="154">
        <f t="shared" si="2295"/>
        <v>0</v>
      </c>
      <c r="S952" s="154">
        <f t="shared" si="2295"/>
        <v>0</v>
      </c>
      <c r="T952" s="154">
        <f t="shared" si="2295"/>
        <v>0</v>
      </c>
      <c r="U952" s="154">
        <f t="shared" si="2295"/>
        <v>0</v>
      </c>
      <c r="V952" s="154">
        <f t="shared" si="2295"/>
        <v>0</v>
      </c>
      <c r="W952" s="154">
        <f t="shared" si="2295"/>
        <v>0</v>
      </c>
      <c r="X952" s="154">
        <f t="shared" si="2295"/>
        <v>0</v>
      </c>
      <c r="Y952" s="159">
        <f t="shared" si="2295"/>
        <v>0</v>
      </c>
    </row>
    <row r="953" spans="2:25" ht="15" customHeight="1" thickBot="1" x14ac:dyDescent="0.25">
      <c r="B953" s="253"/>
      <c r="C953" s="93">
        <f>E953/SUM(E951:E953)</f>
        <v>0</v>
      </c>
      <c r="D953" s="75" t="s">
        <v>2</v>
      </c>
      <c r="E953" s="155">
        <f>IF((E948+E949+E950)=0,0,(E950*$B952)/(E948+E949+E950))</f>
        <v>0</v>
      </c>
      <c r="F953" s="155">
        <f>IF((F948+F949+F950)=0,0,(F950*$B952)/(F948+F949+F950))</f>
        <v>0</v>
      </c>
      <c r="G953" s="155">
        <f t="shared" ref="G953:Y953" si="2296">IF((G948+G949+G950)=0,0,(G950*$B952)/(G948+G949+G950))</f>
        <v>0</v>
      </c>
      <c r="H953" s="155">
        <f t="shared" si="2296"/>
        <v>0</v>
      </c>
      <c r="I953" s="155">
        <f t="shared" si="2296"/>
        <v>0</v>
      </c>
      <c r="J953" s="155">
        <f t="shared" si="2296"/>
        <v>0</v>
      </c>
      <c r="K953" s="155">
        <f t="shared" si="2296"/>
        <v>0</v>
      </c>
      <c r="L953" s="155">
        <f t="shared" si="2296"/>
        <v>0</v>
      </c>
      <c r="M953" s="155">
        <f t="shared" si="2296"/>
        <v>0</v>
      </c>
      <c r="N953" s="155">
        <f t="shared" si="2296"/>
        <v>0</v>
      </c>
      <c r="O953" s="155">
        <f t="shared" si="2296"/>
        <v>0</v>
      </c>
      <c r="P953" s="155">
        <f t="shared" si="2296"/>
        <v>0</v>
      </c>
      <c r="Q953" s="155">
        <f t="shared" si="2296"/>
        <v>0</v>
      </c>
      <c r="R953" s="155">
        <f t="shared" si="2296"/>
        <v>0</v>
      </c>
      <c r="S953" s="155">
        <f t="shared" si="2296"/>
        <v>0</v>
      </c>
      <c r="T953" s="155">
        <f t="shared" si="2296"/>
        <v>0</v>
      </c>
      <c r="U953" s="155">
        <f t="shared" si="2296"/>
        <v>0</v>
      </c>
      <c r="V953" s="155">
        <f t="shared" si="2296"/>
        <v>0</v>
      </c>
      <c r="W953" s="155">
        <f t="shared" si="2296"/>
        <v>0</v>
      </c>
      <c r="X953" s="155">
        <f t="shared" si="2296"/>
        <v>0</v>
      </c>
      <c r="Y953" s="160">
        <f t="shared" si="2296"/>
        <v>0</v>
      </c>
    </row>
    <row r="954" spans="2:25" ht="15" customHeight="1" x14ac:dyDescent="0.2">
      <c r="B954" s="249" t="s">
        <v>232</v>
      </c>
      <c r="C954" s="91">
        <f>E954/SUM(E954:E956)</f>
        <v>0.57009345794392519</v>
      </c>
      <c r="D954" s="67" t="s">
        <v>0</v>
      </c>
      <c r="E954" s="68">
        <f t="shared" si="2290"/>
        <v>61</v>
      </c>
      <c r="F954" s="68">
        <f>SUMIFS([0]!Chavez,[0]!Centro,B956,[0]!Turno,F$941)</f>
        <v>0</v>
      </c>
      <c r="G954" s="68">
        <f>SUMIFS([0]!Chavez,[0]!Centro,B956,[0]!Turno,G$941)</f>
        <v>5</v>
      </c>
      <c r="H954" s="68">
        <f>SUMIFS([0]!Chavez,[0]!Centro,B956,[0]!Turno,H$941)</f>
        <v>19</v>
      </c>
      <c r="I954" s="68">
        <f>SUMIFS([0]!Chavez,[0]!Centro,B956,[0]!Turno,I$941)</f>
        <v>18</v>
      </c>
      <c r="J954" s="68">
        <f>SUMIFS([0]!Chavez,[0]!Centro,B956,[0]!Turno,J$941)</f>
        <v>13</v>
      </c>
      <c r="K954" s="68">
        <f>SUMIFS([0]!Chavez,[0]!Centro,B956,[0]!Turno,K$941)</f>
        <v>6</v>
      </c>
      <c r="L954" s="68">
        <f>SUMIFS([0]!Chavez,[0]!Centro,B956,[0]!Turno,L$941)</f>
        <v>0</v>
      </c>
      <c r="M954" s="68">
        <f>SUMIFS([0]!Chavez,[0]!Centro,B956,[0]!Turno,M$941)</f>
        <v>0</v>
      </c>
      <c r="N954" s="68">
        <f>SUMIFS([0]!Chavez,[0]!Centro,B956,[0]!Turno,N$941)</f>
        <v>0</v>
      </c>
      <c r="O954" s="68">
        <f>SUMIFS([0]!Chavez,[0]!Centro,B956,[0]!Turno,O$941)</f>
        <v>0</v>
      </c>
      <c r="P954" s="68">
        <f>SUMIFS([0]!Chavez,[0]!Centro,B956,[0]!Turno,P$941)</f>
        <v>0</v>
      </c>
      <c r="Q954" s="68">
        <f>SUMIFS([0]!Chavez,[0]!Centro,B956,[0]!Turno,Q$941)</f>
        <v>0</v>
      </c>
      <c r="R954" s="68">
        <f>SUMIFS([0]!Chavez,[0]!Centro,B956,[0]!Turno,R$941)</f>
        <v>0</v>
      </c>
      <c r="S954" s="68">
        <f>SUMIFS([0]!Chavez,[0]!Centro,B956,[0]!Turno,S$941)</f>
        <v>0</v>
      </c>
      <c r="T954" s="68">
        <f>SUMIFS([0]!Chavez,[0]!Centro,B956,[0]!Turno,T$941)</f>
        <v>0</v>
      </c>
      <c r="U954" s="68">
        <f>SUMIFS([0]!Chavez,[0]!Centro,B956,[0]!Turno,U$941)</f>
        <v>0</v>
      </c>
      <c r="V954" s="68">
        <f>SUMIFS([0]!Chavez,[0]!Centro,B956,[0]!Turno,V$941)</f>
        <v>0</v>
      </c>
      <c r="W954" s="68">
        <f>SUMIFS([0]!Chavez,[0]!Centro,B956,[0]!Turno,W$941)</f>
        <v>0</v>
      </c>
      <c r="X954" s="68">
        <f>SUMIFS([0]!Chavez,[0]!Centro,B956,[0]!Turno,X$941)</f>
        <v>0</v>
      </c>
      <c r="Y954" s="69">
        <f>SUMIFS([0]!Chavez,[0]!Centro,B956,[0]!Turno,Y$941)</f>
        <v>0</v>
      </c>
    </row>
    <row r="955" spans="2:25" ht="15" customHeight="1" x14ac:dyDescent="0.2">
      <c r="B955" s="250"/>
      <c r="C955" s="92">
        <f>E955/SUM(E954:E956)</f>
        <v>0.42990654205607476</v>
      </c>
      <c r="D955" s="61" t="s">
        <v>1</v>
      </c>
      <c r="E955" s="62">
        <f t="shared" si="2290"/>
        <v>46</v>
      </c>
      <c r="F955" s="62">
        <f>SUMIFS([0]!Capriles,[0]!Centro,B956,[0]!Turno,F$941)</f>
        <v>0</v>
      </c>
      <c r="G955" s="62">
        <f>SUMIFS([0]!Capriles,[0]!Centro,B956,[0]!Turno,G$941)</f>
        <v>4</v>
      </c>
      <c r="H955" s="62">
        <f>SUMIFS([0]!Capriles,[0]!Centro,B956,[0]!Turno,H$941)</f>
        <v>18</v>
      </c>
      <c r="I955" s="62">
        <f>SUMIFS([0]!Capriles,[0]!Centro,B956,[0]!Turno,I$941)</f>
        <v>17</v>
      </c>
      <c r="J955" s="62">
        <f>SUMIFS([0]!Capriles,[0]!Centro,B956,[0]!Turno,J$941)</f>
        <v>1</v>
      </c>
      <c r="K955" s="62">
        <f>SUMIFS([0]!Capriles,[0]!Centro,B956,[0]!Turno,K$941)</f>
        <v>6</v>
      </c>
      <c r="L955" s="62">
        <f>SUMIFS([0]!Capriles,[0]!Centro,B956,[0]!Turno,L$941)</f>
        <v>0</v>
      </c>
      <c r="M955" s="62">
        <f>SUMIFS([0]!Capriles,[0]!Centro,B956,[0]!Turno,M$941)</f>
        <v>0</v>
      </c>
      <c r="N955" s="62">
        <f>SUMIFS([0]!Capriles,[0]!Centro,B956,[0]!Turno,N$941)</f>
        <v>0</v>
      </c>
      <c r="O955" s="62">
        <f>SUMIFS([0]!Capriles,[0]!Centro,B956,[0]!Turno,O$941)</f>
        <v>0</v>
      </c>
      <c r="P955" s="62">
        <f>SUMIFS([0]!Capriles,[0]!Centro,B956,[0]!Turno,P$941)</f>
        <v>0</v>
      </c>
      <c r="Q955" s="62">
        <f>SUMIFS([0]!Capriles,[0]!Centro,B956,[0]!Turno,Q$941)</f>
        <v>0</v>
      </c>
      <c r="R955" s="62">
        <f>SUMIFS([0]!Capriles,[0]!Centro,B956,[0]!Turno,R$941)</f>
        <v>0</v>
      </c>
      <c r="S955" s="62">
        <f>SUMIFS([0]!Capriles,[0]!Centro,B956,[0]!Turno,S$941)</f>
        <v>0</v>
      </c>
      <c r="T955" s="62">
        <f>SUMIFS([0]!Capriles,[0]!Centro,B956,[0]!Turno,T$941)</f>
        <v>0</v>
      </c>
      <c r="U955" s="62">
        <f>SUMIFS([0]!Capriles,[0]!Centro,B956,[0]!Turno,U$941)</f>
        <v>0</v>
      </c>
      <c r="V955" s="62">
        <f>SUMIFS([0]!Capriles,[0]!Centro,B956,[0]!Turno,V$941)</f>
        <v>0</v>
      </c>
      <c r="W955" s="62">
        <f>SUMIFS([0]!Capriles,[0]!Centro,B956,[0]!Turno,W$941)</f>
        <v>0</v>
      </c>
      <c r="X955" s="62">
        <f>SUMIFS([0]!Capriles,[0]!Centro,B956,[0]!Turno,X$941)</f>
        <v>0</v>
      </c>
      <c r="Y955" s="70">
        <f>SUMIFS([0]!Capriles,[0]!Centro,B956,[0]!Turno,Y$941)</f>
        <v>0</v>
      </c>
    </row>
    <row r="956" spans="2:25" ht="15" customHeight="1" thickBot="1" x14ac:dyDescent="0.25">
      <c r="B956" s="251">
        <v>156</v>
      </c>
      <c r="C956" s="100">
        <f>E956/SUM(E954:E956)</f>
        <v>0</v>
      </c>
      <c r="D956" s="71" t="s">
        <v>2</v>
      </c>
      <c r="E956" s="72">
        <f t="shared" si="2290"/>
        <v>0</v>
      </c>
      <c r="F956" s="72">
        <f>SUMIFS([0]!Otro,[0]!Centro,B956,[0]!Turno,F$941)</f>
        <v>0</v>
      </c>
      <c r="G956" s="72">
        <f>SUMIFS([0]!Otro,[0]!Centro,B956,[0]!Turno,G$941)</f>
        <v>0</v>
      </c>
      <c r="H956" s="72">
        <f>SUMIFS([0]!Otro,[0]!Centro,B956,[0]!Turno,H$941)</f>
        <v>0</v>
      </c>
      <c r="I956" s="72">
        <f>SUMIFS([0]!Otro,[0]!Centro,B956,[0]!Turno,I$941)</f>
        <v>0</v>
      </c>
      <c r="J956" s="72">
        <f>SUMIFS([0]!Otro,[0]!Centro,B956,[0]!Turno,J$941)</f>
        <v>0</v>
      </c>
      <c r="K956" s="72">
        <f>SUMIFS([0]!Otro,[0]!Centro,B956,[0]!Turno,K$941)</f>
        <v>0</v>
      </c>
      <c r="L956" s="72">
        <f>SUMIFS([0]!Otro,[0]!Centro,B956,[0]!Turno,L$941)</f>
        <v>0</v>
      </c>
      <c r="M956" s="72">
        <f>SUMIFS([0]!Otro,[0]!Centro,B956,[0]!Turno,M$941)</f>
        <v>0</v>
      </c>
      <c r="N956" s="72">
        <f>SUMIFS([0]!Otro,[0]!Centro,B956,[0]!Turno,N$941)</f>
        <v>0</v>
      </c>
      <c r="O956" s="72">
        <f>SUMIFS([0]!Otro,[0]!Centro,B956,[0]!Turno,O$941)</f>
        <v>0</v>
      </c>
      <c r="P956" s="72">
        <f>SUMIFS([0]!Otro,[0]!Centro,B956,[0]!Turno,P$941)</f>
        <v>0</v>
      </c>
      <c r="Q956" s="72">
        <f>SUMIFS([0]!Otro,[0]!Centro,B956,[0]!Turno,Q$941)</f>
        <v>0</v>
      </c>
      <c r="R956" s="72">
        <f>SUMIFS([0]!Otro,[0]!Centro,B956,[0]!Turno,R$941)</f>
        <v>0</v>
      </c>
      <c r="S956" s="72">
        <f>SUMIFS([0]!Otro,[0]!Centro,B956,[0]!Turno,S$941)</f>
        <v>0</v>
      </c>
      <c r="T956" s="72">
        <f>SUMIFS([0]!Otro,[0]!Centro,B956,[0]!Turno,T$941)</f>
        <v>0</v>
      </c>
      <c r="U956" s="72">
        <f>SUMIFS([0]!Otro,[0]!Centro,B956,[0]!Turno,U$941)</f>
        <v>0</v>
      </c>
      <c r="V956" s="72">
        <f>SUMIFS([0]!Otro,[0]!Centro,B956,[0]!Turno,V$941)</f>
        <v>0</v>
      </c>
      <c r="W956" s="72">
        <f>SUMIFS([0]!Otro,[0]!Centro,B956,[0]!Turno,W$941)</f>
        <v>0</v>
      </c>
      <c r="X956" s="72">
        <f>SUMIFS([0]!Otro,[0]!Centro,B956,[0]!Turno,X$941)</f>
        <v>0</v>
      </c>
      <c r="Y956" s="73">
        <f>SUMIFS([0]!Otro,[0]!Centro,B956,[0]!Turno,Y$941)</f>
        <v>0</v>
      </c>
    </row>
    <row r="957" spans="2:25" ht="15" customHeight="1" x14ac:dyDescent="0.2">
      <c r="B957" s="251"/>
      <c r="C957" s="94">
        <f>E957/SUM(E957:E959)</f>
        <v>0.5700934579439253</v>
      </c>
      <c r="D957" s="63" t="s">
        <v>0</v>
      </c>
      <c r="E957" s="150">
        <f>IF((E954+E955+E956)=0,0,(E954*$B958)/(E954+E955+E956))</f>
        <v>0.13301973537907694</v>
      </c>
      <c r="F957" s="150">
        <f>IF((F954+F955+F956)=0,0,(F954*$B958)/(F954+F955+F956))</f>
        <v>0</v>
      </c>
      <c r="G957" s="150">
        <f t="shared" ref="G957" si="2297">IF((G954+G955+G956)=0,0,(G954*$B958)/(G954+G955+G956))</f>
        <v>0.12962761097961048</v>
      </c>
      <c r="H957" s="150">
        <f t="shared" ref="H957" si="2298">IF((H954+H955+H956)=0,0,(H954*$B958)/(H954+H955+H956))</f>
        <v>0.11981795393250483</v>
      </c>
      <c r="I957" s="150">
        <f t="shared" ref="I957" si="2299">IF((I954+I955+I956)=0,0,(I954*$B958)/(I954+I955+I956))</f>
        <v>0.11999813130683941</v>
      </c>
      <c r="J957" s="150">
        <f t="shared" ref="J957" si="2300">IF((J954+J955+J956)=0,0,(J954*$B958)/(J954+J955+J956))</f>
        <v>0.21666329263734893</v>
      </c>
      <c r="K957" s="150">
        <f t="shared" ref="K957" si="2301">IF((K954+K955+K956)=0,0,(K954*$B958)/(K954+K955+K956))</f>
        <v>0.11666484988164944</v>
      </c>
      <c r="L957" s="150">
        <f t="shared" ref="L957" si="2302">IF((L954+L955+L956)=0,0,(L954*$B958)/(L954+L955+L956))</f>
        <v>0</v>
      </c>
      <c r="M957" s="150">
        <f t="shared" ref="M957" si="2303">IF((M954+M955+M956)=0,0,(M954*$B958)/(M954+M955+M956))</f>
        <v>0</v>
      </c>
      <c r="N957" s="150">
        <f t="shared" ref="N957" si="2304">IF((N954+N955+N956)=0,0,(N954*$B958)/(N954+N955+N956))</f>
        <v>0</v>
      </c>
      <c r="O957" s="150">
        <f t="shared" ref="O957" si="2305">IF((O954+O955+O956)=0,0,(O954*$B958)/(O954+O955+O956))</f>
        <v>0</v>
      </c>
      <c r="P957" s="150">
        <f t="shared" ref="P957" si="2306">IF((P954+P955+P956)=0,0,(P954*$B958)/(P954+P955+P956))</f>
        <v>0</v>
      </c>
      <c r="Q957" s="150">
        <f t="shared" ref="Q957" si="2307">IF((Q954+Q955+Q956)=0,0,(Q954*$B958)/(Q954+Q955+Q956))</f>
        <v>0</v>
      </c>
      <c r="R957" s="150">
        <f t="shared" ref="R957" si="2308">IF((R954+R955+R956)=0,0,(R954*$B958)/(R954+R955+R956))</f>
        <v>0</v>
      </c>
      <c r="S957" s="150">
        <f t="shared" ref="S957" si="2309">IF((S954+S955+S956)=0,0,(S954*$B958)/(S954+S955+S956))</f>
        <v>0</v>
      </c>
      <c r="T957" s="150">
        <f t="shared" ref="T957" si="2310">IF((T954+T955+T956)=0,0,(T954*$B958)/(T954+T955+T956))</f>
        <v>0</v>
      </c>
      <c r="U957" s="150">
        <f t="shared" ref="U957" si="2311">IF((U954+U955+U956)=0,0,(U954*$B958)/(U954+U955+U956))</f>
        <v>0</v>
      </c>
      <c r="V957" s="150">
        <f t="shared" ref="V957" si="2312">IF((V954+V955+V956)=0,0,(V954*$B958)/(V954+V955+V956))</f>
        <v>0</v>
      </c>
      <c r="W957" s="150">
        <f t="shared" ref="W957" si="2313">IF((W954+W955+W956)=0,0,(W954*$B958)/(W954+W955+W956))</f>
        <v>0</v>
      </c>
      <c r="X957" s="150">
        <f t="shared" ref="X957" si="2314">IF((X954+X955+X956)=0,0,(X954*$B958)/(X954+X955+X956))</f>
        <v>0</v>
      </c>
      <c r="Y957" s="163">
        <f t="shared" ref="Y957" si="2315">IF((Y954+Y955+Y956)=0,0,(Y954*$B958)/(Y954+Y955+Y956))</f>
        <v>0</v>
      </c>
    </row>
    <row r="958" spans="2:25" ht="15" customHeight="1" x14ac:dyDescent="0.2">
      <c r="B958" s="252">
        <v>0.23332969976329887</v>
      </c>
      <c r="C958" s="92">
        <f>E958/SUM(E957:E959)</f>
        <v>0.4299065420560747</v>
      </c>
      <c r="D958" s="61" t="s">
        <v>1</v>
      </c>
      <c r="E958" s="154">
        <f>IF((E954+E955+E956)=0,0,(E955*$B958)/(E954+E955+E956))</f>
        <v>0.10030996438422193</v>
      </c>
      <c r="F958" s="154">
        <f>IF((F954+F955+F956)=0,0,(F955*$B958)/(F954+F955+F956))</f>
        <v>0</v>
      </c>
      <c r="G958" s="154">
        <f t="shared" ref="G958:Y958" si="2316">IF((G954+G955+G956)=0,0,(G955*$B958)/(G954+G955+G956))</f>
        <v>0.10370208878368839</v>
      </c>
      <c r="H958" s="154">
        <f t="shared" si="2316"/>
        <v>0.11351174583079404</v>
      </c>
      <c r="I958" s="154">
        <f t="shared" si="2316"/>
        <v>0.11333156845645945</v>
      </c>
      <c r="J958" s="154">
        <f t="shared" si="2316"/>
        <v>1.6666407125949918E-2</v>
      </c>
      <c r="K958" s="154">
        <f t="shared" si="2316"/>
        <v>0.11666484988164944</v>
      </c>
      <c r="L958" s="154">
        <f t="shared" si="2316"/>
        <v>0</v>
      </c>
      <c r="M958" s="154">
        <f t="shared" si="2316"/>
        <v>0</v>
      </c>
      <c r="N958" s="154">
        <f t="shared" si="2316"/>
        <v>0</v>
      </c>
      <c r="O958" s="154">
        <f t="shared" si="2316"/>
        <v>0</v>
      </c>
      <c r="P958" s="154">
        <f t="shared" si="2316"/>
        <v>0</v>
      </c>
      <c r="Q958" s="154">
        <f t="shared" si="2316"/>
        <v>0</v>
      </c>
      <c r="R958" s="154">
        <f t="shared" si="2316"/>
        <v>0</v>
      </c>
      <c r="S958" s="154">
        <f>IF((S954+S955+S956)=0,0,(S955*$B958)/(S954+S955+S956))</f>
        <v>0</v>
      </c>
      <c r="T958" s="154">
        <f t="shared" si="2316"/>
        <v>0</v>
      </c>
      <c r="U958" s="154">
        <f>IF((U954+U955+U956)=0,0,(U955*$B958)/(U954+U955+U956))</f>
        <v>0</v>
      </c>
      <c r="V958" s="154">
        <f t="shared" si="2316"/>
        <v>0</v>
      </c>
      <c r="W958" s="154">
        <f t="shared" si="2316"/>
        <v>0</v>
      </c>
      <c r="X958" s="154">
        <f t="shared" si="2316"/>
        <v>0</v>
      </c>
      <c r="Y958" s="159">
        <f t="shared" si="2316"/>
        <v>0</v>
      </c>
    </row>
    <row r="959" spans="2:25" ht="15" customHeight="1" thickBot="1" x14ac:dyDescent="0.25">
      <c r="B959" s="253"/>
      <c r="C959" s="93">
        <f>E959/SUM(E957:E959)</f>
        <v>0</v>
      </c>
      <c r="D959" s="75" t="s">
        <v>2</v>
      </c>
      <c r="E959" s="155">
        <f>IF((E954+E955+E956)=0,0,(E956*$B958)/(E954+E955+E956))</f>
        <v>0</v>
      </c>
      <c r="F959" s="155">
        <f>IF((F954+F955+F956)=0,0,(F956*$B958)/(F954+F955+F956))</f>
        <v>0</v>
      </c>
      <c r="G959" s="155">
        <f t="shared" ref="G959" si="2317">IF((G954+G955+G956)=0,0,(G956*$B958)/(G954+G955+G956))</f>
        <v>0</v>
      </c>
      <c r="H959" s="155">
        <f t="shared" ref="H959" si="2318">IF((H954+H955+H956)=0,0,(H956*$B958)/(H954+H955+H956))</f>
        <v>0</v>
      </c>
      <c r="I959" s="155">
        <f t="shared" ref="I959" si="2319">IF((I954+I955+I956)=0,0,(I956*$B958)/(I954+I955+I956))</f>
        <v>0</v>
      </c>
      <c r="J959" s="155">
        <f t="shared" ref="J959" si="2320">IF((J954+J955+J956)=0,0,(J956*$B958)/(J954+J955+J956))</f>
        <v>0</v>
      </c>
      <c r="K959" s="155">
        <f t="shared" ref="K959" si="2321">IF((K954+K955+K956)=0,0,(K956*$B958)/(K954+K955+K956))</f>
        <v>0</v>
      </c>
      <c r="L959" s="155">
        <f t="shared" ref="L959" si="2322">IF((L954+L955+L956)=0,0,(L956*$B958)/(L954+L955+L956))</f>
        <v>0</v>
      </c>
      <c r="M959" s="155">
        <f t="shared" ref="M959" si="2323">IF((M954+M955+M956)=0,0,(M956*$B958)/(M954+M955+M956))</f>
        <v>0</v>
      </c>
      <c r="N959" s="155">
        <f t="shared" ref="N959" si="2324">IF((N954+N955+N956)=0,0,(N956*$B958)/(N954+N955+N956))</f>
        <v>0</v>
      </c>
      <c r="O959" s="155">
        <f t="shared" ref="O959" si="2325">IF((O954+O955+O956)=0,0,(O956*$B958)/(O954+O955+O956))</f>
        <v>0</v>
      </c>
      <c r="P959" s="155">
        <f t="shared" ref="P959" si="2326">IF((P954+P955+P956)=0,0,(P956*$B958)/(P954+P955+P956))</f>
        <v>0</v>
      </c>
      <c r="Q959" s="155">
        <f t="shared" ref="Q959" si="2327">IF((Q954+Q955+Q956)=0,0,(Q956*$B958)/(Q954+Q955+Q956))</f>
        <v>0</v>
      </c>
      <c r="R959" s="155">
        <f t="shared" ref="R959" si="2328">IF((R954+R955+R956)=0,0,(R956*$B958)/(R954+R955+R956))</f>
        <v>0</v>
      </c>
      <c r="S959" s="155">
        <f t="shared" ref="S959" si="2329">IF((S954+S955+S956)=0,0,(S956*$B958)/(S954+S955+S956))</f>
        <v>0</v>
      </c>
      <c r="T959" s="155">
        <f t="shared" ref="T959" si="2330">IF((T954+T955+T956)=0,0,(T956*$B958)/(T954+T955+T956))</f>
        <v>0</v>
      </c>
      <c r="U959" s="155">
        <f t="shared" ref="U959" si="2331">IF((U954+U955+U956)=0,0,(U956*$B958)/(U954+U955+U956))</f>
        <v>0</v>
      </c>
      <c r="V959" s="155">
        <f t="shared" ref="V959" si="2332">IF((V954+V955+V956)=0,0,(V956*$B958)/(V954+V955+V956))</f>
        <v>0</v>
      </c>
      <c r="W959" s="155">
        <f t="shared" ref="W959" si="2333">IF((W954+W955+W956)=0,0,(W956*$B958)/(W954+W955+W956))</f>
        <v>0</v>
      </c>
      <c r="X959" s="155">
        <f t="shared" ref="X959" si="2334">IF((X954+X955+X956)=0,0,(X956*$B958)/(X954+X955+X956))</f>
        <v>0</v>
      </c>
      <c r="Y959" s="160">
        <f t="shared" ref="Y959" si="2335">IF((Y954+Y955+Y956)=0,0,(Y956*$B958)/(Y954+Y955+Y956))</f>
        <v>0</v>
      </c>
    </row>
    <row r="960" spans="2:25" ht="15" customHeight="1" x14ac:dyDescent="0.2">
      <c r="B960" s="249" t="s">
        <v>150</v>
      </c>
      <c r="C960" s="91">
        <f>E960/SUM(E960:E962)</f>
        <v>0.5625</v>
      </c>
      <c r="D960" s="67" t="s">
        <v>0</v>
      </c>
      <c r="E960" s="68">
        <f t="shared" si="2290"/>
        <v>36</v>
      </c>
      <c r="F960" s="68">
        <f>SUMIFS([0]!Chavez,[0]!Centro,B962,[0]!Turno,F$941)</f>
        <v>0</v>
      </c>
      <c r="G960" s="68">
        <f>SUMIFS([0]!Chavez,[0]!Centro,B962,[0]!Turno,G$941)</f>
        <v>0</v>
      </c>
      <c r="H960" s="68">
        <f>SUMIFS([0]!Chavez,[0]!Centro,B962,[0]!Turno,H$941)</f>
        <v>9</v>
      </c>
      <c r="I960" s="68">
        <f>SUMIFS([0]!Chavez,[0]!Centro,B962,[0]!Turno,I$941)</f>
        <v>0</v>
      </c>
      <c r="J960" s="68">
        <f>SUMIFS([0]!Chavez,[0]!Centro,B962,[0]!Turno,J$941)</f>
        <v>6</v>
      </c>
      <c r="K960" s="68">
        <f>SUMIFS([0]!Chavez,[0]!Centro,B962,[0]!Turno,K$941)</f>
        <v>9</v>
      </c>
      <c r="L960" s="68">
        <f>SUMIFS([0]!Chavez,[0]!Centro,B962,[0]!Turno,L$941)</f>
        <v>0</v>
      </c>
      <c r="M960" s="68">
        <f>SUMIFS([0]!Chavez,[0]!Centro,B962,[0]!Turno,M$941)</f>
        <v>12</v>
      </c>
      <c r="N960" s="68">
        <f>SUMIFS([0]!Chavez,[0]!Centro,B962,[0]!Turno,N$941)</f>
        <v>0</v>
      </c>
      <c r="O960" s="68">
        <f>SUMIFS([0]!Chavez,[0]!Centro,B962,[0]!Turno,O$941)</f>
        <v>0</v>
      </c>
      <c r="P960" s="68">
        <f>SUMIFS([0]!Chavez,[0]!Centro,B962,[0]!Turno,P$941)</f>
        <v>0</v>
      </c>
      <c r="Q960" s="68">
        <f>SUMIFS([0]!Chavez,[0]!Centro,B962,[0]!Turno,Q$941)</f>
        <v>0</v>
      </c>
      <c r="R960" s="68">
        <f>SUMIFS([0]!Chavez,[0]!Centro,B962,[0]!Turno,R$941)</f>
        <v>0</v>
      </c>
      <c r="S960" s="68">
        <f>SUMIFS([0]!Chavez,[0]!Centro,B962,[0]!Turno,S$941)</f>
        <v>0</v>
      </c>
      <c r="T960" s="68">
        <f>SUMIFS([0]!Chavez,[0]!Centro,B962,[0]!Turno,T$941)</f>
        <v>0</v>
      </c>
      <c r="U960" s="68">
        <f>SUMIFS([0]!Chavez,[0]!Centro,B962,[0]!Turno,U$941)</f>
        <v>0</v>
      </c>
      <c r="V960" s="68">
        <f>SUMIFS([0]!Chavez,[0]!Centro,B962,[0]!Turno,V$941)</f>
        <v>0</v>
      </c>
      <c r="W960" s="68">
        <f>SUMIFS([0]!Chavez,[0]!Centro,B962,[0]!Turno,W$941)</f>
        <v>0</v>
      </c>
      <c r="X960" s="68">
        <f>SUMIFS([0]!Chavez,[0]!Centro,B962,[0]!Turno,X$941)</f>
        <v>0</v>
      </c>
      <c r="Y960" s="69">
        <f>SUMIFS([0]!Chavez,[0]!Centro,B962,[0]!Turno,Y$941)</f>
        <v>0</v>
      </c>
    </row>
    <row r="961" spans="2:25" ht="15" customHeight="1" x14ac:dyDescent="0.2">
      <c r="B961" s="250"/>
      <c r="C961" s="92">
        <f>E961/SUM(E960:E962)</f>
        <v>0.4375</v>
      </c>
      <c r="D961" s="61" t="s">
        <v>1</v>
      </c>
      <c r="E961" s="62">
        <f t="shared" si="2290"/>
        <v>28</v>
      </c>
      <c r="F961" s="62">
        <f>SUMIFS([0]!Capriles,[0]!Centro,B962,[0]!Turno,F$941)</f>
        <v>0</v>
      </c>
      <c r="G961" s="62">
        <f>SUMIFS([0]!Capriles,[0]!Centro,B962,[0]!Turno,G$941)</f>
        <v>0</v>
      </c>
      <c r="H961" s="62">
        <f>SUMIFS([0]!Capriles,[0]!Centro,B962,[0]!Turno,H$941)</f>
        <v>8</v>
      </c>
      <c r="I961" s="62">
        <f>SUMIFS([0]!Capriles,[0]!Centro,B962,[0]!Turno,I$941)</f>
        <v>0</v>
      </c>
      <c r="J961" s="62">
        <f>SUMIFS([0]!Capriles,[0]!Centro,B962,[0]!Turno,J$941)</f>
        <v>3</v>
      </c>
      <c r="K961" s="62">
        <f>SUMIFS([0]!Capriles,[0]!Centro,B962,[0]!Turno,K$941)</f>
        <v>9</v>
      </c>
      <c r="L961" s="62">
        <f>SUMIFS([0]!Capriles,[0]!Centro,B962,[0]!Turno,L$941)</f>
        <v>0</v>
      </c>
      <c r="M961" s="62">
        <f>SUMIFS([0]!Capriles,[0]!Centro,B962,[0]!Turno,M$941)</f>
        <v>8</v>
      </c>
      <c r="N961" s="62">
        <f>SUMIFS([0]!Capriles,[0]!Centro,B962,[0]!Turno,N$941)</f>
        <v>0</v>
      </c>
      <c r="O961" s="62">
        <f>SUMIFS([0]!Capriles,[0]!Centro,B962,[0]!Turno,O$941)</f>
        <v>0</v>
      </c>
      <c r="P961" s="62">
        <f>SUMIFS([0]!Capriles,[0]!Centro,B962,[0]!Turno,P$941)</f>
        <v>0</v>
      </c>
      <c r="Q961" s="62">
        <f>SUMIFS([0]!Capriles,[0]!Centro,B962,[0]!Turno,Q$941)</f>
        <v>0</v>
      </c>
      <c r="R961" s="62">
        <f>SUMIFS([0]!Capriles,[0]!Centro,B962,[0]!Turno,R$941)</f>
        <v>0</v>
      </c>
      <c r="S961" s="62">
        <f>SUMIFS([0]!Capriles,[0]!Centro,B962,[0]!Turno,S$941)</f>
        <v>0</v>
      </c>
      <c r="T961" s="62">
        <f>SUMIFS([0]!Capriles,[0]!Centro,B962,[0]!Turno,T$941)</f>
        <v>0</v>
      </c>
      <c r="U961" s="62">
        <f>SUMIFS([0]!Capriles,[0]!Centro,B962,[0]!Turno,U$941)</f>
        <v>0</v>
      </c>
      <c r="V961" s="62">
        <f>SUMIFS([0]!Capriles,[0]!Centro,B962,[0]!Turno,V$941)</f>
        <v>0</v>
      </c>
      <c r="W961" s="62">
        <f>SUMIFS([0]!Capriles,[0]!Centro,B962,[0]!Turno,W$941)</f>
        <v>0</v>
      </c>
      <c r="X961" s="62">
        <f>SUMIFS([0]!Capriles,[0]!Centro,B962,[0]!Turno,X$941)</f>
        <v>0</v>
      </c>
      <c r="Y961" s="70">
        <f>SUMIFS([0]!Capriles,[0]!Centro,B962,[0]!Turno,Y$941)</f>
        <v>0</v>
      </c>
    </row>
    <row r="962" spans="2:25" ht="15" customHeight="1" thickBot="1" x14ac:dyDescent="0.25">
      <c r="B962" s="251">
        <v>157</v>
      </c>
      <c r="C962" s="100">
        <f>E962/SUM(E960:E962)</f>
        <v>0</v>
      </c>
      <c r="D962" s="71" t="s">
        <v>2</v>
      </c>
      <c r="E962" s="72">
        <f t="shared" si="2290"/>
        <v>0</v>
      </c>
      <c r="F962" s="72">
        <f>SUMIFS([0]!Otro,[0]!Centro,B962,[0]!Turno,F$941)</f>
        <v>0</v>
      </c>
      <c r="G962" s="72">
        <f>SUMIFS([0]!Otro,[0]!Centro,B962,[0]!Turno,G$941)</f>
        <v>0</v>
      </c>
      <c r="H962" s="72">
        <f>SUMIFS([0]!Otro,[0]!Centro,B962,[0]!Turno,H$941)</f>
        <v>0</v>
      </c>
      <c r="I962" s="72">
        <f>SUMIFS([0]!Otro,[0]!Centro,B962,[0]!Turno,I$941)</f>
        <v>0</v>
      </c>
      <c r="J962" s="72">
        <f>SUMIFS([0]!Otro,[0]!Centro,B962,[0]!Turno,J$941)</f>
        <v>0</v>
      </c>
      <c r="K962" s="72">
        <f>SUMIFS([0]!Otro,[0]!Centro,B962,[0]!Turno,K$941)</f>
        <v>0</v>
      </c>
      <c r="L962" s="72">
        <f>SUMIFS([0]!Otro,[0]!Centro,B962,[0]!Turno,L$941)</f>
        <v>0</v>
      </c>
      <c r="M962" s="72">
        <f>SUMIFS([0]!Otro,[0]!Centro,B962,[0]!Turno,M$941)</f>
        <v>0</v>
      </c>
      <c r="N962" s="72">
        <f>SUMIFS([0]!Otro,[0]!Centro,B962,[0]!Turno,N$941)</f>
        <v>0</v>
      </c>
      <c r="O962" s="72">
        <f>SUMIFS([0]!Otro,[0]!Centro,B962,[0]!Turno,O$941)</f>
        <v>0</v>
      </c>
      <c r="P962" s="72">
        <f>SUMIFS([0]!Otro,[0]!Centro,B962,[0]!Turno,P$941)</f>
        <v>0</v>
      </c>
      <c r="Q962" s="72">
        <f>SUMIFS([0]!Otro,[0]!Centro,B962,[0]!Turno,Q$941)</f>
        <v>0</v>
      </c>
      <c r="R962" s="72">
        <f>SUMIFS([0]!Otro,[0]!Centro,B962,[0]!Turno,R$941)</f>
        <v>0</v>
      </c>
      <c r="S962" s="72">
        <f>SUMIFS([0]!Otro,[0]!Centro,B962,[0]!Turno,S$941)</f>
        <v>0</v>
      </c>
      <c r="T962" s="72">
        <f>SUMIFS([0]!Otro,[0]!Centro,B962,[0]!Turno,T$941)</f>
        <v>0</v>
      </c>
      <c r="U962" s="72">
        <f>SUMIFS([0]!Otro,[0]!Centro,B962,[0]!Turno,U$941)</f>
        <v>0</v>
      </c>
      <c r="V962" s="72">
        <f>SUMIFS([0]!Otro,[0]!Centro,B962,[0]!Turno,V$941)</f>
        <v>0</v>
      </c>
      <c r="W962" s="72">
        <f>SUMIFS([0]!Otro,[0]!Centro,B962,[0]!Turno,W$941)</f>
        <v>0</v>
      </c>
      <c r="X962" s="72">
        <f>SUMIFS([0]!Otro,[0]!Centro,B962,[0]!Turno,X$941)</f>
        <v>0</v>
      </c>
      <c r="Y962" s="73">
        <f>SUMIFS([0]!Otro,[0]!Centro,B962,[0]!Turno,Y$941)</f>
        <v>0</v>
      </c>
    </row>
    <row r="963" spans="2:25" ht="15" customHeight="1" x14ac:dyDescent="0.2">
      <c r="B963" s="251"/>
      <c r="C963" s="94">
        <f>E963/SUM(E963:E965)</f>
        <v>0.5625</v>
      </c>
      <c r="D963" s="63" t="s">
        <v>0</v>
      </c>
      <c r="E963" s="150">
        <f>IF((E960+E961+E962)=0,0,(E960*$B964)/(E960+E961+E962))</f>
        <v>0.14736543462688426</v>
      </c>
      <c r="F963" s="150">
        <f>IF((F960+F961+F962)=0,0,(F960*$B964)/(F960+F961+F962))</f>
        <v>0</v>
      </c>
      <c r="G963" s="150">
        <f t="shared" ref="G963" si="2336">IF((G960+G961+G962)=0,0,(G960*$B964)/(G960+G961+G962))</f>
        <v>0</v>
      </c>
      <c r="H963" s="150">
        <f t="shared" ref="H963" si="2337">IF((H960+H961+H962)=0,0,(H960*$B964)/(H960+H961+H962))</f>
        <v>0.13869687964883223</v>
      </c>
      <c r="I963" s="150">
        <f t="shared" ref="I963" si="2338">IF((I960+I961+I962)=0,0,(I960*$B964)/(I960+I961+I962))</f>
        <v>0</v>
      </c>
      <c r="J963" s="150">
        <f t="shared" ref="J963" si="2339">IF((J960+J961+J962)=0,0,(J960*$B964)/(J960+J961+J962))</f>
        <v>0.17465532992815913</v>
      </c>
      <c r="K963" s="150">
        <f t="shared" ref="K963" si="2340">IF((K960+K961+K962)=0,0,(K960*$B964)/(K960+K961+K962))</f>
        <v>0.13099149744611935</v>
      </c>
      <c r="L963" s="150">
        <f t="shared" ref="L963" si="2341">IF((L960+L961+L962)=0,0,(L960*$B964)/(L960+L961+L962))</f>
        <v>0</v>
      </c>
      <c r="M963" s="150">
        <f t="shared" ref="M963" si="2342">IF((M960+M961+M962)=0,0,(M960*$B964)/(M960+M961+M962))</f>
        <v>0.15718979693534321</v>
      </c>
      <c r="N963" s="150">
        <f t="shared" ref="N963" si="2343">IF((N960+N961+N962)=0,0,(N960*$B964)/(N960+N961+N962))</f>
        <v>0</v>
      </c>
      <c r="O963" s="150">
        <f t="shared" ref="O963" si="2344">IF((O960+O961+O962)=0,0,(O960*$B964)/(O960+O961+O962))</f>
        <v>0</v>
      </c>
      <c r="P963" s="150">
        <f t="shared" ref="P963" si="2345">IF((P960+P961+P962)=0,0,(P960*$B964)/(P960+P961+P962))</f>
        <v>0</v>
      </c>
      <c r="Q963" s="150">
        <f t="shared" ref="Q963" si="2346">IF((Q960+Q961+Q962)=0,0,(Q960*$B964)/(Q960+Q961+Q962))</f>
        <v>0</v>
      </c>
      <c r="R963" s="150">
        <f t="shared" ref="R963" si="2347">IF((R960+R961+R962)=0,0,(R960*$B964)/(R960+R961+R962))</f>
        <v>0</v>
      </c>
      <c r="S963" s="150">
        <f t="shared" ref="S963" si="2348">IF((S960+S961+S962)=0,0,(S960*$B964)/(S960+S961+S962))</f>
        <v>0</v>
      </c>
      <c r="T963" s="150">
        <f t="shared" ref="T963" si="2349">IF((T960+T961+T962)=0,0,(T960*$B964)/(T960+T961+T962))</f>
        <v>0</v>
      </c>
      <c r="U963" s="150">
        <f t="shared" ref="U963" si="2350">IF((U960+U961+U962)=0,0,(U960*$B964)/(U960+U961+U962))</f>
        <v>0</v>
      </c>
      <c r="V963" s="150">
        <f t="shared" ref="V963" si="2351">IF((V960+V961+V962)=0,0,(V960*$B964)/(V960+V961+V962))</f>
        <v>0</v>
      </c>
      <c r="W963" s="150">
        <f t="shared" ref="W963" si="2352">IF((W960+W961+W962)=0,0,(W960*$B964)/(W960+W961+W962))</f>
        <v>0</v>
      </c>
      <c r="X963" s="150">
        <f t="shared" ref="X963" si="2353">IF((X960+X961+X962)=0,0,(X960*$B964)/(X960+X961+X962))</f>
        <v>0</v>
      </c>
      <c r="Y963" s="163">
        <f t="shared" ref="Y963" si="2354">IF((Y960+Y961+Y962)=0,0,(Y960*$B964)/(Y960+Y961+Y962))</f>
        <v>0</v>
      </c>
    </row>
    <row r="964" spans="2:25" ht="15" customHeight="1" x14ac:dyDescent="0.2">
      <c r="B964" s="252">
        <v>0.2619829948922387</v>
      </c>
      <c r="C964" s="92">
        <f>E964/SUM(E963:E965)</f>
        <v>0.4375</v>
      </c>
      <c r="D964" s="61" t="s">
        <v>1</v>
      </c>
      <c r="E964" s="154">
        <f>IF((E960+E961+E962)=0,0,(E961*$B964)/(E960+E961+E962))</f>
        <v>0.11461756026535443</v>
      </c>
      <c r="F964" s="154">
        <f>IF((F960+F961+F962)=0,0,(F961*$B964)/(F960+F961+F962))</f>
        <v>0</v>
      </c>
      <c r="G964" s="154">
        <f t="shared" ref="G964:Y964" si="2355">IF((G960+G961+G962)=0,0,(G961*$B964)/(G960+G961+G962))</f>
        <v>0</v>
      </c>
      <c r="H964" s="154">
        <f t="shared" si="2355"/>
        <v>0.12328611524340645</v>
      </c>
      <c r="I964" s="154">
        <f t="shared" si="2355"/>
        <v>0</v>
      </c>
      <c r="J964" s="154">
        <f t="shared" si="2355"/>
        <v>8.7327664964079565E-2</v>
      </c>
      <c r="K964" s="154">
        <f t="shared" si="2355"/>
        <v>0.13099149744611935</v>
      </c>
      <c r="L964" s="154">
        <f t="shared" si="2355"/>
        <v>0</v>
      </c>
      <c r="M964" s="154">
        <f t="shared" si="2355"/>
        <v>0.10479319795689548</v>
      </c>
      <c r="N964" s="154">
        <f t="shared" si="2355"/>
        <v>0</v>
      </c>
      <c r="O964" s="154">
        <f t="shared" si="2355"/>
        <v>0</v>
      </c>
      <c r="P964" s="154">
        <f t="shared" si="2355"/>
        <v>0</v>
      </c>
      <c r="Q964" s="154">
        <f t="shared" si="2355"/>
        <v>0</v>
      </c>
      <c r="R964" s="154">
        <f t="shared" si="2355"/>
        <v>0</v>
      </c>
      <c r="S964" s="154">
        <f t="shared" si="2355"/>
        <v>0</v>
      </c>
      <c r="T964" s="154">
        <f t="shared" si="2355"/>
        <v>0</v>
      </c>
      <c r="U964" s="154">
        <f t="shared" si="2355"/>
        <v>0</v>
      </c>
      <c r="V964" s="154">
        <f t="shared" si="2355"/>
        <v>0</v>
      </c>
      <c r="W964" s="154">
        <f t="shared" si="2355"/>
        <v>0</v>
      </c>
      <c r="X964" s="154">
        <f t="shared" si="2355"/>
        <v>0</v>
      </c>
      <c r="Y964" s="159">
        <f t="shared" si="2355"/>
        <v>0</v>
      </c>
    </row>
    <row r="965" spans="2:25" ht="15" customHeight="1" thickBot="1" x14ac:dyDescent="0.25">
      <c r="B965" s="253"/>
      <c r="C965" s="93">
        <f>E965/SUM(E963:E965)</f>
        <v>0</v>
      </c>
      <c r="D965" s="75" t="s">
        <v>2</v>
      </c>
      <c r="E965" s="155">
        <f>IF((E960+E961+E962)=0,0,(E962*$B964)/(E960+E961+E962))</f>
        <v>0</v>
      </c>
      <c r="F965" s="155">
        <f>IF((F960+F961+F962)=0,0,(F962*$B964)/(F960+F961+F962))</f>
        <v>0</v>
      </c>
      <c r="G965" s="155">
        <f t="shared" ref="G965" si="2356">IF((G960+G961+G962)=0,0,(G962*$B964)/(G960+G961+G962))</f>
        <v>0</v>
      </c>
      <c r="H965" s="155">
        <f t="shared" ref="H965" si="2357">IF((H960+H961+H962)=0,0,(H962*$B964)/(H960+H961+H962))</f>
        <v>0</v>
      </c>
      <c r="I965" s="155">
        <f t="shared" ref="I965" si="2358">IF((I960+I961+I962)=0,0,(I962*$B964)/(I960+I961+I962))</f>
        <v>0</v>
      </c>
      <c r="J965" s="155">
        <f t="shared" ref="J965" si="2359">IF((J960+J961+J962)=0,0,(J962*$B964)/(J960+J961+J962))</f>
        <v>0</v>
      </c>
      <c r="K965" s="155">
        <f t="shared" ref="K965" si="2360">IF((K960+K961+K962)=0,0,(K962*$B964)/(K960+K961+K962))</f>
        <v>0</v>
      </c>
      <c r="L965" s="155">
        <f t="shared" ref="L965" si="2361">IF((L960+L961+L962)=0,0,(L962*$B964)/(L960+L961+L962))</f>
        <v>0</v>
      </c>
      <c r="M965" s="155">
        <f t="shared" ref="M965" si="2362">IF((M960+M961+M962)=0,0,(M962*$B964)/(M960+M961+M962))</f>
        <v>0</v>
      </c>
      <c r="N965" s="155">
        <f t="shared" ref="N965" si="2363">IF((N960+N961+N962)=0,0,(N962*$B964)/(N960+N961+N962))</f>
        <v>0</v>
      </c>
      <c r="O965" s="155">
        <f t="shared" ref="O965" si="2364">IF((O960+O961+O962)=0,0,(O962*$B964)/(O960+O961+O962))</f>
        <v>0</v>
      </c>
      <c r="P965" s="155">
        <f t="shared" ref="P965" si="2365">IF((P960+P961+P962)=0,0,(P962*$B964)/(P960+P961+P962))</f>
        <v>0</v>
      </c>
      <c r="Q965" s="155">
        <f t="shared" ref="Q965" si="2366">IF((Q960+Q961+Q962)=0,0,(Q962*$B964)/(Q960+Q961+Q962))</f>
        <v>0</v>
      </c>
      <c r="R965" s="155">
        <f t="shared" ref="R965" si="2367">IF((R960+R961+R962)=0,0,(R962*$B964)/(R960+R961+R962))</f>
        <v>0</v>
      </c>
      <c r="S965" s="155">
        <f t="shared" ref="S965" si="2368">IF((S960+S961+S962)=0,0,(S962*$B964)/(S960+S961+S962))</f>
        <v>0</v>
      </c>
      <c r="T965" s="155">
        <f t="shared" ref="T965" si="2369">IF((T960+T961+T962)=0,0,(T962*$B964)/(T960+T961+T962))</f>
        <v>0</v>
      </c>
      <c r="U965" s="155">
        <f t="shared" ref="U965" si="2370">IF((U960+U961+U962)=0,0,(U962*$B964)/(U960+U961+U962))</f>
        <v>0</v>
      </c>
      <c r="V965" s="155">
        <f t="shared" ref="V965" si="2371">IF((V960+V961+V962)=0,0,(V962*$B964)/(V960+V961+V962))</f>
        <v>0</v>
      </c>
      <c r="W965" s="155">
        <f t="shared" ref="W965" si="2372">IF((W960+W961+W962)=0,0,(W962*$B964)/(W960+W961+W962))</f>
        <v>0</v>
      </c>
      <c r="X965" s="155">
        <f t="shared" ref="X965" si="2373">IF((X960+X961+X962)=0,0,(X962*$B964)/(X960+X961+X962))</f>
        <v>0</v>
      </c>
      <c r="Y965" s="160">
        <f t="shared" ref="Y965" si="2374">IF((Y960+Y961+Y962)=0,0,(Y962*$B964)/(Y960+Y961+Y962))</f>
        <v>0</v>
      </c>
    </row>
    <row r="966" spans="2:25" ht="15" customHeight="1" thickBot="1" x14ac:dyDescent="0.25">
      <c r="B966" s="18" t="s">
        <v>3</v>
      </c>
      <c r="C966" s="24" t="s">
        <v>226</v>
      </c>
      <c r="D966" s="25" t="s">
        <v>4</v>
      </c>
      <c r="E966" s="18" t="s">
        <v>225</v>
      </c>
      <c r="F966" s="19">
        <v>1</v>
      </c>
      <c r="G966" s="19">
        <v>2</v>
      </c>
      <c r="H966" s="19">
        <v>3</v>
      </c>
      <c r="I966" s="19">
        <v>4</v>
      </c>
      <c r="J966" s="19">
        <v>5</v>
      </c>
      <c r="K966" s="19">
        <v>6</v>
      </c>
      <c r="L966" s="19">
        <v>7</v>
      </c>
      <c r="M966" s="19">
        <v>8</v>
      </c>
      <c r="N966" s="19">
        <v>9</v>
      </c>
      <c r="O966" s="19">
        <v>10</v>
      </c>
      <c r="P966" s="19">
        <v>11</v>
      </c>
      <c r="Q966" s="19">
        <v>12</v>
      </c>
      <c r="R966" s="19">
        <v>13</v>
      </c>
      <c r="S966" s="19">
        <v>14</v>
      </c>
      <c r="T966" s="19">
        <v>15</v>
      </c>
      <c r="U966" s="19">
        <v>16</v>
      </c>
      <c r="V966" s="19">
        <v>17</v>
      </c>
      <c r="W966" s="19">
        <v>18</v>
      </c>
      <c r="X966" s="19">
        <v>19</v>
      </c>
      <c r="Y966" s="19">
        <v>20</v>
      </c>
    </row>
    <row r="967" spans="2:25" ht="15" customHeight="1" x14ac:dyDescent="0.2">
      <c r="B967" s="246" t="s">
        <v>152</v>
      </c>
      <c r="C967" s="95">
        <f>E967/SUM(E967:E969)</f>
        <v>0.63874345549738221</v>
      </c>
      <c r="D967" s="81" t="s">
        <v>0</v>
      </c>
      <c r="E967" s="82">
        <f>SUM(F967:Y967)</f>
        <v>610</v>
      </c>
      <c r="F967" s="82">
        <f t="shared" ref="F967:Y967" si="2375">SUM(F973,F979,F985,F991,F997)</f>
        <v>55</v>
      </c>
      <c r="G967" s="82">
        <f t="shared" si="2375"/>
        <v>78</v>
      </c>
      <c r="H967" s="82">
        <f t="shared" si="2375"/>
        <v>68</v>
      </c>
      <c r="I967" s="82">
        <f t="shared" si="2375"/>
        <v>59</v>
      </c>
      <c r="J967" s="82">
        <f t="shared" si="2375"/>
        <v>94</v>
      </c>
      <c r="K967" s="82">
        <f t="shared" si="2375"/>
        <v>125</v>
      </c>
      <c r="L967" s="82">
        <f t="shared" si="2375"/>
        <v>31</v>
      </c>
      <c r="M967" s="82">
        <f t="shared" si="2375"/>
        <v>58</v>
      </c>
      <c r="N967" s="82">
        <f t="shared" si="2375"/>
        <v>33</v>
      </c>
      <c r="O967" s="82">
        <f t="shared" si="2375"/>
        <v>0</v>
      </c>
      <c r="P967" s="82">
        <f t="shared" si="2375"/>
        <v>0</v>
      </c>
      <c r="Q967" s="82">
        <f t="shared" si="2375"/>
        <v>9</v>
      </c>
      <c r="R967" s="82">
        <f t="shared" si="2375"/>
        <v>0</v>
      </c>
      <c r="S967" s="82">
        <f t="shared" ref="S967:S972" si="2376">SUM(S973,S979,S985,S991,S997)</f>
        <v>0</v>
      </c>
      <c r="T967" s="82">
        <f t="shared" si="2375"/>
        <v>0</v>
      </c>
      <c r="U967" s="82">
        <f t="shared" si="2375"/>
        <v>0</v>
      </c>
      <c r="V967" s="82">
        <f t="shared" si="2375"/>
        <v>0</v>
      </c>
      <c r="W967" s="82">
        <f t="shared" si="2375"/>
        <v>0</v>
      </c>
      <c r="X967" s="82">
        <f t="shared" si="2375"/>
        <v>0</v>
      </c>
      <c r="Y967" s="83">
        <f t="shared" si="2375"/>
        <v>0</v>
      </c>
    </row>
    <row r="968" spans="2:25" ht="15" customHeight="1" x14ac:dyDescent="0.2">
      <c r="B968" s="247"/>
      <c r="C968" s="96">
        <f>E968/SUM(E967:E969)</f>
        <v>0.35602094240837695</v>
      </c>
      <c r="D968" s="79" t="s">
        <v>1</v>
      </c>
      <c r="E968" s="80">
        <f t="shared" ref="E968:E999" si="2377">SUM(F968:Y968)</f>
        <v>340</v>
      </c>
      <c r="F968" s="80">
        <f t="shared" ref="F968:Y968" si="2378">SUM(F974,F980,F986,F992,F998)</f>
        <v>43</v>
      </c>
      <c r="G968" s="80">
        <f t="shared" si="2378"/>
        <v>42</v>
      </c>
      <c r="H968" s="80">
        <f t="shared" si="2378"/>
        <v>36</v>
      </c>
      <c r="I968" s="80">
        <f t="shared" si="2378"/>
        <v>10</v>
      </c>
      <c r="J968" s="80">
        <f t="shared" si="2378"/>
        <v>50</v>
      </c>
      <c r="K968" s="80">
        <f t="shared" si="2378"/>
        <v>75</v>
      </c>
      <c r="L968" s="80">
        <f t="shared" si="2378"/>
        <v>19</v>
      </c>
      <c r="M968" s="80">
        <f t="shared" si="2378"/>
        <v>38</v>
      </c>
      <c r="N968" s="80">
        <f t="shared" si="2378"/>
        <v>21</v>
      </c>
      <c r="O968" s="80">
        <f t="shared" si="2378"/>
        <v>0</v>
      </c>
      <c r="P968" s="80">
        <f t="shared" si="2378"/>
        <v>0</v>
      </c>
      <c r="Q968" s="80">
        <f t="shared" si="2378"/>
        <v>6</v>
      </c>
      <c r="R968" s="80">
        <f t="shared" si="2378"/>
        <v>0</v>
      </c>
      <c r="S968" s="80">
        <f t="shared" si="2376"/>
        <v>0</v>
      </c>
      <c r="T968" s="80">
        <f t="shared" si="2378"/>
        <v>0</v>
      </c>
      <c r="U968" s="80">
        <f t="shared" si="2378"/>
        <v>0</v>
      </c>
      <c r="V968" s="80">
        <f t="shared" si="2378"/>
        <v>0</v>
      </c>
      <c r="W968" s="80">
        <f t="shared" si="2378"/>
        <v>0</v>
      </c>
      <c r="X968" s="80">
        <f t="shared" si="2378"/>
        <v>0</v>
      </c>
      <c r="Y968" s="84">
        <f t="shared" si="2378"/>
        <v>0</v>
      </c>
    </row>
    <row r="969" spans="2:25" ht="15" customHeight="1" thickBot="1" x14ac:dyDescent="0.25">
      <c r="B969" s="247"/>
      <c r="C969" s="97">
        <f>E969/SUM(E967:E969)</f>
        <v>5.235602094240838E-3</v>
      </c>
      <c r="D969" s="86" t="s">
        <v>2</v>
      </c>
      <c r="E969" s="87">
        <f t="shared" si="2377"/>
        <v>5</v>
      </c>
      <c r="F969" s="87">
        <f t="shared" ref="F969:Y969" si="2379">SUM(F975,F981,F987,F993,F999)</f>
        <v>1</v>
      </c>
      <c r="G969" s="87">
        <f t="shared" si="2379"/>
        <v>0</v>
      </c>
      <c r="H969" s="87">
        <f t="shared" si="2379"/>
        <v>0</v>
      </c>
      <c r="I969" s="87">
        <f t="shared" si="2379"/>
        <v>0</v>
      </c>
      <c r="J969" s="87">
        <f t="shared" si="2379"/>
        <v>1</v>
      </c>
      <c r="K969" s="87">
        <f t="shared" si="2379"/>
        <v>0</v>
      </c>
      <c r="L969" s="87">
        <f t="shared" si="2379"/>
        <v>0</v>
      </c>
      <c r="M969" s="87">
        <f t="shared" si="2379"/>
        <v>1</v>
      </c>
      <c r="N969" s="87">
        <f t="shared" si="2379"/>
        <v>2</v>
      </c>
      <c r="O969" s="87">
        <f t="shared" si="2379"/>
        <v>0</v>
      </c>
      <c r="P969" s="87">
        <f t="shared" si="2379"/>
        <v>0</v>
      </c>
      <c r="Q969" s="87">
        <f t="shared" si="2379"/>
        <v>0</v>
      </c>
      <c r="R969" s="87">
        <f t="shared" si="2379"/>
        <v>0</v>
      </c>
      <c r="S969" s="87">
        <f t="shared" si="2376"/>
        <v>0</v>
      </c>
      <c r="T969" s="87">
        <f t="shared" si="2379"/>
        <v>0</v>
      </c>
      <c r="U969" s="87">
        <f t="shared" si="2379"/>
        <v>0</v>
      </c>
      <c r="V969" s="87">
        <f t="shared" si="2379"/>
        <v>0</v>
      </c>
      <c r="W969" s="87">
        <f t="shared" si="2379"/>
        <v>0</v>
      </c>
      <c r="X969" s="87">
        <f t="shared" si="2379"/>
        <v>0</v>
      </c>
      <c r="Y969" s="88">
        <f t="shared" si="2379"/>
        <v>0</v>
      </c>
    </row>
    <row r="970" spans="2:25" ht="15" customHeight="1" x14ac:dyDescent="0.2">
      <c r="B970" s="247"/>
      <c r="C970" s="98">
        <f>E970/SUM(E970:E972)</f>
        <v>0.6088866951369748</v>
      </c>
      <c r="D970" s="85" t="s">
        <v>0</v>
      </c>
      <c r="E970" s="151">
        <f t="shared" ref="E970" si="2380">SUM(E976,E982,E988,E994,E1000)</f>
        <v>0.6088866951369748</v>
      </c>
      <c r="F970" s="151">
        <f t="shared" ref="F970:Y970" si="2381">SUM(F976,F982,F988,F994,F1000)</f>
        <v>0.54784384853263179</v>
      </c>
      <c r="G970" s="151">
        <f t="shared" si="2381"/>
        <v>0.49452774826345702</v>
      </c>
      <c r="H970" s="151">
        <f t="shared" si="2381"/>
        <v>0.5250390608945712</v>
      </c>
      <c r="I970" s="151">
        <f t="shared" si="2381"/>
        <v>0.70619241377386921</v>
      </c>
      <c r="J970" s="151">
        <f t="shared" si="2381"/>
        <v>0.61585165632338057</v>
      </c>
      <c r="K970" s="151">
        <f t="shared" si="2381"/>
        <v>0.56177608943193469</v>
      </c>
      <c r="L970" s="151">
        <f t="shared" si="2381"/>
        <v>0.25674044162222698</v>
      </c>
      <c r="M970" s="151">
        <f t="shared" si="2381"/>
        <v>0.5864336515752363</v>
      </c>
      <c r="N970" s="151">
        <f t="shared" si="2381"/>
        <v>0.38795148200665142</v>
      </c>
      <c r="O970" s="151">
        <f t="shared" si="2381"/>
        <v>0</v>
      </c>
      <c r="P970" s="151">
        <f t="shared" si="2381"/>
        <v>0</v>
      </c>
      <c r="Q970" s="151">
        <f t="shared" si="2381"/>
        <v>0.14771354150611879</v>
      </c>
      <c r="R970" s="151">
        <f t="shared" si="2381"/>
        <v>0</v>
      </c>
      <c r="S970" s="151">
        <f t="shared" si="2376"/>
        <v>0</v>
      </c>
      <c r="T970" s="151">
        <f t="shared" si="2381"/>
        <v>0</v>
      </c>
      <c r="U970" s="151">
        <f t="shared" si="2381"/>
        <v>0</v>
      </c>
      <c r="V970" s="151">
        <f t="shared" si="2381"/>
        <v>0</v>
      </c>
      <c r="W970" s="151">
        <f t="shared" si="2381"/>
        <v>0</v>
      </c>
      <c r="X970" s="151">
        <f t="shared" si="2381"/>
        <v>0</v>
      </c>
      <c r="Y970" s="156">
        <f t="shared" si="2381"/>
        <v>0</v>
      </c>
    </row>
    <row r="971" spans="2:25" ht="15" customHeight="1" x14ac:dyDescent="0.2">
      <c r="B971" s="247"/>
      <c r="C971" s="96">
        <f>E971/SUM(E970:E972)</f>
        <v>0.38375001547190568</v>
      </c>
      <c r="D971" s="79" t="s">
        <v>1</v>
      </c>
      <c r="E971" s="152">
        <f t="shared" ref="E971" si="2382">SUM(E977,E983,E989,E995,E1001)</f>
        <v>0.38375001547190568</v>
      </c>
      <c r="F971" s="152">
        <f t="shared" ref="F971:Y971" si="2383">SUM(F977,F983,F989,F995,F1001)</f>
        <v>0.44272205663095016</v>
      </c>
      <c r="G971" s="152">
        <f t="shared" si="2383"/>
        <v>0.2592830158930115</v>
      </c>
      <c r="H971" s="152">
        <f t="shared" si="2383"/>
        <v>0.32794790004991253</v>
      </c>
      <c r="I971" s="152">
        <f t="shared" si="2383"/>
        <v>0.13342797400702522</v>
      </c>
      <c r="J971" s="152">
        <f t="shared" si="2383"/>
        <v>0.37494011526408477</v>
      </c>
      <c r="K971" s="152">
        <f t="shared" si="2383"/>
        <v>0.4382239105680652</v>
      </c>
      <c r="L971" s="152">
        <f t="shared" si="2383"/>
        <v>0.15731122139679213</v>
      </c>
      <c r="M971" s="152">
        <f t="shared" si="2383"/>
        <v>0.39988916865567853</v>
      </c>
      <c r="N971" s="152">
        <f t="shared" si="2383"/>
        <v>0.25250877804378774</v>
      </c>
      <c r="O971" s="152">
        <f t="shared" si="2383"/>
        <v>0</v>
      </c>
      <c r="P971" s="152">
        <f t="shared" si="2383"/>
        <v>0</v>
      </c>
      <c r="Q971" s="152">
        <f t="shared" si="2383"/>
        <v>9.8475694337412531E-2</v>
      </c>
      <c r="R971" s="152">
        <f t="shared" si="2383"/>
        <v>0</v>
      </c>
      <c r="S971" s="152">
        <f t="shared" si="2376"/>
        <v>0</v>
      </c>
      <c r="T971" s="152">
        <f t="shared" si="2383"/>
        <v>0</v>
      </c>
      <c r="U971" s="152">
        <f t="shared" si="2383"/>
        <v>0</v>
      </c>
      <c r="V971" s="152">
        <f t="shared" si="2383"/>
        <v>0</v>
      </c>
      <c r="W971" s="152">
        <f t="shared" si="2383"/>
        <v>0</v>
      </c>
      <c r="X971" s="152">
        <f t="shared" si="2383"/>
        <v>0</v>
      </c>
      <c r="Y971" s="157">
        <f t="shared" si="2383"/>
        <v>0</v>
      </c>
    </row>
    <row r="972" spans="2:25" ht="15" customHeight="1" thickBot="1" x14ac:dyDescent="0.25">
      <c r="B972" s="248"/>
      <c r="C972" s="99">
        <f>E972/SUM(E970:E972)</f>
        <v>7.3632893911195294E-3</v>
      </c>
      <c r="D972" s="89" t="s">
        <v>2</v>
      </c>
      <c r="E972" s="153">
        <f t="shared" ref="E972" si="2384">SUM(E978,E984,E990,E996,E1002)</f>
        <v>7.3632893911195294E-3</v>
      </c>
      <c r="F972" s="153">
        <f t="shared" ref="F972:Y972" si="2385">SUM(F978,F984,F990,F996,F1002)</f>
        <v>9.4340948364179684E-3</v>
      </c>
      <c r="G972" s="153">
        <f t="shared" si="2385"/>
        <v>0</v>
      </c>
      <c r="H972" s="153">
        <f t="shared" si="2385"/>
        <v>0</v>
      </c>
      <c r="I972" s="153">
        <f t="shared" si="2385"/>
        <v>0</v>
      </c>
      <c r="J972" s="153">
        <f t="shared" si="2385"/>
        <v>9.2082284125345852E-3</v>
      </c>
      <c r="K972" s="153">
        <f t="shared" si="2385"/>
        <v>0</v>
      </c>
      <c r="L972" s="153">
        <f t="shared" si="2385"/>
        <v>0</v>
      </c>
      <c r="M972" s="153">
        <f t="shared" si="2385"/>
        <v>1.3677179769085075E-2</v>
      </c>
      <c r="N972" s="153">
        <f t="shared" si="2385"/>
        <v>1.9780638812111333E-2</v>
      </c>
      <c r="O972" s="153">
        <f t="shared" si="2385"/>
        <v>0</v>
      </c>
      <c r="P972" s="153">
        <f t="shared" si="2385"/>
        <v>0</v>
      </c>
      <c r="Q972" s="153">
        <f t="shared" si="2385"/>
        <v>0</v>
      </c>
      <c r="R972" s="153">
        <f t="shared" si="2385"/>
        <v>0</v>
      </c>
      <c r="S972" s="153">
        <f t="shared" si="2376"/>
        <v>0</v>
      </c>
      <c r="T972" s="153">
        <f t="shared" si="2385"/>
        <v>0</v>
      </c>
      <c r="U972" s="153">
        <f t="shared" si="2385"/>
        <v>0</v>
      </c>
      <c r="V972" s="153">
        <f t="shared" si="2385"/>
        <v>0</v>
      </c>
      <c r="W972" s="153">
        <f t="shared" si="2385"/>
        <v>0</v>
      </c>
      <c r="X972" s="153">
        <f t="shared" si="2385"/>
        <v>0</v>
      </c>
      <c r="Y972" s="158">
        <f t="shared" si="2385"/>
        <v>0</v>
      </c>
    </row>
    <row r="973" spans="2:25" ht="15" customHeight="1" x14ac:dyDescent="0.2">
      <c r="B973" s="249" t="s">
        <v>153</v>
      </c>
      <c r="C973" s="91">
        <f>E973/SUM(E973:E975)</f>
        <v>0.86877828054298645</v>
      </c>
      <c r="D973" s="67" t="s">
        <v>0</v>
      </c>
      <c r="E973" s="68">
        <f t="shared" si="2377"/>
        <v>192</v>
      </c>
      <c r="F973" s="68">
        <f>SUMIFS([0]!Chavez,[0]!Centro,B975,[0]!Turno,F$966)</f>
        <v>29</v>
      </c>
      <c r="G973" s="68">
        <f>SUMIFS([0]!Chavez,[0]!Centro,B975,[0]!Turno,G$966)</f>
        <v>17</v>
      </c>
      <c r="H973" s="68">
        <f>SUMIFS([0]!Chavez,[0]!Centro,B975,[0]!Turno,H$966)</f>
        <v>34</v>
      </c>
      <c r="I973" s="68">
        <f>SUMIFS([0]!Chavez,[0]!Centro,B975,[0]!Turno,I$966)</f>
        <v>18</v>
      </c>
      <c r="J973" s="68">
        <f>SUMIFS([0]!Chavez,[0]!Centro,B975,[0]!Turno,J$966)</f>
        <v>37</v>
      </c>
      <c r="K973" s="68">
        <f>SUMIFS([0]!Chavez,[0]!Centro,B975,[0]!Turno,K$966)</f>
        <v>40</v>
      </c>
      <c r="L973" s="68">
        <f>SUMIFS([0]!Chavez,[0]!Centro,B975,[0]!Turno,L$966)</f>
        <v>0</v>
      </c>
      <c r="M973" s="68">
        <f>SUMIFS([0]!Chavez,[0]!Centro,B975,[0]!Turno,M$966)</f>
        <v>17</v>
      </c>
      <c r="N973" s="68">
        <f>SUMIFS([0]!Chavez,[0]!Centro,B975,[0]!Turno,N$966)</f>
        <v>0</v>
      </c>
      <c r="O973" s="68">
        <f>SUMIFS([0]!Chavez,[0]!Centro,B975,[0]!Turno,O$966)</f>
        <v>0</v>
      </c>
      <c r="P973" s="68">
        <f>SUMIFS([0]!Chavez,[0]!Centro,B975,[0]!Turno,P$966)</f>
        <v>0</v>
      </c>
      <c r="Q973" s="68">
        <f>SUMIFS([0]!Chavez,[0]!Centro,B975,[0]!Turno,Q$966)</f>
        <v>0</v>
      </c>
      <c r="R973" s="68">
        <f>SUMIFS([0]!Chavez,[0]!Centro,B975,[0]!Turno,R$966)</f>
        <v>0</v>
      </c>
      <c r="S973" s="68">
        <f>SUMIFS([0]!Chavez,[0]!Centro,B975,[0]!Turno,S$966)</f>
        <v>0</v>
      </c>
      <c r="T973" s="68">
        <f>SUMIFS([0]!Chavez,[0]!Centro,B975,[0]!Turno,T$966)</f>
        <v>0</v>
      </c>
      <c r="U973" s="68">
        <f>SUMIFS([0]!Chavez,[0]!Centro,B975,[0]!Turno,U$966)</f>
        <v>0</v>
      </c>
      <c r="V973" s="68">
        <f>SUMIFS([0]!Chavez,[0]!Centro,B975,[0]!Turno,V$966)</f>
        <v>0</v>
      </c>
      <c r="W973" s="68">
        <f>SUMIFS([0]!Chavez,[0]!Centro,B975,[0]!Turno,W$966)</f>
        <v>0</v>
      </c>
      <c r="X973" s="68">
        <f>SUMIFS([0]!Chavez,[0]!Centro,B975,[0]!Turno,X$966)</f>
        <v>0</v>
      </c>
      <c r="Y973" s="69">
        <f>SUMIFS([0]!Chavez,[0]!Centro,B975,[0]!Turno,Y$966)</f>
        <v>0</v>
      </c>
    </row>
    <row r="974" spans="2:25" ht="15" customHeight="1" x14ac:dyDescent="0.2">
      <c r="B974" s="250"/>
      <c r="C974" s="92">
        <f>E974/SUM(E973:E975)</f>
        <v>0.13122171945701358</v>
      </c>
      <c r="D974" s="61" t="s">
        <v>1</v>
      </c>
      <c r="E974" s="62">
        <f t="shared" si="2377"/>
        <v>29</v>
      </c>
      <c r="F974" s="62">
        <f>SUMIFS([0]!Capriles,[0]!Centro,B975,[0]!Turno,F$966)</f>
        <v>3</v>
      </c>
      <c r="G974" s="62">
        <f>SUMIFS([0]!Capriles,[0]!Centro,B975,[0]!Turno,G$966)</f>
        <v>0</v>
      </c>
      <c r="H974" s="62">
        <f>SUMIFS([0]!Capriles,[0]!Centro,B975,[0]!Turno,H$966)</f>
        <v>9</v>
      </c>
      <c r="I974" s="62">
        <f>SUMIFS([0]!Capriles,[0]!Centro,B975,[0]!Turno,I$966)</f>
        <v>0</v>
      </c>
      <c r="J974" s="62">
        <f>SUMIFS([0]!Capriles,[0]!Centro,B975,[0]!Turno,J$966)</f>
        <v>7</v>
      </c>
      <c r="K974" s="62">
        <f>SUMIFS([0]!Capriles,[0]!Centro,B975,[0]!Turno,K$966)</f>
        <v>6</v>
      </c>
      <c r="L974" s="62">
        <f>SUMIFS([0]!Capriles,[0]!Centro,B975,[0]!Turno,L$966)</f>
        <v>0</v>
      </c>
      <c r="M974" s="62">
        <f>SUMIFS([0]!Capriles,[0]!Centro,B975,[0]!Turno,M$966)</f>
        <v>4</v>
      </c>
      <c r="N974" s="62">
        <f>SUMIFS([0]!Capriles,[0]!Centro,B975,[0]!Turno,N$966)</f>
        <v>0</v>
      </c>
      <c r="O974" s="62">
        <f>SUMIFS([0]!Capriles,[0]!Centro,B975,[0]!Turno,O$966)</f>
        <v>0</v>
      </c>
      <c r="P974" s="62">
        <f>SUMIFS([0]!Capriles,[0]!Centro,B975,[0]!Turno,P$966)</f>
        <v>0</v>
      </c>
      <c r="Q974" s="62">
        <f>SUMIFS([0]!Capriles,[0]!Centro,B975,[0]!Turno,Q$966)</f>
        <v>0</v>
      </c>
      <c r="R974" s="62">
        <f>SUMIFS([0]!Capriles,[0]!Centro,B975,[0]!Turno,R$966)</f>
        <v>0</v>
      </c>
      <c r="S974" s="62">
        <f>SUMIFS([0]!Capriles,[0]!Centro,B975,[0]!Turno,S$966)</f>
        <v>0</v>
      </c>
      <c r="T974" s="62">
        <f>SUMIFS([0]!Capriles,[0]!Centro,B975,[0]!Turno,T$966)</f>
        <v>0</v>
      </c>
      <c r="U974" s="62">
        <f>SUMIFS([0]!Capriles,[0]!Centro,B975,[0]!Turno,U$966)</f>
        <v>0</v>
      </c>
      <c r="V974" s="62">
        <f>SUMIFS([0]!Capriles,[0]!Centro,B975,[0]!Turno,V$966)</f>
        <v>0</v>
      </c>
      <c r="W974" s="62">
        <f>SUMIFS([0]!Capriles,[0]!Centro,B975,[0]!Turno,W$966)</f>
        <v>0</v>
      </c>
      <c r="X974" s="62">
        <f>SUMIFS([0]!Capriles,[0]!Centro,B975,[0]!Turno,X$966)</f>
        <v>0</v>
      </c>
      <c r="Y974" s="70">
        <f>SUMIFS([0]!Capriles,[0]!Centro,B975,[0]!Turno,Y$966)</f>
        <v>0</v>
      </c>
    </row>
    <row r="975" spans="2:25" ht="15" customHeight="1" thickBot="1" x14ac:dyDescent="0.25">
      <c r="B975" s="251">
        <v>131</v>
      </c>
      <c r="C975" s="100">
        <f>E975/SUM(E973:E975)</f>
        <v>0</v>
      </c>
      <c r="D975" s="71" t="s">
        <v>2</v>
      </c>
      <c r="E975" s="72">
        <f t="shared" si="2377"/>
        <v>0</v>
      </c>
      <c r="F975" s="72">
        <f>SUMIFS([0]!Otro,[0]!Centro,B975,[0]!Turno,F$966)</f>
        <v>0</v>
      </c>
      <c r="G975" s="72">
        <f>SUMIFS([0]!Otro,[0]!Centro,B975,[0]!Turno,G$966)</f>
        <v>0</v>
      </c>
      <c r="H975" s="72">
        <f>SUMIFS([0]!Otro,[0]!Centro,B975,[0]!Turno,H$966)</f>
        <v>0</v>
      </c>
      <c r="I975" s="72">
        <f>SUMIFS([0]!Otro,[0]!Centro,B975,[0]!Turno,I$966)</f>
        <v>0</v>
      </c>
      <c r="J975" s="72">
        <f>SUMIFS([0]!Otro,[0]!Centro,B975,[0]!Turno,J$966)</f>
        <v>0</v>
      </c>
      <c r="K975" s="72">
        <f>SUMIFS([0]!Otro,[0]!Centro,B975,[0]!Turno,K$966)</f>
        <v>0</v>
      </c>
      <c r="L975" s="72">
        <f>SUMIFS([0]!Otro,[0]!Centro,B975,[0]!Turno,L$966)</f>
        <v>0</v>
      </c>
      <c r="M975" s="72">
        <f>SUMIFS([0]!Otro,[0]!Centro,B975,[0]!Turno,M$966)</f>
        <v>0</v>
      </c>
      <c r="N975" s="72">
        <f>SUMIFS([0]!Otro,[0]!Centro,B975,[0]!Turno,N$966)</f>
        <v>0</v>
      </c>
      <c r="O975" s="72">
        <f>SUMIFS([0]!Otro,[0]!Centro,B975,[0]!Turno,O$966)</f>
        <v>0</v>
      </c>
      <c r="P975" s="72">
        <f>SUMIFS([0]!Otro,[0]!Centro,B975,[0]!Turno,P$966)</f>
        <v>0</v>
      </c>
      <c r="Q975" s="72">
        <f>SUMIFS([0]!Otro,[0]!Centro,B975,[0]!Turno,Q$966)</f>
        <v>0</v>
      </c>
      <c r="R975" s="72">
        <f>SUMIFS([0]!Otro,[0]!Centro,B975,[0]!Turno,R$966)</f>
        <v>0</v>
      </c>
      <c r="S975" s="72">
        <f>SUMIFS([0]!Otro,[0]!Centro,B975,[0]!Turno,S$966)</f>
        <v>0</v>
      </c>
      <c r="T975" s="72">
        <f>SUMIFS([0]!Otro,[0]!Centro,B975,[0]!Turno,T$966)</f>
        <v>0</v>
      </c>
      <c r="U975" s="72">
        <f>SUMIFS([0]!Otro,[0]!Centro,B975,[0]!Turno,U$966)</f>
        <v>0</v>
      </c>
      <c r="V975" s="72">
        <f>SUMIFS([0]!Otro,[0]!Centro,B975,[0]!Turno,V$966)</f>
        <v>0</v>
      </c>
      <c r="W975" s="72">
        <f>SUMIFS([0]!Otro,[0]!Centro,B975,[0]!Turno,W$966)</f>
        <v>0</v>
      </c>
      <c r="X975" s="72">
        <f>SUMIFS([0]!Otro,[0]!Centro,B975,[0]!Turno,X$966)</f>
        <v>0</v>
      </c>
      <c r="Y975" s="73">
        <f>SUMIFS([0]!Otro,[0]!Centro,B975,[0]!Turno,Y$966)</f>
        <v>0</v>
      </c>
    </row>
    <row r="976" spans="2:25" ht="15" customHeight="1" x14ac:dyDescent="0.2">
      <c r="B976" s="251"/>
      <c r="C976" s="94">
        <f>E976/SUM(E976:E978)</f>
        <v>0.86877828054298645</v>
      </c>
      <c r="D976" s="63" t="s">
        <v>0</v>
      </c>
      <c r="E976" s="150">
        <f>IF((E973+E974+E975)=0,0,(E973*$B977)/(E973+E974+E975))</f>
        <v>0.15584100394715858</v>
      </c>
      <c r="F976" s="150">
        <f>IF((F973+F974+F975)=0,0,(F973*$B977)/(F973+F974+F975))</f>
        <v>0.16256266183224924</v>
      </c>
      <c r="G976" s="150">
        <f t="shared" ref="G976:Y976" si="2386">IF((G973+G974+G975)=0,0,(G973*$B977)/(G973+G974+G975))</f>
        <v>0.17937948891834399</v>
      </c>
      <c r="H976" s="150">
        <f t="shared" si="2386"/>
        <v>0.14183494472613245</v>
      </c>
      <c r="I976" s="150">
        <f t="shared" si="2386"/>
        <v>0.17937948891834399</v>
      </c>
      <c r="J976" s="150">
        <f t="shared" si="2386"/>
        <v>0.150841842954062</v>
      </c>
      <c r="K976" s="150">
        <f t="shared" si="2386"/>
        <v>0.15598216427682085</v>
      </c>
      <c r="L976" s="150">
        <f t="shared" si="2386"/>
        <v>0</v>
      </c>
      <c r="M976" s="150">
        <f t="shared" si="2386"/>
        <v>0.1452119672196118</v>
      </c>
      <c r="N976" s="150">
        <f t="shared" si="2386"/>
        <v>0</v>
      </c>
      <c r="O976" s="150">
        <f t="shared" si="2386"/>
        <v>0</v>
      </c>
      <c r="P976" s="150">
        <f t="shared" si="2386"/>
        <v>0</v>
      </c>
      <c r="Q976" s="150">
        <f t="shared" si="2386"/>
        <v>0</v>
      </c>
      <c r="R976" s="150">
        <f t="shared" si="2386"/>
        <v>0</v>
      </c>
      <c r="S976" s="150">
        <f t="shared" si="2386"/>
        <v>0</v>
      </c>
      <c r="T976" s="150">
        <f t="shared" si="2386"/>
        <v>0</v>
      </c>
      <c r="U976" s="150">
        <f t="shared" si="2386"/>
        <v>0</v>
      </c>
      <c r="V976" s="150">
        <f t="shared" si="2386"/>
        <v>0</v>
      </c>
      <c r="W976" s="150">
        <f t="shared" si="2386"/>
        <v>0</v>
      </c>
      <c r="X976" s="150">
        <f t="shared" si="2386"/>
        <v>0</v>
      </c>
      <c r="Y976" s="163">
        <f t="shared" si="2386"/>
        <v>0</v>
      </c>
    </row>
    <row r="977" spans="2:25" ht="15" customHeight="1" x14ac:dyDescent="0.2">
      <c r="B977" s="252">
        <v>0.17937948891834399</v>
      </c>
      <c r="C977" s="92">
        <f>E977/SUM(E976:E978)</f>
        <v>0.13122171945701358</v>
      </c>
      <c r="D977" s="61" t="s">
        <v>1</v>
      </c>
      <c r="E977" s="154">
        <f>IF((E973+E974+E975)=0,0,(E974*$B977)/(E973+E974+E975))</f>
        <v>2.3538484971185412E-2</v>
      </c>
      <c r="F977" s="154">
        <f>IF((F973+F974+F975)=0,0,(F974*$B977)/(F973+F974+F975))</f>
        <v>1.6816827086094749E-2</v>
      </c>
      <c r="G977" s="154">
        <f t="shared" ref="G977:Y977" si="2387">IF((G973+G974+G975)=0,0,(G974*$B977)/(G973+G974+G975))</f>
        <v>0</v>
      </c>
      <c r="H977" s="154">
        <f t="shared" si="2387"/>
        <v>3.7544544192211531E-2</v>
      </c>
      <c r="I977" s="154">
        <f t="shared" si="2387"/>
        <v>0</v>
      </c>
      <c r="J977" s="154">
        <f t="shared" si="2387"/>
        <v>2.8537645964281998E-2</v>
      </c>
      <c r="K977" s="154">
        <f t="shared" si="2387"/>
        <v>2.339732464152313E-2</v>
      </c>
      <c r="L977" s="154">
        <f t="shared" si="2387"/>
        <v>0</v>
      </c>
      <c r="M977" s="154">
        <f t="shared" si="2387"/>
        <v>3.4167521698732189E-2</v>
      </c>
      <c r="N977" s="154">
        <f t="shared" si="2387"/>
        <v>0</v>
      </c>
      <c r="O977" s="154">
        <f t="shared" si="2387"/>
        <v>0</v>
      </c>
      <c r="P977" s="154">
        <f t="shared" si="2387"/>
        <v>0</v>
      </c>
      <c r="Q977" s="154">
        <f t="shared" si="2387"/>
        <v>0</v>
      </c>
      <c r="R977" s="154">
        <f t="shared" si="2387"/>
        <v>0</v>
      </c>
      <c r="S977" s="154">
        <f t="shared" si="2387"/>
        <v>0</v>
      </c>
      <c r="T977" s="154">
        <f t="shared" si="2387"/>
        <v>0</v>
      </c>
      <c r="U977" s="154">
        <f t="shared" si="2387"/>
        <v>0</v>
      </c>
      <c r="V977" s="154">
        <f t="shared" si="2387"/>
        <v>0</v>
      </c>
      <c r="W977" s="154">
        <f t="shared" si="2387"/>
        <v>0</v>
      </c>
      <c r="X977" s="154">
        <f t="shared" si="2387"/>
        <v>0</v>
      </c>
      <c r="Y977" s="159">
        <f t="shared" si="2387"/>
        <v>0</v>
      </c>
    </row>
    <row r="978" spans="2:25" ht="15" customHeight="1" thickBot="1" x14ac:dyDescent="0.25">
      <c r="B978" s="253"/>
      <c r="C978" s="93">
        <f>E978/SUM(E976:E978)</f>
        <v>0</v>
      </c>
      <c r="D978" s="75" t="s">
        <v>2</v>
      </c>
      <c r="E978" s="155">
        <f>IF((E973+E974+E975)=0,0,(E975*$B977)/(E973+E974+E975))</f>
        <v>0</v>
      </c>
      <c r="F978" s="155">
        <f>IF((F973+F974+F975)=0,0,(F975*$B977)/(F973+F974+F975))</f>
        <v>0</v>
      </c>
      <c r="G978" s="155">
        <f t="shared" ref="G978:Y978" si="2388">IF((G973+G974+G975)=0,0,(G975*$B977)/(G973+G974+G975))</f>
        <v>0</v>
      </c>
      <c r="H978" s="155">
        <f t="shared" si="2388"/>
        <v>0</v>
      </c>
      <c r="I978" s="155">
        <f t="shared" si="2388"/>
        <v>0</v>
      </c>
      <c r="J978" s="155">
        <f t="shared" si="2388"/>
        <v>0</v>
      </c>
      <c r="K978" s="155">
        <f t="shared" si="2388"/>
        <v>0</v>
      </c>
      <c r="L978" s="155">
        <f t="shared" si="2388"/>
        <v>0</v>
      </c>
      <c r="M978" s="155">
        <f t="shared" si="2388"/>
        <v>0</v>
      </c>
      <c r="N978" s="155">
        <f t="shared" si="2388"/>
        <v>0</v>
      </c>
      <c r="O978" s="155">
        <f t="shared" si="2388"/>
        <v>0</v>
      </c>
      <c r="P978" s="155">
        <f t="shared" si="2388"/>
        <v>0</v>
      </c>
      <c r="Q978" s="155">
        <f t="shared" si="2388"/>
        <v>0</v>
      </c>
      <c r="R978" s="155">
        <f t="shared" si="2388"/>
        <v>0</v>
      </c>
      <c r="S978" s="155">
        <f t="shared" si="2388"/>
        <v>0</v>
      </c>
      <c r="T978" s="155">
        <f t="shared" si="2388"/>
        <v>0</v>
      </c>
      <c r="U978" s="155">
        <f t="shared" si="2388"/>
        <v>0</v>
      </c>
      <c r="V978" s="155">
        <f t="shared" si="2388"/>
        <v>0</v>
      </c>
      <c r="W978" s="155">
        <f t="shared" si="2388"/>
        <v>0</v>
      </c>
      <c r="X978" s="155">
        <f t="shared" si="2388"/>
        <v>0</v>
      </c>
      <c r="Y978" s="160">
        <f t="shared" si="2388"/>
        <v>0</v>
      </c>
    </row>
    <row r="979" spans="2:25" ht="15" customHeight="1" x14ac:dyDescent="0.2">
      <c r="B979" s="249" t="s">
        <v>120</v>
      </c>
      <c r="C979" s="91">
        <f>E979/SUM(E979:E981)</f>
        <v>0.60424028268551233</v>
      </c>
      <c r="D979" s="67" t="s">
        <v>0</v>
      </c>
      <c r="E979" s="68">
        <f t="shared" si="2377"/>
        <v>171</v>
      </c>
      <c r="F979" s="68">
        <f>SUMIFS([0]!Chavez,[0]!Centro,B981,[0]!Turno,F$966)</f>
        <v>4</v>
      </c>
      <c r="G979" s="68">
        <f>SUMIFS([0]!Chavez,[0]!Centro,B981,[0]!Turno,G$966)</f>
        <v>38</v>
      </c>
      <c r="H979" s="68">
        <f>SUMIFS([0]!Chavez,[0]!Centro,B981,[0]!Turno,H$966)</f>
        <v>0</v>
      </c>
      <c r="I979" s="68">
        <f>SUMIFS([0]!Chavez,[0]!Centro,B981,[0]!Turno,I$966)</f>
        <v>17</v>
      </c>
      <c r="J979" s="68">
        <f>SUMIFS([0]!Chavez,[0]!Centro,B981,[0]!Turno,J$966)</f>
        <v>9</v>
      </c>
      <c r="K979" s="68">
        <f>SUMIFS([0]!Chavez,[0]!Centro,B981,[0]!Turno,K$966)</f>
        <v>65</v>
      </c>
      <c r="L979" s="68">
        <f>SUMIFS([0]!Chavez,[0]!Centro,B981,[0]!Turno,L$966)</f>
        <v>11</v>
      </c>
      <c r="M979" s="68">
        <f>SUMIFS([0]!Chavez,[0]!Centro,B981,[0]!Turno,M$966)</f>
        <v>12</v>
      </c>
      <c r="N979" s="68">
        <f>SUMIFS([0]!Chavez,[0]!Centro,B981,[0]!Turno,N$966)</f>
        <v>15</v>
      </c>
      <c r="O979" s="68">
        <f>SUMIFS([0]!Chavez,[0]!Centro,B981,[0]!Turno,O$966)</f>
        <v>0</v>
      </c>
      <c r="P979" s="68">
        <f>SUMIFS([0]!Chavez,[0]!Centro,B981,[0]!Turno,P$966)</f>
        <v>0</v>
      </c>
      <c r="Q979" s="68">
        <f>SUMIFS([0]!Chavez,[0]!Centro,B981,[0]!Turno,Q$966)</f>
        <v>0</v>
      </c>
      <c r="R979" s="68">
        <f>SUMIFS([0]!Chavez,[0]!Centro,B981,[0]!Turno,R$966)</f>
        <v>0</v>
      </c>
      <c r="S979" s="68">
        <f>SUMIFS([0]!Chavez,[0]!Centro,B981,[0]!Turno,S$966)</f>
        <v>0</v>
      </c>
      <c r="T979" s="68">
        <f>SUMIFS([0]!Chavez,[0]!Centro,B981,[0]!Turno,T$966)</f>
        <v>0</v>
      </c>
      <c r="U979" s="68">
        <f>SUMIFS([0]!Chavez,[0]!Centro,B981,[0]!Turno,U$966)</f>
        <v>0</v>
      </c>
      <c r="V979" s="68">
        <f>SUMIFS([0]!Chavez,[0]!Centro,B981,[0]!Turno,V$966)</f>
        <v>0</v>
      </c>
      <c r="W979" s="68">
        <f>SUMIFS([0]!Chavez,[0]!Centro,B981,[0]!Turno,W$966)</f>
        <v>0</v>
      </c>
      <c r="X979" s="68">
        <f>SUMIFS([0]!Chavez,[0]!Centro,B981,[0]!Turno,X$966)</f>
        <v>0</v>
      </c>
      <c r="Y979" s="69">
        <f>SUMIFS([0]!Chavez,[0]!Centro,B981,[0]!Turno,Y$966)</f>
        <v>0</v>
      </c>
    </row>
    <row r="980" spans="2:25" ht="15" customHeight="1" x14ac:dyDescent="0.2">
      <c r="B980" s="250"/>
      <c r="C980" s="92">
        <f>E980/SUM(E979:E981)</f>
        <v>0.39575971731448761</v>
      </c>
      <c r="D980" s="61" t="s">
        <v>1</v>
      </c>
      <c r="E980" s="62">
        <f t="shared" si="2377"/>
        <v>112</v>
      </c>
      <c r="F980" s="62">
        <f>SUMIFS([0]!Capriles,[0]!Centro,B981,[0]!Turno,F$966)</f>
        <v>7</v>
      </c>
      <c r="G980" s="62">
        <f>SUMIFS([0]!Capriles,[0]!Centro,B981,[0]!Turno,G$966)</f>
        <v>21</v>
      </c>
      <c r="H980" s="62">
        <f>SUMIFS([0]!Capriles,[0]!Centro,B981,[0]!Turno,H$966)</f>
        <v>0</v>
      </c>
      <c r="I980" s="62">
        <f>SUMIFS([0]!Capriles,[0]!Centro,B981,[0]!Turno,I$966)</f>
        <v>4</v>
      </c>
      <c r="J980" s="62">
        <f>SUMIFS([0]!Capriles,[0]!Centro,B981,[0]!Turno,J$966)</f>
        <v>12</v>
      </c>
      <c r="K980" s="62">
        <f>SUMIFS([0]!Capriles,[0]!Centro,B981,[0]!Turno,K$966)</f>
        <v>43</v>
      </c>
      <c r="L980" s="62">
        <f>SUMIFS([0]!Capriles,[0]!Centro,B981,[0]!Turno,L$966)</f>
        <v>7</v>
      </c>
      <c r="M980" s="62">
        <f>SUMIFS([0]!Capriles,[0]!Centro,B981,[0]!Turno,M$966)</f>
        <v>9</v>
      </c>
      <c r="N980" s="62">
        <f>SUMIFS([0]!Capriles,[0]!Centro,B981,[0]!Turno,N$966)</f>
        <v>9</v>
      </c>
      <c r="O980" s="62">
        <f>SUMIFS([0]!Capriles,[0]!Centro,B981,[0]!Turno,O$966)</f>
        <v>0</v>
      </c>
      <c r="P980" s="62">
        <f>SUMIFS([0]!Capriles,[0]!Centro,B981,[0]!Turno,P$966)</f>
        <v>0</v>
      </c>
      <c r="Q980" s="62">
        <f>SUMIFS([0]!Capriles,[0]!Centro,B981,[0]!Turno,Q$966)</f>
        <v>0</v>
      </c>
      <c r="R980" s="62">
        <f>SUMIFS([0]!Capriles,[0]!Centro,B981,[0]!Turno,R$966)</f>
        <v>0</v>
      </c>
      <c r="S980" s="62">
        <f>SUMIFS([0]!Capriles,[0]!Centro,B981,[0]!Turno,S$966)</f>
        <v>0</v>
      </c>
      <c r="T980" s="62">
        <f>SUMIFS([0]!Capriles,[0]!Centro,B981,[0]!Turno,T$966)</f>
        <v>0</v>
      </c>
      <c r="U980" s="62">
        <f>SUMIFS([0]!Capriles,[0]!Centro,B981,[0]!Turno,U$966)</f>
        <v>0</v>
      </c>
      <c r="V980" s="62">
        <f>SUMIFS([0]!Capriles,[0]!Centro,B981,[0]!Turno,V$966)</f>
        <v>0</v>
      </c>
      <c r="W980" s="62">
        <f>SUMIFS([0]!Capriles,[0]!Centro,B981,[0]!Turno,W$966)</f>
        <v>0</v>
      </c>
      <c r="X980" s="62">
        <f>SUMIFS([0]!Capriles,[0]!Centro,B981,[0]!Turno,X$966)</f>
        <v>0</v>
      </c>
      <c r="Y980" s="70">
        <f>SUMIFS([0]!Capriles,[0]!Centro,B981,[0]!Turno,Y$966)</f>
        <v>0</v>
      </c>
    </row>
    <row r="981" spans="2:25" ht="15" customHeight="1" thickBot="1" x14ac:dyDescent="0.25">
      <c r="B981" s="251">
        <v>135</v>
      </c>
      <c r="C981" s="100">
        <f>E981/SUM(E979:E981)</f>
        <v>0</v>
      </c>
      <c r="D981" s="71" t="s">
        <v>2</v>
      </c>
      <c r="E981" s="72">
        <f t="shared" si="2377"/>
        <v>0</v>
      </c>
      <c r="F981" s="72">
        <f>SUMIFS([0]!Otro,[0]!Centro,B981,[0]!Turno,F$966)</f>
        <v>0</v>
      </c>
      <c r="G981" s="72">
        <f>SUMIFS([0]!Otro,[0]!Centro,B981,[0]!Turno,G$966)</f>
        <v>0</v>
      </c>
      <c r="H981" s="72">
        <f>SUMIFS([0]!Otro,[0]!Centro,B981,[0]!Turno,H$966)</f>
        <v>0</v>
      </c>
      <c r="I981" s="72">
        <f>SUMIFS([0]!Otro,[0]!Centro,B981,[0]!Turno,I$966)</f>
        <v>0</v>
      </c>
      <c r="J981" s="72">
        <f>SUMIFS([0]!Otro,[0]!Centro,B981,[0]!Turno,J$966)</f>
        <v>0</v>
      </c>
      <c r="K981" s="72">
        <f>SUMIFS([0]!Otro,[0]!Centro,B981,[0]!Turno,K$966)</f>
        <v>0</v>
      </c>
      <c r="L981" s="72">
        <f>SUMIFS([0]!Otro,[0]!Centro,B981,[0]!Turno,L$966)</f>
        <v>0</v>
      </c>
      <c r="M981" s="72">
        <f>SUMIFS([0]!Otro,[0]!Centro,B981,[0]!Turno,M$966)</f>
        <v>0</v>
      </c>
      <c r="N981" s="72">
        <f>SUMIFS([0]!Otro,[0]!Centro,B981,[0]!Turno,N$966)</f>
        <v>0</v>
      </c>
      <c r="O981" s="72">
        <f>SUMIFS([0]!Otro,[0]!Centro,B981,[0]!Turno,O$966)</f>
        <v>0</v>
      </c>
      <c r="P981" s="72">
        <f>SUMIFS([0]!Otro,[0]!Centro,B981,[0]!Turno,P$966)</f>
        <v>0</v>
      </c>
      <c r="Q981" s="72">
        <f>SUMIFS([0]!Otro,[0]!Centro,B981,[0]!Turno,Q$966)</f>
        <v>0</v>
      </c>
      <c r="R981" s="72">
        <f>SUMIFS([0]!Otro,[0]!Centro,B981,[0]!Turno,R$966)</f>
        <v>0</v>
      </c>
      <c r="S981" s="72">
        <f>SUMIFS([0]!Otro,[0]!Centro,B981,[0]!Turno,S$966)</f>
        <v>0</v>
      </c>
      <c r="T981" s="72">
        <f>SUMIFS([0]!Otro,[0]!Centro,B981,[0]!Turno,T$966)</f>
        <v>0</v>
      </c>
      <c r="U981" s="72">
        <f>SUMIFS([0]!Otro,[0]!Centro,B981,[0]!Turno,U$966)</f>
        <v>0</v>
      </c>
      <c r="V981" s="72">
        <f>SUMIFS([0]!Otro,[0]!Centro,B981,[0]!Turno,V$966)</f>
        <v>0</v>
      </c>
      <c r="W981" s="72">
        <f>SUMIFS([0]!Otro,[0]!Centro,B981,[0]!Turno,W$966)</f>
        <v>0</v>
      </c>
      <c r="X981" s="72">
        <f>SUMIFS([0]!Otro,[0]!Centro,B981,[0]!Turno,X$966)</f>
        <v>0</v>
      </c>
      <c r="Y981" s="73">
        <f>SUMIFS([0]!Otro,[0]!Centro,B981,[0]!Turno,Y$966)</f>
        <v>0</v>
      </c>
    </row>
    <row r="982" spans="2:25" ht="15" customHeight="1" x14ac:dyDescent="0.2">
      <c r="B982" s="251"/>
      <c r="C982" s="94">
        <f>E982/SUM(E982:E984)</f>
        <v>0.60424028268551233</v>
      </c>
      <c r="D982" s="63" t="s">
        <v>0</v>
      </c>
      <c r="E982" s="150">
        <f>IF((E979+E980+E981)=0,0,(E979*$B983)/(E979+E980+E981))</f>
        <v>8.8831200277361355E-2</v>
      </c>
      <c r="F982" s="150">
        <f>IF((F979+F980+F981)=0,0,(F979*$B983)/(F979+F980+F981))</f>
        <v>5.34592869292786E-2</v>
      </c>
      <c r="G982" s="150">
        <f t="shared" ref="G982:Y982" si="2389">IF((G979+G980+G981)=0,0,(G979*$B983)/(G979+G980+G981))</f>
        <v>9.4686364137451087E-2</v>
      </c>
      <c r="H982" s="150">
        <f t="shared" si="2389"/>
        <v>0</v>
      </c>
      <c r="I982" s="150">
        <f t="shared" si="2389"/>
        <v>0.11901055542589403</v>
      </c>
      <c r="J982" s="150">
        <f t="shared" si="2389"/>
        <v>6.3005588166649779E-2</v>
      </c>
      <c r="K982" s="150">
        <f t="shared" si="2389"/>
        <v>8.8480069801931016E-2</v>
      </c>
      <c r="L982" s="150">
        <f t="shared" si="2389"/>
        <v>8.9841301645037647E-2</v>
      </c>
      <c r="M982" s="150">
        <f t="shared" si="2389"/>
        <v>8.4007450888866381E-2</v>
      </c>
      <c r="N982" s="150">
        <f t="shared" si="2389"/>
        <v>9.1883149409697606E-2</v>
      </c>
      <c r="O982" s="150">
        <f t="shared" si="2389"/>
        <v>0</v>
      </c>
      <c r="P982" s="150">
        <f t="shared" si="2389"/>
        <v>0</v>
      </c>
      <c r="Q982" s="150">
        <f t="shared" si="2389"/>
        <v>0</v>
      </c>
      <c r="R982" s="150">
        <f t="shared" si="2389"/>
        <v>0</v>
      </c>
      <c r="S982" s="150">
        <f t="shared" si="2389"/>
        <v>0</v>
      </c>
      <c r="T982" s="150">
        <f t="shared" si="2389"/>
        <v>0</v>
      </c>
      <c r="U982" s="150">
        <f t="shared" si="2389"/>
        <v>0</v>
      </c>
      <c r="V982" s="150">
        <f t="shared" si="2389"/>
        <v>0</v>
      </c>
      <c r="W982" s="150">
        <f t="shared" si="2389"/>
        <v>0</v>
      </c>
      <c r="X982" s="150">
        <f t="shared" si="2389"/>
        <v>0</v>
      </c>
      <c r="Y982" s="163">
        <f t="shared" si="2389"/>
        <v>0</v>
      </c>
    </row>
    <row r="983" spans="2:25" ht="15" customHeight="1" x14ac:dyDescent="0.2">
      <c r="B983" s="252">
        <v>0.14701303905551616</v>
      </c>
      <c r="C983" s="92">
        <f>E983/SUM(E982:E984)</f>
        <v>0.39575971731448761</v>
      </c>
      <c r="D983" s="61" t="s">
        <v>1</v>
      </c>
      <c r="E983" s="154">
        <f>IF((E979+E980+E981)=0,0,(E980*$B983)/(E979+E980+E981))</f>
        <v>5.8181838778154804E-2</v>
      </c>
      <c r="F983" s="154">
        <f>IF((F979+F980+F981)=0,0,(F980*$B983)/(F979+F980+F981))</f>
        <v>9.3553752126237552E-2</v>
      </c>
      <c r="G983" s="154">
        <f t="shared" ref="G983:Y983" si="2390">IF((G979+G980+G981)=0,0,(G980*$B983)/(G979+G980+G981))</f>
        <v>5.2326674918065072E-2</v>
      </c>
      <c r="H983" s="154">
        <f t="shared" si="2390"/>
        <v>0</v>
      </c>
      <c r="I983" s="154">
        <f t="shared" si="2390"/>
        <v>2.8002483629622127E-2</v>
      </c>
      <c r="J983" s="154">
        <f t="shared" si="2390"/>
        <v>8.4007450888866381E-2</v>
      </c>
      <c r="K983" s="154">
        <f t="shared" si="2390"/>
        <v>5.8532969253585143E-2</v>
      </c>
      <c r="L983" s="154">
        <f t="shared" si="2390"/>
        <v>5.7171737410478506E-2</v>
      </c>
      <c r="M983" s="154">
        <f t="shared" si="2390"/>
        <v>6.3005588166649779E-2</v>
      </c>
      <c r="N983" s="154">
        <f t="shared" si="2390"/>
        <v>5.512988964581856E-2</v>
      </c>
      <c r="O983" s="154">
        <f t="shared" si="2390"/>
        <v>0</v>
      </c>
      <c r="P983" s="154">
        <f t="shared" si="2390"/>
        <v>0</v>
      </c>
      <c r="Q983" s="154">
        <f t="shared" si="2390"/>
        <v>0</v>
      </c>
      <c r="R983" s="154">
        <f t="shared" si="2390"/>
        <v>0</v>
      </c>
      <c r="S983" s="154">
        <f t="shared" si="2390"/>
        <v>0</v>
      </c>
      <c r="T983" s="154">
        <f t="shared" si="2390"/>
        <v>0</v>
      </c>
      <c r="U983" s="154">
        <f t="shared" si="2390"/>
        <v>0</v>
      </c>
      <c r="V983" s="154">
        <f t="shared" si="2390"/>
        <v>0</v>
      </c>
      <c r="W983" s="154">
        <f t="shared" si="2390"/>
        <v>0</v>
      </c>
      <c r="X983" s="154">
        <f t="shared" si="2390"/>
        <v>0</v>
      </c>
      <c r="Y983" s="159">
        <f t="shared" si="2390"/>
        <v>0</v>
      </c>
    </row>
    <row r="984" spans="2:25" ht="15" customHeight="1" thickBot="1" x14ac:dyDescent="0.25">
      <c r="B984" s="253"/>
      <c r="C984" s="93">
        <f>E984/SUM(E982:E984)</f>
        <v>0</v>
      </c>
      <c r="D984" s="75" t="s">
        <v>2</v>
      </c>
      <c r="E984" s="155">
        <f>IF((E979+E980+E981)=0,0,(E981*$B983)/(E979+E980+E981))</f>
        <v>0</v>
      </c>
      <c r="F984" s="155">
        <f>IF((F979+F980+F981)=0,0,(F981*$B983)/(F979+F980+F981))</f>
        <v>0</v>
      </c>
      <c r="G984" s="155">
        <f t="shared" ref="G984:Y984" si="2391">IF((G979+G980+G981)=0,0,(G981*$B983)/(G979+G980+G981))</f>
        <v>0</v>
      </c>
      <c r="H984" s="155">
        <f t="shared" si="2391"/>
        <v>0</v>
      </c>
      <c r="I984" s="155">
        <f t="shared" si="2391"/>
        <v>0</v>
      </c>
      <c r="J984" s="155">
        <f t="shared" si="2391"/>
        <v>0</v>
      </c>
      <c r="K984" s="155">
        <f t="shared" si="2391"/>
        <v>0</v>
      </c>
      <c r="L984" s="155">
        <f t="shared" si="2391"/>
        <v>0</v>
      </c>
      <c r="M984" s="155">
        <f t="shared" si="2391"/>
        <v>0</v>
      </c>
      <c r="N984" s="155">
        <f t="shared" si="2391"/>
        <v>0</v>
      </c>
      <c r="O984" s="155">
        <f t="shared" si="2391"/>
        <v>0</v>
      </c>
      <c r="P984" s="155">
        <f t="shared" si="2391"/>
        <v>0</v>
      </c>
      <c r="Q984" s="155">
        <f t="shared" si="2391"/>
        <v>0</v>
      </c>
      <c r="R984" s="155">
        <f t="shared" si="2391"/>
        <v>0</v>
      </c>
      <c r="S984" s="155">
        <f t="shared" si="2391"/>
        <v>0</v>
      </c>
      <c r="T984" s="155">
        <f t="shared" si="2391"/>
        <v>0</v>
      </c>
      <c r="U984" s="155">
        <f t="shared" si="2391"/>
        <v>0</v>
      </c>
      <c r="V984" s="155">
        <f t="shared" si="2391"/>
        <v>0</v>
      </c>
      <c r="W984" s="155">
        <f t="shared" si="2391"/>
        <v>0</v>
      </c>
      <c r="X984" s="155">
        <f t="shared" si="2391"/>
        <v>0</v>
      </c>
      <c r="Y984" s="160">
        <f t="shared" si="2391"/>
        <v>0</v>
      </c>
    </row>
    <row r="985" spans="2:25" ht="15" customHeight="1" x14ac:dyDescent="0.2">
      <c r="B985" s="249" t="s">
        <v>154</v>
      </c>
      <c r="C985" s="91">
        <f>E985/SUM(E985:E987)</f>
        <v>0.2857142857142857</v>
      </c>
      <c r="D985" s="67" t="s">
        <v>0</v>
      </c>
      <c r="E985" s="68">
        <f t="shared" si="2377"/>
        <v>28</v>
      </c>
      <c r="F985" s="68">
        <f>SUMIFS([0]!Chavez,[0]!Centro,B987,[0]!Turno,F$966)</f>
        <v>3</v>
      </c>
      <c r="G985" s="68">
        <f>SUMIFS([0]!Chavez,[0]!Centro,B987,[0]!Turno,G$966)</f>
        <v>6</v>
      </c>
      <c r="H985" s="68">
        <f>SUMIFS([0]!Chavez,[0]!Centro,B987,[0]!Turno,H$966)</f>
        <v>6</v>
      </c>
      <c r="I985" s="68">
        <f>SUMIFS([0]!Chavez,[0]!Centro,B987,[0]!Turno,I$966)</f>
        <v>0</v>
      </c>
      <c r="J985" s="68">
        <f>SUMIFS([0]!Chavez,[0]!Centro,B987,[0]!Turno,J$966)</f>
        <v>7</v>
      </c>
      <c r="K985" s="68">
        <f>SUMIFS([0]!Chavez,[0]!Centro,B987,[0]!Turno,K$966)</f>
        <v>5</v>
      </c>
      <c r="L985" s="68">
        <f>SUMIFS([0]!Chavez,[0]!Centro,B987,[0]!Turno,L$966)</f>
        <v>0</v>
      </c>
      <c r="M985" s="68">
        <f>SUMIFS([0]!Chavez,[0]!Centro,B987,[0]!Turno,M$966)</f>
        <v>1</v>
      </c>
      <c r="N985" s="68">
        <f>SUMIFS([0]!Chavez,[0]!Centro,B987,[0]!Turno,N$966)</f>
        <v>0</v>
      </c>
      <c r="O985" s="68">
        <f>SUMIFS([0]!Chavez,[0]!Centro,B987,[0]!Turno,O$966)</f>
        <v>0</v>
      </c>
      <c r="P985" s="68">
        <f>SUMIFS([0]!Chavez,[0]!Centro,B987,[0]!Turno,P$966)</f>
        <v>0</v>
      </c>
      <c r="Q985" s="68">
        <f>SUMIFS([0]!Chavez,[0]!Centro,B987,[0]!Turno,Q$966)</f>
        <v>0</v>
      </c>
      <c r="R985" s="68">
        <f>SUMIFS([0]!Chavez,[0]!Centro,B987,[0]!Turno,R$966)</f>
        <v>0</v>
      </c>
      <c r="S985" s="68">
        <f>SUMIFS([0]!Chavez,[0]!Centro,B987,[0]!Turno,S$966)</f>
        <v>0</v>
      </c>
      <c r="T985" s="68">
        <f>SUMIFS([0]!Chavez,[0]!Centro,B987,[0]!Turno,T$966)</f>
        <v>0</v>
      </c>
      <c r="U985" s="68">
        <f>SUMIFS([0]!Chavez,[0]!Centro,B987,[0]!Turno,U$966)</f>
        <v>0</v>
      </c>
      <c r="V985" s="68">
        <f>SUMIFS([0]!Chavez,[0]!Centro,B987,[0]!Turno,V$966)</f>
        <v>0</v>
      </c>
      <c r="W985" s="68">
        <f>SUMIFS([0]!Chavez,[0]!Centro,B987,[0]!Turno,W$966)</f>
        <v>0</v>
      </c>
      <c r="X985" s="68">
        <f>SUMIFS([0]!Chavez,[0]!Centro,B987,[0]!Turno,X$966)</f>
        <v>0</v>
      </c>
      <c r="Y985" s="69">
        <f>SUMIFS([0]!Chavez,[0]!Centro,B987,[0]!Turno,Y$966)</f>
        <v>0</v>
      </c>
    </row>
    <row r="986" spans="2:25" ht="15" customHeight="1" x14ac:dyDescent="0.2">
      <c r="B986" s="250"/>
      <c r="C986" s="92">
        <f>E986/SUM(E985:E987)</f>
        <v>0.70408163265306123</v>
      </c>
      <c r="D986" s="61" t="s">
        <v>1</v>
      </c>
      <c r="E986" s="62">
        <f t="shared" si="2377"/>
        <v>69</v>
      </c>
      <c r="F986" s="62">
        <f>SUMIFS([0]!Capriles,[0]!Centro,B987,[0]!Turno,F$966)</f>
        <v>13</v>
      </c>
      <c r="G986" s="62">
        <f>SUMIFS([0]!Capriles,[0]!Centro,B987,[0]!Turno,G$966)</f>
        <v>7</v>
      </c>
      <c r="H986" s="62">
        <f>SUMIFS([0]!Capriles,[0]!Centro,B987,[0]!Turno,H$966)</f>
        <v>11</v>
      </c>
      <c r="I986" s="62">
        <f>SUMIFS([0]!Capriles,[0]!Centro,B987,[0]!Turno,I$966)</f>
        <v>0</v>
      </c>
      <c r="J986" s="62">
        <f>SUMIFS([0]!Capriles,[0]!Centro,B987,[0]!Turno,J$966)</f>
        <v>13</v>
      </c>
      <c r="K986" s="62">
        <f>SUMIFS([0]!Capriles,[0]!Centro,B987,[0]!Turno,K$966)</f>
        <v>12</v>
      </c>
      <c r="L986" s="62">
        <f>SUMIFS([0]!Capriles,[0]!Centro,B987,[0]!Turno,L$966)</f>
        <v>0</v>
      </c>
      <c r="M986" s="62">
        <f>SUMIFS([0]!Capriles,[0]!Centro,B987,[0]!Turno,M$966)</f>
        <v>13</v>
      </c>
      <c r="N986" s="62">
        <f>SUMIFS([0]!Capriles,[0]!Centro,B987,[0]!Turno,N$966)</f>
        <v>0</v>
      </c>
      <c r="O986" s="62">
        <f>SUMIFS([0]!Capriles,[0]!Centro,B987,[0]!Turno,O$966)</f>
        <v>0</v>
      </c>
      <c r="P986" s="62">
        <f>SUMIFS([0]!Capriles,[0]!Centro,B987,[0]!Turno,P$966)</f>
        <v>0</v>
      </c>
      <c r="Q986" s="62">
        <f>SUMIFS([0]!Capriles,[0]!Centro,B987,[0]!Turno,Q$966)</f>
        <v>0</v>
      </c>
      <c r="R986" s="62">
        <f>SUMIFS([0]!Capriles,[0]!Centro,B987,[0]!Turno,R$966)</f>
        <v>0</v>
      </c>
      <c r="S986" s="62">
        <f>SUMIFS([0]!Capriles,[0]!Centro,B987,[0]!Turno,S$966)</f>
        <v>0</v>
      </c>
      <c r="T986" s="62">
        <f>SUMIFS([0]!Capriles,[0]!Centro,B987,[0]!Turno,T$966)</f>
        <v>0</v>
      </c>
      <c r="U986" s="62">
        <f>SUMIFS([0]!Capriles,[0]!Centro,B987,[0]!Turno,U$966)</f>
        <v>0</v>
      </c>
      <c r="V986" s="62">
        <f>SUMIFS([0]!Capriles,[0]!Centro,B987,[0]!Turno,V$966)</f>
        <v>0</v>
      </c>
      <c r="W986" s="62">
        <f>SUMIFS([0]!Capriles,[0]!Centro,B987,[0]!Turno,W$966)</f>
        <v>0</v>
      </c>
      <c r="X986" s="62">
        <f>SUMIFS([0]!Capriles,[0]!Centro,B987,[0]!Turno,X$966)</f>
        <v>0</v>
      </c>
      <c r="Y986" s="70">
        <f>SUMIFS([0]!Capriles,[0]!Centro,B987,[0]!Turno,Y$966)</f>
        <v>0</v>
      </c>
    </row>
    <row r="987" spans="2:25" ht="15" customHeight="1" thickBot="1" x14ac:dyDescent="0.25">
      <c r="B987" s="251">
        <v>132</v>
      </c>
      <c r="C987" s="100">
        <f>E987/SUM(E985:E987)</f>
        <v>1.020408163265306E-2</v>
      </c>
      <c r="D987" s="71" t="s">
        <v>2</v>
      </c>
      <c r="E987" s="72">
        <f t="shared" si="2377"/>
        <v>1</v>
      </c>
      <c r="F987" s="72">
        <f>SUMIFS([0]!Otro,[0]!Centro,B987,[0]!Turno,F$966)</f>
        <v>1</v>
      </c>
      <c r="G987" s="72">
        <f>SUMIFS([0]!Otro,[0]!Centro,B987,[0]!Turno,G$966)</f>
        <v>0</v>
      </c>
      <c r="H987" s="72">
        <f>SUMIFS([0]!Otro,[0]!Centro,B987,[0]!Turno,H$966)</f>
        <v>0</v>
      </c>
      <c r="I987" s="72">
        <f>SUMIFS([0]!Otro,[0]!Centro,B987,[0]!Turno,I$966)</f>
        <v>0</v>
      </c>
      <c r="J987" s="72">
        <f>SUMIFS([0]!Otro,[0]!Centro,B987,[0]!Turno,J$966)</f>
        <v>0</v>
      </c>
      <c r="K987" s="72">
        <f>SUMIFS([0]!Otro,[0]!Centro,B987,[0]!Turno,K$966)</f>
        <v>0</v>
      </c>
      <c r="L987" s="72">
        <f>SUMIFS([0]!Otro,[0]!Centro,B987,[0]!Turno,L$966)</f>
        <v>0</v>
      </c>
      <c r="M987" s="72">
        <f>SUMIFS([0]!Otro,[0]!Centro,B987,[0]!Turno,M$966)</f>
        <v>0</v>
      </c>
      <c r="N987" s="72">
        <f>SUMIFS([0]!Otro,[0]!Centro,B987,[0]!Turno,N$966)</f>
        <v>0</v>
      </c>
      <c r="O987" s="72">
        <f>SUMIFS([0]!Otro,[0]!Centro,B987,[0]!Turno,O$966)</f>
        <v>0</v>
      </c>
      <c r="P987" s="72">
        <f>SUMIFS([0]!Otro,[0]!Centro,B987,[0]!Turno,P$966)</f>
        <v>0</v>
      </c>
      <c r="Q987" s="72">
        <f>SUMIFS([0]!Otro,[0]!Centro,B987,[0]!Turno,Q$966)</f>
        <v>0</v>
      </c>
      <c r="R987" s="72">
        <f>SUMIFS([0]!Otro,[0]!Centro,B987,[0]!Turno,R$966)</f>
        <v>0</v>
      </c>
      <c r="S987" s="72">
        <f>SUMIFS([0]!Otro,[0]!Centro,B987,[0]!Turno,S$966)</f>
        <v>0</v>
      </c>
      <c r="T987" s="72">
        <f>SUMIFS([0]!Otro,[0]!Centro,B987,[0]!Turno,T$966)</f>
        <v>0</v>
      </c>
      <c r="U987" s="72">
        <f>SUMIFS([0]!Otro,[0]!Centro,B987,[0]!Turno,U$966)</f>
        <v>0</v>
      </c>
      <c r="V987" s="72">
        <f>SUMIFS([0]!Otro,[0]!Centro,B987,[0]!Turno,V$966)</f>
        <v>0</v>
      </c>
      <c r="W987" s="72">
        <f>SUMIFS([0]!Otro,[0]!Centro,B987,[0]!Turno,W$966)</f>
        <v>0</v>
      </c>
      <c r="X987" s="72">
        <f>SUMIFS([0]!Otro,[0]!Centro,B987,[0]!Turno,X$966)</f>
        <v>0</v>
      </c>
      <c r="Y987" s="73">
        <f>SUMIFS([0]!Otro,[0]!Centro,B987,[0]!Turno,Y$966)</f>
        <v>0</v>
      </c>
    </row>
    <row r="988" spans="2:25" ht="15" customHeight="1" x14ac:dyDescent="0.2">
      <c r="B988" s="251"/>
      <c r="C988" s="94">
        <f>E988/SUM(E988:E990)</f>
        <v>0.2857142857142857</v>
      </c>
      <c r="D988" s="63" t="s">
        <v>0</v>
      </c>
      <c r="E988" s="150">
        <f>IF((E985+E986+E987)=0,0,(E985*$B989)/(E985+E986+E987))</f>
        <v>4.5822746348315846E-2</v>
      </c>
      <c r="F988" s="150">
        <f>IF((F985+F986+F987)=0,0,(F985*$B989)/(F985+F986+F987))</f>
        <v>2.8302284509253903E-2</v>
      </c>
      <c r="G988" s="150">
        <f t="shared" ref="G988:Y988" si="2392">IF((G985+G986+G987)=0,0,(G985*$B989)/(G985+G986+G987))</f>
        <v>7.4021359485740984E-2</v>
      </c>
      <c r="H988" s="150">
        <f t="shared" si="2392"/>
        <v>5.6604569018507807E-2</v>
      </c>
      <c r="I988" s="150">
        <f t="shared" si="2392"/>
        <v>0</v>
      </c>
      <c r="J988" s="150">
        <f t="shared" si="2392"/>
        <v>5.6132864276686914E-2</v>
      </c>
      <c r="K988" s="150">
        <f t="shared" si="2392"/>
        <v>4.717047418208984E-2</v>
      </c>
      <c r="L988" s="150">
        <f t="shared" si="2392"/>
        <v>0</v>
      </c>
      <c r="M988" s="150">
        <f t="shared" si="2392"/>
        <v>1.1455686587078961E-2</v>
      </c>
      <c r="N988" s="150">
        <f t="shared" si="2392"/>
        <v>0</v>
      </c>
      <c r="O988" s="150">
        <f t="shared" si="2392"/>
        <v>0</v>
      </c>
      <c r="P988" s="150">
        <f t="shared" si="2392"/>
        <v>0</v>
      </c>
      <c r="Q988" s="150">
        <f t="shared" si="2392"/>
        <v>0</v>
      </c>
      <c r="R988" s="150">
        <f t="shared" si="2392"/>
        <v>0</v>
      </c>
      <c r="S988" s="150">
        <f t="shared" si="2392"/>
        <v>0</v>
      </c>
      <c r="T988" s="150">
        <f t="shared" si="2392"/>
        <v>0</v>
      </c>
      <c r="U988" s="150">
        <f t="shared" si="2392"/>
        <v>0</v>
      </c>
      <c r="V988" s="150">
        <f t="shared" si="2392"/>
        <v>0</v>
      </c>
      <c r="W988" s="150">
        <f t="shared" si="2392"/>
        <v>0</v>
      </c>
      <c r="X988" s="150">
        <f t="shared" si="2392"/>
        <v>0</v>
      </c>
      <c r="Y988" s="163">
        <f t="shared" si="2392"/>
        <v>0</v>
      </c>
    </row>
    <row r="989" spans="2:25" ht="15" customHeight="1" x14ac:dyDescent="0.2">
      <c r="B989" s="252">
        <v>0.16037961221910546</v>
      </c>
      <c r="C989" s="92">
        <f>E989/SUM(E988:E990)</f>
        <v>0.70408163265306134</v>
      </c>
      <c r="D989" s="61" t="s">
        <v>1</v>
      </c>
      <c r="E989" s="154">
        <f>IF((E985+E986+E987)=0,0,(E986*$B989)/(E985+E986+E987))</f>
        <v>0.11292033921549263</v>
      </c>
      <c r="F989" s="154">
        <f>IF((F985+F986+F987)=0,0,(F986*$B989)/(F985+F986+F987))</f>
        <v>0.12264323287343359</v>
      </c>
      <c r="G989" s="154">
        <f t="shared" ref="G989:Y989" si="2393">IF((G985+G986+G987)=0,0,(G986*$B989)/(G985+G986+G987))</f>
        <v>8.6358252733364477E-2</v>
      </c>
      <c r="H989" s="154">
        <f t="shared" si="2393"/>
        <v>0.10377504320059765</v>
      </c>
      <c r="I989" s="154">
        <f t="shared" si="2393"/>
        <v>0</v>
      </c>
      <c r="J989" s="154">
        <f t="shared" si="2393"/>
        <v>0.10424674794241855</v>
      </c>
      <c r="K989" s="154">
        <f t="shared" si="2393"/>
        <v>0.11320913803701561</v>
      </c>
      <c r="L989" s="154">
        <f t="shared" si="2393"/>
        <v>0</v>
      </c>
      <c r="M989" s="154">
        <f t="shared" si="2393"/>
        <v>0.1489239256320265</v>
      </c>
      <c r="N989" s="154">
        <f t="shared" si="2393"/>
        <v>0</v>
      </c>
      <c r="O989" s="154">
        <f t="shared" si="2393"/>
        <v>0</v>
      </c>
      <c r="P989" s="154">
        <f t="shared" si="2393"/>
        <v>0</v>
      </c>
      <c r="Q989" s="154">
        <f t="shared" si="2393"/>
        <v>0</v>
      </c>
      <c r="R989" s="154">
        <f t="shared" si="2393"/>
        <v>0</v>
      </c>
      <c r="S989" s="154">
        <f t="shared" si="2393"/>
        <v>0</v>
      </c>
      <c r="T989" s="154">
        <f t="shared" si="2393"/>
        <v>0</v>
      </c>
      <c r="U989" s="154">
        <f t="shared" si="2393"/>
        <v>0</v>
      </c>
      <c r="V989" s="154">
        <f t="shared" si="2393"/>
        <v>0</v>
      </c>
      <c r="W989" s="154">
        <f t="shared" si="2393"/>
        <v>0</v>
      </c>
      <c r="X989" s="154">
        <f t="shared" si="2393"/>
        <v>0</v>
      </c>
      <c r="Y989" s="159">
        <f t="shared" si="2393"/>
        <v>0</v>
      </c>
    </row>
    <row r="990" spans="2:25" ht="15" customHeight="1" thickBot="1" x14ac:dyDescent="0.25">
      <c r="B990" s="253"/>
      <c r="C990" s="93">
        <f>E990/SUM(E988:E990)</f>
        <v>1.0204081632653062E-2</v>
      </c>
      <c r="D990" s="75" t="s">
        <v>2</v>
      </c>
      <c r="E990" s="155">
        <f>IF((E985+E986+E987)=0,0,(E987*$B989)/(E985+E986+E987))</f>
        <v>1.6365266552969945E-3</v>
      </c>
      <c r="F990" s="155">
        <f>IF((F985+F986+F987)=0,0,(F987*$B989)/(F985+F986+F987))</f>
        <v>9.4340948364179684E-3</v>
      </c>
      <c r="G990" s="155">
        <f t="shared" ref="G990:Y990" si="2394">IF((G985+G986+G987)=0,0,(G987*$B989)/(G985+G986+G987))</f>
        <v>0</v>
      </c>
      <c r="H990" s="155">
        <f t="shared" si="2394"/>
        <v>0</v>
      </c>
      <c r="I990" s="155">
        <f t="shared" si="2394"/>
        <v>0</v>
      </c>
      <c r="J990" s="155">
        <f t="shared" si="2394"/>
        <v>0</v>
      </c>
      <c r="K990" s="155">
        <f t="shared" si="2394"/>
        <v>0</v>
      </c>
      <c r="L990" s="155">
        <f t="shared" si="2394"/>
        <v>0</v>
      </c>
      <c r="M990" s="155">
        <f t="shared" si="2394"/>
        <v>0</v>
      </c>
      <c r="N990" s="155">
        <f t="shared" si="2394"/>
        <v>0</v>
      </c>
      <c r="O990" s="155">
        <f t="shared" si="2394"/>
        <v>0</v>
      </c>
      <c r="P990" s="155">
        <f t="shared" si="2394"/>
        <v>0</v>
      </c>
      <c r="Q990" s="155">
        <f t="shared" si="2394"/>
        <v>0</v>
      </c>
      <c r="R990" s="155">
        <f t="shared" si="2394"/>
        <v>0</v>
      </c>
      <c r="S990" s="155">
        <f t="shared" si="2394"/>
        <v>0</v>
      </c>
      <c r="T990" s="155">
        <f t="shared" si="2394"/>
        <v>0</v>
      </c>
      <c r="U990" s="155">
        <f t="shared" si="2394"/>
        <v>0</v>
      </c>
      <c r="V990" s="155">
        <f t="shared" si="2394"/>
        <v>0</v>
      </c>
      <c r="W990" s="155">
        <f t="shared" si="2394"/>
        <v>0</v>
      </c>
      <c r="X990" s="155">
        <f t="shared" si="2394"/>
        <v>0</v>
      </c>
      <c r="Y990" s="160">
        <f t="shared" si="2394"/>
        <v>0</v>
      </c>
    </row>
    <row r="991" spans="2:25" ht="15" customHeight="1" x14ac:dyDescent="0.2">
      <c r="B991" s="249" t="s">
        <v>155</v>
      </c>
      <c r="C991" s="91">
        <f>E991/SUM(E991:E993)</f>
        <v>0.61963190184049077</v>
      </c>
      <c r="D991" s="67" t="s">
        <v>0</v>
      </c>
      <c r="E991" s="68">
        <f t="shared" si="2377"/>
        <v>101</v>
      </c>
      <c r="F991" s="68">
        <f>SUMIFS([0]!Chavez,[0]!Centro,B993,[0]!Turno,F$966)</f>
        <v>13</v>
      </c>
      <c r="G991" s="68">
        <f>SUMIFS([0]!Chavez,[0]!Centro,B993,[0]!Turno,G$966)</f>
        <v>0</v>
      </c>
      <c r="H991" s="68">
        <f>SUMIFS([0]!Chavez,[0]!Centro,B993,[0]!Turno,H$966)</f>
        <v>21</v>
      </c>
      <c r="I991" s="68">
        <f>SUMIFS([0]!Chavez,[0]!Centro,B993,[0]!Turno,I$966)</f>
        <v>14</v>
      </c>
      <c r="J991" s="68">
        <f>SUMIFS([0]!Chavez,[0]!Centro,B993,[0]!Turno,J$966)</f>
        <v>25</v>
      </c>
      <c r="K991" s="68">
        <f>SUMIFS([0]!Chavez,[0]!Centro,B993,[0]!Turno,K$966)</f>
        <v>6</v>
      </c>
      <c r="L991" s="68">
        <f>SUMIFS([0]!Chavez,[0]!Centro,B993,[0]!Turno,L$966)</f>
        <v>0</v>
      </c>
      <c r="M991" s="68">
        <f>SUMIFS([0]!Chavez,[0]!Centro,B993,[0]!Turno,M$966)</f>
        <v>10</v>
      </c>
      <c r="N991" s="68">
        <f>SUMIFS([0]!Chavez,[0]!Centro,B993,[0]!Turno,N$966)</f>
        <v>3</v>
      </c>
      <c r="O991" s="68">
        <f>SUMIFS([0]!Chavez,[0]!Centro,B993,[0]!Turno,O$966)</f>
        <v>0</v>
      </c>
      <c r="P991" s="68">
        <f>SUMIFS([0]!Chavez,[0]!Centro,B993,[0]!Turno,P$966)</f>
        <v>0</v>
      </c>
      <c r="Q991" s="68">
        <f>SUMIFS([0]!Chavez,[0]!Centro,B993,[0]!Turno,Q$966)</f>
        <v>9</v>
      </c>
      <c r="R991" s="68">
        <f>SUMIFS([0]!Chavez,[0]!Centro,B993,[0]!Turno,R$966)</f>
        <v>0</v>
      </c>
      <c r="S991" s="68">
        <f>SUMIFS([0]!Chavez,[0]!Centro,B993,[0]!Turno,S$966)</f>
        <v>0</v>
      </c>
      <c r="T991" s="68">
        <f>SUMIFS([0]!Chavez,[0]!Centro,B993,[0]!Turno,T$966)</f>
        <v>0</v>
      </c>
      <c r="U991" s="68">
        <f>SUMIFS([0]!Chavez,[0]!Centro,B993,[0]!Turno,U$966)</f>
        <v>0</v>
      </c>
      <c r="V991" s="68">
        <f>SUMIFS([0]!Chavez,[0]!Centro,B993,[0]!Turno,V$966)</f>
        <v>0</v>
      </c>
      <c r="W991" s="68">
        <f>SUMIFS([0]!Chavez,[0]!Centro,B993,[0]!Turno,W$966)</f>
        <v>0</v>
      </c>
      <c r="X991" s="68">
        <f>SUMIFS([0]!Chavez,[0]!Centro,B993,[0]!Turno,X$966)</f>
        <v>0</v>
      </c>
      <c r="Y991" s="69">
        <f>SUMIFS([0]!Chavez,[0]!Centro,B993,[0]!Turno,Y$966)</f>
        <v>0</v>
      </c>
    </row>
    <row r="992" spans="2:25" ht="15" customHeight="1" x14ac:dyDescent="0.2">
      <c r="B992" s="250"/>
      <c r="C992" s="92">
        <f>E992/SUM(E991:E993)</f>
        <v>0.37423312883435583</v>
      </c>
      <c r="D992" s="61" t="s">
        <v>1</v>
      </c>
      <c r="E992" s="62">
        <f t="shared" si="2377"/>
        <v>61</v>
      </c>
      <c r="F992" s="62">
        <f>SUMIFS([0]!Capriles,[0]!Centro,B993,[0]!Turno,F$966)</f>
        <v>18</v>
      </c>
      <c r="G992" s="62">
        <f>SUMIFS([0]!Capriles,[0]!Centro,B993,[0]!Turno,G$966)</f>
        <v>0</v>
      </c>
      <c r="H992" s="62">
        <f>SUMIFS([0]!Capriles,[0]!Centro,B993,[0]!Turno,H$966)</f>
        <v>12</v>
      </c>
      <c r="I992" s="62">
        <f>SUMIFS([0]!Capriles,[0]!Centro,B993,[0]!Turno,I$966)</f>
        <v>1</v>
      </c>
      <c r="J992" s="62">
        <f>SUMIFS([0]!Capriles,[0]!Centro,B993,[0]!Turno,J$966)</f>
        <v>6</v>
      </c>
      <c r="K992" s="62">
        <f>SUMIFS([0]!Capriles,[0]!Centro,B993,[0]!Turno,K$966)</f>
        <v>9</v>
      </c>
      <c r="L992" s="62">
        <f>SUMIFS([0]!Capriles,[0]!Centro,B993,[0]!Turno,L$966)</f>
        <v>0</v>
      </c>
      <c r="M992" s="62">
        <f>SUMIFS([0]!Capriles,[0]!Centro,B993,[0]!Turno,M$966)</f>
        <v>7</v>
      </c>
      <c r="N992" s="62">
        <f>SUMIFS([0]!Capriles,[0]!Centro,B993,[0]!Turno,N$966)</f>
        <v>2</v>
      </c>
      <c r="O992" s="62">
        <f>SUMIFS([0]!Capriles,[0]!Centro,B993,[0]!Turno,O$966)</f>
        <v>0</v>
      </c>
      <c r="P992" s="62">
        <f>SUMIFS([0]!Capriles,[0]!Centro,B993,[0]!Turno,P$966)</f>
        <v>0</v>
      </c>
      <c r="Q992" s="62">
        <f>SUMIFS([0]!Capriles,[0]!Centro,B993,[0]!Turno,Q$966)</f>
        <v>6</v>
      </c>
      <c r="R992" s="62">
        <f>SUMIFS([0]!Capriles,[0]!Centro,B993,[0]!Turno,R$966)</f>
        <v>0</v>
      </c>
      <c r="S992" s="62">
        <f>SUMIFS([0]!Capriles,[0]!Centro,B993,[0]!Turno,S$966)</f>
        <v>0</v>
      </c>
      <c r="T992" s="62">
        <f>SUMIFS([0]!Capriles,[0]!Centro,B993,[0]!Turno,T$966)</f>
        <v>0</v>
      </c>
      <c r="U992" s="62">
        <f>SUMIFS([0]!Capriles,[0]!Centro,B993,[0]!Turno,U$966)</f>
        <v>0</v>
      </c>
      <c r="V992" s="62">
        <f>SUMIFS([0]!Capriles,[0]!Centro,B993,[0]!Turno,V$966)</f>
        <v>0</v>
      </c>
      <c r="W992" s="62">
        <f>SUMIFS([0]!Capriles,[0]!Centro,B993,[0]!Turno,W$966)</f>
        <v>0</v>
      </c>
      <c r="X992" s="62">
        <f>SUMIFS([0]!Capriles,[0]!Centro,B993,[0]!Turno,X$966)</f>
        <v>0</v>
      </c>
      <c r="Y992" s="70">
        <f>SUMIFS([0]!Capriles,[0]!Centro,B993,[0]!Turno,Y$966)</f>
        <v>0</v>
      </c>
    </row>
    <row r="993" spans="2:25" ht="15" customHeight="1" thickBot="1" x14ac:dyDescent="0.25">
      <c r="B993" s="251">
        <v>133</v>
      </c>
      <c r="C993" s="100">
        <f>E993/SUM(E991:E993)</f>
        <v>6.1349693251533744E-3</v>
      </c>
      <c r="D993" s="71" t="s">
        <v>2</v>
      </c>
      <c r="E993" s="72">
        <f t="shared" si="2377"/>
        <v>1</v>
      </c>
      <c r="F993" s="72">
        <f>SUMIFS([0]!Otro,[0]!Centro,B993,[0]!Turno,F$966)</f>
        <v>0</v>
      </c>
      <c r="G993" s="72">
        <f>SUMIFS([0]!Otro,[0]!Centro,B993,[0]!Turno,G$966)</f>
        <v>0</v>
      </c>
      <c r="H993" s="72">
        <f>SUMIFS([0]!Otro,[0]!Centro,B993,[0]!Turno,H$966)</f>
        <v>0</v>
      </c>
      <c r="I993" s="72">
        <f>SUMIFS([0]!Otro,[0]!Centro,B993,[0]!Turno,I$966)</f>
        <v>0</v>
      </c>
      <c r="J993" s="72">
        <f>SUMIFS([0]!Otro,[0]!Centro,B993,[0]!Turno,J$966)</f>
        <v>0</v>
      </c>
      <c r="K993" s="72">
        <f>SUMIFS([0]!Otro,[0]!Centro,B993,[0]!Turno,K$966)</f>
        <v>0</v>
      </c>
      <c r="L993" s="72">
        <f>SUMIFS([0]!Otro,[0]!Centro,B993,[0]!Turno,L$966)</f>
        <v>0</v>
      </c>
      <c r="M993" s="72">
        <f>SUMIFS([0]!Otro,[0]!Centro,B993,[0]!Turno,M$966)</f>
        <v>1</v>
      </c>
      <c r="N993" s="72">
        <f>SUMIFS([0]!Otro,[0]!Centro,B993,[0]!Turno,N$966)</f>
        <v>0</v>
      </c>
      <c r="O993" s="72">
        <f>SUMIFS([0]!Otro,[0]!Centro,B993,[0]!Turno,O$966)</f>
        <v>0</v>
      </c>
      <c r="P993" s="72">
        <f>SUMIFS([0]!Otro,[0]!Centro,B993,[0]!Turno,P$966)</f>
        <v>0</v>
      </c>
      <c r="Q993" s="72">
        <f>SUMIFS([0]!Otro,[0]!Centro,B993,[0]!Turno,Q$966)</f>
        <v>0</v>
      </c>
      <c r="R993" s="72">
        <f>SUMIFS([0]!Otro,[0]!Centro,B993,[0]!Turno,R$966)</f>
        <v>0</v>
      </c>
      <c r="S993" s="72">
        <f>SUMIFS([0]!Otro,[0]!Centro,B993,[0]!Turno,S$966)</f>
        <v>0</v>
      </c>
      <c r="T993" s="72">
        <f>SUMIFS([0]!Otro,[0]!Centro,B993,[0]!Turno,T$966)</f>
        <v>0</v>
      </c>
      <c r="U993" s="72">
        <f>SUMIFS([0]!Otro,[0]!Centro,B993,[0]!Turno,U$966)</f>
        <v>0</v>
      </c>
      <c r="V993" s="72">
        <f>SUMIFS([0]!Otro,[0]!Centro,B993,[0]!Turno,V$966)</f>
        <v>0</v>
      </c>
      <c r="W993" s="72">
        <f>SUMIFS([0]!Otro,[0]!Centro,B993,[0]!Turno,W$966)</f>
        <v>0</v>
      </c>
      <c r="X993" s="72">
        <f>SUMIFS([0]!Otro,[0]!Centro,B993,[0]!Turno,X$966)</f>
        <v>0</v>
      </c>
      <c r="Y993" s="73">
        <f>SUMIFS([0]!Otro,[0]!Centro,B993,[0]!Turno,Y$966)</f>
        <v>0</v>
      </c>
    </row>
    <row r="994" spans="2:25" ht="15" customHeight="1" x14ac:dyDescent="0.2">
      <c r="B994" s="251"/>
      <c r="C994" s="94">
        <f>E994/SUM(E994:E996)</f>
        <v>0.61963190184049077</v>
      </c>
      <c r="D994" s="63" t="s">
        <v>0</v>
      </c>
      <c r="E994" s="150">
        <f>IF((E991+E992+E993)=0,0,(E991*$B995)/(E991+E992+E993))</f>
        <v>0.15254670441838444</v>
      </c>
      <c r="F994" s="150">
        <f>IF((F991+F992+F993)=0,0,(F991*$B995)/(F991+F992+F993))</f>
        <v>0.10324064728922282</v>
      </c>
      <c r="G994" s="150">
        <f t="shared" ref="G994:Y994" si="2395">IF((G991+G992+G993)=0,0,(G991*$B995)/(G991+G992+G993))</f>
        <v>0</v>
      </c>
      <c r="H994" s="150">
        <f t="shared" si="2395"/>
        <v>0.15666587735497448</v>
      </c>
      <c r="I994" s="150">
        <f t="shared" si="2395"/>
        <v>0.22977662012062924</v>
      </c>
      <c r="J994" s="150">
        <f t="shared" si="2395"/>
        <v>0.1985397063254285</v>
      </c>
      <c r="K994" s="150">
        <f t="shared" si="2395"/>
        <v>9.8475694337412531E-2</v>
      </c>
      <c r="L994" s="150">
        <f t="shared" si="2395"/>
        <v>0</v>
      </c>
      <c r="M994" s="150">
        <f t="shared" si="2395"/>
        <v>0.13677179769085074</v>
      </c>
      <c r="N994" s="150">
        <f t="shared" si="2395"/>
        <v>0.14771354150611879</v>
      </c>
      <c r="O994" s="150">
        <f t="shared" si="2395"/>
        <v>0</v>
      </c>
      <c r="P994" s="150">
        <f t="shared" si="2395"/>
        <v>0</v>
      </c>
      <c r="Q994" s="150">
        <f t="shared" si="2395"/>
        <v>0.14771354150611879</v>
      </c>
      <c r="R994" s="150">
        <f t="shared" si="2395"/>
        <v>0</v>
      </c>
      <c r="S994" s="150">
        <f t="shared" si="2395"/>
        <v>0</v>
      </c>
      <c r="T994" s="150">
        <f t="shared" si="2395"/>
        <v>0</v>
      </c>
      <c r="U994" s="150">
        <f t="shared" si="2395"/>
        <v>0</v>
      </c>
      <c r="V994" s="150">
        <f t="shared" si="2395"/>
        <v>0</v>
      </c>
      <c r="W994" s="150">
        <f t="shared" si="2395"/>
        <v>0</v>
      </c>
      <c r="X994" s="150">
        <f t="shared" si="2395"/>
        <v>0</v>
      </c>
      <c r="Y994" s="163">
        <f t="shared" si="2395"/>
        <v>0</v>
      </c>
    </row>
    <row r="995" spans="2:25" ht="15" customHeight="1" x14ac:dyDescent="0.2">
      <c r="B995" s="252">
        <v>0.24618923584353133</v>
      </c>
      <c r="C995" s="92">
        <f>E995/SUM(E994:E996)</f>
        <v>0.37423312883435583</v>
      </c>
      <c r="D995" s="61" t="s">
        <v>1</v>
      </c>
      <c r="E995" s="154">
        <f>IF((E991+E992+E993)=0,0,(E992*$B995)/(E991+E992+E993))</f>
        <v>9.2132168015063881E-2</v>
      </c>
      <c r="F995" s="154">
        <f>IF((F991+F992+F993)=0,0,(F992*$B995)/(F991+F992+F993))</f>
        <v>0.14294858855430853</v>
      </c>
      <c r="G995" s="154">
        <f t="shared" ref="G995:Y995" si="2396">IF((G991+G992+G993)=0,0,(G992*$B995)/(G991+G992+G993))</f>
        <v>0</v>
      </c>
      <c r="H995" s="154">
        <f t="shared" si="2396"/>
        <v>8.9523358488556845E-2</v>
      </c>
      <c r="I995" s="154">
        <f t="shared" si="2396"/>
        <v>1.6412615722902087E-2</v>
      </c>
      <c r="J995" s="154">
        <f t="shared" si="2396"/>
        <v>4.7649529518102834E-2</v>
      </c>
      <c r="K995" s="154">
        <f t="shared" si="2396"/>
        <v>0.14771354150611879</v>
      </c>
      <c r="L995" s="154">
        <f t="shared" si="2396"/>
        <v>0</v>
      </c>
      <c r="M995" s="154">
        <f t="shared" si="2396"/>
        <v>9.5740258383595511E-2</v>
      </c>
      <c r="N995" s="154">
        <f t="shared" si="2396"/>
        <v>9.8475694337412531E-2</v>
      </c>
      <c r="O995" s="154">
        <f t="shared" si="2396"/>
        <v>0</v>
      </c>
      <c r="P995" s="154">
        <f t="shared" si="2396"/>
        <v>0</v>
      </c>
      <c r="Q995" s="154">
        <f t="shared" si="2396"/>
        <v>9.8475694337412531E-2</v>
      </c>
      <c r="R995" s="154">
        <f t="shared" si="2396"/>
        <v>0</v>
      </c>
      <c r="S995" s="154">
        <f t="shared" si="2396"/>
        <v>0</v>
      </c>
      <c r="T995" s="154">
        <f t="shared" si="2396"/>
        <v>0</v>
      </c>
      <c r="U995" s="154">
        <f t="shared" si="2396"/>
        <v>0</v>
      </c>
      <c r="V995" s="154">
        <f t="shared" si="2396"/>
        <v>0</v>
      </c>
      <c r="W995" s="154">
        <f t="shared" si="2396"/>
        <v>0</v>
      </c>
      <c r="X995" s="154">
        <f t="shared" si="2396"/>
        <v>0</v>
      </c>
      <c r="Y995" s="159">
        <f t="shared" si="2396"/>
        <v>0</v>
      </c>
    </row>
    <row r="996" spans="2:25" ht="15" customHeight="1" thickBot="1" x14ac:dyDescent="0.25">
      <c r="B996" s="253"/>
      <c r="C996" s="93">
        <f>E996/SUM(E994:E996)</f>
        <v>6.1349693251533735E-3</v>
      </c>
      <c r="D996" s="75" t="s">
        <v>2</v>
      </c>
      <c r="E996" s="155">
        <f>IF((E991+E992+E993)=0,0,(E993*$B995)/(E991+E992+E993))</f>
        <v>1.5103634100830142E-3</v>
      </c>
      <c r="F996" s="155">
        <f>IF((F991+F992+F993)=0,0,(F993*$B995)/(F991+F992+F993))</f>
        <v>0</v>
      </c>
      <c r="G996" s="155">
        <f t="shared" ref="G996:Y996" si="2397">IF((G991+G992+G993)=0,0,(G993*$B995)/(G991+G992+G993))</f>
        <v>0</v>
      </c>
      <c r="H996" s="155">
        <f t="shared" si="2397"/>
        <v>0</v>
      </c>
      <c r="I996" s="155">
        <f t="shared" si="2397"/>
        <v>0</v>
      </c>
      <c r="J996" s="155">
        <f t="shared" si="2397"/>
        <v>0</v>
      </c>
      <c r="K996" s="155">
        <f t="shared" si="2397"/>
        <v>0</v>
      </c>
      <c r="L996" s="155">
        <f t="shared" si="2397"/>
        <v>0</v>
      </c>
      <c r="M996" s="155">
        <f t="shared" si="2397"/>
        <v>1.3677179769085075E-2</v>
      </c>
      <c r="N996" s="155">
        <f t="shared" si="2397"/>
        <v>0</v>
      </c>
      <c r="O996" s="155">
        <f t="shared" si="2397"/>
        <v>0</v>
      </c>
      <c r="P996" s="155">
        <f t="shared" si="2397"/>
        <v>0</v>
      </c>
      <c r="Q996" s="155">
        <f t="shared" si="2397"/>
        <v>0</v>
      </c>
      <c r="R996" s="155">
        <f t="shared" si="2397"/>
        <v>0</v>
      </c>
      <c r="S996" s="155">
        <f t="shared" si="2397"/>
        <v>0</v>
      </c>
      <c r="T996" s="155">
        <f t="shared" si="2397"/>
        <v>0</v>
      </c>
      <c r="U996" s="155">
        <f t="shared" si="2397"/>
        <v>0</v>
      </c>
      <c r="V996" s="155">
        <f t="shared" si="2397"/>
        <v>0</v>
      </c>
      <c r="W996" s="155">
        <f t="shared" si="2397"/>
        <v>0</v>
      </c>
      <c r="X996" s="155">
        <f t="shared" si="2397"/>
        <v>0</v>
      </c>
      <c r="Y996" s="160">
        <f t="shared" si="2397"/>
        <v>0</v>
      </c>
    </row>
    <row r="997" spans="2:25" ht="15" customHeight="1" x14ac:dyDescent="0.2">
      <c r="B997" s="249" t="s">
        <v>156</v>
      </c>
      <c r="C997" s="91">
        <f>E997/SUM(E997:E999)</f>
        <v>0.62105263157894741</v>
      </c>
      <c r="D997" s="67" t="s">
        <v>0</v>
      </c>
      <c r="E997" s="68">
        <f t="shared" si="2377"/>
        <v>118</v>
      </c>
      <c r="F997" s="68">
        <f>SUMIFS([0]!Chavez,[0]!Centro,B999,[0]!Turno,F$966)</f>
        <v>6</v>
      </c>
      <c r="G997" s="68">
        <f>SUMIFS([0]!Chavez,[0]!Centro,B999,[0]!Turno,G$966)</f>
        <v>17</v>
      </c>
      <c r="H997" s="68">
        <f>SUMIFS([0]!Chavez,[0]!Centro,B999,[0]!Turno,H$966)</f>
        <v>7</v>
      </c>
      <c r="I997" s="68">
        <f>SUMIFS([0]!Chavez,[0]!Centro,B999,[0]!Turno,I$966)</f>
        <v>10</v>
      </c>
      <c r="J997" s="68">
        <f>SUMIFS([0]!Chavez,[0]!Centro,B999,[0]!Turno,J$966)</f>
        <v>16</v>
      </c>
      <c r="K997" s="68">
        <f>SUMIFS([0]!Chavez,[0]!Centro,B999,[0]!Turno,K$966)</f>
        <v>9</v>
      </c>
      <c r="L997" s="68">
        <f>SUMIFS([0]!Chavez,[0]!Centro,B999,[0]!Turno,L$966)</f>
        <v>20</v>
      </c>
      <c r="M997" s="68">
        <f>SUMIFS([0]!Chavez,[0]!Centro,B999,[0]!Turno,M$966)</f>
        <v>18</v>
      </c>
      <c r="N997" s="68">
        <f>SUMIFS([0]!Chavez,[0]!Centro,B999,[0]!Turno,N$966)</f>
        <v>15</v>
      </c>
      <c r="O997" s="68">
        <f>SUMIFS([0]!Chavez,[0]!Centro,B999,[0]!Turno,O$966)</f>
        <v>0</v>
      </c>
      <c r="P997" s="68">
        <f>SUMIFS([0]!Chavez,[0]!Centro,B999,[0]!Turno,P$966)</f>
        <v>0</v>
      </c>
      <c r="Q997" s="68">
        <f>SUMIFS([0]!Chavez,[0]!Centro,B999,[0]!Turno,Q$966)</f>
        <v>0</v>
      </c>
      <c r="R997" s="68">
        <f>SUMIFS([0]!Chavez,[0]!Centro,B999,[0]!Turno,R$966)</f>
        <v>0</v>
      </c>
      <c r="S997" s="68">
        <f>SUMIFS([0]!Chavez,[0]!Centro,B999,[0]!Turno,S$966)</f>
        <v>0</v>
      </c>
      <c r="T997" s="68">
        <f>SUMIFS([0]!Chavez,[0]!Centro,B999,[0]!Turno,T$966)</f>
        <v>0</v>
      </c>
      <c r="U997" s="68">
        <f>SUMIFS([0]!Chavez,[0]!Centro,B999,[0]!Turno,U$966)</f>
        <v>0</v>
      </c>
      <c r="V997" s="68">
        <f>SUMIFS([0]!Chavez,[0]!Centro,B999,[0]!Turno,V$966)</f>
        <v>0</v>
      </c>
      <c r="W997" s="68">
        <f>SUMIFS([0]!Chavez,[0]!Centro,B999,[0]!Turno,W$966)</f>
        <v>0</v>
      </c>
      <c r="X997" s="68">
        <f>SUMIFS([0]!Chavez,[0]!Centro,B999,[0]!Turno,X$966)</f>
        <v>0</v>
      </c>
      <c r="Y997" s="69">
        <f>SUMIFS([0]!Chavez,[0]!Centro,B999,[0]!Turno,Y$966)</f>
        <v>0</v>
      </c>
    </row>
    <row r="998" spans="2:25" ht="15" customHeight="1" x14ac:dyDescent="0.2">
      <c r="B998" s="250"/>
      <c r="C998" s="92">
        <f>E998/SUM(E997:E999)</f>
        <v>0.36315789473684212</v>
      </c>
      <c r="D998" s="61" t="s">
        <v>1</v>
      </c>
      <c r="E998" s="62">
        <f t="shared" si="2377"/>
        <v>69</v>
      </c>
      <c r="F998" s="62">
        <f>SUMIFS([0]!Capriles,[0]!Centro,B999,[0]!Turno,F$966)</f>
        <v>2</v>
      </c>
      <c r="G998" s="62">
        <f>SUMIFS([0]!Capriles,[0]!Centro,B999,[0]!Turno,G$966)</f>
        <v>14</v>
      </c>
      <c r="H998" s="62">
        <f>SUMIFS([0]!Capriles,[0]!Centro,B999,[0]!Turno,H$966)</f>
        <v>4</v>
      </c>
      <c r="I998" s="62">
        <f>SUMIFS([0]!Capriles,[0]!Centro,B999,[0]!Turno,I$966)</f>
        <v>5</v>
      </c>
      <c r="J998" s="62">
        <f>SUMIFS([0]!Capriles,[0]!Centro,B999,[0]!Turno,J$966)</f>
        <v>12</v>
      </c>
      <c r="K998" s="62">
        <f>SUMIFS([0]!Capriles,[0]!Centro,B999,[0]!Turno,K$966)</f>
        <v>5</v>
      </c>
      <c r="L998" s="62">
        <f>SUMIFS([0]!Capriles,[0]!Centro,B999,[0]!Turno,L$966)</f>
        <v>12</v>
      </c>
      <c r="M998" s="62">
        <f>SUMIFS([0]!Capriles,[0]!Centro,B999,[0]!Turno,M$966)</f>
        <v>5</v>
      </c>
      <c r="N998" s="62">
        <f>SUMIFS([0]!Capriles,[0]!Centro,B999,[0]!Turno,N$966)</f>
        <v>10</v>
      </c>
      <c r="O998" s="62">
        <f>SUMIFS([0]!Capriles,[0]!Centro,B999,[0]!Turno,O$966)</f>
        <v>0</v>
      </c>
      <c r="P998" s="62">
        <f>SUMIFS([0]!Capriles,[0]!Centro,B999,[0]!Turno,P$966)</f>
        <v>0</v>
      </c>
      <c r="Q998" s="62">
        <f>SUMIFS([0]!Capriles,[0]!Centro,B999,[0]!Turno,Q$966)</f>
        <v>0</v>
      </c>
      <c r="R998" s="62">
        <f>SUMIFS([0]!Capriles,[0]!Centro,B999,[0]!Turno,R$966)</f>
        <v>0</v>
      </c>
      <c r="S998" s="62">
        <f>SUMIFS([0]!Capriles,[0]!Centro,B999,[0]!Turno,S$966)</f>
        <v>0</v>
      </c>
      <c r="T998" s="62">
        <f>SUMIFS([0]!Capriles,[0]!Centro,B999,[0]!Turno,T$966)</f>
        <v>0</v>
      </c>
      <c r="U998" s="62">
        <f>SUMIFS([0]!Capriles,[0]!Centro,B999,[0]!Turno,U$966)</f>
        <v>0</v>
      </c>
      <c r="V998" s="62">
        <f>SUMIFS([0]!Capriles,[0]!Centro,B999,[0]!Turno,V$966)</f>
        <v>0</v>
      </c>
      <c r="W998" s="62">
        <f>SUMIFS([0]!Capriles,[0]!Centro,B999,[0]!Turno,W$966)</f>
        <v>0</v>
      </c>
      <c r="X998" s="62">
        <f>SUMIFS([0]!Capriles,[0]!Centro,B999,[0]!Turno,X$966)</f>
        <v>0</v>
      </c>
      <c r="Y998" s="70">
        <f>SUMIFS([0]!Capriles,[0]!Centro,B999,[0]!Turno,Y$966)</f>
        <v>0</v>
      </c>
    </row>
    <row r="999" spans="2:25" ht="15" customHeight="1" thickBot="1" x14ac:dyDescent="0.25">
      <c r="B999" s="251">
        <v>134</v>
      </c>
      <c r="C999" s="100">
        <f>E999/SUM(E997:E999)</f>
        <v>1.5789473684210527E-2</v>
      </c>
      <c r="D999" s="71" t="s">
        <v>2</v>
      </c>
      <c r="E999" s="72">
        <f t="shared" si="2377"/>
        <v>3</v>
      </c>
      <c r="F999" s="72">
        <f>SUMIFS([0]!Otro,[0]!Centro,B999,[0]!Turno,F$966)</f>
        <v>0</v>
      </c>
      <c r="G999" s="72">
        <f>SUMIFS([0]!Otro,[0]!Centro,B999,[0]!Turno,G$966)</f>
        <v>0</v>
      </c>
      <c r="H999" s="72">
        <f>SUMIFS([0]!Otro,[0]!Centro,B999,[0]!Turno,H$966)</f>
        <v>0</v>
      </c>
      <c r="I999" s="72">
        <f>SUMIFS([0]!Otro,[0]!Centro,B999,[0]!Turno,I$966)</f>
        <v>0</v>
      </c>
      <c r="J999" s="72">
        <f>SUMIFS([0]!Otro,[0]!Centro,B999,[0]!Turno,J$966)</f>
        <v>1</v>
      </c>
      <c r="K999" s="72">
        <f>SUMIFS([0]!Otro,[0]!Centro,B999,[0]!Turno,K$966)</f>
        <v>0</v>
      </c>
      <c r="L999" s="72">
        <f>SUMIFS([0]!Otro,[0]!Centro,B999,[0]!Turno,L$966)</f>
        <v>0</v>
      </c>
      <c r="M999" s="72">
        <f>SUMIFS([0]!Otro,[0]!Centro,B999,[0]!Turno,M$966)</f>
        <v>0</v>
      </c>
      <c r="N999" s="72">
        <f>SUMIFS([0]!Otro,[0]!Centro,B999,[0]!Turno,N$966)</f>
        <v>2</v>
      </c>
      <c r="O999" s="72">
        <f>SUMIFS([0]!Otro,[0]!Centro,B999,[0]!Turno,O$966)</f>
        <v>0</v>
      </c>
      <c r="P999" s="72">
        <f>SUMIFS([0]!Otro,[0]!Centro,B999,[0]!Turno,P$966)</f>
        <v>0</v>
      </c>
      <c r="Q999" s="72">
        <f>SUMIFS([0]!Otro,[0]!Centro,B999,[0]!Turno,Q$966)</f>
        <v>0</v>
      </c>
      <c r="R999" s="72">
        <f>SUMIFS([0]!Otro,[0]!Centro,B999,[0]!Turno,R$966)</f>
        <v>0</v>
      </c>
      <c r="S999" s="72">
        <f>SUMIFS([0]!Otro,[0]!Centro,B999,[0]!Turno,S$966)</f>
        <v>0</v>
      </c>
      <c r="T999" s="72">
        <f>SUMIFS([0]!Otro,[0]!Centro,B999,[0]!Turno,T$966)</f>
        <v>0</v>
      </c>
      <c r="U999" s="72">
        <f>SUMIFS([0]!Otro,[0]!Centro,B999,[0]!Turno,U$966)</f>
        <v>0</v>
      </c>
      <c r="V999" s="72">
        <f>SUMIFS([0]!Otro,[0]!Centro,B999,[0]!Turno,V$966)</f>
        <v>0</v>
      </c>
      <c r="W999" s="72">
        <f>SUMIFS([0]!Otro,[0]!Centro,B999,[0]!Turno,W$966)</f>
        <v>0</v>
      </c>
      <c r="X999" s="72">
        <f>SUMIFS([0]!Otro,[0]!Centro,B999,[0]!Turno,X$966)</f>
        <v>0</v>
      </c>
      <c r="Y999" s="73">
        <f>SUMIFS([0]!Otro,[0]!Centro,B999,[0]!Turno,Y$966)</f>
        <v>0</v>
      </c>
    </row>
    <row r="1000" spans="2:25" ht="15" customHeight="1" x14ac:dyDescent="0.2">
      <c r="B1000" s="251"/>
      <c r="C1000" s="94">
        <f>E1000/SUM(E1000:E1002)</f>
        <v>0.62105263157894741</v>
      </c>
      <c r="D1000" s="63" t="s">
        <v>0</v>
      </c>
      <c r="E1000" s="150">
        <f>IF((E997+E998+E999)=0,0,(E997*$B1001)/(E997+E998+E999))</f>
        <v>0.16584504014575449</v>
      </c>
      <c r="F1000" s="150">
        <f>IF((F997+F998+F999)=0,0,(F997*$B1001)/(F997+F998+F999))</f>
        <v>0.20027896797262723</v>
      </c>
      <c r="G1000" s="150">
        <f t="shared" ref="G1000:Y1000" si="2398">IF((G997+G998+G999)=0,0,(G997*$B1001)/(G997+G998+G999))</f>
        <v>0.14644053572192098</v>
      </c>
      <c r="H1000" s="150">
        <f t="shared" si="2398"/>
        <v>0.16993366979495644</v>
      </c>
      <c r="I1000" s="150">
        <f t="shared" si="2398"/>
        <v>0.17802574930900197</v>
      </c>
      <c r="J1000" s="150">
        <f t="shared" si="2398"/>
        <v>0.14733165460055336</v>
      </c>
      <c r="K1000" s="150">
        <f t="shared" si="2398"/>
        <v>0.17166768683368047</v>
      </c>
      <c r="L1000" s="150">
        <f t="shared" si="2398"/>
        <v>0.16689913997718936</v>
      </c>
      <c r="M1000" s="150">
        <f t="shared" si="2398"/>
        <v>0.20898674918882842</v>
      </c>
      <c r="N1000" s="150">
        <f t="shared" si="2398"/>
        <v>0.14835479109083499</v>
      </c>
      <c r="O1000" s="150">
        <f t="shared" si="2398"/>
        <v>0</v>
      </c>
      <c r="P1000" s="150">
        <f t="shared" si="2398"/>
        <v>0</v>
      </c>
      <c r="Q1000" s="150">
        <f t="shared" si="2398"/>
        <v>0</v>
      </c>
      <c r="R1000" s="150">
        <f t="shared" si="2398"/>
        <v>0</v>
      </c>
      <c r="S1000" s="150">
        <f t="shared" si="2398"/>
        <v>0</v>
      </c>
      <c r="T1000" s="150">
        <f t="shared" si="2398"/>
        <v>0</v>
      </c>
      <c r="U1000" s="150">
        <f t="shared" si="2398"/>
        <v>0</v>
      </c>
      <c r="V1000" s="150">
        <f t="shared" si="2398"/>
        <v>0</v>
      </c>
      <c r="W1000" s="150">
        <f t="shared" si="2398"/>
        <v>0</v>
      </c>
      <c r="X1000" s="150">
        <f t="shared" si="2398"/>
        <v>0</v>
      </c>
      <c r="Y1000" s="163">
        <f t="shared" si="2398"/>
        <v>0</v>
      </c>
    </row>
    <row r="1001" spans="2:25" ht="15" customHeight="1" x14ac:dyDescent="0.2">
      <c r="B1001" s="252">
        <v>0.26703862396350297</v>
      </c>
      <c r="C1001" s="92">
        <f>E1001/SUM(E1000:E1002)</f>
        <v>0.36315789473684207</v>
      </c>
      <c r="D1001" s="61" t="s">
        <v>1</v>
      </c>
      <c r="E1001" s="154">
        <f>IF((E997+E998+E999)=0,0,(E998*$B1001)/(E997+E998+E999))</f>
        <v>9.6977184492008969E-2</v>
      </c>
      <c r="F1001" s="154">
        <f>IF((F997+F998+F999)=0,0,(F998*$B1001)/(F997+F998+F999))</f>
        <v>6.6759655990875744E-2</v>
      </c>
      <c r="G1001" s="154">
        <f t="shared" ref="G1001:Y1001" si="2399">IF((G997+G998+G999)=0,0,(G998*$B1001)/(G997+G998+G999))</f>
        <v>0.12059808824158198</v>
      </c>
      <c r="H1001" s="154">
        <f t="shared" si="2399"/>
        <v>9.7104954168546531E-2</v>
      </c>
      <c r="I1001" s="154">
        <f t="shared" si="2399"/>
        <v>8.9012874654500987E-2</v>
      </c>
      <c r="J1001" s="154">
        <f t="shared" si="2399"/>
        <v>0.11049874095041502</v>
      </c>
      <c r="K1001" s="154">
        <f t="shared" si="2399"/>
        <v>9.5370937129822489E-2</v>
      </c>
      <c r="L1001" s="154">
        <f t="shared" si="2399"/>
        <v>0.10013948398631362</v>
      </c>
      <c r="M1001" s="154">
        <f t="shared" si="2399"/>
        <v>5.8051874774674557E-2</v>
      </c>
      <c r="N1001" s="154">
        <f t="shared" si="2399"/>
        <v>9.8903194060556657E-2</v>
      </c>
      <c r="O1001" s="154">
        <f t="shared" si="2399"/>
        <v>0</v>
      </c>
      <c r="P1001" s="154">
        <f t="shared" si="2399"/>
        <v>0</v>
      </c>
      <c r="Q1001" s="154">
        <f t="shared" si="2399"/>
        <v>0</v>
      </c>
      <c r="R1001" s="154">
        <f t="shared" si="2399"/>
        <v>0</v>
      </c>
      <c r="S1001" s="154">
        <f t="shared" si="2399"/>
        <v>0</v>
      </c>
      <c r="T1001" s="154">
        <f t="shared" si="2399"/>
        <v>0</v>
      </c>
      <c r="U1001" s="154">
        <f t="shared" si="2399"/>
        <v>0</v>
      </c>
      <c r="V1001" s="154">
        <f t="shared" si="2399"/>
        <v>0</v>
      </c>
      <c r="W1001" s="154">
        <f t="shared" si="2399"/>
        <v>0</v>
      </c>
      <c r="X1001" s="154">
        <f t="shared" si="2399"/>
        <v>0</v>
      </c>
      <c r="Y1001" s="159">
        <f t="shared" si="2399"/>
        <v>0</v>
      </c>
    </row>
    <row r="1002" spans="2:25" ht="15" customHeight="1" thickBot="1" x14ac:dyDescent="0.25">
      <c r="B1002" s="253"/>
      <c r="C1002" s="93">
        <f>E1002/SUM(E1000:E1002)</f>
        <v>1.5789473684210527E-2</v>
      </c>
      <c r="D1002" s="75" t="s">
        <v>2</v>
      </c>
      <c r="E1002" s="155">
        <f>IF((E997+E998+E999)=0,0,(E999*$B1001)/(E997+E998+E999))</f>
        <v>4.2163993257395204E-3</v>
      </c>
      <c r="F1002" s="155">
        <f>IF((F997+F998+F999)=0,0,(F999*$B1001)/(F997+F998+F999))</f>
        <v>0</v>
      </c>
      <c r="G1002" s="155">
        <f t="shared" ref="G1002:Y1002" si="2400">IF((G997+G998+G999)=0,0,(G999*$B1001)/(G997+G998+G999))</f>
        <v>0</v>
      </c>
      <c r="H1002" s="155">
        <f t="shared" si="2400"/>
        <v>0</v>
      </c>
      <c r="I1002" s="155">
        <f t="shared" si="2400"/>
        <v>0</v>
      </c>
      <c r="J1002" s="155">
        <f t="shared" si="2400"/>
        <v>9.2082284125345852E-3</v>
      </c>
      <c r="K1002" s="155">
        <f t="shared" si="2400"/>
        <v>0</v>
      </c>
      <c r="L1002" s="155">
        <f t="shared" si="2400"/>
        <v>0</v>
      </c>
      <c r="M1002" s="155">
        <f t="shared" si="2400"/>
        <v>0</v>
      </c>
      <c r="N1002" s="155">
        <f t="shared" si="2400"/>
        <v>1.9780638812111333E-2</v>
      </c>
      <c r="O1002" s="155">
        <f t="shared" si="2400"/>
        <v>0</v>
      </c>
      <c r="P1002" s="155">
        <f t="shared" si="2400"/>
        <v>0</v>
      </c>
      <c r="Q1002" s="155">
        <f t="shared" si="2400"/>
        <v>0</v>
      </c>
      <c r="R1002" s="155">
        <f t="shared" si="2400"/>
        <v>0</v>
      </c>
      <c r="S1002" s="155">
        <f t="shared" si="2400"/>
        <v>0</v>
      </c>
      <c r="T1002" s="155">
        <f t="shared" si="2400"/>
        <v>0</v>
      </c>
      <c r="U1002" s="155">
        <f t="shared" si="2400"/>
        <v>0</v>
      </c>
      <c r="V1002" s="155">
        <f t="shared" si="2400"/>
        <v>0</v>
      </c>
      <c r="W1002" s="155">
        <f t="shared" si="2400"/>
        <v>0</v>
      </c>
      <c r="X1002" s="155">
        <f t="shared" si="2400"/>
        <v>0</v>
      </c>
      <c r="Y1002" s="160">
        <f t="shared" si="2400"/>
        <v>0</v>
      </c>
    </row>
    <row r="1003" spans="2:25" ht="15" customHeight="1" thickBot="1" x14ac:dyDescent="0.25">
      <c r="B1003" s="18" t="s">
        <v>3</v>
      </c>
      <c r="C1003" s="24" t="s">
        <v>226</v>
      </c>
      <c r="D1003" s="25" t="s">
        <v>4</v>
      </c>
      <c r="E1003" s="18" t="s">
        <v>225</v>
      </c>
      <c r="F1003" s="19">
        <v>1</v>
      </c>
      <c r="G1003" s="19">
        <v>2</v>
      </c>
      <c r="H1003" s="19">
        <v>3</v>
      </c>
      <c r="I1003" s="19">
        <v>4</v>
      </c>
      <c r="J1003" s="19">
        <v>5</v>
      </c>
      <c r="K1003" s="19">
        <v>6</v>
      </c>
      <c r="L1003" s="19">
        <v>7</v>
      </c>
      <c r="M1003" s="19">
        <v>8</v>
      </c>
      <c r="N1003" s="19">
        <v>9</v>
      </c>
      <c r="O1003" s="19">
        <v>10</v>
      </c>
      <c r="P1003" s="19">
        <v>11</v>
      </c>
      <c r="Q1003" s="19">
        <v>12</v>
      </c>
      <c r="R1003" s="19">
        <v>13</v>
      </c>
      <c r="S1003" s="19">
        <v>14</v>
      </c>
      <c r="T1003" s="19">
        <v>15</v>
      </c>
      <c r="U1003" s="19">
        <v>16</v>
      </c>
      <c r="V1003" s="19">
        <v>17</v>
      </c>
      <c r="W1003" s="19">
        <v>18</v>
      </c>
      <c r="X1003" s="19">
        <v>19</v>
      </c>
      <c r="Y1003" s="19">
        <v>20</v>
      </c>
    </row>
    <row r="1004" spans="2:25" ht="15" customHeight="1" x14ac:dyDescent="0.2">
      <c r="B1004" s="246" t="s">
        <v>157</v>
      </c>
      <c r="C1004" s="95">
        <f>E1004/SUM(E1004:E1006)</f>
        <v>0.53085210577864839</v>
      </c>
      <c r="D1004" s="81" t="s">
        <v>0</v>
      </c>
      <c r="E1004" s="82">
        <f>SUM(F1004:Y1004)</f>
        <v>2710</v>
      </c>
      <c r="F1004" s="82">
        <f t="shared" ref="F1004:Y1004" si="2401">SUM(F1010,F1016,F1022,F1028,F1034,F1040,F1046,F1052,F1058,F1064,F1070,F1076,F1082,F1088,F1094,F1100,F1106)</f>
        <v>353</v>
      </c>
      <c r="G1004" s="82">
        <f t="shared" si="2401"/>
        <v>287</v>
      </c>
      <c r="H1004" s="82">
        <f t="shared" si="2401"/>
        <v>281</v>
      </c>
      <c r="I1004" s="82">
        <f t="shared" si="2401"/>
        <v>342</v>
      </c>
      <c r="J1004" s="82">
        <f t="shared" si="2401"/>
        <v>349</v>
      </c>
      <c r="K1004" s="82">
        <f t="shared" si="2401"/>
        <v>340</v>
      </c>
      <c r="L1004" s="82">
        <f t="shared" si="2401"/>
        <v>349</v>
      </c>
      <c r="M1004" s="82">
        <f t="shared" si="2401"/>
        <v>190</v>
      </c>
      <c r="N1004" s="82">
        <f t="shared" si="2401"/>
        <v>207</v>
      </c>
      <c r="O1004" s="82">
        <f t="shared" si="2401"/>
        <v>0</v>
      </c>
      <c r="P1004" s="82">
        <f t="shared" si="2401"/>
        <v>0</v>
      </c>
      <c r="Q1004" s="82">
        <f t="shared" si="2401"/>
        <v>12</v>
      </c>
      <c r="R1004" s="82">
        <f t="shared" si="2401"/>
        <v>0</v>
      </c>
      <c r="S1004" s="82">
        <f t="shared" si="2401"/>
        <v>0</v>
      </c>
      <c r="T1004" s="82">
        <f t="shared" si="2401"/>
        <v>0</v>
      </c>
      <c r="U1004" s="82">
        <f>SUM(U1010,U1016,U1022,U1028,U1034,U1040,U1046,U1052,U1058,U1064,U1070,U1076,U1082,U1088,U1094,U1100,U1106)</f>
        <v>0</v>
      </c>
      <c r="V1004" s="82">
        <f>SUM(V1010,V1016,V1022,V1028,V1034,V1040,V1046,V1052,V1058,V1064,V1070,V1076,V1082,V1088,V1094,V1100,V1106)</f>
        <v>0</v>
      </c>
      <c r="W1004" s="82">
        <f t="shared" si="2401"/>
        <v>0</v>
      </c>
      <c r="X1004" s="82">
        <f t="shared" si="2401"/>
        <v>0</v>
      </c>
      <c r="Y1004" s="83">
        <f t="shared" si="2401"/>
        <v>0</v>
      </c>
    </row>
    <row r="1005" spans="2:25" ht="15" customHeight="1" x14ac:dyDescent="0.2">
      <c r="B1005" s="247"/>
      <c r="C1005" s="96">
        <f>E1005/SUM(E1004:E1006)</f>
        <v>0.45974534769833497</v>
      </c>
      <c r="D1005" s="79" t="s">
        <v>1</v>
      </c>
      <c r="E1005" s="80">
        <f t="shared" ref="E1005:E1066" si="2402">SUM(F1005:Y1005)</f>
        <v>2347</v>
      </c>
      <c r="F1005" s="80">
        <f t="shared" ref="F1005:Y1005" si="2403">SUM(F1011,F1017,F1023,F1029,F1035,F1041,F1047,F1053,F1059,F1065,F1071,F1077,F1083,F1089,F1095,F1101,F1107)</f>
        <v>312</v>
      </c>
      <c r="G1005" s="80">
        <f t="shared" si="2403"/>
        <v>228</v>
      </c>
      <c r="H1005" s="80">
        <f t="shared" si="2403"/>
        <v>237</v>
      </c>
      <c r="I1005" s="80">
        <f t="shared" si="2403"/>
        <v>356</v>
      </c>
      <c r="J1005" s="80">
        <f t="shared" si="2403"/>
        <v>279</v>
      </c>
      <c r="K1005" s="80">
        <f t="shared" si="2403"/>
        <v>283</v>
      </c>
      <c r="L1005" s="80">
        <f t="shared" si="2403"/>
        <v>317</v>
      </c>
      <c r="M1005" s="80">
        <f t="shared" si="2403"/>
        <v>159</v>
      </c>
      <c r="N1005" s="80">
        <f t="shared" si="2403"/>
        <v>172</v>
      </c>
      <c r="O1005" s="80">
        <f t="shared" si="2403"/>
        <v>0</v>
      </c>
      <c r="P1005" s="80">
        <f t="shared" si="2403"/>
        <v>0</v>
      </c>
      <c r="Q1005" s="80">
        <f t="shared" si="2403"/>
        <v>4</v>
      </c>
      <c r="R1005" s="80">
        <f t="shared" si="2403"/>
        <v>0</v>
      </c>
      <c r="S1005" s="80">
        <f t="shared" si="2403"/>
        <v>0</v>
      </c>
      <c r="T1005" s="80">
        <f t="shared" si="2403"/>
        <v>0</v>
      </c>
      <c r="U1005" s="80">
        <f t="shared" si="2403"/>
        <v>0</v>
      </c>
      <c r="V1005" s="80">
        <f>SUM(V1011,V1017,V1023,V1029,V1035,V1041,V1047,V1053,V1059,V1065,V1071,V1077,V1083,V1089,V1095,V1101,V1107)</f>
        <v>0</v>
      </c>
      <c r="W1005" s="80">
        <f t="shared" si="2403"/>
        <v>0</v>
      </c>
      <c r="X1005" s="80">
        <f t="shared" si="2403"/>
        <v>0</v>
      </c>
      <c r="Y1005" s="84">
        <f t="shared" si="2403"/>
        <v>0</v>
      </c>
    </row>
    <row r="1006" spans="2:25" ht="15" customHeight="1" thickBot="1" x14ac:dyDescent="0.25">
      <c r="B1006" s="247"/>
      <c r="C1006" s="97">
        <f>E1006/SUM(E1004:E1006)</f>
        <v>9.4025465230166503E-3</v>
      </c>
      <c r="D1006" s="86" t="s">
        <v>2</v>
      </c>
      <c r="E1006" s="87">
        <f t="shared" si="2402"/>
        <v>48</v>
      </c>
      <c r="F1006" s="87">
        <f t="shared" ref="F1006:Y1006" si="2404">SUM(F1012,F1018,F1024,F1030,F1036,F1042,F1048,F1054,F1060,F1066,F1072,F1078,F1084,F1090,F1096,F1102,F1108)</f>
        <v>2</v>
      </c>
      <c r="G1006" s="87">
        <f t="shared" si="2404"/>
        <v>2</v>
      </c>
      <c r="H1006" s="87">
        <f t="shared" si="2404"/>
        <v>2</v>
      </c>
      <c r="I1006" s="87">
        <f t="shared" si="2404"/>
        <v>3</v>
      </c>
      <c r="J1006" s="87">
        <f t="shared" si="2404"/>
        <v>0</v>
      </c>
      <c r="K1006" s="87">
        <f t="shared" si="2404"/>
        <v>5</v>
      </c>
      <c r="L1006" s="87">
        <f t="shared" si="2404"/>
        <v>31</v>
      </c>
      <c r="M1006" s="87">
        <f t="shared" si="2404"/>
        <v>1</v>
      </c>
      <c r="N1006" s="87">
        <f t="shared" si="2404"/>
        <v>1</v>
      </c>
      <c r="O1006" s="87">
        <f t="shared" si="2404"/>
        <v>0</v>
      </c>
      <c r="P1006" s="87">
        <f t="shared" si="2404"/>
        <v>0</v>
      </c>
      <c r="Q1006" s="87">
        <f t="shared" si="2404"/>
        <v>1</v>
      </c>
      <c r="R1006" s="87">
        <f t="shared" si="2404"/>
        <v>0</v>
      </c>
      <c r="S1006" s="87">
        <f t="shared" si="2404"/>
        <v>0</v>
      </c>
      <c r="T1006" s="87">
        <f t="shared" si="2404"/>
        <v>0</v>
      </c>
      <c r="U1006" s="87">
        <f t="shared" si="2404"/>
        <v>0</v>
      </c>
      <c r="V1006" s="87">
        <f>SUM(V1012,V1018,V1024,V1030,V1036,V1042,V1048,V1054,V1060,V1066,V1072,V1078,V1084,V1090,V1096,V1102,V1108)</f>
        <v>0</v>
      </c>
      <c r="W1006" s="87">
        <f t="shared" si="2404"/>
        <v>0</v>
      </c>
      <c r="X1006" s="87">
        <f t="shared" si="2404"/>
        <v>0</v>
      </c>
      <c r="Y1006" s="88">
        <f t="shared" si="2404"/>
        <v>0</v>
      </c>
    </row>
    <row r="1007" spans="2:25" ht="15" customHeight="1" x14ac:dyDescent="0.2">
      <c r="B1007" s="247"/>
      <c r="C1007" s="98">
        <f>E1007/SUM(E1007:E1009)</f>
        <v>0.49970643593991132</v>
      </c>
      <c r="D1007" s="85" t="s">
        <v>0</v>
      </c>
      <c r="E1007" s="151">
        <f t="shared" ref="E1007" si="2405">SUM(E1013,E1019,E1025,E1031,E1037,E1043,E1049,E1055,E1061,E1067,E1073,E1079,E1085,E1091,E1097,E1103,E1109)</f>
        <v>0.49970643593991165</v>
      </c>
      <c r="F1007" s="151">
        <f t="shared" ref="F1007:Y1007" si="2406">SUM(F1013,F1019,F1025,F1031,F1037,F1043,F1049,F1055,F1061,F1067,F1073,F1079,F1085,F1091,F1097,F1103,F1109)</f>
        <v>0.43453075052755258</v>
      </c>
      <c r="G1007" s="151">
        <f t="shared" si="2406"/>
        <v>0.60372223745573184</v>
      </c>
      <c r="H1007" s="151">
        <f t="shared" si="2406"/>
        <v>0.52333909513705135</v>
      </c>
      <c r="I1007" s="151">
        <f t="shared" si="2406"/>
        <v>0.40124015549348629</v>
      </c>
      <c r="J1007" s="151">
        <f t="shared" si="2406"/>
        <v>0.51474005646437504</v>
      </c>
      <c r="K1007" s="151">
        <f t="shared" si="2406"/>
        <v>0.46999829696059137</v>
      </c>
      <c r="L1007" s="151">
        <f t="shared" si="2406"/>
        <v>0.47206805119109058</v>
      </c>
      <c r="M1007" s="151">
        <f t="shared" si="2406"/>
        <v>0.35236954936883758</v>
      </c>
      <c r="N1007" s="151">
        <f>SUM(N1013,N1019,N1025,N1031,N1037,N1043,N1049,N1055,N1061,N1067,N1073,N1079,N1085,N1091,N1097,N1103,N1109)</f>
        <v>0.36947735950223676</v>
      </c>
      <c r="O1007" s="151">
        <f t="shared" si="2406"/>
        <v>0</v>
      </c>
      <c r="P1007" s="151">
        <f t="shared" si="2406"/>
        <v>0</v>
      </c>
      <c r="Q1007" s="151">
        <f t="shared" si="2406"/>
        <v>5.6782675749404397E-2</v>
      </c>
      <c r="R1007" s="151">
        <f t="shared" si="2406"/>
        <v>0</v>
      </c>
      <c r="S1007" s="151">
        <f t="shared" si="2406"/>
        <v>0</v>
      </c>
      <c r="T1007" s="151">
        <f t="shared" si="2406"/>
        <v>0</v>
      </c>
      <c r="U1007" s="151">
        <f t="shared" si="2406"/>
        <v>0</v>
      </c>
      <c r="V1007" s="151">
        <f>SUM(V1013,V1019,V1025,V1031,V1037,V1043,V1049,V1055,V1061,V1067,V1073,V1079,V1085,V1091,V1097,V1103,V1109)</f>
        <v>0</v>
      </c>
      <c r="W1007" s="151">
        <f t="shared" si="2406"/>
        <v>0</v>
      </c>
      <c r="X1007" s="151">
        <f t="shared" si="2406"/>
        <v>0</v>
      </c>
      <c r="Y1007" s="156">
        <f t="shared" si="2406"/>
        <v>0</v>
      </c>
    </row>
    <row r="1008" spans="2:25" ht="15" customHeight="1" x14ac:dyDescent="0.2">
      <c r="B1008" s="247"/>
      <c r="C1008" s="96">
        <f>E1008/SUM(E1007:E1009)</f>
        <v>0.4904765098843808</v>
      </c>
      <c r="D1008" s="79" t="s">
        <v>1</v>
      </c>
      <c r="E1008" s="152">
        <f t="shared" ref="E1008" si="2407">SUM(E1014,E1020,E1026,E1032,E1038,E1044,E1050,E1056,E1062,E1068,E1074,E1080,E1086,E1092,E1098,E1104,E1110)</f>
        <v>0.49047650988438113</v>
      </c>
      <c r="F1008" s="152">
        <f t="shared" ref="F1008:Y1008" si="2408">SUM(F1014,F1020,F1026,F1032,F1038,F1044,F1050,F1056,F1062,F1068,F1074,F1080,F1086,F1092,F1098,F1104,F1110)</f>
        <v>0.45485629947152778</v>
      </c>
      <c r="G1008" s="152">
        <f t="shared" si="2408"/>
        <v>0.35977593808323494</v>
      </c>
      <c r="H1008" s="152">
        <f t="shared" si="2408"/>
        <v>0.45091299621520059</v>
      </c>
      <c r="I1008" s="152">
        <f t="shared" si="2408"/>
        <v>0.59433275144855024</v>
      </c>
      <c r="J1008" s="152">
        <f t="shared" si="2408"/>
        <v>0.46464534697750021</v>
      </c>
      <c r="K1008" s="152">
        <f t="shared" si="2408"/>
        <v>0.43685765833149737</v>
      </c>
      <c r="L1008" s="152">
        <f t="shared" si="2408"/>
        <v>0.49093784803896851</v>
      </c>
      <c r="M1008" s="152">
        <f t="shared" si="2408"/>
        <v>0.4077820817605684</v>
      </c>
      <c r="N1008" s="152">
        <f t="shared" si="2408"/>
        <v>0.3323112758707456</v>
      </c>
      <c r="O1008" s="152">
        <f t="shared" si="2408"/>
        <v>0</v>
      </c>
      <c r="P1008" s="152">
        <f t="shared" si="2408"/>
        <v>0</v>
      </c>
      <c r="Q1008" s="152">
        <f t="shared" si="2408"/>
        <v>1.8927558583134801E-2</v>
      </c>
      <c r="R1008" s="152">
        <f t="shared" si="2408"/>
        <v>0</v>
      </c>
      <c r="S1008" s="152">
        <f t="shared" si="2408"/>
        <v>0</v>
      </c>
      <c r="T1008" s="152">
        <f t="shared" si="2408"/>
        <v>0</v>
      </c>
      <c r="U1008" s="152">
        <f t="shared" si="2408"/>
        <v>0</v>
      </c>
      <c r="V1008" s="152">
        <f>SUM(V1014,V1020,V1026,V1032,V1038,V1044,V1050,V1056,V1062,V1068,V1074,V1080,V1086,V1092,V1098,V1104,V1110)</f>
        <v>0</v>
      </c>
      <c r="W1008" s="152">
        <f t="shared" si="2408"/>
        <v>0</v>
      </c>
      <c r="X1008" s="152">
        <f t="shared" si="2408"/>
        <v>0</v>
      </c>
      <c r="Y1008" s="157">
        <f t="shared" si="2408"/>
        <v>0</v>
      </c>
    </row>
    <row r="1009" spans="2:25" ht="15" customHeight="1" thickBot="1" x14ac:dyDescent="0.25">
      <c r="B1009" s="248"/>
      <c r="C1009" s="99">
        <f>E1009/SUM(E1007:E1009)</f>
        <v>9.8170541757079573E-3</v>
      </c>
      <c r="D1009" s="89" t="s">
        <v>2</v>
      </c>
      <c r="E1009" s="153">
        <f t="shared" ref="E1009" si="2409">SUM(E1015,E1021,E1027,E1033,E1039,E1045,E1051,E1057,E1063,E1069,E1075,E1081,E1087,E1093,E1099,E1105,E1111)</f>
        <v>9.8170541757079642E-3</v>
      </c>
      <c r="F1009" s="153">
        <f t="shared" ref="F1009:Y1009" si="2410">SUM(F1015,F1021,F1027,F1033,F1039,F1045,F1051,F1057,F1063,F1069,F1075,F1081,F1087,F1093,F1099,F1105,F1111)</f>
        <v>1.3519759748891445E-3</v>
      </c>
      <c r="G1009" s="153">
        <f t="shared" si="2410"/>
        <v>1.2022982219348638E-2</v>
      </c>
      <c r="H1009" s="153">
        <f t="shared" si="2410"/>
        <v>5.1333120896235396E-3</v>
      </c>
      <c r="I1009" s="153">
        <f t="shared" si="2410"/>
        <v>4.4270930579642046E-3</v>
      </c>
      <c r="J1009" s="153">
        <f t="shared" si="2410"/>
        <v>0</v>
      </c>
      <c r="K1009" s="153">
        <f t="shared" si="2410"/>
        <v>1.9218980766363868E-2</v>
      </c>
      <c r="L1009" s="153">
        <f t="shared" si="2410"/>
        <v>2.0771493434923217E-2</v>
      </c>
      <c r="M1009" s="153">
        <f t="shared" si="2410"/>
        <v>1.0717294956401387E-3</v>
      </c>
      <c r="N1009" s="153">
        <f t="shared" si="2410"/>
        <v>6.5828396922370481E-3</v>
      </c>
      <c r="O1009" s="153">
        <f t="shared" si="2410"/>
        <v>0</v>
      </c>
      <c r="P1009" s="153">
        <f t="shared" si="2410"/>
        <v>0</v>
      </c>
      <c r="Q1009" s="153">
        <f t="shared" si="2410"/>
        <v>4.7318896457837004E-3</v>
      </c>
      <c r="R1009" s="153">
        <f t="shared" si="2410"/>
        <v>0</v>
      </c>
      <c r="S1009" s="153">
        <f t="shared" si="2410"/>
        <v>0</v>
      </c>
      <c r="T1009" s="153">
        <f t="shared" si="2410"/>
        <v>0</v>
      </c>
      <c r="U1009" s="153">
        <f t="shared" si="2410"/>
        <v>0</v>
      </c>
      <c r="V1009" s="153">
        <f>SUM(V1015,V1021,V1027,V1033,V1039,V1045,V1051,V1057,V1063,V1069,V1075,V1081,V1087,V1093,V1099,V1105,V1111)</f>
        <v>0</v>
      </c>
      <c r="W1009" s="153">
        <f t="shared" si="2410"/>
        <v>0</v>
      </c>
      <c r="X1009" s="153">
        <f t="shared" si="2410"/>
        <v>0</v>
      </c>
      <c r="Y1009" s="158">
        <f t="shared" si="2410"/>
        <v>0</v>
      </c>
    </row>
    <row r="1010" spans="2:25" ht="15" customHeight="1" x14ac:dyDescent="0.2">
      <c r="B1010" s="249" t="s">
        <v>158</v>
      </c>
      <c r="C1010" s="91">
        <f>E1010/SUM(E1010:E1012)</f>
        <v>0.45454545454545453</v>
      </c>
      <c r="D1010" s="67" t="s">
        <v>0</v>
      </c>
      <c r="E1010" s="68">
        <f t="shared" si="2402"/>
        <v>60</v>
      </c>
      <c r="F1010" s="68">
        <f>SUMIFS([0]!Chavez,[0]!Centro,B1012,[0]!Turno,F$1003)</f>
        <v>0</v>
      </c>
      <c r="G1010" s="68">
        <f>SUMIFS([0]!Chavez,[0]!Centro,B1012,[0]!Turno,G$1003)</f>
        <v>0</v>
      </c>
      <c r="H1010" s="68">
        <f>SUMIFS([0]!Chavez,[0]!Centro,B1012,[0]!Turno,H$1003)</f>
        <v>10</v>
      </c>
      <c r="I1010" s="68">
        <f>SUMIFS([0]!Chavez,[0]!Centro,B1012,[0]!Turno,I$1003)</f>
        <v>7</v>
      </c>
      <c r="J1010" s="68">
        <f>SUMIFS([0]!Chavez,[0]!Centro,B1012,[0]!Turno,J$1003)</f>
        <v>15</v>
      </c>
      <c r="K1010" s="68">
        <f>SUMIFS([0]!Chavez,[0]!Centro,B1012,[0]!Turno,K$1003)</f>
        <v>0</v>
      </c>
      <c r="L1010" s="68">
        <f>SUMIFS([0]!Chavez,[0]!Centro,B1012,[0]!Turno,L$1003)</f>
        <v>23</v>
      </c>
      <c r="M1010" s="68">
        <f>SUMIFS([0]!Chavez,[0]!Centro,B1012,[0]!Turno,M$1003)</f>
        <v>5</v>
      </c>
      <c r="N1010" s="68">
        <f>SUMIFS([0]!Chavez,[0]!Centro,B1012,[0]!Turno,N$1003)</f>
        <v>0</v>
      </c>
      <c r="O1010" s="68">
        <f>SUMIFS([0]!Chavez,[0]!Centro,B1012,[0]!Turno,O$1003)</f>
        <v>0</v>
      </c>
      <c r="P1010" s="68">
        <f>SUMIFS([0]!Chavez,[0]!Centro,B1012,[0]!Turno,P$1003)</f>
        <v>0</v>
      </c>
      <c r="Q1010" s="68">
        <f>SUMIFS([0]!Chavez,[0]!Centro,B1012,[0]!Turno,Q$1003)</f>
        <v>0</v>
      </c>
      <c r="R1010" s="68">
        <f>SUMIFS([0]!Chavez,[0]!Centro,B1012,[0]!Turno,R$1003)</f>
        <v>0</v>
      </c>
      <c r="S1010" s="68">
        <f>SUMIFS([0]!Chavez,[0]!Centro,B1012,[0]!Turno,S$1003)</f>
        <v>0</v>
      </c>
      <c r="T1010" s="68">
        <f>SUMIFS([0]!Chavez,[0]!Centro,B1012,[0]!Turno,T$1003)</f>
        <v>0</v>
      </c>
      <c r="U1010" s="68">
        <f>SUMIFS([0]!Chavez,[0]!Centro,B1012,[0]!Turno,U$1003)</f>
        <v>0</v>
      </c>
      <c r="V1010" s="68">
        <f>SUMIFS([0]!Chavez,[0]!Centro,B1012,[0]!Turno,V$1003)</f>
        <v>0</v>
      </c>
      <c r="W1010" s="68">
        <f>SUMIFS([0]!Chavez,[0]!Centro,B1012,[0]!Turno,W$1003)</f>
        <v>0</v>
      </c>
      <c r="X1010" s="68">
        <f>SUMIFS([0]!Chavez,[0]!Centro,B1012,[0]!Turno,X$1003)</f>
        <v>0</v>
      </c>
      <c r="Y1010" s="69">
        <f>SUMIFS([0]!Chavez,[0]!Centro,B1012,[0]!Turno,Y$1003)</f>
        <v>0</v>
      </c>
    </row>
    <row r="1011" spans="2:25" ht="15" customHeight="1" x14ac:dyDescent="0.2">
      <c r="B1011" s="250"/>
      <c r="C1011" s="92">
        <f>E1011/SUM(E1010:E1012)</f>
        <v>0.54545454545454541</v>
      </c>
      <c r="D1011" s="61" t="s">
        <v>1</v>
      </c>
      <c r="E1011" s="62">
        <f t="shared" si="2402"/>
        <v>72</v>
      </c>
      <c r="F1011" s="62">
        <f>SUMIFS([0]!Capriles,[0]!Centro,B1012,[0]!Turno,F$1003)</f>
        <v>0</v>
      </c>
      <c r="G1011" s="62">
        <f>SUMIFS([0]!Capriles,[0]!Centro,B1012,[0]!Turno,G$1003)</f>
        <v>0</v>
      </c>
      <c r="H1011" s="62">
        <f>SUMIFS([0]!Capriles,[0]!Centro,B1012,[0]!Turno,H$1003)</f>
        <v>15</v>
      </c>
      <c r="I1011" s="62">
        <f>SUMIFS([0]!Capriles,[0]!Centro,B1012,[0]!Turno,I$1003)</f>
        <v>10</v>
      </c>
      <c r="J1011" s="62">
        <f>SUMIFS([0]!Capriles,[0]!Centro,B1012,[0]!Turno,J$1003)</f>
        <v>2</v>
      </c>
      <c r="K1011" s="62">
        <f>SUMIFS([0]!Capriles,[0]!Centro,B1012,[0]!Turno,K$1003)</f>
        <v>0</v>
      </c>
      <c r="L1011" s="62">
        <f>SUMIFS([0]!Capriles,[0]!Centro,B1012,[0]!Turno,L$1003)</f>
        <v>30</v>
      </c>
      <c r="M1011" s="62">
        <f>SUMIFS([0]!Capriles,[0]!Centro,B1012,[0]!Turno,M$1003)</f>
        <v>15</v>
      </c>
      <c r="N1011" s="62">
        <f>SUMIFS([0]!Capriles,[0]!Centro,B1012,[0]!Turno,N$1003)</f>
        <v>0</v>
      </c>
      <c r="O1011" s="62">
        <f>SUMIFS([0]!Capriles,[0]!Centro,B1012,[0]!Turno,O$1003)</f>
        <v>0</v>
      </c>
      <c r="P1011" s="62">
        <f>SUMIFS([0]!Capriles,[0]!Centro,B1012,[0]!Turno,P$1003)</f>
        <v>0</v>
      </c>
      <c r="Q1011" s="62">
        <f>SUMIFS([0]!Capriles,[0]!Centro,B1012,[0]!Turno,Q$1003)</f>
        <v>0</v>
      </c>
      <c r="R1011" s="62">
        <f>SUMIFS([0]!Capriles,[0]!Centro,B1012,[0]!Turno,R$1003)</f>
        <v>0</v>
      </c>
      <c r="S1011" s="62">
        <f>SUMIFS([0]!Capriles,[0]!Centro,B1012,[0]!Turno,S$1003)</f>
        <v>0</v>
      </c>
      <c r="T1011" s="62">
        <f>SUMIFS([0]!Capriles,[0]!Centro,B1012,[0]!Turno,T$1003)</f>
        <v>0</v>
      </c>
      <c r="U1011" s="62">
        <f>SUMIFS([0]!Capriles,[0]!Centro,B1012,[0]!Turno,U$1003)</f>
        <v>0</v>
      </c>
      <c r="V1011" s="62">
        <f>SUMIFS([0]!Capriles,[0]!Centro,B1012,[0]!Turno,V$1003)</f>
        <v>0</v>
      </c>
      <c r="W1011" s="62">
        <f>SUMIFS([0]!Capriles,[0]!Centro,B1012,[0]!Turno,W$1003)</f>
        <v>0</v>
      </c>
      <c r="X1011" s="62">
        <f>SUMIFS([0]!Capriles,[0]!Centro,B1012,[0]!Turno,X$1003)</f>
        <v>0</v>
      </c>
      <c r="Y1011" s="70">
        <f>SUMIFS([0]!Capriles,[0]!Centro,B1012,[0]!Turno,Y$1003)</f>
        <v>0</v>
      </c>
    </row>
    <row r="1012" spans="2:25" ht="15" customHeight="1" thickBot="1" x14ac:dyDescent="0.25">
      <c r="B1012" s="251">
        <v>136</v>
      </c>
      <c r="C1012" s="100">
        <f>E1012/SUM(E1010:E1012)</f>
        <v>0</v>
      </c>
      <c r="D1012" s="71" t="s">
        <v>2</v>
      </c>
      <c r="E1012" s="72">
        <f t="shared" si="2402"/>
        <v>0</v>
      </c>
      <c r="F1012" s="72">
        <f>SUMIFS([0]!Otro,[0]!Centro,B1012,[0]!Turno,F$1003)</f>
        <v>0</v>
      </c>
      <c r="G1012" s="72">
        <f>SUMIFS([0]!Otro,[0]!Centro,B1012,[0]!Turno,G$1003)</f>
        <v>0</v>
      </c>
      <c r="H1012" s="72">
        <f>SUMIFS([0]!Otro,[0]!Centro,B1012,[0]!Turno,H$1003)</f>
        <v>0</v>
      </c>
      <c r="I1012" s="72">
        <f>SUMIFS([0]!Otro,[0]!Centro,B1012,[0]!Turno,I$1003)</f>
        <v>0</v>
      </c>
      <c r="J1012" s="72">
        <f>SUMIFS([0]!Otro,[0]!Centro,B1012,[0]!Turno,J$1003)</f>
        <v>0</v>
      </c>
      <c r="K1012" s="72">
        <f>SUMIFS([0]!Otro,[0]!Centro,B1012,[0]!Turno,K$1003)</f>
        <v>0</v>
      </c>
      <c r="L1012" s="72">
        <f>SUMIFS([0]!Otro,[0]!Centro,B1012,[0]!Turno,L$1003)</f>
        <v>0</v>
      </c>
      <c r="M1012" s="72">
        <f>SUMIFS([0]!Otro,[0]!Centro,B1012,[0]!Turno,M$1003)</f>
        <v>0</v>
      </c>
      <c r="N1012" s="72">
        <f>SUMIFS([0]!Otro,[0]!Centro,B1012,[0]!Turno,N$1003)</f>
        <v>0</v>
      </c>
      <c r="O1012" s="72">
        <f>SUMIFS([0]!Otro,[0]!Centro,B1012,[0]!Turno,O$1003)</f>
        <v>0</v>
      </c>
      <c r="P1012" s="72">
        <f>SUMIFS([0]!Otro,[0]!Centro,B1012,[0]!Turno,P$1003)</f>
        <v>0</v>
      </c>
      <c r="Q1012" s="72">
        <f>SUMIFS([0]!Otro,[0]!Centro,B1012,[0]!Turno,Q$1003)</f>
        <v>0</v>
      </c>
      <c r="R1012" s="72">
        <f>SUMIFS([0]!Otro,[0]!Centro,B1012,[0]!Turno,R$1003)</f>
        <v>0</v>
      </c>
      <c r="S1012" s="72">
        <f>SUMIFS([0]!Otro,[0]!Centro,B1012,[0]!Turno,S$1003)</f>
        <v>0</v>
      </c>
      <c r="T1012" s="72">
        <f>SUMIFS([0]!Otro,[0]!Centro,B1012,[0]!Turno,T$1003)</f>
        <v>0</v>
      </c>
      <c r="U1012" s="72">
        <f>SUMIFS([0]!Otro,[0]!Centro,B1012,[0]!Turno,U$1003)</f>
        <v>0</v>
      </c>
      <c r="V1012" s="72">
        <f>SUMIFS([0]!Otro,[0]!Centro,B1012,[0]!Turno,V$1003)</f>
        <v>0</v>
      </c>
      <c r="W1012" s="72">
        <f>SUMIFS([0]!Otro,[0]!Centro,B1012,[0]!Turno,W$1003)</f>
        <v>0</v>
      </c>
      <c r="X1012" s="72">
        <f>SUMIFS([0]!Otro,[0]!Centro,B1012,[0]!Turno,X$1003)</f>
        <v>0</v>
      </c>
      <c r="Y1012" s="73">
        <f>SUMIFS([0]!Otro,[0]!Centro,B1012,[0]!Turno,Y$1003)</f>
        <v>0</v>
      </c>
    </row>
    <row r="1013" spans="2:25" ht="15" customHeight="1" x14ac:dyDescent="0.2">
      <c r="B1013" s="251"/>
      <c r="C1013" s="94">
        <f>E1013/SUM(E1013:E1015)</f>
        <v>0.45454545454545453</v>
      </c>
      <c r="D1013" s="63" t="s">
        <v>0</v>
      </c>
      <c r="E1013" s="150">
        <f>IF((E1010+E1011+E1012)=0,0,(E1010*$B1014)/(E1010+E1011+E1012))</f>
        <v>1.1126746473493364E-2</v>
      </c>
      <c r="F1013" s="150">
        <f>IF((F1010+F1011+F1012)=0,0,(F1010*$B1014)/(F1010+F1011+F1012))</f>
        <v>0</v>
      </c>
      <c r="G1013" s="150">
        <f t="shared" ref="G1013:Y1013" si="2411">IF((G1010+G1011+G1012)=0,0,(G1010*$B1014)/(G1010+G1011+G1012))</f>
        <v>0</v>
      </c>
      <c r="H1013" s="150">
        <f t="shared" si="2411"/>
        <v>9.7915368966741603E-3</v>
      </c>
      <c r="I1013" s="150">
        <f t="shared" si="2411"/>
        <v>1.0079523275988107E-2</v>
      </c>
      <c r="J1013" s="150">
        <f t="shared" si="2411"/>
        <v>2.1598978448545941E-2</v>
      </c>
      <c r="K1013" s="150">
        <f t="shared" si="2411"/>
        <v>0</v>
      </c>
      <c r="L1013" s="150">
        <f t="shared" si="2411"/>
        <v>1.062289380299555E-2</v>
      </c>
      <c r="M1013" s="150">
        <f t="shared" si="2411"/>
        <v>6.1197105604213504E-3</v>
      </c>
      <c r="N1013" s="150">
        <f t="shared" si="2411"/>
        <v>0</v>
      </c>
      <c r="O1013" s="150">
        <f t="shared" si="2411"/>
        <v>0</v>
      </c>
      <c r="P1013" s="150">
        <f t="shared" si="2411"/>
        <v>0</v>
      </c>
      <c r="Q1013" s="150">
        <f t="shared" si="2411"/>
        <v>0</v>
      </c>
      <c r="R1013" s="150">
        <f t="shared" si="2411"/>
        <v>0</v>
      </c>
      <c r="S1013" s="150">
        <f t="shared" si="2411"/>
        <v>0</v>
      </c>
      <c r="T1013" s="150">
        <f t="shared" si="2411"/>
        <v>0</v>
      </c>
      <c r="U1013" s="150">
        <f t="shared" si="2411"/>
        <v>0</v>
      </c>
      <c r="V1013" s="150">
        <f t="shared" si="2411"/>
        <v>0</v>
      </c>
      <c r="W1013" s="150">
        <f t="shared" si="2411"/>
        <v>0</v>
      </c>
      <c r="X1013" s="150">
        <f t="shared" si="2411"/>
        <v>0</v>
      </c>
      <c r="Y1013" s="163">
        <f t="shared" si="2411"/>
        <v>0</v>
      </c>
    </row>
    <row r="1014" spans="2:25" ht="15" customHeight="1" x14ac:dyDescent="0.2">
      <c r="B1014" s="252">
        <v>2.4478842241685402E-2</v>
      </c>
      <c r="C1014" s="92">
        <f>E1014/SUM(E1013:E1015)</f>
        <v>0.54545454545454541</v>
      </c>
      <c r="D1014" s="61" t="s">
        <v>1</v>
      </c>
      <c r="E1014" s="154">
        <f>IF((E1010+E1011+E1012)=0,0,(E1011*$B1014)/(E1010+E1011+E1012))</f>
        <v>1.3352095768192037E-2</v>
      </c>
      <c r="F1014" s="154">
        <f>IF((F1010+F1011+F1012)=0,0,(F1011*$B1014)/(F1010+F1011+F1012))</f>
        <v>0</v>
      </c>
      <c r="G1014" s="154">
        <f t="shared" ref="G1014:Y1014" si="2412">IF((G1010+G1011+G1012)=0,0,(G1011*$B1014)/(G1010+G1011+G1012))</f>
        <v>0</v>
      </c>
      <c r="H1014" s="154">
        <f t="shared" si="2412"/>
        <v>1.4687305345011241E-2</v>
      </c>
      <c r="I1014" s="154">
        <f t="shared" si="2412"/>
        <v>1.4399318965697294E-2</v>
      </c>
      <c r="J1014" s="154">
        <f t="shared" si="2412"/>
        <v>2.8798637931394589E-3</v>
      </c>
      <c r="K1014" s="154">
        <f t="shared" si="2412"/>
        <v>0</v>
      </c>
      <c r="L1014" s="154">
        <f t="shared" si="2412"/>
        <v>1.385594843868985E-2</v>
      </c>
      <c r="M1014" s="154">
        <f t="shared" si="2412"/>
        <v>1.8359131681264053E-2</v>
      </c>
      <c r="N1014" s="154">
        <f t="shared" si="2412"/>
        <v>0</v>
      </c>
      <c r="O1014" s="154">
        <f t="shared" si="2412"/>
        <v>0</v>
      </c>
      <c r="P1014" s="154">
        <f t="shared" si="2412"/>
        <v>0</v>
      </c>
      <c r="Q1014" s="154">
        <f t="shared" si="2412"/>
        <v>0</v>
      </c>
      <c r="R1014" s="154">
        <f t="shared" si="2412"/>
        <v>0</v>
      </c>
      <c r="S1014" s="154">
        <f t="shared" si="2412"/>
        <v>0</v>
      </c>
      <c r="T1014" s="154">
        <f t="shared" si="2412"/>
        <v>0</v>
      </c>
      <c r="U1014" s="154">
        <f t="shared" si="2412"/>
        <v>0</v>
      </c>
      <c r="V1014" s="154">
        <f t="shared" si="2412"/>
        <v>0</v>
      </c>
      <c r="W1014" s="154">
        <f t="shared" si="2412"/>
        <v>0</v>
      </c>
      <c r="X1014" s="154">
        <f t="shared" si="2412"/>
        <v>0</v>
      </c>
      <c r="Y1014" s="159">
        <f t="shared" si="2412"/>
        <v>0</v>
      </c>
    </row>
    <row r="1015" spans="2:25" ht="15" customHeight="1" thickBot="1" x14ac:dyDescent="0.25">
      <c r="B1015" s="253"/>
      <c r="C1015" s="93">
        <f>E1015/SUM(E1013:E1015)</f>
        <v>0</v>
      </c>
      <c r="D1015" s="75" t="s">
        <v>2</v>
      </c>
      <c r="E1015" s="155">
        <f>IF((E1010+E1011+E1012)=0,0,(E1012*$B1014)/(E1010+E1011+E1012))</f>
        <v>0</v>
      </c>
      <c r="F1015" s="155">
        <f>IF((F1010+F1011+F1012)=0,0,(F1012*$B1014)/(F1010+F1011+F1012))</f>
        <v>0</v>
      </c>
      <c r="G1015" s="155">
        <f t="shared" ref="G1015:Y1015" si="2413">IF((G1010+G1011+G1012)=0,0,(G1012*$B1014)/(G1010+G1011+G1012))</f>
        <v>0</v>
      </c>
      <c r="H1015" s="155">
        <f t="shared" si="2413"/>
        <v>0</v>
      </c>
      <c r="I1015" s="155">
        <f t="shared" si="2413"/>
        <v>0</v>
      </c>
      <c r="J1015" s="155">
        <f t="shared" si="2413"/>
        <v>0</v>
      </c>
      <c r="K1015" s="155">
        <f t="shared" si="2413"/>
        <v>0</v>
      </c>
      <c r="L1015" s="155">
        <f t="shared" si="2413"/>
        <v>0</v>
      </c>
      <c r="M1015" s="155">
        <f t="shared" si="2413"/>
        <v>0</v>
      </c>
      <c r="N1015" s="155">
        <f t="shared" si="2413"/>
        <v>0</v>
      </c>
      <c r="O1015" s="155">
        <f t="shared" si="2413"/>
        <v>0</v>
      </c>
      <c r="P1015" s="155">
        <f t="shared" si="2413"/>
        <v>0</v>
      </c>
      <c r="Q1015" s="155">
        <f t="shared" si="2413"/>
        <v>0</v>
      </c>
      <c r="R1015" s="155">
        <f t="shared" si="2413"/>
        <v>0</v>
      </c>
      <c r="S1015" s="155">
        <f t="shared" si="2413"/>
        <v>0</v>
      </c>
      <c r="T1015" s="155">
        <f t="shared" si="2413"/>
        <v>0</v>
      </c>
      <c r="U1015" s="155">
        <f t="shared" si="2413"/>
        <v>0</v>
      </c>
      <c r="V1015" s="155">
        <f t="shared" si="2413"/>
        <v>0</v>
      </c>
      <c r="W1015" s="155">
        <f t="shared" si="2413"/>
        <v>0</v>
      </c>
      <c r="X1015" s="155">
        <f t="shared" si="2413"/>
        <v>0</v>
      </c>
      <c r="Y1015" s="160">
        <f t="shared" si="2413"/>
        <v>0</v>
      </c>
    </row>
    <row r="1016" spans="2:25" ht="15" customHeight="1" x14ac:dyDescent="0.2">
      <c r="B1016" s="249" t="s">
        <v>159</v>
      </c>
      <c r="C1016" s="91">
        <f>E1016/SUM(E1016:E1018)</f>
        <v>0.64690721649484539</v>
      </c>
      <c r="D1016" s="67" t="s">
        <v>0</v>
      </c>
      <c r="E1016" s="68">
        <f t="shared" si="2402"/>
        <v>251</v>
      </c>
      <c r="F1016" s="68">
        <f>SUMIFS([0]!Chavez,[0]!Centro,B1018,[0]!Turno,F$1003)</f>
        <v>30</v>
      </c>
      <c r="G1016" s="68">
        <f>SUMIFS([0]!Chavez,[0]!Centro,B1018,[0]!Turno,G$1003)</f>
        <v>15</v>
      </c>
      <c r="H1016" s="68">
        <f>SUMIFS([0]!Chavez,[0]!Centro,B1018,[0]!Turno,H$1003)</f>
        <v>38</v>
      </c>
      <c r="I1016" s="68">
        <f>SUMIFS([0]!Chavez,[0]!Centro,B1018,[0]!Turno,I$1003)</f>
        <v>25</v>
      </c>
      <c r="J1016" s="68">
        <f>SUMIFS([0]!Chavez,[0]!Centro,B1018,[0]!Turno,J$1003)</f>
        <v>21</v>
      </c>
      <c r="K1016" s="68">
        <f>SUMIFS([0]!Chavez,[0]!Centro,B1018,[0]!Turno,K$1003)</f>
        <v>22</v>
      </c>
      <c r="L1016" s="68">
        <f>SUMIFS([0]!Chavez,[0]!Centro,B1018,[0]!Turno,L$1003)</f>
        <v>34</v>
      </c>
      <c r="M1016" s="68">
        <f>SUMIFS([0]!Chavez,[0]!Centro,B1018,[0]!Turno,M$1003)</f>
        <v>35</v>
      </c>
      <c r="N1016" s="68">
        <f>SUMIFS([0]!Chavez,[0]!Centro,B1018,[0]!Turno,N$1003)</f>
        <v>19</v>
      </c>
      <c r="O1016" s="68">
        <f>SUMIFS([0]!Chavez,[0]!Centro,B1018,[0]!Turno,O$1003)</f>
        <v>0</v>
      </c>
      <c r="P1016" s="68">
        <f>SUMIFS([0]!Chavez,[0]!Centro,B1018,[0]!Turno,P$1003)</f>
        <v>0</v>
      </c>
      <c r="Q1016" s="68">
        <f>SUMIFS([0]!Chavez,[0]!Centro,B1018,[0]!Turno,Q$1003)</f>
        <v>12</v>
      </c>
      <c r="R1016" s="68">
        <f>SUMIFS([0]!Chavez,[0]!Centro,B1018,[0]!Turno,R$1003)</f>
        <v>0</v>
      </c>
      <c r="S1016" s="68">
        <f>SUMIFS([0]!Chavez,[0]!Centro,B1018,[0]!Turno,S$1003)</f>
        <v>0</v>
      </c>
      <c r="T1016" s="68">
        <f>SUMIFS([0]!Chavez,[0]!Centro,B1018,[0]!Turno,T$1003)</f>
        <v>0</v>
      </c>
      <c r="U1016" s="68">
        <f>SUMIFS([0]!Chavez,[0]!Centro,B1018,[0]!Turno,U$1003)</f>
        <v>0</v>
      </c>
      <c r="V1016" s="68">
        <f>SUMIFS([0]!Chavez,[0]!Centro,B1018,[0]!Turno,V$1003)</f>
        <v>0</v>
      </c>
      <c r="W1016" s="68">
        <f>SUMIFS([0]!Chavez,[0]!Centro,B1018,[0]!Turno,W$1003)</f>
        <v>0</v>
      </c>
      <c r="X1016" s="68">
        <f>SUMIFS([0]!Chavez,[0]!Centro,B1018,[0]!Turno,X$1003)</f>
        <v>0</v>
      </c>
      <c r="Y1016" s="69">
        <f>SUMIFS([0]!Chavez,[0]!Centro,B1018,[0]!Turno,Y$1003)</f>
        <v>0</v>
      </c>
    </row>
    <row r="1017" spans="2:25" ht="15" customHeight="1" x14ac:dyDescent="0.2">
      <c r="B1017" s="250"/>
      <c r="C1017" s="92">
        <f>E1017/SUM(E1016:E1018)</f>
        <v>0.34536082474226804</v>
      </c>
      <c r="D1017" s="61" t="s">
        <v>1</v>
      </c>
      <c r="E1017" s="62">
        <f t="shared" si="2402"/>
        <v>134</v>
      </c>
      <c r="F1017" s="62">
        <f>SUMIFS([0]!Capriles,[0]!Centro,B1018,[0]!Turno,F$1003)</f>
        <v>13</v>
      </c>
      <c r="G1017" s="62">
        <f>SUMIFS([0]!Capriles,[0]!Centro,B1018,[0]!Turno,G$1003)</f>
        <v>12</v>
      </c>
      <c r="H1017" s="62">
        <f>SUMIFS([0]!Capriles,[0]!Centro,B1018,[0]!Turno,H$1003)</f>
        <v>5</v>
      </c>
      <c r="I1017" s="62">
        <f>SUMIFS([0]!Capriles,[0]!Centro,B1018,[0]!Turno,I$1003)</f>
        <v>18</v>
      </c>
      <c r="J1017" s="62">
        <f>SUMIFS([0]!Capriles,[0]!Centro,B1018,[0]!Turno,J$1003)</f>
        <v>10</v>
      </c>
      <c r="K1017" s="62">
        <f>SUMIFS([0]!Capriles,[0]!Centro,B1018,[0]!Turno,K$1003)</f>
        <v>19</v>
      </c>
      <c r="L1017" s="62">
        <f>SUMIFS([0]!Capriles,[0]!Centro,B1018,[0]!Turno,L$1003)</f>
        <v>15</v>
      </c>
      <c r="M1017" s="62">
        <f>SUMIFS([0]!Capriles,[0]!Centro,B1018,[0]!Turno,M$1003)</f>
        <v>24</v>
      </c>
      <c r="N1017" s="62">
        <f>SUMIFS([0]!Capriles,[0]!Centro,B1018,[0]!Turno,N$1003)</f>
        <v>14</v>
      </c>
      <c r="O1017" s="62">
        <f>SUMIFS([0]!Capriles,[0]!Centro,B1018,[0]!Turno,O$1003)</f>
        <v>0</v>
      </c>
      <c r="P1017" s="62">
        <f>SUMIFS([0]!Capriles,[0]!Centro,B1018,[0]!Turno,P$1003)</f>
        <v>0</v>
      </c>
      <c r="Q1017" s="62">
        <f>SUMIFS([0]!Capriles,[0]!Centro,B1018,[0]!Turno,Q$1003)</f>
        <v>4</v>
      </c>
      <c r="R1017" s="62">
        <f>SUMIFS([0]!Capriles,[0]!Centro,B1018,[0]!Turno,R$1003)</f>
        <v>0</v>
      </c>
      <c r="S1017" s="62">
        <f>SUMIFS([0]!Capriles,[0]!Centro,B1018,[0]!Turno,S$1003)</f>
        <v>0</v>
      </c>
      <c r="T1017" s="62">
        <f>SUMIFS([0]!Capriles,[0]!Centro,B1018,[0]!Turno,T$1003)</f>
        <v>0</v>
      </c>
      <c r="U1017" s="62">
        <f>SUMIFS([0]!Capriles,[0]!Centro,B1018,[0]!Turno,U$1003)</f>
        <v>0</v>
      </c>
      <c r="V1017" s="62">
        <f>SUMIFS([0]!Capriles,[0]!Centro,B1018,[0]!Turno,V$1003)</f>
        <v>0</v>
      </c>
      <c r="W1017" s="62">
        <f>SUMIFS([0]!Capriles,[0]!Centro,B1018,[0]!Turno,W$1003)</f>
        <v>0</v>
      </c>
      <c r="X1017" s="62">
        <f>SUMIFS([0]!Capriles,[0]!Centro,B1018,[0]!Turno,X$1003)</f>
        <v>0</v>
      </c>
      <c r="Y1017" s="70">
        <f>SUMIFS([0]!Capriles,[0]!Centro,B1018,[0]!Turno,Y$1003)</f>
        <v>0</v>
      </c>
    </row>
    <row r="1018" spans="2:25" ht="15" customHeight="1" thickBot="1" x14ac:dyDescent="0.25">
      <c r="B1018" s="251">
        <v>137</v>
      </c>
      <c r="C1018" s="100">
        <f>E1018/SUM(E1016:E1018)</f>
        <v>7.7319587628865982E-3</v>
      </c>
      <c r="D1018" s="71" t="s">
        <v>2</v>
      </c>
      <c r="E1018" s="72">
        <f t="shared" si="2402"/>
        <v>3</v>
      </c>
      <c r="F1018" s="72">
        <f>SUMIFS([0]!Otro,[0]!Centro,B1018,[0]!Turno,F$1003)</f>
        <v>0</v>
      </c>
      <c r="G1018" s="72">
        <f>SUMIFS([0]!Otro,[0]!Centro,B1018,[0]!Turno,G$1003)</f>
        <v>0</v>
      </c>
      <c r="H1018" s="72">
        <f>SUMIFS([0]!Otro,[0]!Centro,B1018,[0]!Turno,H$1003)</f>
        <v>0</v>
      </c>
      <c r="I1018" s="72">
        <f>SUMIFS([0]!Otro,[0]!Centro,B1018,[0]!Turno,I$1003)</f>
        <v>2</v>
      </c>
      <c r="J1018" s="72">
        <f>SUMIFS([0]!Otro,[0]!Centro,B1018,[0]!Turno,J$1003)</f>
        <v>0</v>
      </c>
      <c r="K1018" s="72">
        <f>SUMIFS([0]!Otro,[0]!Centro,B1018,[0]!Turno,K$1003)</f>
        <v>0</v>
      </c>
      <c r="L1018" s="72">
        <f>SUMIFS([0]!Otro,[0]!Centro,B1018,[0]!Turno,L$1003)</f>
        <v>0</v>
      </c>
      <c r="M1018" s="72">
        <f>SUMIFS([0]!Otro,[0]!Centro,B1018,[0]!Turno,M$1003)</f>
        <v>0</v>
      </c>
      <c r="N1018" s="72">
        <f>SUMIFS([0]!Otro,[0]!Centro,B1018,[0]!Turno,N$1003)</f>
        <v>0</v>
      </c>
      <c r="O1018" s="72">
        <f>SUMIFS([0]!Otro,[0]!Centro,B1018,[0]!Turno,O$1003)</f>
        <v>0</v>
      </c>
      <c r="P1018" s="72">
        <f>SUMIFS([0]!Otro,[0]!Centro,B1018,[0]!Turno,P$1003)</f>
        <v>0</v>
      </c>
      <c r="Q1018" s="72">
        <f>SUMIFS([0]!Otro,[0]!Centro,B1018,[0]!Turno,Q$1003)</f>
        <v>1</v>
      </c>
      <c r="R1018" s="72">
        <f>SUMIFS([0]!Otro,[0]!Centro,B1018,[0]!Turno,R$1003)</f>
        <v>0</v>
      </c>
      <c r="S1018" s="72">
        <f>SUMIFS([0]!Otro,[0]!Centro,B1018,[0]!Turno,S$1003)</f>
        <v>0</v>
      </c>
      <c r="T1018" s="72">
        <f>SUMIFS([0]!Otro,[0]!Centro,B1018,[0]!Turno,T$1003)</f>
        <v>0</v>
      </c>
      <c r="U1018" s="72">
        <f>SUMIFS([0]!Otro,[0]!Centro,B1018,[0]!Turno,U$1003)</f>
        <v>0</v>
      </c>
      <c r="V1018" s="72">
        <f>SUMIFS([0]!Otro,[0]!Centro,B1018,[0]!Turno,V$1003)</f>
        <v>0</v>
      </c>
      <c r="W1018" s="72">
        <f>SUMIFS([0]!Otro,[0]!Centro,B1018,[0]!Turno,W$1003)</f>
        <v>0</v>
      </c>
      <c r="X1018" s="72">
        <f>SUMIFS([0]!Otro,[0]!Centro,B1018,[0]!Turno,X$1003)</f>
        <v>0</v>
      </c>
      <c r="Y1018" s="73">
        <f>SUMIFS([0]!Otro,[0]!Centro,B1018,[0]!Turno,Y$1003)</f>
        <v>0</v>
      </c>
    </row>
    <row r="1019" spans="2:25" ht="15" customHeight="1" x14ac:dyDescent="0.2">
      <c r="B1019" s="251"/>
      <c r="C1019" s="94">
        <f>E1019/SUM(E1019:E1021)</f>
        <v>0.64690721649484539</v>
      </c>
      <c r="D1019" s="63" t="s">
        <v>0</v>
      </c>
      <c r="E1019" s="150">
        <f>IF((E1016+E1017+E1018)=0,0,(E1016*$B1020)/(E1016+E1017+E1018))</f>
        <v>5.2038590511750117E-2</v>
      </c>
      <c r="F1019" s="150">
        <f>IF((F1016+F1017+F1018)=0,0,(F1016*$B1020)/(F1016+F1017+F1018))</f>
        <v>5.6122412077899697E-2</v>
      </c>
      <c r="G1019" s="150">
        <f t="shared" ref="G1019:Y1019" si="2414">IF((G1016+G1017+G1018)=0,0,(G1016*$B1020)/(G1016+G1017+G1018))</f>
        <v>4.469006887684606E-2</v>
      </c>
      <c r="H1019" s="150">
        <f t="shared" si="2414"/>
        <v>7.1088388632006283E-2</v>
      </c>
      <c r="I1019" s="150">
        <f t="shared" si="2414"/>
        <v>4.4690068876846054E-2</v>
      </c>
      <c r="J1019" s="150">
        <f t="shared" si="2414"/>
        <v>5.4493051727250996E-2</v>
      </c>
      <c r="K1019" s="150">
        <f t="shared" si="2414"/>
        <v>4.3164066524953755E-2</v>
      </c>
      <c r="L1019" s="150">
        <f t="shared" si="2414"/>
        <v>5.5816983984958747E-2</v>
      </c>
      <c r="M1019" s="150">
        <f t="shared" si="2414"/>
        <v>4.7719904054937312E-2</v>
      </c>
      <c r="N1019" s="150">
        <f t="shared" si="2414"/>
        <v>4.631516229054955E-2</v>
      </c>
      <c r="O1019" s="150">
        <f t="shared" si="2414"/>
        <v>0</v>
      </c>
      <c r="P1019" s="150">
        <f t="shared" si="2414"/>
        <v>0</v>
      </c>
      <c r="Q1019" s="150">
        <f t="shared" si="2414"/>
        <v>5.6782675749404397E-2</v>
      </c>
      <c r="R1019" s="150">
        <f t="shared" si="2414"/>
        <v>0</v>
      </c>
      <c r="S1019" s="150">
        <f t="shared" si="2414"/>
        <v>0</v>
      </c>
      <c r="T1019" s="150">
        <f t="shared" si="2414"/>
        <v>0</v>
      </c>
      <c r="U1019" s="150">
        <f t="shared" si="2414"/>
        <v>0</v>
      </c>
      <c r="V1019" s="150">
        <f t="shared" si="2414"/>
        <v>0</v>
      </c>
      <c r="W1019" s="150">
        <f t="shared" si="2414"/>
        <v>0</v>
      </c>
      <c r="X1019" s="150">
        <f t="shared" si="2414"/>
        <v>0</v>
      </c>
      <c r="Y1019" s="163">
        <f t="shared" si="2414"/>
        <v>0</v>
      </c>
    </row>
    <row r="1020" spans="2:25" ht="15" customHeight="1" x14ac:dyDescent="0.2">
      <c r="B1020" s="252">
        <v>8.0442123978322899E-2</v>
      </c>
      <c r="C1020" s="92">
        <f>E1020/SUM(E1019:E1021)</f>
        <v>0.34536082474226815</v>
      </c>
      <c r="D1020" s="61" t="s">
        <v>1</v>
      </c>
      <c r="E1020" s="154">
        <f>IF((E1016+E1017+E1018)=0,0,(E1017*$B1020)/(E1016+E1017+E1018))</f>
        <v>2.7781558281173374E-2</v>
      </c>
      <c r="F1020" s="154">
        <f>IF((F1016+F1017+F1018)=0,0,(F1017*$B1020)/(F1016+F1017+F1018))</f>
        <v>2.4319711900423202E-2</v>
      </c>
      <c r="G1020" s="154">
        <f t="shared" ref="G1020:Y1020" si="2415">IF((G1016+G1017+G1018)=0,0,(G1017*$B1020)/(G1016+G1017+G1018))</f>
        <v>3.5752055101476846E-2</v>
      </c>
      <c r="H1020" s="154">
        <f t="shared" si="2415"/>
        <v>9.3537353463166162E-3</v>
      </c>
      <c r="I1020" s="154">
        <f t="shared" si="2415"/>
        <v>3.217684959132916E-2</v>
      </c>
      <c r="J1020" s="154">
        <f t="shared" si="2415"/>
        <v>2.5949072251071903E-2</v>
      </c>
      <c r="K1020" s="154">
        <f t="shared" si="2415"/>
        <v>3.7278057453369151E-2</v>
      </c>
      <c r="L1020" s="154">
        <f t="shared" si="2415"/>
        <v>2.4625139993364156E-2</v>
      </c>
      <c r="M1020" s="154">
        <f t="shared" si="2415"/>
        <v>3.2722219923385587E-2</v>
      </c>
      <c r="N1020" s="154">
        <f t="shared" si="2415"/>
        <v>3.4126961687773356E-2</v>
      </c>
      <c r="O1020" s="154">
        <f t="shared" si="2415"/>
        <v>0</v>
      </c>
      <c r="P1020" s="154">
        <f t="shared" si="2415"/>
        <v>0</v>
      </c>
      <c r="Q1020" s="154">
        <f t="shared" si="2415"/>
        <v>1.8927558583134801E-2</v>
      </c>
      <c r="R1020" s="154">
        <f t="shared" si="2415"/>
        <v>0</v>
      </c>
      <c r="S1020" s="154">
        <f t="shared" si="2415"/>
        <v>0</v>
      </c>
      <c r="T1020" s="154">
        <f t="shared" si="2415"/>
        <v>0</v>
      </c>
      <c r="U1020" s="154">
        <f t="shared" si="2415"/>
        <v>0</v>
      </c>
      <c r="V1020" s="154">
        <f t="shared" si="2415"/>
        <v>0</v>
      </c>
      <c r="W1020" s="154">
        <f t="shared" si="2415"/>
        <v>0</v>
      </c>
      <c r="X1020" s="154">
        <f t="shared" si="2415"/>
        <v>0</v>
      </c>
      <c r="Y1020" s="159">
        <f t="shared" si="2415"/>
        <v>0</v>
      </c>
    </row>
    <row r="1021" spans="2:25" ht="15" customHeight="1" thickBot="1" x14ac:dyDescent="0.25">
      <c r="B1021" s="253"/>
      <c r="C1021" s="93">
        <f>E1021/SUM(E1019:E1021)</f>
        <v>7.7319587628865991E-3</v>
      </c>
      <c r="D1021" s="75" t="s">
        <v>2</v>
      </c>
      <c r="E1021" s="155">
        <f>IF((E1016+E1017+E1018)=0,0,(E1018*$B1020)/(E1016+E1017+E1018))</f>
        <v>6.2197518539940382E-4</v>
      </c>
      <c r="F1021" s="155">
        <f>IF((F1016+F1017+F1018)=0,0,(F1018*$B1020)/(F1016+F1017+F1018))</f>
        <v>0</v>
      </c>
      <c r="G1021" s="155">
        <f t="shared" ref="G1021:Y1021" si="2416">IF((G1016+G1017+G1018)=0,0,(G1018*$B1020)/(G1016+G1017+G1018))</f>
        <v>0</v>
      </c>
      <c r="H1021" s="155">
        <f t="shared" si="2416"/>
        <v>0</v>
      </c>
      <c r="I1021" s="155">
        <f t="shared" si="2416"/>
        <v>3.5752055101476842E-3</v>
      </c>
      <c r="J1021" s="155">
        <f t="shared" si="2416"/>
        <v>0</v>
      </c>
      <c r="K1021" s="155">
        <f t="shared" si="2416"/>
        <v>0</v>
      </c>
      <c r="L1021" s="155">
        <f t="shared" si="2416"/>
        <v>0</v>
      </c>
      <c r="M1021" s="155">
        <f t="shared" si="2416"/>
        <v>0</v>
      </c>
      <c r="N1021" s="155">
        <f t="shared" si="2416"/>
        <v>0</v>
      </c>
      <c r="O1021" s="155">
        <f t="shared" si="2416"/>
        <v>0</v>
      </c>
      <c r="P1021" s="155">
        <f t="shared" si="2416"/>
        <v>0</v>
      </c>
      <c r="Q1021" s="155">
        <f t="shared" si="2416"/>
        <v>4.7318896457837004E-3</v>
      </c>
      <c r="R1021" s="155">
        <f t="shared" si="2416"/>
        <v>0</v>
      </c>
      <c r="S1021" s="155">
        <f t="shared" si="2416"/>
        <v>0</v>
      </c>
      <c r="T1021" s="155">
        <f t="shared" si="2416"/>
        <v>0</v>
      </c>
      <c r="U1021" s="155">
        <f t="shared" si="2416"/>
        <v>0</v>
      </c>
      <c r="V1021" s="155">
        <f t="shared" si="2416"/>
        <v>0</v>
      </c>
      <c r="W1021" s="155">
        <f t="shared" si="2416"/>
        <v>0</v>
      </c>
      <c r="X1021" s="155">
        <f t="shared" si="2416"/>
        <v>0</v>
      </c>
      <c r="Y1021" s="160">
        <f t="shared" si="2416"/>
        <v>0</v>
      </c>
    </row>
    <row r="1022" spans="2:25" ht="15" customHeight="1" x14ac:dyDescent="0.2">
      <c r="B1022" s="249" t="s">
        <v>160</v>
      </c>
      <c r="C1022" s="91">
        <f>E1022/SUM(E1022:E1024)</f>
        <v>0.61433447098976113</v>
      </c>
      <c r="D1022" s="67" t="s">
        <v>0</v>
      </c>
      <c r="E1022" s="68">
        <f t="shared" si="2402"/>
        <v>180</v>
      </c>
      <c r="F1022" s="68">
        <f>SUMIFS([0]!Chavez,[0]!Centro,B1024,[0]!Turno,F$1003)</f>
        <v>30</v>
      </c>
      <c r="G1022" s="68">
        <f>SUMIFS([0]!Chavez,[0]!Centro,B1024,[0]!Turno,G$1003)</f>
        <v>28</v>
      </c>
      <c r="H1022" s="68">
        <f>SUMIFS([0]!Chavez,[0]!Centro,B1024,[0]!Turno,H$1003)</f>
        <v>19</v>
      </c>
      <c r="I1022" s="68">
        <f>SUMIFS([0]!Chavez,[0]!Centro,B1024,[0]!Turno,I$1003)</f>
        <v>14</v>
      </c>
      <c r="J1022" s="68">
        <f>SUMIFS([0]!Chavez,[0]!Centro,B1024,[0]!Turno,J$1003)</f>
        <v>20</v>
      </c>
      <c r="K1022" s="68">
        <f>SUMIFS([0]!Chavez,[0]!Centro,B1024,[0]!Turno,K$1003)</f>
        <v>19</v>
      </c>
      <c r="L1022" s="68">
        <f>SUMIFS([0]!Chavez,[0]!Centro,B1024,[0]!Turno,L$1003)</f>
        <v>20</v>
      </c>
      <c r="M1022" s="68">
        <f>SUMIFS([0]!Chavez,[0]!Centro,B1024,[0]!Turno,M$1003)</f>
        <v>14</v>
      </c>
      <c r="N1022" s="68">
        <f>SUMIFS([0]!Chavez,[0]!Centro,B1024,[0]!Turno,N$1003)</f>
        <v>16</v>
      </c>
      <c r="O1022" s="68">
        <f>SUMIFS([0]!Chavez,[0]!Centro,B1024,[0]!Turno,O$1003)</f>
        <v>0</v>
      </c>
      <c r="P1022" s="68">
        <f>SUMIFS([0]!Chavez,[0]!Centro,B1024,[0]!Turno,P$1003)</f>
        <v>0</v>
      </c>
      <c r="Q1022" s="68">
        <f>SUMIFS([0]!Chavez,[0]!Centro,B1024,[0]!Turno,Q$1003)</f>
        <v>0</v>
      </c>
      <c r="R1022" s="68">
        <f>SUMIFS([0]!Chavez,[0]!Centro,B1024,[0]!Turno,R$1003)</f>
        <v>0</v>
      </c>
      <c r="S1022" s="68">
        <f>SUMIFS([0]!Chavez,[0]!Centro,B1024,[0]!Turno,S$1003)</f>
        <v>0</v>
      </c>
      <c r="T1022" s="68">
        <f>SUMIFS([0]!Chavez,[0]!Centro,B1024,[0]!Turno,T$1003)</f>
        <v>0</v>
      </c>
      <c r="U1022" s="68">
        <f>SUMIFS([0]!Chavez,[0]!Centro,B1024,[0]!Turno,U$1003)</f>
        <v>0</v>
      </c>
      <c r="V1022" s="68">
        <f>SUMIFS([0]!Chavez,[0]!Centro,B1024,[0]!Turno,V$1003)</f>
        <v>0</v>
      </c>
      <c r="W1022" s="68">
        <f>SUMIFS([0]!Chavez,[0]!Centro,B1024,[0]!Turno,W$1003)</f>
        <v>0</v>
      </c>
      <c r="X1022" s="68">
        <f>SUMIFS([0]!Chavez,[0]!Centro,B1024,[0]!Turno,X$1003)</f>
        <v>0</v>
      </c>
      <c r="Y1022" s="69">
        <f>SUMIFS([0]!Chavez,[0]!Centro,B1024,[0]!Turno,Y$1003)</f>
        <v>0</v>
      </c>
    </row>
    <row r="1023" spans="2:25" ht="15" customHeight="1" x14ac:dyDescent="0.2">
      <c r="B1023" s="250"/>
      <c r="C1023" s="92">
        <f>E1023/SUM(E1022:E1024)</f>
        <v>0.38566552901023893</v>
      </c>
      <c r="D1023" s="61" t="s">
        <v>1</v>
      </c>
      <c r="E1023" s="62">
        <f t="shared" si="2402"/>
        <v>113</v>
      </c>
      <c r="F1023" s="62">
        <f>SUMIFS([0]!Capriles,[0]!Centro,B1024,[0]!Turno,F$1003)</f>
        <v>17</v>
      </c>
      <c r="G1023" s="62">
        <f>SUMIFS([0]!Capriles,[0]!Centro,B1024,[0]!Turno,G$1003)</f>
        <v>15</v>
      </c>
      <c r="H1023" s="62">
        <f>SUMIFS([0]!Capriles,[0]!Centro,B1024,[0]!Turno,H$1003)</f>
        <v>8</v>
      </c>
      <c r="I1023" s="62">
        <f>SUMIFS([0]!Capriles,[0]!Centro,B1024,[0]!Turno,I$1003)</f>
        <v>9</v>
      </c>
      <c r="J1023" s="62">
        <f>SUMIFS([0]!Capriles,[0]!Centro,B1024,[0]!Turno,J$1003)</f>
        <v>12</v>
      </c>
      <c r="K1023" s="62">
        <f>SUMIFS([0]!Capriles,[0]!Centro,B1024,[0]!Turno,K$1003)</f>
        <v>16</v>
      </c>
      <c r="L1023" s="62">
        <f>SUMIFS([0]!Capriles,[0]!Centro,B1024,[0]!Turno,L$1003)</f>
        <v>16</v>
      </c>
      <c r="M1023" s="62">
        <f>SUMIFS([0]!Capriles,[0]!Centro,B1024,[0]!Turno,M$1003)</f>
        <v>5</v>
      </c>
      <c r="N1023" s="62">
        <f>SUMIFS([0]!Capriles,[0]!Centro,B1024,[0]!Turno,N$1003)</f>
        <v>15</v>
      </c>
      <c r="O1023" s="62">
        <f>SUMIFS([0]!Capriles,[0]!Centro,B1024,[0]!Turno,O$1003)</f>
        <v>0</v>
      </c>
      <c r="P1023" s="62">
        <f>SUMIFS([0]!Capriles,[0]!Centro,B1024,[0]!Turno,P$1003)</f>
        <v>0</v>
      </c>
      <c r="Q1023" s="62">
        <f>SUMIFS([0]!Capriles,[0]!Centro,B1024,[0]!Turno,Q$1003)</f>
        <v>0</v>
      </c>
      <c r="R1023" s="62">
        <f>SUMIFS([0]!Capriles,[0]!Centro,B1024,[0]!Turno,R$1003)</f>
        <v>0</v>
      </c>
      <c r="S1023" s="62">
        <f>SUMIFS([0]!Capriles,[0]!Centro,B1024,[0]!Turno,S$1003)</f>
        <v>0</v>
      </c>
      <c r="T1023" s="62">
        <f>SUMIFS([0]!Capriles,[0]!Centro,B1024,[0]!Turno,T$1003)</f>
        <v>0</v>
      </c>
      <c r="U1023" s="62">
        <f>SUMIFS([0]!Capriles,[0]!Centro,B1024,[0]!Turno,U$1003)</f>
        <v>0</v>
      </c>
      <c r="V1023" s="62">
        <f>SUMIFS([0]!Capriles,[0]!Centro,B1024,[0]!Turno,V$1003)</f>
        <v>0</v>
      </c>
      <c r="W1023" s="62">
        <f>SUMIFS([0]!Capriles,[0]!Centro,B1024,[0]!Turno,W$1003)</f>
        <v>0</v>
      </c>
      <c r="X1023" s="62">
        <f>SUMIFS([0]!Capriles,[0]!Centro,B1024,[0]!Turno,X$1003)</f>
        <v>0</v>
      </c>
      <c r="Y1023" s="70">
        <f>SUMIFS([0]!Capriles,[0]!Centro,B1024,[0]!Turno,Y$1003)</f>
        <v>0</v>
      </c>
    </row>
    <row r="1024" spans="2:25" ht="15" customHeight="1" thickBot="1" x14ac:dyDescent="0.25">
      <c r="B1024" s="251">
        <v>138</v>
      </c>
      <c r="C1024" s="100">
        <f>E1024/SUM(E1022:E1024)</f>
        <v>0</v>
      </c>
      <c r="D1024" s="71" t="s">
        <v>2</v>
      </c>
      <c r="E1024" s="72">
        <f t="shared" si="2402"/>
        <v>0</v>
      </c>
      <c r="F1024" s="72">
        <f>SUMIFS([0]!Otro,[0]!Centro,B1024,[0]!Turno,F$1003)</f>
        <v>0</v>
      </c>
      <c r="G1024" s="72">
        <f>SUMIFS([0]!Otro,[0]!Centro,B1024,[0]!Turno,G$1003)</f>
        <v>0</v>
      </c>
      <c r="H1024" s="72">
        <f>SUMIFS([0]!Otro,[0]!Centro,B1024,[0]!Turno,H$1003)</f>
        <v>0</v>
      </c>
      <c r="I1024" s="72">
        <f>SUMIFS([0]!Otro,[0]!Centro,B1024,[0]!Turno,I$1003)</f>
        <v>0</v>
      </c>
      <c r="J1024" s="72">
        <f>SUMIFS([0]!Otro,[0]!Centro,B1024,[0]!Turno,J$1003)</f>
        <v>0</v>
      </c>
      <c r="K1024" s="72">
        <f>SUMIFS([0]!Otro,[0]!Centro,B1024,[0]!Turno,K$1003)</f>
        <v>0</v>
      </c>
      <c r="L1024" s="72">
        <f>SUMIFS([0]!Otro,[0]!Centro,B1024,[0]!Turno,L$1003)</f>
        <v>0</v>
      </c>
      <c r="M1024" s="72">
        <f>SUMIFS([0]!Otro,[0]!Centro,B1024,[0]!Turno,M$1003)</f>
        <v>0</v>
      </c>
      <c r="N1024" s="72">
        <f>SUMIFS([0]!Otro,[0]!Centro,B1024,[0]!Turno,N$1003)</f>
        <v>0</v>
      </c>
      <c r="O1024" s="72">
        <f>SUMIFS([0]!Otro,[0]!Centro,B1024,[0]!Turno,O$1003)</f>
        <v>0</v>
      </c>
      <c r="P1024" s="72">
        <f>SUMIFS([0]!Otro,[0]!Centro,B1024,[0]!Turno,P$1003)</f>
        <v>0</v>
      </c>
      <c r="Q1024" s="72">
        <f>SUMIFS([0]!Otro,[0]!Centro,B1024,[0]!Turno,Q$1003)</f>
        <v>0</v>
      </c>
      <c r="R1024" s="72">
        <f>SUMIFS([0]!Otro,[0]!Centro,B1024,[0]!Turno,R$1003)</f>
        <v>0</v>
      </c>
      <c r="S1024" s="72">
        <f>SUMIFS([0]!Otro,[0]!Centro,B1024,[0]!Turno,S$1003)</f>
        <v>0</v>
      </c>
      <c r="T1024" s="72">
        <f>SUMIFS([0]!Otro,[0]!Centro,B1024,[0]!Turno,T$1003)</f>
        <v>0</v>
      </c>
      <c r="U1024" s="72">
        <f>SUMIFS([0]!Otro,[0]!Centro,B1024,[0]!Turno,U$1003)</f>
        <v>0</v>
      </c>
      <c r="V1024" s="72">
        <f>SUMIFS([0]!Otro,[0]!Centro,B1024,[0]!Turno,V$1003)</f>
        <v>0</v>
      </c>
      <c r="W1024" s="72">
        <f>SUMIFS([0]!Otro,[0]!Centro,B1024,[0]!Turno,W$1003)</f>
        <v>0</v>
      </c>
      <c r="X1024" s="72">
        <f>SUMIFS([0]!Otro,[0]!Centro,B1024,[0]!Turno,X$1003)</f>
        <v>0</v>
      </c>
      <c r="Y1024" s="73">
        <f>SUMIFS([0]!Otro,[0]!Centro,B1024,[0]!Turno,Y$1003)</f>
        <v>0</v>
      </c>
    </row>
    <row r="1025" spans="2:25" ht="15" customHeight="1" x14ac:dyDescent="0.2">
      <c r="B1025" s="251"/>
      <c r="C1025" s="94">
        <f>E1025/SUM(E1025:E1027)</f>
        <v>0.61433447098976113</v>
      </c>
      <c r="D1025" s="63" t="s">
        <v>0</v>
      </c>
      <c r="E1025" s="150">
        <f>IF((E1022+E1023+E1024)=0,0,(E1022*$B1026)/(E1022+E1023+E1024))</f>
        <v>1.8612636936581734E-2</v>
      </c>
      <c r="F1025" s="150">
        <f>IF((F1022+F1023+F1024)=0,0,(F1022*$B1026)/(F1022+F1023+F1024))</f>
        <v>1.9338661781625702E-2</v>
      </c>
      <c r="G1025" s="150">
        <f t="shared" ref="G1025:Y1025" si="2417">IF((G1022+G1023+G1024)=0,0,(G1022*$B1026)/(G1022+G1023+G1024))</f>
        <v>1.9728433259394901E-2</v>
      </c>
      <c r="H1025" s="150">
        <f t="shared" si="2417"/>
        <v>2.1320277741965127E-2</v>
      </c>
      <c r="I1025" s="150">
        <f t="shared" si="2417"/>
        <v>1.8441796307695234E-2</v>
      </c>
      <c r="J1025" s="150">
        <f t="shared" si="2417"/>
        <v>1.89357729945085E-2</v>
      </c>
      <c r="K1025" s="150">
        <f t="shared" si="2417"/>
        <v>1.6447071400944528E-2</v>
      </c>
      <c r="L1025" s="150">
        <f t="shared" si="2417"/>
        <v>1.683179821734089E-2</v>
      </c>
      <c r="M1025" s="150">
        <f t="shared" si="2417"/>
        <v>2.232427974089423E-2</v>
      </c>
      <c r="N1025" s="150">
        <f t="shared" si="2417"/>
        <v>1.5637283505142503E-2</v>
      </c>
      <c r="O1025" s="150">
        <f t="shared" si="2417"/>
        <v>0</v>
      </c>
      <c r="P1025" s="150">
        <f t="shared" si="2417"/>
        <v>0</v>
      </c>
      <c r="Q1025" s="150">
        <f t="shared" si="2417"/>
        <v>0</v>
      </c>
      <c r="R1025" s="150">
        <f t="shared" si="2417"/>
        <v>0</v>
      </c>
      <c r="S1025" s="150">
        <f t="shared" si="2417"/>
        <v>0</v>
      </c>
      <c r="T1025" s="150">
        <f t="shared" si="2417"/>
        <v>0</v>
      </c>
      <c r="U1025" s="150">
        <f t="shared" si="2417"/>
        <v>0</v>
      </c>
      <c r="V1025" s="150">
        <f t="shared" si="2417"/>
        <v>0</v>
      </c>
      <c r="W1025" s="150">
        <f t="shared" si="2417"/>
        <v>0</v>
      </c>
      <c r="X1025" s="150">
        <f t="shared" si="2417"/>
        <v>0</v>
      </c>
      <c r="Y1025" s="163">
        <f t="shared" si="2417"/>
        <v>0</v>
      </c>
    </row>
    <row r="1026" spans="2:25" ht="15" customHeight="1" x14ac:dyDescent="0.2">
      <c r="B1026" s="252">
        <v>3.02972367912136E-2</v>
      </c>
      <c r="C1026" s="92">
        <f>E1026/SUM(E1025:E1027)</f>
        <v>0.38566552901023893</v>
      </c>
      <c r="D1026" s="61" t="s">
        <v>1</v>
      </c>
      <c r="E1026" s="154">
        <f>IF((E1022+E1023+E1024)=0,0,(E1023*$B1026)/(E1022+E1023+E1024))</f>
        <v>1.1684599854631867E-2</v>
      </c>
      <c r="F1026" s="154">
        <f>IF((F1022+F1023+F1024)=0,0,(F1023*$B1026)/(F1022+F1023+F1024))</f>
        <v>1.0958575009587896E-2</v>
      </c>
      <c r="G1026" s="154">
        <f t="shared" ref="G1026:Y1026" si="2418">IF((G1022+G1023+G1024)=0,0,(G1023*$B1026)/(G1022+G1023+G1024))</f>
        <v>1.0568803531818698E-2</v>
      </c>
      <c r="H1026" s="154">
        <f t="shared" si="2418"/>
        <v>8.9769590492484747E-3</v>
      </c>
      <c r="I1026" s="154">
        <f t="shared" si="2418"/>
        <v>1.1855440483518364E-2</v>
      </c>
      <c r="J1026" s="154">
        <f t="shared" si="2418"/>
        <v>1.13614637967051E-2</v>
      </c>
      <c r="K1026" s="154">
        <f t="shared" si="2418"/>
        <v>1.3850165390269073E-2</v>
      </c>
      <c r="L1026" s="154">
        <f t="shared" si="2418"/>
        <v>1.3465438573872711E-2</v>
      </c>
      <c r="M1026" s="154">
        <f t="shared" si="2418"/>
        <v>7.9729570503193677E-3</v>
      </c>
      <c r="N1026" s="154">
        <f t="shared" si="2418"/>
        <v>1.4659953286071097E-2</v>
      </c>
      <c r="O1026" s="154">
        <f t="shared" si="2418"/>
        <v>0</v>
      </c>
      <c r="P1026" s="154">
        <f t="shared" si="2418"/>
        <v>0</v>
      </c>
      <c r="Q1026" s="154">
        <f t="shared" si="2418"/>
        <v>0</v>
      </c>
      <c r="R1026" s="154">
        <f t="shared" si="2418"/>
        <v>0</v>
      </c>
      <c r="S1026" s="154">
        <f t="shared" si="2418"/>
        <v>0</v>
      </c>
      <c r="T1026" s="154">
        <f t="shared" si="2418"/>
        <v>0</v>
      </c>
      <c r="U1026" s="154">
        <f t="shared" si="2418"/>
        <v>0</v>
      </c>
      <c r="V1026" s="154">
        <f t="shared" si="2418"/>
        <v>0</v>
      </c>
      <c r="W1026" s="154">
        <f t="shared" si="2418"/>
        <v>0</v>
      </c>
      <c r="X1026" s="154">
        <f t="shared" si="2418"/>
        <v>0</v>
      </c>
      <c r="Y1026" s="159">
        <f t="shared" si="2418"/>
        <v>0</v>
      </c>
    </row>
    <row r="1027" spans="2:25" ht="15" customHeight="1" thickBot="1" x14ac:dyDescent="0.25">
      <c r="B1027" s="253"/>
      <c r="C1027" s="93">
        <f>E1027/SUM(E1025:E1027)</f>
        <v>0</v>
      </c>
      <c r="D1027" s="75" t="s">
        <v>2</v>
      </c>
      <c r="E1027" s="155">
        <f>IF((E1022+E1023+E1024)=0,0,(E1024*$B1026)/(E1022+E1023+E1024))</f>
        <v>0</v>
      </c>
      <c r="F1027" s="155">
        <f>IF((F1022+F1023+F1024)=0,0,(F1024*$B1026)/(F1022+F1023+F1024))</f>
        <v>0</v>
      </c>
      <c r="G1027" s="155">
        <f t="shared" ref="G1027:Y1027" si="2419">IF((G1022+G1023+G1024)=0,0,(G1024*$B1026)/(G1022+G1023+G1024))</f>
        <v>0</v>
      </c>
      <c r="H1027" s="155">
        <f t="shared" si="2419"/>
        <v>0</v>
      </c>
      <c r="I1027" s="155">
        <f t="shared" si="2419"/>
        <v>0</v>
      </c>
      <c r="J1027" s="155">
        <f t="shared" si="2419"/>
        <v>0</v>
      </c>
      <c r="K1027" s="155">
        <f t="shared" si="2419"/>
        <v>0</v>
      </c>
      <c r="L1027" s="155">
        <f t="shared" si="2419"/>
        <v>0</v>
      </c>
      <c r="M1027" s="155">
        <f t="shared" si="2419"/>
        <v>0</v>
      </c>
      <c r="N1027" s="155">
        <f t="shared" si="2419"/>
        <v>0</v>
      </c>
      <c r="O1027" s="155">
        <f t="shared" si="2419"/>
        <v>0</v>
      </c>
      <c r="P1027" s="155">
        <f t="shared" si="2419"/>
        <v>0</v>
      </c>
      <c r="Q1027" s="155">
        <f t="shared" si="2419"/>
        <v>0</v>
      </c>
      <c r="R1027" s="155">
        <f t="shared" si="2419"/>
        <v>0</v>
      </c>
      <c r="S1027" s="155">
        <f t="shared" si="2419"/>
        <v>0</v>
      </c>
      <c r="T1027" s="155">
        <f t="shared" si="2419"/>
        <v>0</v>
      </c>
      <c r="U1027" s="155">
        <f t="shared" si="2419"/>
        <v>0</v>
      </c>
      <c r="V1027" s="155">
        <f t="shared" si="2419"/>
        <v>0</v>
      </c>
      <c r="W1027" s="155">
        <f t="shared" si="2419"/>
        <v>0</v>
      </c>
      <c r="X1027" s="155">
        <f t="shared" si="2419"/>
        <v>0</v>
      </c>
      <c r="Y1027" s="160">
        <f t="shared" si="2419"/>
        <v>0</v>
      </c>
    </row>
    <row r="1028" spans="2:25" ht="15" customHeight="1" x14ac:dyDescent="0.2">
      <c r="B1028" s="249" t="s">
        <v>161</v>
      </c>
      <c r="C1028" s="91">
        <f>E1028/SUM(E1028:E1030)</f>
        <v>0.59558823529411764</v>
      </c>
      <c r="D1028" s="67" t="s">
        <v>0</v>
      </c>
      <c r="E1028" s="68">
        <f t="shared" si="2402"/>
        <v>324</v>
      </c>
      <c r="F1028" s="68">
        <f>SUMIFS([0]!Chavez,[0]!Centro,B1030,[0]!Turno,F$1003)</f>
        <v>12</v>
      </c>
      <c r="G1028" s="68">
        <f>SUMIFS([0]!Chavez,[0]!Centro,B1030,[0]!Turno,G$1003)</f>
        <v>14</v>
      </c>
      <c r="H1028" s="68">
        <f>SUMIFS([0]!Chavez,[0]!Centro,B1030,[0]!Turno,H$1003)</f>
        <v>13</v>
      </c>
      <c r="I1028" s="68">
        <f>SUMIFS([0]!Chavez,[0]!Centro,B1030,[0]!Turno,I$1003)</f>
        <v>65</v>
      </c>
      <c r="J1028" s="68">
        <f>SUMIFS([0]!Chavez,[0]!Centro,B1030,[0]!Turno,J$1003)</f>
        <v>44</v>
      </c>
      <c r="K1028" s="68">
        <f>SUMIFS([0]!Chavez,[0]!Centro,B1030,[0]!Turno,K$1003)</f>
        <v>40</v>
      </c>
      <c r="L1028" s="68">
        <f>SUMIFS([0]!Chavez,[0]!Centro,B1030,[0]!Turno,L$1003)</f>
        <v>38</v>
      </c>
      <c r="M1028" s="68">
        <f>SUMIFS([0]!Chavez,[0]!Centro,B1030,[0]!Turno,M$1003)</f>
        <v>46</v>
      </c>
      <c r="N1028" s="68">
        <f>SUMIFS([0]!Chavez,[0]!Centro,B1030,[0]!Turno,N$1003)</f>
        <v>52</v>
      </c>
      <c r="O1028" s="68">
        <f>SUMIFS([0]!Chavez,[0]!Centro,B1030,[0]!Turno,O$1003)</f>
        <v>0</v>
      </c>
      <c r="P1028" s="68">
        <f>SUMIFS([0]!Chavez,[0]!Centro,B1030,[0]!Turno,P$1003)</f>
        <v>0</v>
      </c>
      <c r="Q1028" s="68">
        <f>SUMIFS([0]!Chavez,[0]!Centro,B1030,[0]!Turno,Q$1003)</f>
        <v>0</v>
      </c>
      <c r="R1028" s="68">
        <f>SUMIFS([0]!Chavez,[0]!Centro,B1030,[0]!Turno,R$1003)</f>
        <v>0</v>
      </c>
      <c r="S1028" s="68">
        <f>SUMIFS([0]!Chavez,[0]!Centro,B1030,[0]!Turno,S$1003)</f>
        <v>0</v>
      </c>
      <c r="T1028" s="68">
        <f>SUMIFS([0]!Chavez,[0]!Centro,B1030,[0]!Turno,T$1003)</f>
        <v>0</v>
      </c>
      <c r="U1028" s="68">
        <f>SUMIFS([0]!Chavez,[0]!Centro,B1030,[0]!Turno,U$1003)</f>
        <v>0</v>
      </c>
      <c r="V1028" s="68">
        <f>SUMIFS([0]!Chavez,[0]!Centro,B1030,[0]!Turno,V$1003)</f>
        <v>0</v>
      </c>
      <c r="W1028" s="68">
        <f>SUMIFS([0]!Chavez,[0]!Centro,B1030,[0]!Turno,W$1003)</f>
        <v>0</v>
      </c>
      <c r="X1028" s="68">
        <f>SUMIFS([0]!Chavez,[0]!Centro,B1030,[0]!Turno,X$1003)</f>
        <v>0</v>
      </c>
      <c r="Y1028" s="69">
        <f>SUMIFS([0]!Chavez,[0]!Centro,B1030,[0]!Turno,Y$1003)</f>
        <v>0</v>
      </c>
    </row>
    <row r="1029" spans="2:25" ht="15" customHeight="1" x14ac:dyDescent="0.2">
      <c r="B1029" s="250"/>
      <c r="C1029" s="92">
        <f>E1029/SUM(E1028:E1030)</f>
        <v>0.40073529411764708</v>
      </c>
      <c r="D1029" s="61" t="s">
        <v>1</v>
      </c>
      <c r="E1029" s="62">
        <f t="shared" si="2402"/>
        <v>218</v>
      </c>
      <c r="F1029" s="62">
        <f>SUMIFS([0]!Capriles,[0]!Centro,B1030,[0]!Turno,F$1003)</f>
        <v>9</v>
      </c>
      <c r="G1029" s="62">
        <f>SUMIFS([0]!Capriles,[0]!Centro,B1030,[0]!Turno,G$1003)</f>
        <v>10</v>
      </c>
      <c r="H1029" s="62">
        <f>SUMIFS([0]!Capriles,[0]!Centro,B1030,[0]!Turno,H$1003)</f>
        <v>21</v>
      </c>
      <c r="I1029" s="62">
        <f>SUMIFS([0]!Capriles,[0]!Centro,B1030,[0]!Turno,I$1003)</f>
        <v>36</v>
      </c>
      <c r="J1029" s="62">
        <f>SUMIFS([0]!Capriles,[0]!Centro,B1030,[0]!Turno,J$1003)</f>
        <v>35</v>
      </c>
      <c r="K1029" s="62">
        <f>SUMIFS([0]!Capriles,[0]!Centro,B1030,[0]!Turno,K$1003)</f>
        <v>20</v>
      </c>
      <c r="L1029" s="62">
        <f>SUMIFS([0]!Capriles,[0]!Centro,B1030,[0]!Turno,L$1003)</f>
        <v>24</v>
      </c>
      <c r="M1029" s="62">
        <f>SUMIFS([0]!Capriles,[0]!Centro,B1030,[0]!Turno,M$1003)</f>
        <v>30</v>
      </c>
      <c r="N1029" s="62">
        <f>SUMIFS([0]!Capriles,[0]!Centro,B1030,[0]!Turno,N$1003)</f>
        <v>33</v>
      </c>
      <c r="O1029" s="62">
        <f>SUMIFS([0]!Capriles,[0]!Centro,B1030,[0]!Turno,O$1003)</f>
        <v>0</v>
      </c>
      <c r="P1029" s="62">
        <f>SUMIFS([0]!Capriles,[0]!Centro,B1030,[0]!Turno,P$1003)</f>
        <v>0</v>
      </c>
      <c r="Q1029" s="62">
        <f>SUMIFS([0]!Capriles,[0]!Centro,B1030,[0]!Turno,Q$1003)</f>
        <v>0</v>
      </c>
      <c r="R1029" s="62">
        <f>SUMIFS([0]!Capriles,[0]!Centro,B1030,[0]!Turno,R$1003)</f>
        <v>0</v>
      </c>
      <c r="S1029" s="62">
        <f>SUMIFS([0]!Capriles,[0]!Centro,B1030,[0]!Turno,S$1003)</f>
        <v>0</v>
      </c>
      <c r="T1029" s="62">
        <f>SUMIFS([0]!Capriles,[0]!Centro,B1030,[0]!Turno,T$1003)</f>
        <v>0</v>
      </c>
      <c r="U1029" s="62">
        <f>SUMIFS([0]!Capriles,[0]!Centro,B1030,[0]!Turno,U$1003)</f>
        <v>0</v>
      </c>
      <c r="V1029" s="62">
        <f>SUMIFS([0]!Capriles,[0]!Centro,B1030,[0]!Turno,V$1003)</f>
        <v>0</v>
      </c>
      <c r="W1029" s="62">
        <f>SUMIFS([0]!Capriles,[0]!Centro,B1030,[0]!Turno,W$1003)</f>
        <v>0</v>
      </c>
      <c r="X1029" s="62">
        <f>SUMIFS([0]!Capriles,[0]!Centro,B1030,[0]!Turno,X$1003)</f>
        <v>0</v>
      </c>
      <c r="Y1029" s="70">
        <f>SUMIFS([0]!Capriles,[0]!Centro,B1030,[0]!Turno,Y$1003)</f>
        <v>0</v>
      </c>
    </row>
    <row r="1030" spans="2:25" ht="15" customHeight="1" thickBot="1" x14ac:dyDescent="0.25">
      <c r="B1030" s="251">
        <v>139</v>
      </c>
      <c r="C1030" s="100">
        <f>E1030/SUM(E1028:E1030)</f>
        <v>3.6764705882352941E-3</v>
      </c>
      <c r="D1030" s="71" t="s">
        <v>2</v>
      </c>
      <c r="E1030" s="72">
        <f t="shared" si="2402"/>
        <v>2</v>
      </c>
      <c r="F1030" s="72">
        <f>SUMIFS([0]!Otro,[0]!Centro,B1030,[0]!Turno,F$1003)</f>
        <v>0</v>
      </c>
      <c r="G1030" s="72">
        <f>SUMIFS([0]!Otro,[0]!Centro,B1030,[0]!Turno,G$1003)</f>
        <v>0</v>
      </c>
      <c r="H1030" s="72">
        <f>SUMIFS([0]!Otro,[0]!Centro,B1030,[0]!Turno,H$1003)</f>
        <v>1</v>
      </c>
      <c r="I1030" s="72">
        <f>SUMIFS([0]!Otro,[0]!Centro,B1030,[0]!Turno,I$1003)</f>
        <v>0</v>
      </c>
      <c r="J1030" s="72">
        <f>SUMIFS([0]!Otro,[0]!Centro,B1030,[0]!Turno,J$1003)</f>
        <v>0</v>
      </c>
      <c r="K1030" s="72">
        <f>SUMIFS([0]!Otro,[0]!Centro,B1030,[0]!Turno,K$1003)</f>
        <v>1</v>
      </c>
      <c r="L1030" s="72">
        <f>SUMIFS([0]!Otro,[0]!Centro,B1030,[0]!Turno,L$1003)</f>
        <v>0</v>
      </c>
      <c r="M1030" s="72">
        <f>SUMIFS([0]!Otro,[0]!Centro,B1030,[0]!Turno,M$1003)</f>
        <v>0</v>
      </c>
      <c r="N1030" s="72">
        <f>SUMIFS([0]!Otro,[0]!Centro,B1030,[0]!Turno,N$1003)</f>
        <v>0</v>
      </c>
      <c r="O1030" s="72">
        <f>SUMIFS([0]!Otro,[0]!Centro,B1030,[0]!Turno,O$1003)</f>
        <v>0</v>
      </c>
      <c r="P1030" s="72">
        <f>SUMIFS([0]!Otro,[0]!Centro,B1030,[0]!Turno,P$1003)</f>
        <v>0</v>
      </c>
      <c r="Q1030" s="72">
        <f>SUMIFS([0]!Otro,[0]!Centro,B1030,[0]!Turno,Q$1003)</f>
        <v>0</v>
      </c>
      <c r="R1030" s="72">
        <f>SUMIFS([0]!Otro,[0]!Centro,B1030,[0]!Turno,R$1003)</f>
        <v>0</v>
      </c>
      <c r="S1030" s="72">
        <f>SUMIFS([0]!Otro,[0]!Centro,B1030,[0]!Turno,S$1003)</f>
        <v>0</v>
      </c>
      <c r="T1030" s="72">
        <f>SUMIFS([0]!Otro,[0]!Centro,B1030,[0]!Turno,T$1003)</f>
        <v>0</v>
      </c>
      <c r="U1030" s="72">
        <f>SUMIFS([0]!Otro,[0]!Centro,B1030,[0]!Turno,U$1003)</f>
        <v>0</v>
      </c>
      <c r="V1030" s="72">
        <f>SUMIFS([0]!Otro,[0]!Centro,B1030,[0]!Turno,V$1003)</f>
        <v>0</v>
      </c>
      <c r="W1030" s="72">
        <f>SUMIFS([0]!Otro,[0]!Centro,B1030,[0]!Turno,W$1003)</f>
        <v>0</v>
      </c>
      <c r="X1030" s="72">
        <f>SUMIFS([0]!Otro,[0]!Centro,B1030,[0]!Turno,X$1003)</f>
        <v>0</v>
      </c>
      <c r="Y1030" s="73">
        <f>SUMIFS([0]!Otro,[0]!Centro,B1030,[0]!Turno,Y$1003)</f>
        <v>0</v>
      </c>
    </row>
    <row r="1031" spans="2:25" ht="15" customHeight="1" x14ac:dyDescent="0.2">
      <c r="B1031" s="251"/>
      <c r="C1031" s="94">
        <f>E1031/SUM(E1031:E1033)</f>
        <v>0.59558823529411775</v>
      </c>
      <c r="D1031" s="63" t="s">
        <v>0</v>
      </c>
      <c r="E1031" s="150">
        <f>IF((E1028+E1029+E1030)=0,0,(E1028*$B1032)/(E1028+E1029+E1030))</f>
        <v>1.6498013615399799E-2</v>
      </c>
      <c r="F1031" s="150">
        <f>IF((F1028+F1029+F1030)=0,0,(F1028*$B1032)/(F1028+F1029+F1030))</f>
        <v>1.5828782022535258E-2</v>
      </c>
      <c r="G1031" s="150">
        <f t="shared" ref="G1031:Y1031" si="2420">IF((G1028+G1029+G1030)=0,0,(G1028*$B1032)/(G1028+G1029+G1030))</f>
        <v>1.6158548314671409E-2</v>
      </c>
      <c r="H1031" s="150">
        <f t="shared" si="2420"/>
        <v>1.0288708314647918E-2</v>
      </c>
      <c r="I1031" s="150">
        <f t="shared" si="2420"/>
        <v>1.7826969852112729E-2</v>
      </c>
      <c r="J1031" s="150">
        <f t="shared" si="2420"/>
        <v>1.5428053363736895E-2</v>
      </c>
      <c r="K1031" s="150">
        <f t="shared" si="2420"/>
        <v>1.8164176091433899E-2</v>
      </c>
      <c r="L1031" s="150">
        <f t="shared" si="2420"/>
        <v>1.6977645233848298E-2</v>
      </c>
      <c r="M1031" s="150">
        <f t="shared" si="2420"/>
        <v>1.6766012537027475E-2</v>
      </c>
      <c r="N1031" s="150">
        <f t="shared" si="2420"/>
        <v>1.6946107812361277E-2</v>
      </c>
      <c r="O1031" s="150">
        <f t="shared" si="2420"/>
        <v>0</v>
      </c>
      <c r="P1031" s="150">
        <f t="shared" si="2420"/>
        <v>0</v>
      </c>
      <c r="Q1031" s="150">
        <f t="shared" si="2420"/>
        <v>0</v>
      </c>
      <c r="R1031" s="150">
        <f t="shared" si="2420"/>
        <v>0</v>
      </c>
      <c r="S1031" s="150">
        <f t="shared" si="2420"/>
        <v>0</v>
      </c>
      <c r="T1031" s="150">
        <f t="shared" si="2420"/>
        <v>0</v>
      </c>
      <c r="U1031" s="150">
        <f t="shared" si="2420"/>
        <v>0</v>
      </c>
      <c r="V1031" s="150">
        <f t="shared" si="2420"/>
        <v>0</v>
      </c>
      <c r="W1031" s="150">
        <f t="shared" si="2420"/>
        <v>0</v>
      </c>
      <c r="X1031" s="150">
        <f t="shared" si="2420"/>
        <v>0</v>
      </c>
      <c r="Y1031" s="163">
        <f t="shared" si="2420"/>
        <v>0</v>
      </c>
    </row>
    <row r="1032" spans="2:25" ht="15" customHeight="1" x14ac:dyDescent="0.2">
      <c r="B1032" s="252">
        <v>2.77003685394367E-2</v>
      </c>
      <c r="C1032" s="92">
        <f>E1032/SUM(E1031:E1033)</f>
        <v>0.40073529411764708</v>
      </c>
      <c r="D1032" s="61" t="s">
        <v>1</v>
      </c>
      <c r="E1032" s="154">
        <f>IF((E1028+E1029+E1030)=0,0,(E1029*$B1032)/(E1028+E1029+E1030))</f>
        <v>1.1100515333818383E-2</v>
      </c>
      <c r="F1032" s="154">
        <f>IF((F1028+F1029+F1030)=0,0,(F1029*$B1032)/(F1028+F1029+F1030))</f>
        <v>1.1871586516901442E-2</v>
      </c>
      <c r="G1032" s="154">
        <f t="shared" ref="G1032:Y1032" si="2421">IF((G1028+G1029+G1030)=0,0,(G1029*$B1032)/(G1028+G1029+G1030))</f>
        <v>1.1541820224765291E-2</v>
      </c>
      <c r="H1032" s="154">
        <f t="shared" si="2421"/>
        <v>1.6620221123662019E-2</v>
      </c>
      <c r="I1032" s="154">
        <f t="shared" si="2421"/>
        <v>9.8733986873239723E-3</v>
      </c>
      <c r="J1032" s="154">
        <f t="shared" si="2421"/>
        <v>1.2272315175699803E-2</v>
      </c>
      <c r="K1032" s="154">
        <f t="shared" si="2421"/>
        <v>9.0820880457169496E-3</v>
      </c>
      <c r="L1032" s="154">
        <f t="shared" si="2421"/>
        <v>1.07227233055884E-2</v>
      </c>
      <c r="M1032" s="154">
        <f t="shared" si="2421"/>
        <v>1.0934356002409223E-2</v>
      </c>
      <c r="N1032" s="154">
        <f t="shared" si="2421"/>
        <v>1.0754260727075424E-2</v>
      </c>
      <c r="O1032" s="154">
        <f t="shared" si="2421"/>
        <v>0</v>
      </c>
      <c r="P1032" s="154">
        <f t="shared" si="2421"/>
        <v>0</v>
      </c>
      <c r="Q1032" s="154">
        <f t="shared" si="2421"/>
        <v>0</v>
      </c>
      <c r="R1032" s="154">
        <f t="shared" si="2421"/>
        <v>0</v>
      </c>
      <c r="S1032" s="154">
        <f t="shared" si="2421"/>
        <v>0</v>
      </c>
      <c r="T1032" s="154">
        <f t="shared" si="2421"/>
        <v>0</v>
      </c>
      <c r="U1032" s="154">
        <f t="shared" si="2421"/>
        <v>0</v>
      </c>
      <c r="V1032" s="154">
        <f t="shared" si="2421"/>
        <v>0</v>
      </c>
      <c r="W1032" s="154">
        <f t="shared" si="2421"/>
        <v>0</v>
      </c>
      <c r="X1032" s="154">
        <f t="shared" si="2421"/>
        <v>0</v>
      </c>
      <c r="Y1032" s="159">
        <f t="shared" si="2421"/>
        <v>0</v>
      </c>
    </row>
    <row r="1033" spans="2:25" ht="15" customHeight="1" thickBot="1" x14ac:dyDescent="0.25">
      <c r="B1033" s="253"/>
      <c r="C1033" s="93">
        <f>E1033/SUM(E1031:E1033)</f>
        <v>3.6764705882352945E-3</v>
      </c>
      <c r="D1033" s="75" t="s">
        <v>2</v>
      </c>
      <c r="E1033" s="155">
        <f>IF((E1028+E1029+E1030)=0,0,(E1030*$B1032)/(E1028+E1029+E1030))</f>
        <v>1.0183959021851727E-4</v>
      </c>
      <c r="F1033" s="155">
        <f>IF((F1028+F1029+F1030)=0,0,(F1030*$B1032)/(F1028+F1029+F1030))</f>
        <v>0</v>
      </c>
      <c r="G1033" s="155">
        <f t="shared" ref="G1033:Y1033" si="2422">IF((G1028+G1029+G1030)=0,0,(G1030*$B1032)/(G1028+G1029+G1030))</f>
        <v>0</v>
      </c>
      <c r="H1033" s="155">
        <f t="shared" si="2422"/>
        <v>7.914391011267629E-4</v>
      </c>
      <c r="I1033" s="155">
        <f t="shared" si="2422"/>
        <v>0</v>
      </c>
      <c r="J1033" s="155">
        <f t="shared" si="2422"/>
        <v>0</v>
      </c>
      <c r="K1033" s="155">
        <f t="shared" si="2422"/>
        <v>4.5410440228584753E-4</v>
      </c>
      <c r="L1033" s="155">
        <f t="shared" si="2422"/>
        <v>0</v>
      </c>
      <c r="M1033" s="155">
        <f t="shared" si="2422"/>
        <v>0</v>
      </c>
      <c r="N1033" s="155">
        <f t="shared" si="2422"/>
        <v>0</v>
      </c>
      <c r="O1033" s="155">
        <f t="shared" si="2422"/>
        <v>0</v>
      </c>
      <c r="P1033" s="155">
        <f t="shared" si="2422"/>
        <v>0</v>
      </c>
      <c r="Q1033" s="155">
        <f t="shared" si="2422"/>
        <v>0</v>
      </c>
      <c r="R1033" s="155">
        <f t="shared" si="2422"/>
        <v>0</v>
      </c>
      <c r="S1033" s="155">
        <f t="shared" si="2422"/>
        <v>0</v>
      </c>
      <c r="T1033" s="155">
        <f t="shared" si="2422"/>
        <v>0</v>
      </c>
      <c r="U1033" s="155">
        <f t="shared" si="2422"/>
        <v>0</v>
      </c>
      <c r="V1033" s="155">
        <f t="shared" si="2422"/>
        <v>0</v>
      </c>
      <c r="W1033" s="155">
        <f t="shared" si="2422"/>
        <v>0</v>
      </c>
      <c r="X1033" s="155">
        <f t="shared" si="2422"/>
        <v>0</v>
      </c>
      <c r="Y1033" s="160">
        <f t="shared" si="2422"/>
        <v>0</v>
      </c>
    </row>
    <row r="1034" spans="2:25" ht="15" customHeight="1" x14ac:dyDescent="0.2">
      <c r="B1034" s="249" t="s">
        <v>179</v>
      </c>
      <c r="C1034" s="91">
        <f>E1034/SUM(E1034:E1036)</f>
        <v>0.47755102040816327</v>
      </c>
      <c r="D1034" s="67" t="s">
        <v>0</v>
      </c>
      <c r="E1034" s="68">
        <f t="shared" si="2402"/>
        <v>117</v>
      </c>
      <c r="F1034" s="68">
        <f>SUMIFS([0]!Chavez,[0]!Centro,B1036,[0]!Turno,F$1003)</f>
        <v>27</v>
      </c>
      <c r="G1034" s="68">
        <f>SUMIFS([0]!Chavez,[0]!Centro,B1036,[0]!Turno,G$1003)</f>
        <v>17</v>
      </c>
      <c r="H1034" s="68">
        <f>SUMIFS([0]!Chavez,[0]!Centro,B1036,[0]!Turno,H$1003)</f>
        <v>9</v>
      </c>
      <c r="I1034" s="68">
        <f>SUMIFS([0]!Chavez,[0]!Centro,B1036,[0]!Turno,I$1003)</f>
        <v>27</v>
      </c>
      <c r="J1034" s="68">
        <f>SUMIFS([0]!Chavez,[0]!Centro,B1036,[0]!Turno,J$1003)</f>
        <v>11</v>
      </c>
      <c r="K1034" s="68">
        <f>SUMIFS([0]!Chavez,[0]!Centro,B1036,[0]!Turno,K$1003)</f>
        <v>17</v>
      </c>
      <c r="L1034" s="68">
        <f>SUMIFS([0]!Chavez,[0]!Centro,B1036,[0]!Turno,L$1003)</f>
        <v>9</v>
      </c>
      <c r="M1034" s="68">
        <f>SUMIFS([0]!Chavez,[0]!Centro,B1036,[0]!Turno,M$1003)</f>
        <v>0</v>
      </c>
      <c r="N1034" s="68">
        <f>SUMIFS([0]!Chavez,[0]!Centro,B1036,[0]!Turno,N$1003)</f>
        <v>0</v>
      </c>
      <c r="O1034" s="68">
        <f>SUMIFS([0]!Chavez,[0]!Centro,B1036,[0]!Turno,O$1003)</f>
        <v>0</v>
      </c>
      <c r="P1034" s="68">
        <f>SUMIFS([0]!Chavez,[0]!Centro,B1036,[0]!Turno,P$1003)</f>
        <v>0</v>
      </c>
      <c r="Q1034" s="68">
        <f>SUMIFS([0]!Chavez,[0]!Centro,B1036,[0]!Turno,Q$1003)</f>
        <v>0</v>
      </c>
      <c r="R1034" s="68">
        <f>SUMIFS([0]!Chavez,[0]!Centro,B1036,[0]!Turno,R$1003)</f>
        <v>0</v>
      </c>
      <c r="S1034" s="68">
        <f>SUMIFS([0]!Chavez,[0]!Centro,B1036,[0]!Turno,S$1003)</f>
        <v>0</v>
      </c>
      <c r="T1034" s="68">
        <f>SUMIFS([0]!Chavez,[0]!Centro,B1036,[0]!Turno,T$1003)</f>
        <v>0</v>
      </c>
      <c r="U1034" s="68">
        <f>SUMIFS([0]!Chavez,[0]!Centro,B1036,[0]!Turno,U$1003)</f>
        <v>0</v>
      </c>
      <c r="V1034" s="68">
        <f>SUMIFS([0]!Chavez,[0]!Centro,B1036,[0]!Turno,V$1003)</f>
        <v>0</v>
      </c>
      <c r="W1034" s="68">
        <f>SUMIFS([0]!Chavez,[0]!Centro,B1036,[0]!Turno,W$1003)</f>
        <v>0</v>
      </c>
      <c r="X1034" s="68">
        <f>SUMIFS([0]!Chavez,[0]!Centro,B1036,[0]!Turno,X$1003)</f>
        <v>0</v>
      </c>
      <c r="Y1034" s="69">
        <f>SUMIFS([0]!Chavez,[0]!Centro,B1036,[0]!Turno,Y$1003)</f>
        <v>0</v>
      </c>
    </row>
    <row r="1035" spans="2:25" ht="15" customHeight="1" x14ac:dyDescent="0.2">
      <c r="B1035" s="250"/>
      <c r="C1035" s="92">
        <f>E1035/SUM(E1034:E1036)</f>
        <v>0.52244897959183678</v>
      </c>
      <c r="D1035" s="61" t="s">
        <v>1</v>
      </c>
      <c r="E1035" s="62">
        <f t="shared" si="2402"/>
        <v>128</v>
      </c>
      <c r="F1035" s="62">
        <f>SUMIFS([0]!Capriles,[0]!Centro,B1036,[0]!Turno,F$1003)</f>
        <v>24</v>
      </c>
      <c r="G1035" s="62">
        <f>SUMIFS([0]!Capriles,[0]!Centro,B1036,[0]!Turno,G$1003)</f>
        <v>23</v>
      </c>
      <c r="H1035" s="62">
        <f>SUMIFS([0]!Capriles,[0]!Centro,B1036,[0]!Turno,H$1003)</f>
        <v>21</v>
      </c>
      <c r="I1035" s="62">
        <f>SUMIFS([0]!Capriles,[0]!Centro,B1036,[0]!Turno,I$1003)</f>
        <v>20</v>
      </c>
      <c r="J1035" s="62">
        <f>SUMIFS([0]!Capriles,[0]!Centro,B1036,[0]!Turno,J$1003)</f>
        <v>9</v>
      </c>
      <c r="K1035" s="62">
        <f>SUMIFS([0]!Capriles,[0]!Centro,B1036,[0]!Turno,K$1003)</f>
        <v>22</v>
      </c>
      <c r="L1035" s="62">
        <f>SUMIFS([0]!Capriles,[0]!Centro,B1036,[0]!Turno,L$1003)</f>
        <v>7</v>
      </c>
      <c r="M1035" s="62">
        <f>SUMIFS([0]!Capriles,[0]!Centro,B1036,[0]!Turno,M$1003)</f>
        <v>2</v>
      </c>
      <c r="N1035" s="62">
        <f>SUMIFS([0]!Capriles,[0]!Centro,B1036,[0]!Turno,N$1003)</f>
        <v>0</v>
      </c>
      <c r="O1035" s="62">
        <f>SUMIFS([0]!Capriles,[0]!Centro,B1036,[0]!Turno,O$1003)</f>
        <v>0</v>
      </c>
      <c r="P1035" s="62">
        <f>SUMIFS([0]!Capriles,[0]!Centro,B1036,[0]!Turno,P$1003)</f>
        <v>0</v>
      </c>
      <c r="Q1035" s="62">
        <f>SUMIFS([0]!Capriles,[0]!Centro,B1036,[0]!Turno,Q$1003)</f>
        <v>0</v>
      </c>
      <c r="R1035" s="62">
        <f>SUMIFS([0]!Capriles,[0]!Centro,B1036,[0]!Turno,R$1003)</f>
        <v>0</v>
      </c>
      <c r="S1035" s="62">
        <f>SUMIFS([0]!Capriles,[0]!Centro,B1036,[0]!Turno,S$1003)</f>
        <v>0</v>
      </c>
      <c r="T1035" s="62">
        <f>SUMIFS([0]!Capriles,[0]!Centro,B1036,[0]!Turno,T$1003)</f>
        <v>0</v>
      </c>
      <c r="U1035" s="62">
        <f>SUMIFS([0]!Capriles,[0]!Centro,B1036,[0]!Turno,U$1003)</f>
        <v>0</v>
      </c>
      <c r="V1035" s="62">
        <f>SUMIFS([0]!Capriles,[0]!Centro,B1036,[0]!Turno,V$1003)</f>
        <v>0</v>
      </c>
      <c r="W1035" s="62">
        <f>SUMIFS([0]!Capriles,[0]!Centro,B1036,[0]!Turno,W$1003)</f>
        <v>0</v>
      </c>
      <c r="X1035" s="62">
        <f>SUMIFS([0]!Capriles,[0]!Centro,B1036,[0]!Turno,X$1003)</f>
        <v>0</v>
      </c>
      <c r="Y1035" s="70">
        <f>SUMIFS([0]!Capriles,[0]!Centro,B1036,[0]!Turno,Y$1003)</f>
        <v>0</v>
      </c>
    </row>
    <row r="1036" spans="2:25" ht="15" customHeight="1" thickBot="1" x14ac:dyDescent="0.25">
      <c r="B1036" s="251">
        <v>140</v>
      </c>
      <c r="C1036" s="100">
        <f>E1036/SUM(E1034:E1036)</f>
        <v>0</v>
      </c>
      <c r="D1036" s="71" t="s">
        <v>2</v>
      </c>
      <c r="E1036" s="72">
        <f t="shared" si="2402"/>
        <v>0</v>
      </c>
      <c r="F1036" s="72">
        <f>SUMIFS([0]!Otro,[0]!Centro,B1036,[0]!Turno,F$1003)</f>
        <v>0</v>
      </c>
      <c r="G1036" s="72">
        <f>SUMIFS([0]!Otro,[0]!Centro,B1036,[0]!Turno,G$1003)</f>
        <v>0</v>
      </c>
      <c r="H1036" s="72">
        <f>SUMIFS([0]!Otro,[0]!Centro,B1036,[0]!Turno,H$1003)</f>
        <v>0</v>
      </c>
      <c r="I1036" s="72">
        <f>SUMIFS([0]!Otro,[0]!Centro,B1036,[0]!Turno,I$1003)</f>
        <v>0</v>
      </c>
      <c r="J1036" s="72">
        <f>SUMIFS([0]!Otro,[0]!Centro,B1036,[0]!Turno,J$1003)</f>
        <v>0</v>
      </c>
      <c r="K1036" s="72">
        <f>SUMIFS([0]!Otro,[0]!Centro,B1036,[0]!Turno,K$1003)</f>
        <v>0</v>
      </c>
      <c r="L1036" s="72">
        <f>SUMIFS([0]!Otro,[0]!Centro,B1036,[0]!Turno,L$1003)</f>
        <v>0</v>
      </c>
      <c r="M1036" s="72">
        <f>SUMIFS([0]!Otro,[0]!Centro,B1036,[0]!Turno,M$1003)</f>
        <v>0</v>
      </c>
      <c r="N1036" s="72">
        <f>SUMIFS([0]!Otro,[0]!Centro,B1036,[0]!Turno,N$1003)</f>
        <v>0</v>
      </c>
      <c r="O1036" s="72">
        <f>SUMIFS([0]!Otro,[0]!Centro,B1036,[0]!Turno,O$1003)</f>
        <v>0</v>
      </c>
      <c r="P1036" s="72">
        <f>SUMIFS([0]!Otro,[0]!Centro,B1036,[0]!Turno,P$1003)</f>
        <v>0</v>
      </c>
      <c r="Q1036" s="72">
        <f>SUMIFS([0]!Otro,[0]!Centro,B1036,[0]!Turno,Q$1003)</f>
        <v>0</v>
      </c>
      <c r="R1036" s="72">
        <f>SUMIFS([0]!Otro,[0]!Centro,B1036,[0]!Turno,R$1003)</f>
        <v>0</v>
      </c>
      <c r="S1036" s="72">
        <f>SUMIFS([0]!Otro,[0]!Centro,B1036,[0]!Turno,S$1003)</f>
        <v>0</v>
      </c>
      <c r="T1036" s="72">
        <f>SUMIFS([0]!Otro,[0]!Centro,B1036,[0]!Turno,T$1003)</f>
        <v>0</v>
      </c>
      <c r="U1036" s="72">
        <f>SUMIFS([0]!Otro,[0]!Centro,B1036,[0]!Turno,U$1003)</f>
        <v>0</v>
      </c>
      <c r="V1036" s="72">
        <f>SUMIFS([0]!Otro,[0]!Centro,B1036,[0]!Turno,V$1003)</f>
        <v>0</v>
      </c>
      <c r="W1036" s="72">
        <f>SUMIFS([0]!Otro,[0]!Centro,B1036,[0]!Turno,W$1003)</f>
        <v>0</v>
      </c>
      <c r="X1036" s="72">
        <f>SUMIFS([0]!Otro,[0]!Centro,B1036,[0]!Turno,X$1003)</f>
        <v>0</v>
      </c>
      <c r="Y1036" s="73">
        <f>SUMIFS([0]!Otro,[0]!Centro,B1036,[0]!Turno,Y$1003)</f>
        <v>0</v>
      </c>
    </row>
    <row r="1037" spans="2:25" ht="15" customHeight="1" x14ac:dyDescent="0.2">
      <c r="B1037" s="251"/>
      <c r="C1037" s="94">
        <f>E1037/SUM(E1037:E1039)</f>
        <v>0.47755102040816322</v>
      </c>
      <c r="D1037" s="63" t="s">
        <v>0</v>
      </c>
      <c r="E1037" s="150">
        <f>IF((E1034+E1035+E1036)=0,0,(E1034*$B1038)/(E1034+E1035+E1036))</f>
        <v>1.3549575788663394E-2</v>
      </c>
      <c r="F1037" s="150">
        <f>IF((F1034+F1035+F1036)=0,0,(F1034*$B1038)/(F1034+F1035+F1036))</f>
        <v>1.5021022933133628E-2</v>
      </c>
      <c r="G1037" s="150">
        <f t="shared" ref="G1037:Y1037" si="2423">IF((G1034+G1035+G1036)=0,0,(G1034*$B1038)/(G1034+G1035+G1036))</f>
        <v>1.2058543410210051E-2</v>
      </c>
      <c r="H1037" s="150">
        <f t="shared" si="2423"/>
        <v>8.5119129954423882E-3</v>
      </c>
      <c r="I1037" s="150">
        <f t="shared" si="2423"/>
        <v>1.6299407863613086E-2</v>
      </c>
      <c r="J1037" s="150">
        <f t="shared" si="2423"/>
        <v>1.5605173824977715E-2</v>
      </c>
      <c r="K1037" s="150">
        <f t="shared" si="2423"/>
        <v>1.2367736830984669E-2</v>
      </c>
      <c r="L1037" s="150">
        <f t="shared" si="2423"/>
        <v>1.5959836866454479E-2</v>
      </c>
      <c r="M1037" s="150">
        <f t="shared" si="2423"/>
        <v>0</v>
      </c>
      <c r="N1037" s="150">
        <f t="shared" si="2423"/>
        <v>0</v>
      </c>
      <c r="O1037" s="150">
        <f t="shared" si="2423"/>
        <v>0</v>
      </c>
      <c r="P1037" s="150">
        <f t="shared" si="2423"/>
        <v>0</v>
      </c>
      <c r="Q1037" s="150">
        <f t="shared" si="2423"/>
        <v>0</v>
      </c>
      <c r="R1037" s="150">
        <f t="shared" si="2423"/>
        <v>0</v>
      </c>
      <c r="S1037" s="150">
        <f t="shared" si="2423"/>
        <v>0</v>
      </c>
      <c r="T1037" s="150">
        <f t="shared" si="2423"/>
        <v>0</v>
      </c>
      <c r="U1037" s="150">
        <f t="shared" si="2423"/>
        <v>0</v>
      </c>
      <c r="V1037" s="150">
        <f t="shared" si="2423"/>
        <v>0</v>
      </c>
      <c r="W1037" s="150">
        <f t="shared" si="2423"/>
        <v>0</v>
      </c>
      <c r="X1037" s="150">
        <f t="shared" si="2423"/>
        <v>0</v>
      </c>
      <c r="Y1037" s="163">
        <f t="shared" si="2423"/>
        <v>0</v>
      </c>
    </row>
    <row r="1038" spans="2:25" ht="15" customHeight="1" x14ac:dyDescent="0.2">
      <c r="B1038" s="252">
        <v>2.8373043318141299E-2</v>
      </c>
      <c r="C1038" s="92">
        <f>E1038/SUM(E1037:E1039)</f>
        <v>0.52244897959183667</v>
      </c>
      <c r="D1038" s="61" t="s">
        <v>1</v>
      </c>
      <c r="E1038" s="154">
        <f>IF((E1034+E1035+E1036)=0,0,(E1035*$B1038)/(E1034+E1035+E1036))</f>
        <v>1.4823467529477902E-2</v>
      </c>
      <c r="F1038" s="154">
        <f>IF((F1034+F1035+F1036)=0,0,(F1035*$B1038)/(F1034+F1035+F1036))</f>
        <v>1.3352020385007669E-2</v>
      </c>
      <c r="G1038" s="154">
        <f t="shared" ref="G1038:Y1038" si="2424">IF((G1034+G1035+G1036)=0,0,(G1035*$B1038)/(G1034+G1035+G1036))</f>
        <v>1.6314499907931247E-2</v>
      </c>
      <c r="H1038" s="154">
        <f t="shared" si="2424"/>
        <v>1.986113032269891E-2</v>
      </c>
      <c r="I1038" s="154">
        <f t="shared" si="2424"/>
        <v>1.2073635454528213E-2</v>
      </c>
      <c r="J1038" s="154">
        <f t="shared" si="2424"/>
        <v>1.2767869493163584E-2</v>
      </c>
      <c r="K1038" s="154">
        <f t="shared" si="2424"/>
        <v>1.6005306487156628E-2</v>
      </c>
      <c r="L1038" s="154">
        <f t="shared" si="2424"/>
        <v>1.2413206451686818E-2</v>
      </c>
      <c r="M1038" s="154">
        <f t="shared" si="2424"/>
        <v>2.8373043318141299E-2</v>
      </c>
      <c r="N1038" s="154">
        <f t="shared" si="2424"/>
        <v>0</v>
      </c>
      <c r="O1038" s="154">
        <f t="shared" si="2424"/>
        <v>0</v>
      </c>
      <c r="P1038" s="154">
        <f t="shared" si="2424"/>
        <v>0</v>
      </c>
      <c r="Q1038" s="154">
        <f t="shared" si="2424"/>
        <v>0</v>
      </c>
      <c r="R1038" s="154">
        <f t="shared" si="2424"/>
        <v>0</v>
      </c>
      <c r="S1038" s="154">
        <f t="shared" si="2424"/>
        <v>0</v>
      </c>
      <c r="T1038" s="154">
        <f t="shared" si="2424"/>
        <v>0</v>
      </c>
      <c r="U1038" s="154">
        <f t="shared" si="2424"/>
        <v>0</v>
      </c>
      <c r="V1038" s="154">
        <f t="shared" si="2424"/>
        <v>0</v>
      </c>
      <c r="W1038" s="154">
        <f t="shared" si="2424"/>
        <v>0</v>
      </c>
      <c r="X1038" s="154">
        <f t="shared" si="2424"/>
        <v>0</v>
      </c>
      <c r="Y1038" s="159">
        <f t="shared" si="2424"/>
        <v>0</v>
      </c>
    </row>
    <row r="1039" spans="2:25" ht="15" customHeight="1" thickBot="1" x14ac:dyDescent="0.25">
      <c r="B1039" s="253"/>
      <c r="C1039" s="93">
        <f>E1039/SUM(E1037:E1039)</f>
        <v>0</v>
      </c>
      <c r="D1039" s="75" t="s">
        <v>2</v>
      </c>
      <c r="E1039" s="155">
        <f>IF((E1034+E1035+E1036)=0,0,(E1036*$B1038)/(E1034+E1035+E1036))</f>
        <v>0</v>
      </c>
      <c r="F1039" s="155">
        <f>IF((F1034+F1035+F1036)=0,0,(F1036*$B1038)/(F1034+F1035+F1036))</f>
        <v>0</v>
      </c>
      <c r="G1039" s="155">
        <f t="shared" ref="G1039:Y1039" si="2425">IF((G1034+G1035+G1036)=0,0,(G1036*$B1038)/(G1034+G1035+G1036))</f>
        <v>0</v>
      </c>
      <c r="H1039" s="155">
        <f t="shared" si="2425"/>
        <v>0</v>
      </c>
      <c r="I1039" s="155">
        <f t="shared" si="2425"/>
        <v>0</v>
      </c>
      <c r="J1039" s="155">
        <f t="shared" si="2425"/>
        <v>0</v>
      </c>
      <c r="K1039" s="155">
        <f t="shared" si="2425"/>
        <v>0</v>
      </c>
      <c r="L1039" s="155">
        <f t="shared" si="2425"/>
        <v>0</v>
      </c>
      <c r="M1039" s="155">
        <f t="shared" si="2425"/>
        <v>0</v>
      </c>
      <c r="N1039" s="155">
        <f t="shared" si="2425"/>
        <v>0</v>
      </c>
      <c r="O1039" s="155">
        <f t="shared" si="2425"/>
        <v>0</v>
      </c>
      <c r="P1039" s="155">
        <f t="shared" si="2425"/>
        <v>0</v>
      </c>
      <c r="Q1039" s="155">
        <f t="shared" si="2425"/>
        <v>0</v>
      </c>
      <c r="R1039" s="155">
        <f t="shared" si="2425"/>
        <v>0</v>
      </c>
      <c r="S1039" s="155">
        <f t="shared" si="2425"/>
        <v>0</v>
      </c>
      <c r="T1039" s="155">
        <f t="shared" si="2425"/>
        <v>0</v>
      </c>
      <c r="U1039" s="155">
        <f t="shared" si="2425"/>
        <v>0</v>
      </c>
      <c r="V1039" s="155">
        <f t="shared" si="2425"/>
        <v>0</v>
      </c>
      <c r="W1039" s="155">
        <f t="shared" si="2425"/>
        <v>0</v>
      </c>
      <c r="X1039" s="155">
        <f t="shared" si="2425"/>
        <v>0</v>
      </c>
      <c r="Y1039" s="160">
        <f t="shared" si="2425"/>
        <v>0</v>
      </c>
    </row>
    <row r="1040" spans="2:25" ht="15" customHeight="1" x14ac:dyDescent="0.2">
      <c r="B1040" s="249" t="s">
        <v>162</v>
      </c>
      <c r="C1040" s="91">
        <f>E1040/SUM(E1040:E1042)</f>
        <v>0.5</v>
      </c>
      <c r="D1040" s="67" t="s">
        <v>0</v>
      </c>
      <c r="E1040" s="68">
        <f t="shared" si="2402"/>
        <v>115</v>
      </c>
      <c r="F1040" s="68">
        <f>SUMIFS([0]!Chavez,[0]!Centro,B1042,[0]!Turno,F$1003)</f>
        <v>26</v>
      </c>
      <c r="G1040" s="68">
        <f>SUMIFS([0]!Chavez,[0]!Centro,B1042,[0]!Turno,G$1003)</f>
        <v>13</v>
      </c>
      <c r="H1040" s="68">
        <f>SUMIFS([0]!Chavez,[0]!Centro,B1042,[0]!Turno,H$1003)</f>
        <v>0</v>
      </c>
      <c r="I1040" s="68">
        <f>SUMIFS([0]!Chavez,[0]!Centro,B1042,[0]!Turno,I$1003)</f>
        <v>9</v>
      </c>
      <c r="J1040" s="68">
        <f>SUMIFS([0]!Chavez,[0]!Centro,B1042,[0]!Turno,J$1003)</f>
        <v>0</v>
      </c>
      <c r="K1040" s="68">
        <f>SUMIFS([0]!Chavez,[0]!Centro,B1042,[0]!Turno,K$1003)</f>
        <v>10</v>
      </c>
      <c r="L1040" s="68">
        <f>SUMIFS([0]!Chavez,[0]!Centro,B1042,[0]!Turno,L$1003)</f>
        <v>17</v>
      </c>
      <c r="M1040" s="68">
        <f>SUMIFS([0]!Chavez,[0]!Centro,B1042,[0]!Turno,M$1003)</f>
        <v>15</v>
      </c>
      <c r="N1040" s="68">
        <f>SUMIFS([0]!Chavez,[0]!Centro,B1042,[0]!Turno,N$1003)</f>
        <v>25</v>
      </c>
      <c r="O1040" s="68">
        <f>SUMIFS([0]!Chavez,[0]!Centro,B1042,[0]!Turno,O$1003)</f>
        <v>0</v>
      </c>
      <c r="P1040" s="68">
        <f>SUMIFS([0]!Chavez,[0]!Centro,B1042,[0]!Turno,P$1003)</f>
        <v>0</v>
      </c>
      <c r="Q1040" s="68">
        <f>SUMIFS([0]!Chavez,[0]!Centro,B1042,[0]!Turno,Q$1003)</f>
        <v>0</v>
      </c>
      <c r="R1040" s="68">
        <f>SUMIFS([0]!Chavez,[0]!Centro,B1042,[0]!Turno,R$1003)</f>
        <v>0</v>
      </c>
      <c r="S1040" s="68">
        <f>SUMIFS([0]!Chavez,[0]!Centro,B1042,[0]!Turno,S$1003)</f>
        <v>0</v>
      </c>
      <c r="T1040" s="68">
        <f>SUMIFS([0]!Chavez,[0]!Centro,B1042,[0]!Turno,T$1003)</f>
        <v>0</v>
      </c>
      <c r="U1040" s="68">
        <f>SUMIFS([0]!Chavez,[0]!Centro,B1042,[0]!Turno,U$1003)</f>
        <v>0</v>
      </c>
      <c r="V1040" s="68">
        <f>SUMIFS([0]!Chavez,[0]!Centro,B1042,[0]!Turno,V$1003)</f>
        <v>0</v>
      </c>
      <c r="W1040" s="68">
        <f>SUMIFS([0]!Chavez,[0]!Centro,B1042,[0]!Turno,W$1003)</f>
        <v>0</v>
      </c>
      <c r="X1040" s="68">
        <f>SUMIFS([0]!Chavez,[0]!Centro,B1042,[0]!Turno,X$1003)</f>
        <v>0</v>
      </c>
      <c r="Y1040" s="69">
        <f>SUMIFS([0]!Chavez,[0]!Centro,B1042,[0]!Turno,Y$1003)</f>
        <v>0</v>
      </c>
    </row>
    <row r="1041" spans="2:25" ht="15" customHeight="1" x14ac:dyDescent="0.2">
      <c r="B1041" s="250"/>
      <c r="C1041" s="92">
        <f>E1041/SUM(E1040:E1042)</f>
        <v>0.4956521739130435</v>
      </c>
      <c r="D1041" s="61" t="s">
        <v>1</v>
      </c>
      <c r="E1041" s="62">
        <f t="shared" si="2402"/>
        <v>114</v>
      </c>
      <c r="F1041" s="62">
        <f>SUMIFS([0]!Capriles,[0]!Centro,B1042,[0]!Turno,F$1003)</f>
        <v>28</v>
      </c>
      <c r="G1041" s="62">
        <f>SUMIFS([0]!Capriles,[0]!Centro,B1042,[0]!Turno,G$1003)</f>
        <v>4</v>
      </c>
      <c r="H1041" s="62">
        <f>SUMIFS([0]!Capriles,[0]!Centro,B1042,[0]!Turno,H$1003)</f>
        <v>0</v>
      </c>
      <c r="I1041" s="62">
        <f>SUMIFS([0]!Capriles,[0]!Centro,B1042,[0]!Turno,I$1003)</f>
        <v>13</v>
      </c>
      <c r="J1041" s="62">
        <f>SUMIFS([0]!Capriles,[0]!Centro,B1042,[0]!Turno,J$1003)</f>
        <v>0</v>
      </c>
      <c r="K1041" s="62">
        <f>SUMIFS([0]!Capriles,[0]!Centro,B1042,[0]!Turno,K$1003)</f>
        <v>11</v>
      </c>
      <c r="L1041" s="62">
        <f>SUMIFS([0]!Capriles,[0]!Centro,B1042,[0]!Turno,L$1003)</f>
        <v>28</v>
      </c>
      <c r="M1041" s="62">
        <f>SUMIFS([0]!Capriles,[0]!Centro,B1042,[0]!Turno,M$1003)</f>
        <v>16</v>
      </c>
      <c r="N1041" s="62">
        <f>SUMIFS([0]!Capriles,[0]!Centro,B1042,[0]!Turno,N$1003)</f>
        <v>14</v>
      </c>
      <c r="O1041" s="62">
        <f>SUMIFS([0]!Capriles,[0]!Centro,B1042,[0]!Turno,O$1003)</f>
        <v>0</v>
      </c>
      <c r="P1041" s="62">
        <f>SUMIFS([0]!Capriles,[0]!Centro,B1042,[0]!Turno,P$1003)</f>
        <v>0</v>
      </c>
      <c r="Q1041" s="62">
        <f>SUMIFS([0]!Capriles,[0]!Centro,B1042,[0]!Turno,Q$1003)</f>
        <v>0</v>
      </c>
      <c r="R1041" s="62">
        <f>SUMIFS([0]!Capriles,[0]!Centro,B1042,[0]!Turno,R$1003)</f>
        <v>0</v>
      </c>
      <c r="S1041" s="62">
        <f>SUMIFS([0]!Capriles,[0]!Centro,B1042,[0]!Turno,S$1003)</f>
        <v>0</v>
      </c>
      <c r="T1041" s="62">
        <f>SUMIFS([0]!Capriles,[0]!Centro,B1042,[0]!Turno,T$1003)</f>
        <v>0</v>
      </c>
      <c r="U1041" s="62">
        <f>SUMIFS([0]!Capriles,[0]!Centro,B1042,[0]!Turno,U$1003)</f>
        <v>0</v>
      </c>
      <c r="V1041" s="62">
        <f>SUMIFS([0]!Capriles,[0]!Centro,B1042,[0]!Turno,V$1003)</f>
        <v>0</v>
      </c>
      <c r="W1041" s="62">
        <f>SUMIFS([0]!Capriles,[0]!Centro,B1042,[0]!Turno,W$1003)</f>
        <v>0</v>
      </c>
      <c r="X1041" s="62">
        <f>SUMIFS([0]!Capriles,[0]!Centro,B1042,[0]!Turno,X$1003)</f>
        <v>0</v>
      </c>
      <c r="Y1041" s="70">
        <f>SUMIFS([0]!Capriles,[0]!Centro,B1042,[0]!Turno,Y$1003)</f>
        <v>0</v>
      </c>
    </row>
    <row r="1042" spans="2:25" ht="15" customHeight="1" thickBot="1" x14ac:dyDescent="0.25">
      <c r="B1042" s="251">
        <v>141</v>
      </c>
      <c r="C1042" s="100">
        <f>E1042/SUM(E1040:E1042)</f>
        <v>4.3478260869565218E-3</v>
      </c>
      <c r="D1042" s="71" t="s">
        <v>2</v>
      </c>
      <c r="E1042" s="72">
        <f t="shared" si="2402"/>
        <v>1</v>
      </c>
      <c r="F1042" s="72">
        <f>SUMIFS([0]!Otro,[0]!Centro,B1042,[0]!Turno,F$1003)</f>
        <v>1</v>
      </c>
      <c r="G1042" s="72">
        <f>SUMIFS([0]!Otro,[0]!Centro,B1042,[0]!Turno,G$1003)</f>
        <v>0</v>
      </c>
      <c r="H1042" s="72">
        <f>SUMIFS([0]!Otro,[0]!Centro,B1042,[0]!Turno,H$1003)</f>
        <v>0</v>
      </c>
      <c r="I1042" s="72">
        <f>SUMIFS([0]!Otro,[0]!Centro,B1042,[0]!Turno,I$1003)</f>
        <v>0</v>
      </c>
      <c r="J1042" s="72">
        <f>SUMIFS([0]!Otro,[0]!Centro,B1042,[0]!Turno,J$1003)</f>
        <v>0</v>
      </c>
      <c r="K1042" s="72">
        <f>SUMIFS([0]!Otro,[0]!Centro,B1042,[0]!Turno,K$1003)</f>
        <v>0</v>
      </c>
      <c r="L1042" s="72">
        <f>SUMIFS([0]!Otro,[0]!Centro,B1042,[0]!Turno,L$1003)</f>
        <v>0</v>
      </c>
      <c r="M1042" s="72">
        <f>SUMIFS([0]!Otro,[0]!Centro,B1042,[0]!Turno,M$1003)</f>
        <v>0</v>
      </c>
      <c r="N1042" s="72">
        <f>SUMIFS([0]!Otro,[0]!Centro,B1042,[0]!Turno,N$1003)</f>
        <v>0</v>
      </c>
      <c r="O1042" s="72">
        <f>SUMIFS([0]!Otro,[0]!Centro,B1042,[0]!Turno,O$1003)</f>
        <v>0</v>
      </c>
      <c r="P1042" s="72">
        <f>SUMIFS([0]!Otro,[0]!Centro,B1042,[0]!Turno,P$1003)</f>
        <v>0</v>
      </c>
      <c r="Q1042" s="72">
        <f>SUMIFS([0]!Otro,[0]!Centro,B1042,[0]!Turno,Q$1003)</f>
        <v>0</v>
      </c>
      <c r="R1042" s="72">
        <f>SUMIFS([0]!Otro,[0]!Centro,B1042,[0]!Turno,R$1003)</f>
        <v>0</v>
      </c>
      <c r="S1042" s="72">
        <f>SUMIFS([0]!Otro,[0]!Centro,B1042,[0]!Turno,S$1003)</f>
        <v>0</v>
      </c>
      <c r="T1042" s="72">
        <f>SUMIFS([0]!Otro,[0]!Centro,B1042,[0]!Turno,T$1003)</f>
        <v>0</v>
      </c>
      <c r="U1042" s="72">
        <f>SUMIFS([0]!Otro,[0]!Centro,B1042,[0]!Turno,U$1003)</f>
        <v>0</v>
      </c>
      <c r="V1042" s="72">
        <f>SUMIFS([0]!Otro,[0]!Centro,B1042,[0]!Turno,V$1003)</f>
        <v>0</v>
      </c>
      <c r="W1042" s="72">
        <f>SUMIFS([0]!Otro,[0]!Centro,B1042,[0]!Turno,W$1003)</f>
        <v>0</v>
      </c>
      <c r="X1042" s="72">
        <f>SUMIFS([0]!Otro,[0]!Centro,B1042,[0]!Turno,X$1003)</f>
        <v>0</v>
      </c>
      <c r="Y1042" s="73">
        <f>SUMIFS([0]!Otro,[0]!Centro,B1042,[0]!Turno,Y$1003)</f>
        <v>0</v>
      </c>
    </row>
    <row r="1043" spans="2:25" ht="15" customHeight="1" x14ac:dyDescent="0.2">
      <c r="B1043" s="251"/>
      <c r="C1043" s="94">
        <f>E1043/SUM(E1043:E1045)</f>
        <v>0.5</v>
      </c>
      <c r="D1043" s="63" t="s">
        <v>0</v>
      </c>
      <c r="E1043" s="150">
        <f>IF((E1040+E1041+E1042)=0,0,(E1040*$B1044)/(E1040+E1041+E1042))</f>
        <v>1.0307298279062699E-2</v>
      </c>
      <c r="F1043" s="150">
        <f>IF((F1040+F1041+F1042)=0,0,(F1040*$B1044)/(F1040+F1041+F1042))</f>
        <v>9.7450820092956428E-3</v>
      </c>
      <c r="G1043" s="150">
        <f t="shared" ref="G1043:Y1043" si="2426">IF((G1040+G1041+G1042)=0,0,(G1040*$B1044)/(G1040+G1041+G1042))</f>
        <v>1.5764103250331188E-2</v>
      </c>
      <c r="H1043" s="150">
        <f t="shared" si="2426"/>
        <v>0</v>
      </c>
      <c r="I1043" s="150">
        <f t="shared" si="2426"/>
        <v>8.4332440465058455E-3</v>
      </c>
      <c r="J1043" s="150">
        <f t="shared" si="2426"/>
        <v>0</v>
      </c>
      <c r="K1043" s="150">
        <f t="shared" si="2426"/>
        <v>9.8164745514882842E-3</v>
      </c>
      <c r="L1043" s="150">
        <f t="shared" si="2426"/>
        <v>7.7877364775140404E-3</v>
      </c>
      <c r="M1043" s="150">
        <f t="shared" si="2426"/>
        <v>9.9748047861897091E-3</v>
      </c>
      <c r="N1043" s="150">
        <f t="shared" si="2426"/>
        <v>1.3214484973157307E-2</v>
      </c>
      <c r="O1043" s="150">
        <f t="shared" si="2426"/>
        <v>0</v>
      </c>
      <c r="P1043" s="150">
        <f t="shared" si="2426"/>
        <v>0</v>
      </c>
      <c r="Q1043" s="150">
        <f t="shared" si="2426"/>
        <v>0</v>
      </c>
      <c r="R1043" s="150">
        <f t="shared" si="2426"/>
        <v>0</v>
      </c>
      <c r="S1043" s="150">
        <f t="shared" si="2426"/>
        <v>0</v>
      </c>
      <c r="T1043" s="150">
        <f t="shared" si="2426"/>
        <v>0</v>
      </c>
      <c r="U1043" s="150">
        <f t="shared" si="2426"/>
        <v>0</v>
      </c>
      <c r="V1043" s="150">
        <f t="shared" si="2426"/>
        <v>0</v>
      </c>
      <c r="W1043" s="150">
        <f t="shared" si="2426"/>
        <v>0</v>
      </c>
      <c r="X1043" s="150">
        <f t="shared" si="2426"/>
        <v>0</v>
      </c>
      <c r="Y1043" s="163">
        <f t="shared" si="2426"/>
        <v>0</v>
      </c>
    </row>
    <row r="1044" spans="2:25" ht="15" customHeight="1" x14ac:dyDescent="0.2">
      <c r="B1044" s="252">
        <v>2.0614596558125399E-2</v>
      </c>
      <c r="C1044" s="92">
        <f>E1044/SUM(E1043:E1045)</f>
        <v>0.49565217391304345</v>
      </c>
      <c r="D1044" s="61" t="s">
        <v>1</v>
      </c>
      <c r="E1044" s="154">
        <f>IF((E1040+E1041+E1042)=0,0,(E1041*$B1044)/(E1040+E1041+E1042))</f>
        <v>1.0217669598375197E-2</v>
      </c>
      <c r="F1044" s="154">
        <f>IF((F1040+F1041+F1042)=0,0,(F1041*$B1044)/(F1040+F1041+F1042))</f>
        <v>1.0494703702318385E-2</v>
      </c>
      <c r="G1044" s="154">
        <f t="shared" ref="G1044:Y1044" si="2427">IF((G1040+G1041+G1042)=0,0,(G1041*$B1044)/(G1040+G1041+G1042))</f>
        <v>4.8504933077942111E-3</v>
      </c>
      <c r="H1044" s="154">
        <f t="shared" si="2427"/>
        <v>0</v>
      </c>
      <c r="I1044" s="154">
        <f t="shared" si="2427"/>
        <v>1.2181352511619553E-2</v>
      </c>
      <c r="J1044" s="154">
        <f t="shared" si="2427"/>
        <v>0</v>
      </c>
      <c r="K1044" s="154">
        <f t="shared" si="2427"/>
        <v>1.0798122006637115E-2</v>
      </c>
      <c r="L1044" s="154">
        <f t="shared" si="2427"/>
        <v>1.282686008061136E-2</v>
      </c>
      <c r="M1044" s="154">
        <f t="shared" si="2427"/>
        <v>1.063979177193569E-2</v>
      </c>
      <c r="N1044" s="154">
        <f t="shared" si="2427"/>
        <v>7.4001115849680922E-3</v>
      </c>
      <c r="O1044" s="154">
        <f t="shared" si="2427"/>
        <v>0</v>
      </c>
      <c r="P1044" s="154">
        <f t="shared" si="2427"/>
        <v>0</v>
      </c>
      <c r="Q1044" s="154">
        <f t="shared" si="2427"/>
        <v>0</v>
      </c>
      <c r="R1044" s="154">
        <f t="shared" si="2427"/>
        <v>0</v>
      </c>
      <c r="S1044" s="154">
        <f t="shared" si="2427"/>
        <v>0</v>
      </c>
      <c r="T1044" s="154">
        <f t="shared" si="2427"/>
        <v>0</v>
      </c>
      <c r="U1044" s="154">
        <f t="shared" si="2427"/>
        <v>0</v>
      </c>
      <c r="V1044" s="154">
        <f t="shared" si="2427"/>
        <v>0</v>
      </c>
      <c r="W1044" s="154">
        <f t="shared" si="2427"/>
        <v>0</v>
      </c>
      <c r="X1044" s="154">
        <f t="shared" si="2427"/>
        <v>0</v>
      </c>
      <c r="Y1044" s="159">
        <f t="shared" si="2427"/>
        <v>0</v>
      </c>
    </row>
    <row r="1045" spans="2:25" ht="15" customHeight="1" thickBot="1" x14ac:dyDescent="0.25">
      <c r="B1045" s="253"/>
      <c r="C1045" s="93">
        <f>E1045/SUM(E1043:E1045)</f>
        <v>4.3478260869565218E-3</v>
      </c>
      <c r="D1045" s="75" t="s">
        <v>2</v>
      </c>
      <c r="E1045" s="155">
        <f>IF((E1040+E1041+E1042)=0,0,(E1042*$B1044)/(E1040+E1041+E1042))</f>
        <v>8.9628680687501728E-5</v>
      </c>
      <c r="F1045" s="155">
        <f>IF((F1040+F1041+F1042)=0,0,(F1042*$B1044)/(F1040+F1041+F1042))</f>
        <v>3.7481084651137087E-4</v>
      </c>
      <c r="G1045" s="155">
        <f t="shared" ref="G1045:Y1045" si="2428">IF((G1040+G1041+G1042)=0,0,(G1042*$B1044)/(G1040+G1041+G1042))</f>
        <v>0</v>
      </c>
      <c r="H1045" s="155">
        <f t="shared" si="2428"/>
        <v>0</v>
      </c>
      <c r="I1045" s="155">
        <f t="shared" si="2428"/>
        <v>0</v>
      </c>
      <c r="J1045" s="155">
        <f t="shared" si="2428"/>
        <v>0</v>
      </c>
      <c r="K1045" s="155">
        <f t="shared" si="2428"/>
        <v>0</v>
      </c>
      <c r="L1045" s="155">
        <f t="shared" si="2428"/>
        <v>0</v>
      </c>
      <c r="M1045" s="155">
        <f t="shared" si="2428"/>
        <v>0</v>
      </c>
      <c r="N1045" s="155">
        <f t="shared" si="2428"/>
        <v>0</v>
      </c>
      <c r="O1045" s="155">
        <f t="shared" si="2428"/>
        <v>0</v>
      </c>
      <c r="P1045" s="155">
        <f t="shared" si="2428"/>
        <v>0</v>
      </c>
      <c r="Q1045" s="155">
        <f t="shared" si="2428"/>
        <v>0</v>
      </c>
      <c r="R1045" s="155">
        <f t="shared" si="2428"/>
        <v>0</v>
      </c>
      <c r="S1045" s="155">
        <f t="shared" si="2428"/>
        <v>0</v>
      </c>
      <c r="T1045" s="155">
        <f t="shared" si="2428"/>
        <v>0</v>
      </c>
      <c r="U1045" s="155">
        <f t="shared" si="2428"/>
        <v>0</v>
      </c>
      <c r="V1045" s="155">
        <f t="shared" si="2428"/>
        <v>0</v>
      </c>
      <c r="W1045" s="155">
        <f t="shared" si="2428"/>
        <v>0</v>
      </c>
      <c r="X1045" s="155">
        <f t="shared" si="2428"/>
        <v>0</v>
      </c>
      <c r="Y1045" s="160">
        <f t="shared" si="2428"/>
        <v>0</v>
      </c>
    </row>
    <row r="1046" spans="2:25" ht="15" customHeight="1" x14ac:dyDescent="0.2">
      <c r="B1046" s="249" t="s">
        <v>163</v>
      </c>
      <c r="C1046" s="91">
        <f>E1046/SUM(E1046:E1048)</f>
        <v>0.44970414201183434</v>
      </c>
      <c r="D1046" s="67" t="s">
        <v>0</v>
      </c>
      <c r="E1046" s="68">
        <f t="shared" si="2402"/>
        <v>152</v>
      </c>
      <c r="F1046" s="68">
        <f>SUMIFS([0]!Chavez,[0]!Centro,B1048,[0]!Turno,F$1003)</f>
        <v>0</v>
      </c>
      <c r="G1046" s="68">
        <f>SUMIFS([0]!Chavez,[0]!Centro,B1048,[0]!Turno,G$1003)</f>
        <v>25</v>
      </c>
      <c r="H1046" s="68">
        <f>SUMIFS([0]!Chavez,[0]!Centro,B1048,[0]!Turno,H$1003)</f>
        <v>7</v>
      </c>
      <c r="I1046" s="68">
        <f>SUMIFS([0]!Chavez,[0]!Centro,B1048,[0]!Turno,I$1003)</f>
        <v>23</v>
      </c>
      <c r="J1046" s="68">
        <f>SUMIFS([0]!Chavez,[0]!Centro,B1048,[0]!Turno,J$1003)</f>
        <v>12</v>
      </c>
      <c r="K1046" s="68">
        <f>SUMIFS([0]!Chavez,[0]!Centro,B1048,[0]!Turno,K$1003)</f>
        <v>31</v>
      </c>
      <c r="L1046" s="68">
        <f>SUMIFS([0]!Chavez,[0]!Centro,B1048,[0]!Turno,L$1003)</f>
        <v>17</v>
      </c>
      <c r="M1046" s="68">
        <f>SUMIFS([0]!Chavez,[0]!Centro,B1048,[0]!Turno,M$1003)</f>
        <v>16</v>
      </c>
      <c r="N1046" s="68">
        <f>SUMIFS([0]!Chavez,[0]!Centro,B1048,[0]!Turno,N$1003)</f>
        <v>21</v>
      </c>
      <c r="O1046" s="68">
        <f>SUMIFS([0]!Chavez,[0]!Centro,B1048,[0]!Turno,O$1003)</f>
        <v>0</v>
      </c>
      <c r="P1046" s="68">
        <f>SUMIFS([0]!Chavez,[0]!Centro,B1048,[0]!Turno,P$1003)</f>
        <v>0</v>
      </c>
      <c r="Q1046" s="68">
        <f>SUMIFS([0]!Chavez,[0]!Centro,B1048,[0]!Turno,Q$1003)</f>
        <v>0</v>
      </c>
      <c r="R1046" s="68">
        <f>SUMIFS([0]!Chavez,[0]!Centro,B1048,[0]!Turno,R$1003)</f>
        <v>0</v>
      </c>
      <c r="S1046" s="68">
        <f>SUMIFS([0]!Chavez,[0]!Centro,B1048,[0]!Turno,S$1003)</f>
        <v>0</v>
      </c>
      <c r="T1046" s="68">
        <f>SUMIFS([0]!Chavez,[0]!Centro,B1048,[0]!Turno,T$1003)</f>
        <v>0</v>
      </c>
      <c r="U1046" s="68">
        <f>SUMIFS([0]!Chavez,[0]!Centro,B1048,[0]!Turno,U$1003)</f>
        <v>0</v>
      </c>
      <c r="V1046" s="68">
        <f>SUMIFS([0]!Chavez,[0]!Centro,B1048,[0]!Turno,V$1003)</f>
        <v>0</v>
      </c>
      <c r="W1046" s="68">
        <f>SUMIFS([0]!Chavez,[0]!Centro,B1048,[0]!Turno,W$1003)</f>
        <v>0</v>
      </c>
      <c r="X1046" s="68">
        <f>SUMIFS([0]!Chavez,[0]!Centro,B1048,[0]!Turno,X$1003)</f>
        <v>0</v>
      </c>
      <c r="Y1046" s="69">
        <f>SUMIFS([0]!Chavez,[0]!Centro,B1048,[0]!Turno,Y$1003)</f>
        <v>0</v>
      </c>
    </row>
    <row r="1047" spans="2:25" ht="15" customHeight="1" x14ac:dyDescent="0.2">
      <c r="B1047" s="250"/>
      <c r="C1047" s="92">
        <f>E1047/SUM(E1046:E1048)</f>
        <v>0.55029585798816572</v>
      </c>
      <c r="D1047" s="61" t="s">
        <v>1</v>
      </c>
      <c r="E1047" s="62">
        <f t="shared" si="2402"/>
        <v>186</v>
      </c>
      <c r="F1047" s="62">
        <f>SUMIFS([0]!Capriles,[0]!Centro,B1048,[0]!Turno,F$1003)</f>
        <v>0</v>
      </c>
      <c r="G1047" s="62">
        <f>SUMIFS([0]!Capriles,[0]!Centro,B1048,[0]!Turno,G$1003)</f>
        <v>20</v>
      </c>
      <c r="H1047" s="62">
        <f>SUMIFS([0]!Capriles,[0]!Centro,B1048,[0]!Turno,H$1003)</f>
        <v>19</v>
      </c>
      <c r="I1047" s="62">
        <f>SUMIFS([0]!Capriles,[0]!Centro,B1048,[0]!Turno,I$1003)</f>
        <v>21</v>
      </c>
      <c r="J1047" s="62">
        <f>SUMIFS([0]!Capriles,[0]!Centro,B1048,[0]!Turno,J$1003)</f>
        <v>21</v>
      </c>
      <c r="K1047" s="62">
        <f>SUMIFS([0]!Capriles,[0]!Centro,B1048,[0]!Turno,K$1003)</f>
        <v>18</v>
      </c>
      <c r="L1047" s="62">
        <f>SUMIFS([0]!Capriles,[0]!Centro,B1048,[0]!Turno,L$1003)</f>
        <v>36</v>
      </c>
      <c r="M1047" s="62">
        <f>SUMIFS([0]!Capriles,[0]!Centro,B1048,[0]!Turno,M$1003)</f>
        <v>17</v>
      </c>
      <c r="N1047" s="62">
        <f>SUMIFS([0]!Capriles,[0]!Centro,B1048,[0]!Turno,N$1003)</f>
        <v>34</v>
      </c>
      <c r="O1047" s="62">
        <f>SUMIFS([0]!Capriles,[0]!Centro,B1048,[0]!Turno,O$1003)</f>
        <v>0</v>
      </c>
      <c r="P1047" s="62">
        <f>SUMIFS([0]!Capriles,[0]!Centro,B1048,[0]!Turno,P$1003)</f>
        <v>0</v>
      </c>
      <c r="Q1047" s="62">
        <f>SUMIFS([0]!Capriles,[0]!Centro,B1048,[0]!Turno,Q$1003)</f>
        <v>0</v>
      </c>
      <c r="R1047" s="62">
        <f>SUMIFS([0]!Capriles,[0]!Centro,B1048,[0]!Turno,R$1003)</f>
        <v>0</v>
      </c>
      <c r="S1047" s="62">
        <f>SUMIFS([0]!Capriles,[0]!Centro,B1048,[0]!Turno,S$1003)</f>
        <v>0</v>
      </c>
      <c r="T1047" s="62">
        <f>SUMIFS([0]!Capriles,[0]!Centro,B1048,[0]!Turno,T$1003)</f>
        <v>0</v>
      </c>
      <c r="U1047" s="62">
        <f>SUMIFS([0]!Capriles,[0]!Centro,B1048,[0]!Turno,U$1003)</f>
        <v>0</v>
      </c>
      <c r="V1047" s="62">
        <f>SUMIFS([0]!Capriles,[0]!Centro,B1048,[0]!Turno,V$1003)</f>
        <v>0</v>
      </c>
      <c r="W1047" s="62">
        <f>SUMIFS([0]!Capriles,[0]!Centro,B1048,[0]!Turno,W$1003)</f>
        <v>0</v>
      </c>
      <c r="X1047" s="62">
        <f>SUMIFS([0]!Capriles,[0]!Centro,B1048,[0]!Turno,X$1003)</f>
        <v>0</v>
      </c>
      <c r="Y1047" s="70">
        <f>SUMIFS([0]!Capriles,[0]!Centro,B1048,[0]!Turno,Y$1003)</f>
        <v>0</v>
      </c>
    </row>
    <row r="1048" spans="2:25" ht="15" customHeight="1" thickBot="1" x14ac:dyDescent="0.25">
      <c r="B1048" s="251">
        <v>142</v>
      </c>
      <c r="C1048" s="100">
        <f>E1048/SUM(E1046:E1048)</f>
        <v>0</v>
      </c>
      <c r="D1048" s="71" t="s">
        <v>2</v>
      </c>
      <c r="E1048" s="72">
        <f t="shared" si="2402"/>
        <v>0</v>
      </c>
      <c r="F1048" s="72">
        <f>SUMIFS([0]!Otro,[0]!Centro,B1048,[0]!Turno,F$1003)</f>
        <v>0</v>
      </c>
      <c r="G1048" s="72">
        <f>SUMIFS([0]!Otro,[0]!Centro,B1048,[0]!Turno,G$1003)</f>
        <v>0</v>
      </c>
      <c r="H1048" s="72">
        <f>SUMIFS([0]!Otro,[0]!Centro,B1048,[0]!Turno,H$1003)</f>
        <v>0</v>
      </c>
      <c r="I1048" s="72">
        <f>SUMIFS([0]!Otro,[0]!Centro,B1048,[0]!Turno,I$1003)</f>
        <v>0</v>
      </c>
      <c r="J1048" s="72">
        <f>SUMIFS([0]!Otro,[0]!Centro,B1048,[0]!Turno,J$1003)</f>
        <v>0</v>
      </c>
      <c r="K1048" s="72">
        <f>SUMIFS([0]!Otro,[0]!Centro,B1048,[0]!Turno,K$1003)</f>
        <v>0</v>
      </c>
      <c r="L1048" s="72">
        <f>SUMIFS([0]!Otro,[0]!Centro,B1048,[0]!Turno,L$1003)</f>
        <v>0</v>
      </c>
      <c r="M1048" s="72">
        <f>SUMIFS([0]!Otro,[0]!Centro,B1048,[0]!Turno,M$1003)</f>
        <v>0</v>
      </c>
      <c r="N1048" s="72">
        <f>SUMIFS([0]!Otro,[0]!Centro,B1048,[0]!Turno,N$1003)</f>
        <v>0</v>
      </c>
      <c r="O1048" s="72">
        <f>SUMIFS([0]!Otro,[0]!Centro,B1048,[0]!Turno,O$1003)</f>
        <v>0</v>
      </c>
      <c r="P1048" s="72">
        <f>SUMIFS([0]!Otro,[0]!Centro,B1048,[0]!Turno,P$1003)</f>
        <v>0</v>
      </c>
      <c r="Q1048" s="72">
        <f>SUMIFS([0]!Otro,[0]!Centro,B1048,[0]!Turno,Q$1003)</f>
        <v>0</v>
      </c>
      <c r="R1048" s="72">
        <f>SUMIFS([0]!Otro,[0]!Centro,B1048,[0]!Turno,R$1003)</f>
        <v>0</v>
      </c>
      <c r="S1048" s="72">
        <f>SUMIFS([0]!Otro,[0]!Centro,B1048,[0]!Turno,S$1003)</f>
        <v>0</v>
      </c>
      <c r="T1048" s="72">
        <f>SUMIFS([0]!Otro,[0]!Centro,B1048,[0]!Turno,T$1003)</f>
        <v>0</v>
      </c>
      <c r="U1048" s="72">
        <f>SUMIFS([0]!Otro,[0]!Centro,B1048,[0]!Turno,U$1003)</f>
        <v>0</v>
      </c>
      <c r="V1048" s="72">
        <f>SUMIFS([0]!Otro,[0]!Centro,B1048,[0]!Turno,V$1003)</f>
        <v>0</v>
      </c>
      <c r="W1048" s="72">
        <f>SUMIFS([0]!Otro,[0]!Centro,B1048,[0]!Turno,W$1003)</f>
        <v>0</v>
      </c>
      <c r="X1048" s="72">
        <f>SUMIFS([0]!Otro,[0]!Centro,B1048,[0]!Turno,X$1003)</f>
        <v>0</v>
      </c>
      <c r="Y1048" s="73">
        <f>SUMIFS([0]!Otro,[0]!Centro,B1048,[0]!Turno,Y$1003)</f>
        <v>0</v>
      </c>
    </row>
    <row r="1049" spans="2:25" ht="15" customHeight="1" x14ac:dyDescent="0.2">
      <c r="B1049" s="251"/>
      <c r="C1049" s="94">
        <f>E1049/SUM(E1049:E1051)</f>
        <v>0.44970414201183428</v>
      </c>
      <c r="D1049" s="63" t="s">
        <v>0</v>
      </c>
      <c r="E1049" s="150">
        <f>IF((E1046+E1047+E1048)=0,0,(E1046*$B1050)/(E1046+E1047+E1048))</f>
        <v>2.4443047997407166E-2</v>
      </c>
      <c r="F1049" s="150">
        <f>IF((F1046+F1047+F1048)=0,0,(F1046*$B1050)/(F1046+F1047+F1048))</f>
        <v>0</v>
      </c>
      <c r="G1049" s="150">
        <f t="shared" ref="G1049:Y1049" si="2429">IF((G1046+G1047+G1048)=0,0,(G1046*$B1050)/(G1046+G1047+G1048))</f>
        <v>3.0196455493872891E-2</v>
      </c>
      <c r="H1049" s="150">
        <f t="shared" si="2429"/>
        <v>1.4633666893184554E-2</v>
      </c>
      <c r="I1049" s="150">
        <f t="shared" si="2429"/>
        <v>2.8412119487416763E-2</v>
      </c>
      <c r="J1049" s="150">
        <f t="shared" si="2429"/>
        <v>1.976495268689862E-2</v>
      </c>
      <c r="K1049" s="150">
        <f t="shared" si="2429"/>
        <v>3.4386984011389947E-2</v>
      </c>
      <c r="L1049" s="150">
        <f t="shared" si="2429"/>
        <v>1.7434179964386991E-2</v>
      </c>
      <c r="M1049" s="150">
        <f t="shared" si="2429"/>
        <v>2.6353270249198157E-2</v>
      </c>
      <c r="N1049" s="150">
        <f t="shared" si="2429"/>
        <v>2.0753200321243549E-2</v>
      </c>
      <c r="O1049" s="150">
        <f t="shared" si="2429"/>
        <v>0</v>
      </c>
      <c r="P1049" s="150">
        <f t="shared" si="2429"/>
        <v>0</v>
      </c>
      <c r="Q1049" s="150">
        <f t="shared" si="2429"/>
        <v>0</v>
      </c>
      <c r="R1049" s="150">
        <f t="shared" si="2429"/>
        <v>0</v>
      </c>
      <c r="S1049" s="150">
        <f t="shared" si="2429"/>
        <v>0</v>
      </c>
      <c r="T1049" s="150">
        <f t="shared" si="2429"/>
        <v>0</v>
      </c>
      <c r="U1049" s="150">
        <f t="shared" si="2429"/>
        <v>0</v>
      </c>
      <c r="V1049" s="150">
        <f t="shared" si="2429"/>
        <v>0</v>
      </c>
      <c r="W1049" s="150">
        <f t="shared" si="2429"/>
        <v>0</v>
      </c>
      <c r="X1049" s="150">
        <f t="shared" si="2429"/>
        <v>0</v>
      </c>
      <c r="Y1049" s="163">
        <f t="shared" si="2429"/>
        <v>0</v>
      </c>
    </row>
    <row r="1050" spans="2:25" ht="15" customHeight="1" x14ac:dyDescent="0.2">
      <c r="B1050" s="252">
        <v>5.4353619888971201E-2</v>
      </c>
      <c r="C1050" s="92">
        <f>E1050/SUM(E1049:E1051)</f>
        <v>0.55029585798816572</v>
      </c>
      <c r="D1050" s="61" t="s">
        <v>1</v>
      </c>
      <c r="E1050" s="154">
        <f>IF((E1046+E1047+E1048)=0,0,(E1047*$B1050)/(E1046+E1047+E1048))</f>
        <v>2.9910571891564035E-2</v>
      </c>
      <c r="F1050" s="154">
        <f>IF((F1046+F1047+F1048)=0,0,(F1047*$B1050)/(F1046+F1047+F1048))</f>
        <v>0</v>
      </c>
      <c r="G1050" s="154">
        <f t="shared" ref="G1050:Y1050" si="2430">IF((G1046+G1047+G1048)=0,0,(G1047*$B1050)/(G1046+G1047+G1048))</f>
        <v>2.4157164395098314E-2</v>
      </c>
      <c r="H1050" s="154">
        <f t="shared" si="2430"/>
        <v>3.9719952995786643E-2</v>
      </c>
      <c r="I1050" s="154">
        <f t="shared" si="2430"/>
        <v>2.5941500401554438E-2</v>
      </c>
      <c r="J1050" s="154">
        <f t="shared" si="2430"/>
        <v>3.4588667202072584E-2</v>
      </c>
      <c r="K1050" s="154">
        <f t="shared" si="2430"/>
        <v>1.9966635877581258E-2</v>
      </c>
      <c r="L1050" s="154">
        <f t="shared" si="2430"/>
        <v>3.6919439924584213E-2</v>
      </c>
      <c r="M1050" s="154">
        <f t="shared" si="2430"/>
        <v>2.8000349639773044E-2</v>
      </c>
      <c r="N1050" s="154">
        <f t="shared" si="2430"/>
        <v>3.3600419567727656E-2</v>
      </c>
      <c r="O1050" s="154">
        <f t="shared" si="2430"/>
        <v>0</v>
      </c>
      <c r="P1050" s="154">
        <f t="shared" si="2430"/>
        <v>0</v>
      </c>
      <c r="Q1050" s="154">
        <f t="shared" si="2430"/>
        <v>0</v>
      </c>
      <c r="R1050" s="154">
        <f t="shared" si="2430"/>
        <v>0</v>
      </c>
      <c r="S1050" s="154">
        <f t="shared" si="2430"/>
        <v>0</v>
      </c>
      <c r="T1050" s="154">
        <f t="shared" si="2430"/>
        <v>0</v>
      </c>
      <c r="U1050" s="154">
        <f t="shared" si="2430"/>
        <v>0</v>
      </c>
      <c r="V1050" s="154">
        <f t="shared" si="2430"/>
        <v>0</v>
      </c>
      <c r="W1050" s="154">
        <f t="shared" si="2430"/>
        <v>0</v>
      </c>
      <c r="X1050" s="154">
        <f t="shared" si="2430"/>
        <v>0</v>
      </c>
      <c r="Y1050" s="159">
        <f t="shared" si="2430"/>
        <v>0</v>
      </c>
    </row>
    <row r="1051" spans="2:25" ht="15" customHeight="1" thickBot="1" x14ac:dyDescent="0.25">
      <c r="B1051" s="253"/>
      <c r="C1051" s="93">
        <f>E1051/SUM(E1049:E1051)</f>
        <v>0</v>
      </c>
      <c r="D1051" s="75" t="s">
        <v>2</v>
      </c>
      <c r="E1051" s="155">
        <f>IF((E1046+E1047+E1048)=0,0,(E1048*$B1050)/(E1046+E1047+E1048))</f>
        <v>0</v>
      </c>
      <c r="F1051" s="155">
        <f>IF((F1046+F1047+F1048)=0,0,(F1048*$B1050)/(F1046+F1047+F1048))</f>
        <v>0</v>
      </c>
      <c r="G1051" s="155">
        <f t="shared" ref="G1051:Y1051" si="2431">IF((G1046+G1047+G1048)=0,0,(G1048*$B1050)/(G1046+G1047+G1048))</f>
        <v>0</v>
      </c>
      <c r="H1051" s="155">
        <f t="shared" si="2431"/>
        <v>0</v>
      </c>
      <c r="I1051" s="155">
        <f t="shared" si="2431"/>
        <v>0</v>
      </c>
      <c r="J1051" s="155">
        <f t="shared" si="2431"/>
        <v>0</v>
      </c>
      <c r="K1051" s="155">
        <f t="shared" si="2431"/>
        <v>0</v>
      </c>
      <c r="L1051" s="155">
        <f t="shared" si="2431"/>
        <v>0</v>
      </c>
      <c r="M1051" s="155">
        <f t="shared" si="2431"/>
        <v>0</v>
      </c>
      <c r="N1051" s="155">
        <f t="shared" si="2431"/>
        <v>0</v>
      </c>
      <c r="O1051" s="155">
        <f t="shared" si="2431"/>
        <v>0</v>
      </c>
      <c r="P1051" s="155">
        <f t="shared" si="2431"/>
        <v>0</v>
      </c>
      <c r="Q1051" s="155">
        <f t="shared" si="2431"/>
        <v>0</v>
      </c>
      <c r="R1051" s="155">
        <f t="shared" si="2431"/>
        <v>0</v>
      </c>
      <c r="S1051" s="155">
        <f t="shared" si="2431"/>
        <v>0</v>
      </c>
      <c r="T1051" s="155">
        <f t="shared" si="2431"/>
        <v>0</v>
      </c>
      <c r="U1051" s="155">
        <f t="shared" si="2431"/>
        <v>0</v>
      </c>
      <c r="V1051" s="155">
        <f t="shared" si="2431"/>
        <v>0</v>
      </c>
      <c r="W1051" s="155">
        <f t="shared" si="2431"/>
        <v>0</v>
      </c>
      <c r="X1051" s="155">
        <f t="shared" si="2431"/>
        <v>0</v>
      </c>
      <c r="Y1051" s="160">
        <f t="shared" si="2431"/>
        <v>0</v>
      </c>
    </row>
    <row r="1052" spans="2:25" ht="15" customHeight="1" x14ac:dyDescent="0.2">
      <c r="B1052" s="249" t="s">
        <v>164</v>
      </c>
      <c r="C1052" s="91">
        <f>E1052/SUM(E1052:E1054)</f>
        <v>0.35377358490566035</v>
      </c>
      <c r="D1052" s="67" t="s">
        <v>0</v>
      </c>
      <c r="E1052" s="68">
        <f t="shared" si="2402"/>
        <v>75</v>
      </c>
      <c r="F1052" s="68">
        <f>SUMIFS([0]!Chavez,[0]!Centro,B1054,[0]!Turno,F$1003)</f>
        <v>11</v>
      </c>
      <c r="G1052" s="68">
        <f>SUMIFS([0]!Chavez,[0]!Centro,B1054,[0]!Turno,G$1003)</f>
        <v>7</v>
      </c>
      <c r="H1052" s="68">
        <f>SUMIFS([0]!Chavez,[0]!Centro,B1054,[0]!Turno,H$1003)</f>
        <v>5</v>
      </c>
      <c r="I1052" s="68">
        <f>SUMIFS([0]!Chavez,[0]!Centro,B1054,[0]!Turno,I$1003)</f>
        <v>10</v>
      </c>
      <c r="J1052" s="68">
        <f>SUMIFS([0]!Chavez,[0]!Centro,B1054,[0]!Turno,J$1003)</f>
        <v>10</v>
      </c>
      <c r="K1052" s="68">
        <f>SUMIFS([0]!Chavez,[0]!Centro,B1054,[0]!Turno,K$1003)</f>
        <v>0</v>
      </c>
      <c r="L1052" s="68">
        <f>SUMIFS([0]!Chavez,[0]!Centro,B1054,[0]!Turno,L$1003)</f>
        <v>1</v>
      </c>
      <c r="M1052" s="68">
        <f>SUMIFS([0]!Chavez,[0]!Centro,B1054,[0]!Turno,M$1003)</f>
        <v>18</v>
      </c>
      <c r="N1052" s="68">
        <f>SUMIFS([0]!Chavez,[0]!Centro,B1054,[0]!Turno,N$1003)</f>
        <v>13</v>
      </c>
      <c r="O1052" s="68">
        <f>SUMIFS([0]!Chavez,[0]!Centro,B1054,[0]!Turno,O$1003)</f>
        <v>0</v>
      </c>
      <c r="P1052" s="68">
        <f>SUMIFS([0]!Chavez,[0]!Centro,B1054,[0]!Turno,P$1003)</f>
        <v>0</v>
      </c>
      <c r="Q1052" s="68">
        <f>SUMIFS([0]!Chavez,[0]!Centro,B1054,[0]!Turno,Q$1003)</f>
        <v>0</v>
      </c>
      <c r="R1052" s="68">
        <f>SUMIFS([0]!Chavez,[0]!Centro,B1054,[0]!Turno,R$1003)</f>
        <v>0</v>
      </c>
      <c r="S1052" s="68">
        <f>SUMIFS([0]!Chavez,[0]!Centro,B1054,[0]!Turno,S$1003)</f>
        <v>0</v>
      </c>
      <c r="T1052" s="68">
        <f>SUMIFS([0]!Chavez,[0]!Centro,B1054,[0]!Turno,T$1003)</f>
        <v>0</v>
      </c>
      <c r="U1052" s="68">
        <f>SUMIFS([0]!Chavez,[0]!Centro,B1054,[0]!Turno,U$1003)</f>
        <v>0</v>
      </c>
      <c r="V1052" s="68">
        <f>SUMIFS([0]!Chavez,[0]!Centro,B1054,[0]!Turno,V$1003)</f>
        <v>0</v>
      </c>
      <c r="W1052" s="68">
        <f>SUMIFS([0]!Chavez,[0]!Centro,B1054,[0]!Turno,W$1003)</f>
        <v>0</v>
      </c>
      <c r="X1052" s="68">
        <f>SUMIFS([0]!Chavez,[0]!Centro,B1054,[0]!Turno,X$1003)</f>
        <v>0</v>
      </c>
      <c r="Y1052" s="69">
        <f>SUMIFS([0]!Chavez,[0]!Centro,B1054,[0]!Turno,Y$1003)</f>
        <v>0</v>
      </c>
    </row>
    <row r="1053" spans="2:25" ht="15" customHeight="1" x14ac:dyDescent="0.2">
      <c r="B1053" s="250"/>
      <c r="C1053" s="92">
        <f>E1053/SUM(E1052:E1054)</f>
        <v>0.63207547169811318</v>
      </c>
      <c r="D1053" s="61" t="s">
        <v>1</v>
      </c>
      <c r="E1053" s="62">
        <f t="shared" si="2402"/>
        <v>134</v>
      </c>
      <c r="F1053" s="62">
        <f>SUMIFS([0]!Capriles,[0]!Centro,B1054,[0]!Turno,F$1003)</f>
        <v>22</v>
      </c>
      <c r="G1053" s="62">
        <f>SUMIFS([0]!Capriles,[0]!Centro,B1054,[0]!Turno,G$1003)</f>
        <v>18</v>
      </c>
      <c r="H1053" s="62">
        <f>SUMIFS([0]!Capriles,[0]!Centro,B1054,[0]!Turno,H$1003)</f>
        <v>4</v>
      </c>
      <c r="I1053" s="62">
        <f>SUMIFS([0]!Capriles,[0]!Centro,B1054,[0]!Turno,I$1003)</f>
        <v>28</v>
      </c>
      <c r="J1053" s="62">
        <f>SUMIFS([0]!Capriles,[0]!Centro,B1054,[0]!Turno,J$1003)</f>
        <v>19</v>
      </c>
      <c r="K1053" s="62">
        <f>SUMIFS([0]!Capriles,[0]!Centro,B1054,[0]!Turno,K$1003)</f>
        <v>0</v>
      </c>
      <c r="L1053" s="62">
        <f>SUMIFS([0]!Capriles,[0]!Centro,B1054,[0]!Turno,L$1003)</f>
        <v>9</v>
      </c>
      <c r="M1053" s="62">
        <f>SUMIFS([0]!Capriles,[0]!Centro,B1054,[0]!Turno,M$1003)</f>
        <v>12</v>
      </c>
      <c r="N1053" s="62">
        <f>SUMIFS([0]!Capriles,[0]!Centro,B1054,[0]!Turno,N$1003)</f>
        <v>22</v>
      </c>
      <c r="O1053" s="62">
        <f>SUMIFS([0]!Capriles,[0]!Centro,B1054,[0]!Turno,O$1003)</f>
        <v>0</v>
      </c>
      <c r="P1053" s="62">
        <f>SUMIFS([0]!Capriles,[0]!Centro,B1054,[0]!Turno,P$1003)</f>
        <v>0</v>
      </c>
      <c r="Q1053" s="62">
        <f>SUMIFS([0]!Capriles,[0]!Centro,B1054,[0]!Turno,Q$1003)</f>
        <v>0</v>
      </c>
      <c r="R1053" s="62">
        <f>SUMIFS([0]!Capriles,[0]!Centro,B1054,[0]!Turno,R$1003)</f>
        <v>0</v>
      </c>
      <c r="S1053" s="62">
        <f>SUMIFS([0]!Capriles,[0]!Centro,B1054,[0]!Turno,S$1003)</f>
        <v>0</v>
      </c>
      <c r="T1053" s="62">
        <f>SUMIFS([0]!Capriles,[0]!Centro,B1054,[0]!Turno,T$1003)</f>
        <v>0</v>
      </c>
      <c r="U1053" s="62">
        <f>SUMIFS([0]!Capriles,[0]!Centro,B1054,[0]!Turno,U$1003)</f>
        <v>0</v>
      </c>
      <c r="V1053" s="62">
        <f>SUMIFS([0]!Capriles,[0]!Centro,B1054,[0]!Turno,V$1003)</f>
        <v>0</v>
      </c>
      <c r="W1053" s="62">
        <f>SUMIFS([0]!Capriles,[0]!Centro,B1054,[0]!Turno,W$1003)</f>
        <v>0</v>
      </c>
      <c r="X1053" s="62">
        <f>SUMIFS([0]!Capriles,[0]!Centro,B1054,[0]!Turno,X$1003)</f>
        <v>0</v>
      </c>
      <c r="Y1053" s="70">
        <f>SUMIFS([0]!Capriles,[0]!Centro,B1054,[0]!Turno,Y$1003)</f>
        <v>0</v>
      </c>
    </row>
    <row r="1054" spans="2:25" ht="15" customHeight="1" thickBot="1" x14ac:dyDescent="0.25">
      <c r="B1054" s="251">
        <v>143</v>
      </c>
      <c r="C1054" s="100">
        <f>E1054/SUM(E1052:E1054)</f>
        <v>1.4150943396226415E-2</v>
      </c>
      <c r="D1054" s="71" t="s">
        <v>2</v>
      </c>
      <c r="E1054" s="72">
        <f t="shared" si="2402"/>
        <v>3</v>
      </c>
      <c r="F1054" s="72">
        <f>SUMIFS([0]!Otro,[0]!Centro,B1054,[0]!Turno,F$1003)</f>
        <v>1</v>
      </c>
      <c r="G1054" s="72">
        <f>SUMIFS([0]!Otro,[0]!Centro,B1054,[0]!Turno,G$1003)</f>
        <v>0</v>
      </c>
      <c r="H1054" s="72">
        <f>SUMIFS([0]!Otro,[0]!Centro,B1054,[0]!Turno,H$1003)</f>
        <v>0</v>
      </c>
      <c r="I1054" s="72">
        <f>SUMIFS([0]!Otro,[0]!Centro,B1054,[0]!Turno,I$1003)</f>
        <v>1</v>
      </c>
      <c r="J1054" s="72">
        <f>SUMIFS([0]!Otro,[0]!Centro,B1054,[0]!Turno,J$1003)</f>
        <v>0</v>
      </c>
      <c r="K1054" s="72">
        <f>SUMIFS([0]!Otro,[0]!Centro,B1054,[0]!Turno,K$1003)</f>
        <v>0</v>
      </c>
      <c r="L1054" s="72">
        <f>SUMIFS([0]!Otro,[0]!Centro,B1054,[0]!Turno,L$1003)</f>
        <v>0</v>
      </c>
      <c r="M1054" s="72">
        <f>SUMIFS([0]!Otro,[0]!Centro,B1054,[0]!Turno,M$1003)</f>
        <v>1</v>
      </c>
      <c r="N1054" s="72">
        <f>SUMIFS([0]!Otro,[0]!Centro,B1054,[0]!Turno,N$1003)</f>
        <v>0</v>
      </c>
      <c r="O1054" s="72">
        <f>SUMIFS([0]!Otro,[0]!Centro,B1054,[0]!Turno,O$1003)</f>
        <v>0</v>
      </c>
      <c r="P1054" s="72">
        <f>SUMIFS([0]!Otro,[0]!Centro,B1054,[0]!Turno,P$1003)</f>
        <v>0</v>
      </c>
      <c r="Q1054" s="72">
        <f>SUMIFS([0]!Otro,[0]!Centro,B1054,[0]!Turno,Q$1003)</f>
        <v>0</v>
      </c>
      <c r="R1054" s="72">
        <f>SUMIFS([0]!Otro,[0]!Centro,B1054,[0]!Turno,R$1003)</f>
        <v>0</v>
      </c>
      <c r="S1054" s="72">
        <f>SUMIFS([0]!Otro,[0]!Centro,B1054,[0]!Turno,S$1003)</f>
        <v>0</v>
      </c>
      <c r="T1054" s="72">
        <f>SUMIFS([0]!Otro,[0]!Centro,B1054,[0]!Turno,T$1003)</f>
        <v>0</v>
      </c>
      <c r="U1054" s="72">
        <f>SUMIFS([0]!Otro,[0]!Centro,B1054,[0]!Turno,U$1003)</f>
        <v>0</v>
      </c>
      <c r="V1054" s="72">
        <f>SUMIFS([0]!Otro,[0]!Centro,B1054,[0]!Turno,V$1003)</f>
        <v>0</v>
      </c>
      <c r="W1054" s="72">
        <f>SUMIFS([0]!Otro,[0]!Centro,B1054,[0]!Turno,W$1003)</f>
        <v>0</v>
      </c>
      <c r="X1054" s="72">
        <f>SUMIFS([0]!Otro,[0]!Centro,B1054,[0]!Turno,X$1003)</f>
        <v>0</v>
      </c>
      <c r="Y1054" s="73">
        <f>SUMIFS([0]!Otro,[0]!Centro,B1054,[0]!Turno,Y$1003)</f>
        <v>0</v>
      </c>
    </row>
    <row r="1055" spans="2:25" ht="15" customHeight="1" x14ac:dyDescent="0.2">
      <c r="B1055" s="251"/>
      <c r="C1055" s="94">
        <f>E1055/SUM(E1055:E1057)</f>
        <v>0.35377358490566035</v>
      </c>
      <c r="D1055" s="63" t="s">
        <v>0</v>
      </c>
      <c r="E1055" s="150">
        <f>IF((E1052+E1053+E1054)=0,0,(E1052*$B1056)/(E1052+E1053+E1054))</f>
        <v>1.1753637157374161E-2</v>
      </c>
      <c r="F1055" s="150">
        <f>IF((F1052+F1053+F1054)=0,0,(F1052*$B1056)/(F1052+F1053+F1054))</f>
        <v>1.0748816412155509E-2</v>
      </c>
      <c r="G1055" s="150">
        <f t="shared" ref="G1055:Y1055" si="2432">IF((G1052+G1053+G1054)=0,0,(G1052*$B1056)/(G1052+G1053+G1054))</f>
        <v>9.3026120221564035E-3</v>
      </c>
      <c r="H1055" s="150">
        <f t="shared" si="2432"/>
        <v>1.845756353602461E-2</v>
      </c>
      <c r="I1055" s="150">
        <f t="shared" si="2432"/>
        <v>8.5188754781652058E-3</v>
      </c>
      <c r="J1055" s="150">
        <f t="shared" si="2432"/>
        <v>1.1456418746498035E-2</v>
      </c>
      <c r="K1055" s="150">
        <f t="shared" si="2432"/>
        <v>0</v>
      </c>
      <c r="L1055" s="150">
        <f t="shared" si="2432"/>
        <v>3.32236143648443E-3</v>
      </c>
      <c r="M1055" s="150">
        <f t="shared" si="2432"/>
        <v>1.9291130921522494E-2</v>
      </c>
      <c r="N1055" s="150">
        <f t="shared" si="2432"/>
        <v>1.2340199621227883E-2</v>
      </c>
      <c r="O1055" s="150">
        <f t="shared" si="2432"/>
        <v>0</v>
      </c>
      <c r="P1055" s="150">
        <f t="shared" si="2432"/>
        <v>0</v>
      </c>
      <c r="Q1055" s="150">
        <f t="shared" si="2432"/>
        <v>0</v>
      </c>
      <c r="R1055" s="150">
        <f t="shared" si="2432"/>
        <v>0</v>
      </c>
      <c r="S1055" s="150">
        <f t="shared" si="2432"/>
        <v>0</v>
      </c>
      <c r="T1055" s="150">
        <f t="shared" si="2432"/>
        <v>0</v>
      </c>
      <c r="U1055" s="150">
        <f t="shared" si="2432"/>
        <v>0</v>
      </c>
      <c r="V1055" s="150">
        <f t="shared" si="2432"/>
        <v>0</v>
      </c>
      <c r="W1055" s="150">
        <f t="shared" si="2432"/>
        <v>0</v>
      </c>
      <c r="X1055" s="150">
        <f t="shared" si="2432"/>
        <v>0</v>
      </c>
      <c r="Y1055" s="163">
        <f t="shared" si="2432"/>
        <v>0</v>
      </c>
    </row>
    <row r="1056" spans="2:25" ht="15" customHeight="1" x14ac:dyDescent="0.2">
      <c r="B1056" s="252">
        <v>3.3223614364844299E-2</v>
      </c>
      <c r="C1056" s="92">
        <f>E1056/SUM(E1055:E1057)</f>
        <v>0.63207547169811329</v>
      </c>
      <c r="D1056" s="61" t="s">
        <v>1</v>
      </c>
      <c r="E1056" s="154">
        <f>IF((E1052+E1053+E1054)=0,0,(E1053*$B1056)/(E1052+E1053+E1054))</f>
        <v>2.0999831721175172E-2</v>
      </c>
      <c r="F1056" s="154">
        <f>IF((F1052+F1053+F1054)=0,0,(F1053*$B1056)/(F1052+F1053+F1054))</f>
        <v>2.1497632824311018E-2</v>
      </c>
      <c r="G1056" s="154">
        <f t="shared" ref="G1056:Y1056" si="2433">IF((G1052+G1053+G1054)=0,0,(G1053*$B1056)/(G1052+G1053+G1054))</f>
        <v>2.3921002342687892E-2</v>
      </c>
      <c r="H1056" s="154">
        <f t="shared" si="2433"/>
        <v>1.4766050828819689E-2</v>
      </c>
      <c r="I1056" s="154">
        <f t="shared" si="2433"/>
        <v>2.3852851338862575E-2</v>
      </c>
      <c r="J1056" s="154">
        <f t="shared" si="2433"/>
        <v>2.1767195618346266E-2</v>
      </c>
      <c r="K1056" s="154">
        <f t="shared" si="2433"/>
        <v>0</v>
      </c>
      <c r="L1056" s="154">
        <f t="shared" si="2433"/>
        <v>2.9901252928359868E-2</v>
      </c>
      <c r="M1056" s="154">
        <f t="shared" si="2433"/>
        <v>1.2860753947681663E-2</v>
      </c>
      <c r="N1056" s="154">
        <f t="shared" si="2433"/>
        <v>2.0883414743616418E-2</v>
      </c>
      <c r="O1056" s="154">
        <f t="shared" si="2433"/>
        <v>0</v>
      </c>
      <c r="P1056" s="154">
        <f t="shared" si="2433"/>
        <v>0</v>
      </c>
      <c r="Q1056" s="154">
        <f t="shared" si="2433"/>
        <v>0</v>
      </c>
      <c r="R1056" s="154">
        <f t="shared" si="2433"/>
        <v>0</v>
      </c>
      <c r="S1056" s="154">
        <f t="shared" si="2433"/>
        <v>0</v>
      </c>
      <c r="T1056" s="154">
        <f t="shared" si="2433"/>
        <v>0</v>
      </c>
      <c r="U1056" s="154">
        <f t="shared" si="2433"/>
        <v>0</v>
      </c>
      <c r="V1056" s="154">
        <f t="shared" si="2433"/>
        <v>0</v>
      </c>
      <c r="W1056" s="154">
        <f t="shared" si="2433"/>
        <v>0</v>
      </c>
      <c r="X1056" s="154">
        <f t="shared" si="2433"/>
        <v>0</v>
      </c>
      <c r="Y1056" s="159">
        <f t="shared" si="2433"/>
        <v>0</v>
      </c>
    </row>
    <row r="1057" spans="2:25" ht="15" customHeight="1" thickBot="1" x14ac:dyDescent="0.25">
      <c r="B1057" s="253"/>
      <c r="C1057" s="93">
        <f>E1057/SUM(E1055:E1057)</f>
        <v>1.4150943396226414E-2</v>
      </c>
      <c r="D1057" s="75" t="s">
        <v>2</v>
      </c>
      <c r="E1057" s="155">
        <f>IF((E1052+E1053+E1054)=0,0,(E1054*$B1056)/(E1052+E1053+E1054))</f>
        <v>4.7014548629496647E-4</v>
      </c>
      <c r="F1057" s="155">
        <f>IF((F1052+F1053+F1054)=0,0,(F1054*$B1056)/(F1052+F1053+F1054))</f>
        <v>9.7716512837777358E-4</v>
      </c>
      <c r="G1057" s="155">
        <f t="shared" ref="G1057:Y1057" si="2434">IF((G1052+G1053+G1054)=0,0,(G1054*$B1056)/(G1052+G1053+G1054))</f>
        <v>0</v>
      </c>
      <c r="H1057" s="155">
        <f t="shared" si="2434"/>
        <v>0</v>
      </c>
      <c r="I1057" s="155">
        <f t="shared" si="2434"/>
        <v>8.5188754781652051E-4</v>
      </c>
      <c r="J1057" s="155">
        <f t="shared" si="2434"/>
        <v>0</v>
      </c>
      <c r="K1057" s="155">
        <f t="shared" si="2434"/>
        <v>0</v>
      </c>
      <c r="L1057" s="155">
        <f t="shared" si="2434"/>
        <v>0</v>
      </c>
      <c r="M1057" s="155">
        <f t="shared" si="2434"/>
        <v>1.0717294956401387E-3</v>
      </c>
      <c r="N1057" s="155">
        <f t="shared" si="2434"/>
        <v>0</v>
      </c>
      <c r="O1057" s="155">
        <f t="shared" si="2434"/>
        <v>0</v>
      </c>
      <c r="P1057" s="155">
        <f t="shared" si="2434"/>
        <v>0</v>
      </c>
      <c r="Q1057" s="155">
        <f t="shared" si="2434"/>
        <v>0</v>
      </c>
      <c r="R1057" s="155">
        <f t="shared" si="2434"/>
        <v>0</v>
      </c>
      <c r="S1057" s="155">
        <f t="shared" si="2434"/>
        <v>0</v>
      </c>
      <c r="T1057" s="155">
        <f t="shared" si="2434"/>
        <v>0</v>
      </c>
      <c r="U1057" s="155">
        <f t="shared" si="2434"/>
        <v>0</v>
      </c>
      <c r="V1057" s="155">
        <f t="shared" si="2434"/>
        <v>0</v>
      </c>
      <c r="W1057" s="155">
        <f t="shared" si="2434"/>
        <v>0</v>
      </c>
      <c r="X1057" s="155">
        <f t="shared" si="2434"/>
        <v>0</v>
      </c>
      <c r="Y1057" s="160">
        <f t="shared" si="2434"/>
        <v>0</v>
      </c>
    </row>
    <row r="1058" spans="2:25" ht="15" customHeight="1" x14ac:dyDescent="0.2">
      <c r="B1058" s="249" t="s">
        <v>165</v>
      </c>
      <c r="C1058" s="91">
        <f>E1058/SUM(E1058:E1060)</f>
        <v>0.62924281984334207</v>
      </c>
      <c r="D1058" s="67" t="s">
        <v>0</v>
      </c>
      <c r="E1058" s="68">
        <f t="shared" si="2402"/>
        <v>241</v>
      </c>
      <c r="F1058" s="68">
        <f>SUMIFS([0]!Chavez,[0]!Centro,B1060,[0]!Turno,F$1003)</f>
        <v>58</v>
      </c>
      <c r="G1058" s="68">
        <f>SUMIFS([0]!Chavez,[0]!Centro,B1060,[0]!Turno,G$1003)</f>
        <v>20</v>
      </c>
      <c r="H1058" s="68">
        <f>SUMIFS([0]!Chavez,[0]!Centro,B1060,[0]!Turno,H$1003)</f>
        <v>19</v>
      </c>
      <c r="I1058" s="68">
        <f>SUMIFS([0]!Chavez,[0]!Centro,B1060,[0]!Turno,I$1003)</f>
        <v>29</v>
      </c>
      <c r="J1058" s="68">
        <f>SUMIFS([0]!Chavez,[0]!Centro,B1060,[0]!Turno,J$1003)</f>
        <v>25</v>
      </c>
      <c r="K1058" s="68">
        <f>SUMIFS([0]!Chavez,[0]!Centro,B1060,[0]!Turno,K$1003)</f>
        <v>7</v>
      </c>
      <c r="L1058" s="68">
        <f>SUMIFS([0]!Chavez,[0]!Centro,B1060,[0]!Turno,L$1003)</f>
        <v>34</v>
      </c>
      <c r="M1058" s="68">
        <f>SUMIFS([0]!Chavez,[0]!Centro,B1060,[0]!Turno,M$1003)</f>
        <v>19</v>
      </c>
      <c r="N1058" s="68">
        <f>SUMIFS([0]!Chavez,[0]!Centro,B1060,[0]!Turno,N$1003)</f>
        <v>30</v>
      </c>
      <c r="O1058" s="68">
        <f>SUMIFS([0]!Chavez,[0]!Centro,B1060,[0]!Turno,O$1003)</f>
        <v>0</v>
      </c>
      <c r="P1058" s="68">
        <f>SUMIFS([0]!Chavez,[0]!Centro,B1060,[0]!Turno,P$1003)</f>
        <v>0</v>
      </c>
      <c r="Q1058" s="68">
        <f>SUMIFS([0]!Chavez,[0]!Centro,B1060,[0]!Turno,Q$1003)</f>
        <v>0</v>
      </c>
      <c r="R1058" s="68">
        <f>SUMIFS([0]!Chavez,[0]!Centro,B1060,[0]!Turno,R$1003)</f>
        <v>0</v>
      </c>
      <c r="S1058" s="68">
        <f>SUMIFS([0]!Chavez,[0]!Centro,B1060,[0]!Turno,S$1003)</f>
        <v>0</v>
      </c>
      <c r="T1058" s="68">
        <f>SUMIFS([0]!Chavez,[0]!Centro,B1060,[0]!Turno,T$1003)</f>
        <v>0</v>
      </c>
      <c r="U1058" s="68">
        <f>SUMIFS([0]!Chavez,[0]!Centro,B1060,[0]!Turno,U$1003)</f>
        <v>0</v>
      </c>
      <c r="V1058" s="68">
        <f>SUMIFS([0]!Chavez,[0]!Centro,B1060,[0]!Turno,V$1003)</f>
        <v>0</v>
      </c>
      <c r="W1058" s="68">
        <f>SUMIFS([0]!Chavez,[0]!Centro,B1060,[0]!Turno,W$1003)</f>
        <v>0</v>
      </c>
      <c r="X1058" s="68">
        <f>SUMIFS([0]!Chavez,[0]!Centro,B1060,[0]!Turno,X$1003)</f>
        <v>0</v>
      </c>
      <c r="Y1058" s="69">
        <f>SUMIFS([0]!Chavez,[0]!Centro,B1060,[0]!Turno,Y$1003)</f>
        <v>0</v>
      </c>
    </row>
    <row r="1059" spans="2:25" ht="15" customHeight="1" x14ac:dyDescent="0.2">
      <c r="B1059" s="250"/>
      <c r="C1059" s="92">
        <f>E1059/SUM(E1058:E1060)</f>
        <v>0.28981723237597912</v>
      </c>
      <c r="D1059" s="61" t="s">
        <v>1</v>
      </c>
      <c r="E1059" s="62">
        <f t="shared" si="2402"/>
        <v>111</v>
      </c>
      <c r="F1059" s="62">
        <f>SUMIFS([0]!Capriles,[0]!Centro,B1060,[0]!Turno,F$1003)</f>
        <v>29</v>
      </c>
      <c r="G1059" s="62">
        <f>SUMIFS([0]!Capriles,[0]!Centro,B1060,[0]!Turno,G$1003)</f>
        <v>8</v>
      </c>
      <c r="H1059" s="62">
        <f>SUMIFS([0]!Capriles,[0]!Centro,B1060,[0]!Turno,H$1003)</f>
        <v>8</v>
      </c>
      <c r="I1059" s="62">
        <f>SUMIFS([0]!Capriles,[0]!Centro,B1060,[0]!Turno,I$1003)</f>
        <v>10</v>
      </c>
      <c r="J1059" s="62">
        <f>SUMIFS([0]!Capriles,[0]!Centro,B1060,[0]!Turno,J$1003)</f>
        <v>7</v>
      </c>
      <c r="K1059" s="62">
        <f>SUMIFS([0]!Capriles,[0]!Centro,B1060,[0]!Turno,K$1003)</f>
        <v>21</v>
      </c>
      <c r="L1059" s="62">
        <f>SUMIFS([0]!Capriles,[0]!Centro,B1060,[0]!Turno,L$1003)</f>
        <v>15</v>
      </c>
      <c r="M1059" s="62">
        <f>SUMIFS([0]!Capriles,[0]!Centro,B1060,[0]!Turno,M$1003)</f>
        <v>3</v>
      </c>
      <c r="N1059" s="62">
        <f>SUMIFS([0]!Capriles,[0]!Centro,B1060,[0]!Turno,N$1003)</f>
        <v>10</v>
      </c>
      <c r="O1059" s="62">
        <f>SUMIFS([0]!Capriles,[0]!Centro,B1060,[0]!Turno,O$1003)</f>
        <v>0</v>
      </c>
      <c r="P1059" s="62">
        <f>SUMIFS([0]!Capriles,[0]!Centro,B1060,[0]!Turno,P$1003)</f>
        <v>0</v>
      </c>
      <c r="Q1059" s="62">
        <f>SUMIFS([0]!Capriles,[0]!Centro,B1060,[0]!Turno,Q$1003)</f>
        <v>0</v>
      </c>
      <c r="R1059" s="62">
        <f>SUMIFS([0]!Capriles,[0]!Centro,B1060,[0]!Turno,R$1003)</f>
        <v>0</v>
      </c>
      <c r="S1059" s="62">
        <f>SUMIFS([0]!Capriles,[0]!Centro,B1060,[0]!Turno,S$1003)</f>
        <v>0</v>
      </c>
      <c r="T1059" s="62">
        <f>SUMIFS([0]!Capriles,[0]!Centro,B1060,[0]!Turno,T$1003)</f>
        <v>0</v>
      </c>
      <c r="U1059" s="62">
        <f>SUMIFS([0]!Capriles,[0]!Centro,B1060,[0]!Turno,U$1003)</f>
        <v>0</v>
      </c>
      <c r="V1059" s="62">
        <f>SUMIFS([0]!Capriles,[0]!Centro,B1060,[0]!Turno,V$1003)</f>
        <v>0</v>
      </c>
      <c r="W1059" s="62">
        <f>SUMIFS([0]!Capriles,[0]!Centro,B1060,[0]!Turno,W$1003)</f>
        <v>0</v>
      </c>
      <c r="X1059" s="62">
        <f>SUMIFS([0]!Capriles,[0]!Centro,B1060,[0]!Turno,X$1003)</f>
        <v>0</v>
      </c>
      <c r="Y1059" s="70">
        <f>SUMIFS([0]!Capriles,[0]!Centro,B1060,[0]!Turno,Y$1003)</f>
        <v>0</v>
      </c>
    </row>
    <row r="1060" spans="2:25" ht="15" customHeight="1" thickBot="1" x14ac:dyDescent="0.25">
      <c r="B1060" s="251">
        <v>144</v>
      </c>
      <c r="C1060" s="100">
        <f>E1060/SUM(E1058:E1060)</f>
        <v>8.0939947780678853E-2</v>
      </c>
      <c r="D1060" s="71" t="s">
        <v>2</v>
      </c>
      <c r="E1060" s="72">
        <f t="shared" si="2402"/>
        <v>31</v>
      </c>
      <c r="F1060" s="72">
        <f>SUMIFS([0]!Otro,[0]!Centro,B1060,[0]!Turno,F$1003)</f>
        <v>0</v>
      </c>
      <c r="G1060" s="72">
        <f>SUMIFS([0]!Otro,[0]!Centro,B1060,[0]!Turno,G$1003)</f>
        <v>0</v>
      </c>
      <c r="H1060" s="72">
        <f>SUMIFS([0]!Otro,[0]!Centro,B1060,[0]!Turno,H$1003)</f>
        <v>0</v>
      </c>
      <c r="I1060" s="72">
        <f>SUMIFS([0]!Otro,[0]!Centro,B1060,[0]!Turno,I$1003)</f>
        <v>0</v>
      </c>
      <c r="J1060" s="72">
        <f>SUMIFS([0]!Otro,[0]!Centro,B1060,[0]!Turno,J$1003)</f>
        <v>0</v>
      </c>
      <c r="K1060" s="72">
        <f>SUMIFS([0]!Otro,[0]!Centro,B1060,[0]!Turno,K$1003)</f>
        <v>0</v>
      </c>
      <c r="L1060" s="72">
        <f>SUMIFS([0]!Otro,[0]!Centro,B1060,[0]!Turno,L$1003)</f>
        <v>31</v>
      </c>
      <c r="M1060" s="72">
        <f>SUMIFS([0]!Otro,[0]!Centro,B1060,[0]!Turno,M$1003)</f>
        <v>0</v>
      </c>
      <c r="N1060" s="72">
        <f>SUMIFS([0]!Otro,[0]!Centro,B1060,[0]!Turno,N$1003)</f>
        <v>0</v>
      </c>
      <c r="O1060" s="72">
        <f>SUMIFS([0]!Otro,[0]!Centro,B1060,[0]!Turno,O$1003)</f>
        <v>0</v>
      </c>
      <c r="P1060" s="72">
        <f>SUMIFS([0]!Otro,[0]!Centro,B1060,[0]!Turno,P$1003)</f>
        <v>0</v>
      </c>
      <c r="Q1060" s="72">
        <f>SUMIFS([0]!Otro,[0]!Centro,B1060,[0]!Turno,Q$1003)</f>
        <v>0</v>
      </c>
      <c r="R1060" s="72">
        <f>SUMIFS([0]!Otro,[0]!Centro,B1060,[0]!Turno,R$1003)</f>
        <v>0</v>
      </c>
      <c r="S1060" s="72">
        <f>SUMIFS([0]!Otro,[0]!Centro,B1060,[0]!Turno,S$1003)</f>
        <v>0</v>
      </c>
      <c r="T1060" s="72">
        <f>SUMIFS([0]!Otro,[0]!Centro,B1060,[0]!Turno,T$1003)</f>
        <v>0</v>
      </c>
      <c r="U1060" s="72">
        <f>SUMIFS([0]!Otro,[0]!Centro,B1060,[0]!Turno,U$1003)</f>
        <v>0</v>
      </c>
      <c r="V1060" s="72">
        <f>SUMIFS([0]!Otro,[0]!Centro,B1060,[0]!Turno,V$1003)</f>
        <v>0</v>
      </c>
      <c r="W1060" s="72">
        <f>SUMIFS([0]!Otro,[0]!Centro,B1060,[0]!Turno,W$1003)</f>
        <v>0</v>
      </c>
      <c r="X1060" s="72">
        <f>SUMIFS([0]!Otro,[0]!Centro,B1060,[0]!Turno,X$1003)</f>
        <v>0</v>
      </c>
      <c r="Y1060" s="73">
        <f>SUMIFS([0]!Otro,[0]!Centro,B1060,[0]!Turno,Y$1003)</f>
        <v>0</v>
      </c>
    </row>
    <row r="1061" spans="2:25" ht="15" customHeight="1" x14ac:dyDescent="0.2">
      <c r="B1061" s="251"/>
      <c r="C1061" s="94">
        <f>E1061/SUM(E1061:E1063)</f>
        <v>0.62924281984334207</v>
      </c>
      <c r="D1061" s="63" t="s">
        <v>0</v>
      </c>
      <c r="E1061" s="150">
        <f>IF((E1058+E1059+E1060)=0,0,(E1058*$B1062)/(E1058+E1059+E1060))</f>
        <v>3.3729840261544651E-2</v>
      </c>
      <c r="F1061" s="150">
        <f>IF((F1058+F1059+F1060)=0,0,(F1058*$B1062)/(F1058+F1059+F1060))</f>
        <v>3.5735902683738864E-2</v>
      </c>
      <c r="G1061" s="150">
        <f t="shared" ref="G1061:Y1061" si="2435">IF((G1058+G1059+G1060)=0,0,(G1058*$B1062)/(G1058+G1059+G1060))</f>
        <v>3.8288467161148788E-2</v>
      </c>
      <c r="H1061" s="150">
        <f t="shared" si="2435"/>
        <v>3.7721230610613249E-2</v>
      </c>
      <c r="I1061" s="150">
        <f t="shared" si="2435"/>
        <v>3.9859276070324121E-2</v>
      </c>
      <c r="J1061" s="150">
        <f t="shared" si="2435"/>
        <v>4.1878010957506484E-2</v>
      </c>
      <c r="K1061" s="150">
        <f t="shared" si="2435"/>
        <v>1.3400963506402075E-2</v>
      </c>
      <c r="L1061" s="150">
        <f t="shared" si="2435"/>
        <v>2.2781637960883526E-2</v>
      </c>
      <c r="M1061" s="150">
        <f t="shared" si="2435"/>
        <v>4.6294237567570805E-2</v>
      </c>
      <c r="N1061" s="150">
        <f t="shared" si="2435"/>
        <v>4.0202890519206225E-2</v>
      </c>
      <c r="O1061" s="150">
        <f t="shared" si="2435"/>
        <v>0</v>
      </c>
      <c r="P1061" s="150">
        <f t="shared" si="2435"/>
        <v>0</v>
      </c>
      <c r="Q1061" s="150">
        <f t="shared" si="2435"/>
        <v>0</v>
      </c>
      <c r="R1061" s="150">
        <f t="shared" si="2435"/>
        <v>0</v>
      </c>
      <c r="S1061" s="150">
        <f t="shared" si="2435"/>
        <v>0</v>
      </c>
      <c r="T1061" s="150">
        <f t="shared" si="2435"/>
        <v>0</v>
      </c>
      <c r="U1061" s="150">
        <f t="shared" si="2435"/>
        <v>0</v>
      </c>
      <c r="V1061" s="150">
        <f t="shared" si="2435"/>
        <v>0</v>
      </c>
      <c r="W1061" s="150">
        <f t="shared" si="2435"/>
        <v>0</v>
      </c>
      <c r="X1061" s="150">
        <f t="shared" si="2435"/>
        <v>0</v>
      </c>
      <c r="Y1061" s="163">
        <f t="shared" si="2435"/>
        <v>0</v>
      </c>
    </row>
    <row r="1062" spans="2:25" ht="15" customHeight="1" x14ac:dyDescent="0.2">
      <c r="B1062" s="252">
        <v>5.36038540256083E-2</v>
      </c>
      <c r="C1062" s="92">
        <f>E1062/SUM(E1061:E1063)</f>
        <v>0.28981723237597912</v>
      </c>
      <c r="D1062" s="61" t="s">
        <v>1</v>
      </c>
      <c r="E1062" s="154">
        <f>IF((E1058+E1059+E1060)=0,0,(E1059*$B1062)/(E1058+E1059+E1060))</f>
        <v>1.5535320618387784E-2</v>
      </c>
      <c r="F1062" s="154">
        <f>IF((F1058+F1059+F1060)=0,0,(F1059*$B1062)/(F1058+F1059+F1060))</f>
        <v>1.7867951341869432E-2</v>
      </c>
      <c r="G1062" s="154">
        <f t="shared" ref="G1062:Y1062" si="2436">IF((G1058+G1059+G1060)=0,0,(G1059*$B1062)/(G1058+G1059+G1060))</f>
        <v>1.5315386864459515E-2</v>
      </c>
      <c r="H1062" s="154">
        <f t="shared" si="2436"/>
        <v>1.5882623414995051E-2</v>
      </c>
      <c r="I1062" s="154">
        <f t="shared" si="2436"/>
        <v>1.3744577955284179E-2</v>
      </c>
      <c r="J1062" s="154">
        <f t="shared" si="2436"/>
        <v>1.1725843068101816E-2</v>
      </c>
      <c r="K1062" s="154">
        <f t="shared" si="2436"/>
        <v>4.0202890519206225E-2</v>
      </c>
      <c r="L1062" s="154">
        <f t="shared" si="2436"/>
        <v>1.0050722629801556E-2</v>
      </c>
      <c r="M1062" s="154">
        <f t="shared" si="2436"/>
        <v>7.3096164580374956E-3</v>
      </c>
      <c r="N1062" s="154">
        <f t="shared" si="2436"/>
        <v>1.3400963506402075E-2</v>
      </c>
      <c r="O1062" s="154">
        <f t="shared" si="2436"/>
        <v>0</v>
      </c>
      <c r="P1062" s="154">
        <f t="shared" si="2436"/>
        <v>0</v>
      </c>
      <c r="Q1062" s="154">
        <f t="shared" si="2436"/>
        <v>0</v>
      </c>
      <c r="R1062" s="154">
        <f t="shared" si="2436"/>
        <v>0</v>
      </c>
      <c r="S1062" s="154">
        <f t="shared" si="2436"/>
        <v>0</v>
      </c>
      <c r="T1062" s="154">
        <f t="shared" si="2436"/>
        <v>0</v>
      </c>
      <c r="U1062" s="154">
        <f t="shared" si="2436"/>
        <v>0</v>
      </c>
      <c r="V1062" s="154">
        <f t="shared" si="2436"/>
        <v>0</v>
      </c>
      <c r="W1062" s="154">
        <f t="shared" si="2436"/>
        <v>0</v>
      </c>
      <c r="X1062" s="154">
        <f t="shared" si="2436"/>
        <v>0</v>
      </c>
      <c r="Y1062" s="159">
        <f t="shared" si="2436"/>
        <v>0</v>
      </c>
    </row>
    <row r="1063" spans="2:25" ht="15" customHeight="1" thickBot="1" x14ac:dyDescent="0.25">
      <c r="B1063" s="253"/>
      <c r="C1063" s="93">
        <f>E1063/SUM(E1061:E1063)</f>
        <v>8.0939947780678853E-2</v>
      </c>
      <c r="D1063" s="75" t="s">
        <v>2</v>
      </c>
      <c r="E1063" s="155">
        <f>IF((E1058+E1059+E1060)=0,0,(E1060*$B1062)/(E1058+E1059+E1060))</f>
        <v>4.3386931456758674E-3</v>
      </c>
      <c r="F1063" s="155">
        <f>IF((F1058+F1059+F1060)=0,0,(F1060*$B1062)/(F1058+F1059+F1060))</f>
        <v>0</v>
      </c>
      <c r="G1063" s="155">
        <f t="shared" ref="G1063:Y1063" si="2437">IF((G1058+G1059+G1060)=0,0,(G1060*$B1062)/(G1058+G1059+G1060))</f>
        <v>0</v>
      </c>
      <c r="H1063" s="155">
        <f t="shared" si="2437"/>
        <v>0</v>
      </c>
      <c r="I1063" s="155">
        <f t="shared" si="2437"/>
        <v>0</v>
      </c>
      <c r="J1063" s="155">
        <f t="shared" si="2437"/>
        <v>0</v>
      </c>
      <c r="K1063" s="155">
        <f t="shared" si="2437"/>
        <v>0</v>
      </c>
      <c r="L1063" s="155">
        <f t="shared" si="2437"/>
        <v>2.0771493434923217E-2</v>
      </c>
      <c r="M1063" s="155">
        <f t="shared" si="2437"/>
        <v>0</v>
      </c>
      <c r="N1063" s="155">
        <f t="shared" si="2437"/>
        <v>0</v>
      </c>
      <c r="O1063" s="155">
        <f t="shared" si="2437"/>
        <v>0</v>
      </c>
      <c r="P1063" s="155">
        <f t="shared" si="2437"/>
        <v>0</v>
      </c>
      <c r="Q1063" s="155">
        <f t="shared" si="2437"/>
        <v>0</v>
      </c>
      <c r="R1063" s="155">
        <f t="shared" si="2437"/>
        <v>0</v>
      </c>
      <c r="S1063" s="155">
        <f t="shared" si="2437"/>
        <v>0</v>
      </c>
      <c r="T1063" s="155">
        <f t="shared" si="2437"/>
        <v>0</v>
      </c>
      <c r="U1063" s="155">
        <f t="shared" si="2437"/>
        <v>0</v>
      </c>
      <c r="V1063" s="155">
        <f t="shared" si="2437"/>
        <v>0</v>
      </c>
      <c r="W1063" s="155">
        <f t="shared" si="2437"/>
        <v>0</v>
      </c>
      <c r="X1063" s="155">
        <f t="shared" si="2437"/>
        <v>0</v>
      </c>
      <c r="Y1063" s="160">
        <f t="shared" si="2437"/>
        <v>0</v>
      </c>
    </row>
    <row r="1064" spans="2:25" ht="15" customHeight="1" x14ac:dyDescent="0.2">
      <c r="B1064" s="249" t="s">
        <v>166</v>
      </c>
      <c r="C1064" s="91">
        <f>E1064/SUM(E1064:E1066)</f>
        <v>0.44142857142857145</v>
      </c>
      <c r="D1064" s="67" t="s">
        <v>0</v>
      </c>
      <c r="E1064" s="68">
        <f t="shared" si="2402"/>
        <v>309</v>
      </c>
      <c r="F1064" s="68">
        <f>SUMIFS([0]!Chavez,[0]!Centro,B1066,[0]!Turno,F$1003)</f>
        <v>41</v>
      </c>
      <c r="G1064" s="68">
        <f>SUMIFS([0]!Chavez,[0]!Centro,B1066,[0]!Turno,G$1003)</f>
        <v>26</v>
      </c>
      <c r="H1064" s="68">
        <f>SUMIFS([0]!Chavez,[0]!Centro,B1066,[0]!Turno,H$1003)</f>
        <v>45</v>
      </c>
      <c r="I1064" s="68">
        <f>SUMIFS([0]!Chavez,[0]!Centro,B1066,[0]!Turno,I$1003)</f>
        <v>22</v>
      </c>
      <c r="J1064" s="68">
        <f>SUMIFS([0]!Chavez,[0]!Centro,B1066,[0]!Turno,J$1003)</f>
        <v>45</v>
      </c>
      <c r="K1064" s="68">
        <f>SUMIFS([0]!Chavez,[0]!Centro,B1066,[0]!Turno,K$1003)</f>
        <v>41</v>
      </c>
      <c r="L1064" s="68">
        <f>SUMIFS([0]!Chavez,[0]!Centro,B1066,[0]!Turno,L$1003)</f>
        <v>36</v>
      </c>
      <c r="M1064" s="68">
        <f>SUMIFS([0]!Chavez,[0]!Centro,B1066,[0]!Turno,M$1003)</f>
        <v>22</v>
      </c>
      <c r="N1064" s="68">
        <f>SUMIFS([0]!Chavez,[0]!Centro,B1066,[0]!Turno,N$1003)</f>
        <v>31</v>
      </c>
      <c r="O1064" s="68">
        <f>SUMIFS([0]!Chavez,[0]!Centro,B1066,[0]!Turno,O$1003)</f>
        <v>0</v>
      </c>
      <c r="P1064" s="68">
        <f>SUMIFS([0]!Chavez,[0]!Centro,B1066,[0]!Turno,P$1003)</f>
        <v>0</v>
      </c>
      <c r="Q1064" s="68">
        <f>SUMIFS([0]!Chavez,[0]!Centro,B1066,[0]!Turno,Q$1003)</f>
        <v>0</v>
      </c>
      <c r="R1064" s="68">
        <f>SUMIFS([0]!Chavez,[0]!Centro,B1066,[0]!Turno,R$1003)</f>
        <v>0</v>
      </c>
      <c r="S1064" s="68">
        <f>SUMIFS([0]!Chavez,[0]!Centro,B1066,[0]!Turno,S$1003)</f>
        <v>0</v>
      </c>
      <c r="T1064" s="68">
        <f>SUMIFS([0]!Chavez,[0]!Centro,B1066,[0]!Turno,T$1003)</f>
        <v>0</v>
      </c>
      <c r="U1064" s="68">
        <f>SUMIFS([0]!Chavez,[0]!Centro,B1066,[0]!Turno,U$1003)</f>
        <v>0</v>
      </c>
      <c r="V1064" s="68">
        <f>SUMIFS([0]!Chavez,[0]!Centro,B1066,[0]!Turno,V$1003)</f>
        <v>0</v>
      </c>
      <c r="W1064" s="68">
        <f>SUMIFS([0]!Chavez,[0]!Centro,B1066,[0]!Turno,W$1003)</f>
        <v>0</v>
      </c>
      <c r="X1064" s="68">
        <f>SUMIFS([0]!Chavez,[0]!Centro,B1066,[0]!Turno,X$1003)</f>
        <v>0</v>
      </c>
      <c r="Y1064" s="69">
        <f>SUMIFS([0]!Chavez,[0]!Centro,B1066,[0]!Turno,Y$1003)</f>
        <v>0</v>
      </c>
    </row>
    <row r="1065" spans="2:25" ht="15" customHeight="1" x14ac:dyDescent="0.2">
      <c r="B1065" s="250"/>
      <c r="C1065" s="92">
        <f>E1065/SUM(E1064:E1066)</f>
        <v>0.5485714285714286</v>
      </c>
      <c r="D1065" s="61" t="s">
        <v>1</v>
      </c>
      <c r="E1065" s="62">
        <f t="shared" si="2402"/>
        <v>384</v>
      </c>
      <c r="F1065" s="62">
        <f>SUMIFS([0]!Capriles,[0]!Centro,B1066,[0]!Turno,F$1003)</f>
        <v>61</v>
      </c>
      <c r="G1065" s="62">
        <f>SUMIFS([0]!Capriles,[0]!Centro,B1066,[0]!Turno,G$1003)</f>
        <v>9</v>
      </c>
      <c r="H1065" s="62">
        <f>SUMIFS([0]!Capriles,[0]!Centro,B1066,[0]!Turno,H$1003)</f>
        <v>48</v>
      </c>
      <c r="I1065" s="62">
        <f>SUMIFS([0]!Capriles,[0]!Centro,B1066,[0]!Turno,I$1003)</f>
        <v>63</v>
      </c>
      <c r="J1065" s="62">
        <f>SUMIFS([0]!Capriles,[0]!Centro,B1066,[0]!Turno,J$1003)</f>
        <v>54</v>
      </c>
      <c r="K1065" s="62">
        <f>SUMIFS([0]!Capriles,[0]!Centro,B1066,[0]!Turno,K$1003)</f>
        <v>42</v>
      </c>
      <c r="L1065" s="62">
        <f>SUMIFS([0]!Capriles,[0]!Centro,B1066,[0]!Turno,L$1003)</f>
        <v>42</v>
      </c>
      <c r="M1065" s="62">
        <f>SUMIFS([0]!Capriles,[0]!Centro,B1066,[0]!Turno,M$1003)</f>
        <v>35</v>
      </c>
      <c r="N1065" s="62">
        <f>SUMIFS([0]!Capriles,[0]!Centro,B1066,[0]!Turno,N$1003)</f>
        <v>30</v>
      </c>
      <c r="O1065" s="62">
        <f>SUMIFS([0]!Capriles,[0]!Centro,B1066,[0]!Turno,O$1003)</f>
        <v>0</v>
      </c>
      <c r="P1065" s="62">
        <f>SUMIFS([0]!Capriles,[0]!Centro,B1066,[0]!Turno,P$1003)</f>
        <v>0</v>
      </c>
      <c r="Q1065" s="62">
        <f>SUMIFS([0]!Capriles,[0]!Centro,B1066,[0]!Turno,Q$1003)</f>
        <v>0</v>
      </c>
      <c r="R1065" s="62">
        <f>SUMIFS([0]!Capriles,[0]!Centro,B1066,[0]!Turno,R$1003)</f>
        <v>0</v>
      </c>
      <c r="S1065" s="62">
        <f>SUMIFS([0]!Capriles,[0]!Centro,B1066,[0]!Turno,S$1003)</f>
        <v>0</v>
      </c>
      <c r="T1065" s="62">
        <f>SUMIFS([0]!Capriles,[0]!Centro,B1066,[0]!Turno,T$1003)</f>
        <v>0</v>
      </c>
      <c r="U1065" s="62">
        <f>SUMIFS([0]!Capriles,[0]!Centro,B1066,[0]!Turno,U$1003)</f>
        <v>0</v>
      </c>
      <c r="V1065" s="62">
        <f>SUMIFS([0]!Capriles,[0]!Centro,B1066,[0]!Turno,V$1003)</f>
        <v>0</v>
      </c>
      <c r="W1065" s="62">
        <f>SUMIFS([0]!Capriles,[0]!Centro,B1066,[0]!Turno,W$1003)</f>
        <v>0</v>
      </c>
      <c r="X1065" s="62">
        <f>SUMIFS([0]!Capriles,[0]!Centro,B1066,[0]!Turno,X$1003)</f>
        <v>0</v>
      </c>
      <c r="Y1065" s="70">
        <f>SUMIFS([0]!Capriles,[0]!Centro,B1066,[0]!Turno,Y$1003)</f>
        <v>0</v>
      </c>
    </row>
    <row r="1066" spans="2:25" ht="15" customHeight="1" thickBot="1" x14ac:dyDescent="0.25">
      <c r="B1066" s="251">
        <v>145</v>
      </c>
      <c r="C1066" s="100">
        <f>E1066/SUM(E1064:E1066)</f>
        <v>0.01</v>
      </c>
      <c r="D1066" s="71" t="s">
        <v>2</v>
      </c>
      <c r="E1066" s="72">
        <f t="shared" si="2402"/>
        <v>7</v>
      </c>
      <c r="F1066" s="72">
        <f>SUMIFS([0]!Otro,[0]!Centro,B1066,[0]!Turno,F$1003)</f>
        <v>0</v>
      </c>
      <c r="G1066" s="72">
        <f>SUMIFS([0]!Otro,[0]!Centro,B1066,[0]!Turno,G$1003)</f>
        <v>1</v>
      </c>
      <c r="H1066" s="72">
        <f>SUMIFS([0]!Otro,[0]!Centro,B1066,[0]!Turno,H$1003)</f>
        <v>1</v>
      </c>
      <c r="I1066" s="72">
        <f>SUMIFS([0]!Otro,[0]!Centro,B1066,[0]!Turno,I$1003)</f>
        <v>0</v>
      </c>
      <c r="J1066" s="72">
        <f>SUMIFS([0]!Otro,[0]!Centro,B1066,[0]!Turno,J$1003)</f>
        <v>0</v>
      </c>
      <c r="K1066" s="72">
        <f>SUMIFS([0]!Otro,[0]!Centro,B1066,[0]!Turno,K$1003)</f>
        <v>4</v>
      </c>
      <c r="L1066" s="72">
        <f>SUMIFS([0]!Otro,[0]!Centro,B1066,[0]!Turno,L$1003)</f>
        <v>0</v>
      </c>
      <c r="M1066" s="72">
        <f>SUMIFS([0]!Otro,[0]!Centro,B1066,[0]!Turno,M$1003)</f>
        <v>0</v>
      </c>
      <c r="N1066" s="72">
        <f>SUMIFS([0]!Otro,[0]!Centro,B1066,[0]!Turno,N$1003)</f>
        <v>1</v>
      </c>
      <c r="O1066" s="72">
        <f>SUMIFS([0]!Otro,[0]!Centro,B1066,[0]!Turno,O$1003)</f>
        <v>0</v>
      </c>
      <c r="P1066" s="72">
        <f>SUMIFS([0]!Otro,[0]!Centro,B1066,[0]!Turno,P$1003)</f>
        <v>0</v>
      </c>
      <c r="Q1066" s="72">
        <f>SUMIFS([0]!Otro,[0]!Centro,B1066,[0]!Turno,Q$1003)</f>
        <v>0</v>
      </c>
      <c r="R1066" s="72">
        <f>SUMIFS([0]!Otro,[0]!Centro,B1066,[0]!Turno,R$1003)</f>
        <v>0</v>
      </c>
      <c r="S1066" s="72">
        <f>SUMIFS([0]!Otro,[0]!Centro,B1066,[0]!Turno,S$1003)</f>
        <v>0</v>
      </c>
      <c r="T1066" s="72">
        <f>SUMIFS([0]!Otro,[0]!Centro,B1066,[0]!Turno,T$1003)</f>
        <v>0</v>
      </c>
      <c r="U1066" s="72">
        <f>SUMIFS([0]!Otro,[0]!Centro,B1066,[0]!Turno,U$1003)</f>
        <v>0</v>
      </c>
      <c r="V1066" s="72">
        <f>SUMIFS([0]!Otro,[0]!Centro,B1066,[0]!Turno,V$1003)</f>
        <v>0</v>
      </c>
      <c r="W1066" s="72">
        <f>SUMIFS([0]!Otro,[0]!Centro,B1066,[0]!Turno,W$1003)</f>
        <v>0</v>
      </c>
      <c r="X1066" s="72">
        <f>SUMIFS([0]!Otro,[0]!Centro,B1066,[0]!Turno,X$1003)</f>
        <v>0</v>
      </c>
      <c r="Y1066" s="73">
        <f>SUMIFS([0]!Otro,[0]!Centro,B1066,[0]!Turno,Y$1003)</f>
        <v>0</v>
      </c>
    </row>
    <row r="1067" spans="2:25" ht="15" customHeight="1" x14ac:dyDescent="0.2">
      <c r="B1067" s="251"/>
      <c r="C1067" s="94">
        <f>E1067/SUM(E1067:E1069)</f>
        <v>0.4414285714285715</v>
      </c>
      <c r="D1067" s="63" t="s">
        <v>0</v>
      </c>
      <c r="E1067" s="150">
        <f>IF((E1064+E1065+E1066)=0,0,(E1064*$B1068)/(E1064+E1065+E1066))</f>
        <v>0.18016291831982481</v>
      </c>
      <c r="F1067" s="150">
        <f>IF((F1064+F1065+F1066)=0,0,(F1064*$B1068)/(F1064+F1065+F1066))</f>
        <v>0.16405469115359386</v>
      </c>
      <c r="G1067" s="150">
        <f t="shared" ref="G1067:Y1067" si="2438">IF((G1064+G1065+G1066)=0,0,(G1064*$B1068)/(G1064+G1065+G1066))</f>
        <v>0.29476493288572558</v>
      </c>
      <c r="H1067" s="150">
        <f t="shared" si="2438"/>
        <v>0.19538428448235493</v>
      </c>
      <c r="I1067" s="150">
        <f t="shared" si="2438"/>
        <v>0.10563521576719216</v>
      </c>
      <c r="J1067" s="150">
        <f t="shared" si="2438"/>
        <v>0.18551639132668044</v>
      </c>
      <c r="K1067" s="150">
        <f t="shared" si="2438"/>
        <v>0.1923399827317997</v>
      </c>
      <c r="L1067" s="150">
        <f t="shared" si="2438"/>
        <v>0.18837048965478323</v>
      </c>
      <c r="M1067" s="150">
        <f t="shared" si="2438"/>
        <v>0.15752619895107603</v>
      </c>
      <c r="N1067" s="150">
        <f t="shared" si="2438"/>
        <v>0.20406803045934849</v>
      </c>
      <c r="O1067" s="150">
        <f t="shared" si="2438"/>
        <v>0</v>
      </c>
      <c r="P1067" s="150">
        <f t="shared" si="2438"/>
        <v>0</v>
      </c>
      <c r="Q1067" s="150">
        <f t="shared" si="2438"/>
        <v>0</v>
      </c>
      <c r="R1067" s="150">
        <f t="shared" si="2438"/>
        <v>0</v>
      </c>
      <c r="S1067" s="150">
        <f t="shared" si="2438"/>
        <v>0</v>
      </c>
      <c r="T1067" s="150">
        <f t="shared" si="2438"/>
        <v>0</v>
      </c>
      <c r="U1067" s="150">
        <f t="shared" si="2438"/>
        <v>0</v>
      </c>
      <c r="V1067" s="150">
        <f t="shared" si="2438"/>
        <v>0</v>
      </c>
      <c r="W1067" s="150">
        <f t="shared" si="2438"/>
        <v>0</v>
      </c>
      <c r="X1067" s="150">
        <f t="shared" si="2438"/>
        <v>0</v>
      </c>
      <c r="Y1067" s="163">
        <f t="shared" si="2438"/>
        <v>0</v>
      </c>
    </row>
    <row r="1068" spans="2:25" ht="15" customHeight="1" x14ac:dyDescent="0.2">
      <c r="B1068" s="252">
        <v>0.40813606091869697</v>
      </c>
      <c r="C1068" s="92">
        <f>E1068/SUM(E1067:E1069)</f>
        <v>0.5485714285714286</v>
      </c>
      <c r="D1068" s="61" t="s">
        <v>1</v>
      </c>
      <c r="E1068" s="154">
        <f>IF((E1064+E1065+E1066)=0,0,(E1065*$B1068)/(E1064+E1065+E1066))</f>
        <v>0.22389178198968518</v>
      </c>
      <c r="F1068" s="154">
        <f>IF((F1064+F1065+F1066)=0,0,(F1065*$B1068)/(F1064+F1065+F1066))</f>
        <v>0.24408136976510311</v>
      </c>
      <c r="G1068" s="154">
        <f t="shared" ref="G1068:Y1068" si="2439">IF((G1064+G1065+G1066)=0,0,(G1065*$B1068)/(G1064+G1065+G1066))</f>
        <v>0.10203401522967424</v>
      </c>
      <c r="H1068" s="154">
        <f t="shared" si="2439"/>
        <v>0.20840990344784524</v>
      </c>
      <c r="I1068" s="154">
        <f t="shared" si="2439"/>
        <v>0.30250084515150483</v>
      </c>
      <c r="J1068" s="154">
        <f t="shared" si="2439"/>
        <v>0.22261966959201654</v>
      </c>
      <c r="K1068" s="154">
        <f t="shared" si="2439"/>
        <v>0.19703120182281925</v>
      </c>
      <c r="L1068" s="154">
        <f t="shared" si="2439"/>
        <v>0.21976557126391377</v>
      </c>
      <c r="M1068" s="154">
        <f t="shared" si="2439"/>
        <v>0.25060986196762097</v>
      </c>
      <c r="N1068" s="154">
        <f t="shared" si="2439"/>
        <v>0.19748519076711146</v>
      </c>
      <c r="O1068" s="154">
        <f t="shared" si="2439"/>
        <v>0</v>
      </c>
      <c r="P1068" s="154">
        <f t="shared" si="2439"/>
        <v>0</v>
      </c>
      <c r="Q1068" s="154">
        <f t="shared" si="2439"/>
        <v>0</v>
      </c>
      <c r="R1068" s="154">
        <f t="shared" si="2439"/>
        <v>0</v>
      </c>
      <c r="S1068" s="154">
        <f t="shared" si="2439"/>
        <v>0</v>
      </c>
      <c r="T1068" s="154">
        <f t="shared" si="2439"/>
        <v>0</v>
      </c>
      <c r="U1068" s="154">
        <f t="shared" si="2439"/>
        <v>0</v>
      </c>
      <c r="V1068" s="154">
        <f t="shared" si="2439"/>
        <v>0</v>
      </c>
      <c r="W1068" s="154">
        <f t="shared" si="2439"/>
        <v>0</v>
      </c>
      <c r="X1068" s="154">
        <f t="shared" si="2439"/>
        <v>0</v>
      </c>
      <c r="Y1068" s="159">
        <f t="shared" si="2439"/>
        <v>0</v>
      </c>
    </row>
    <row r="1069" spans="2:25" ht="15" customHeight="1" thickBot="1" x14ac:dyDescent="0.25">
      <c r="B1069" s="253"/>
      <c r="C1069" s="93">
        <f>E1069/SUM(E1067:E1069)</f>
        <v>1.0000000000000002E-2</v>
      </c>
      <c r="D1069" s="75" t="s">
        <v>2</v>
      </c>
      <c r="E1069" s="155">
        <f>IF((E1064+E1065+E1066)=0,0,(E1066*$B1068)/(E1064+E1065+E1066))</f>
        <v>4.08136060918697E-3</v>
      </c>
      <c r="F1069" s="155">
        <f>IF((F1064+F1065+F1066)=0,0,(F1066*$B1068)/(F1064+F1065+F1066))</f>
        <v>0</v>
      </c>
      <c r="G1069" s="155">
        <f t="shared" ref="G1069:Y1069" si="2440">IF((G1064+G1065+G1066)=0,0,(G1066*$B1068)/(G1064+G1065+G1066))</f>
        <v>1.1337112803297139E-2</v>
      </c>
      <c r="H1069" s="155">
        <f t="shared" si="2440"/>
        <v>4.3418729884967767E-3</v>
      </c>
      <c r="I1069" s="155">
        <f t="shared" si="2440"/>
        <v>0</v>
      </c>
      <c r="J1069" s="155">
        <f t="shared" si="2440"/>
        <v>0</v>
      </c>
      <c r="K1069" s="155">
        <f t="shared" si="2440"/>
        <v>1.8764876364078021E-2</v>
      </c>
      <c r="L1069" s="155">
        <f t="shared" si="2440"/>
        <v>0</v>
      </c>
      <c r="M1069" s="155">
        <f t="shared" si="2440"/>
        <v>0</v>
      </c>
      <c r="N1069" s="155">
        <f t="shared" si="2440"/>
        <v>6.5828396922370481E-3</v>
      </c>
      <c r="O1069" s="155">
        <f t="shared" si="2440"/>
        <v>0</v>
      </c>
      <c r="P1069" s="155">
        <f t="shared" si="2440"/>
        <v>0</v>
      </c>
      <c r="Q1069" s="155">
        <f t="shared" si="2440"/>
        <v>0</v>
      </c>
      <c r="R1069" s="155">
        <f t="shared" si="2440"/>
        <v>0</v>
      </c>
      <c r="S1069" s="155">
        <f t="shared" si="2440"/>
        <v>0</v>
      </c>
      <c r="T1069" s="155">
        <f t="shared" si="2440"/>
        <v>0</v>
      </c>
      <c r="U1069" s="155">
        <f t="shared" si="2440"/>
        <v>0</v>
      </c>
      <c r="V1069" s="155">
        <f t="shared" si="2440"/>
        <v>0</v>
      </c>
      <c r="W1069" s="155">
        <f t="shared" si="2440"/>
        <v>0</v>
      </c>
      <c r="X1069" s="155">
        <f t="shared" si="2440"/>
        <v>0</v>
      </c>
      <c r="Y1069" s="160">
        <f t="shared" si="2440"/>
        <v>0</v>
      </c>
    </row>
    <row r="1070" spans="2:25" ht="15" customHeight="1" x14ac:dyDescent="0.2">
      <c r="B1070" s="249" t="s">
        <v>39</v>
      </c>
      <c r="C1070" s="91">
        <f>E1070/SUM(E1070:E1072)</f>
        <v>0.50393700787401574</v>
      </c>
      <c r="D1070" s="67" t="s">
        <v>0</v>
      </c>
      <c r="E1070" s="68">
        <f t="shared" ref="E1070:E1108" si="2441">SUM(F1070:Y1070)</f>
        <v>128</v>
      </c>
      <c r="F1070" s="68">
        <f>SUMIFS([0]!Chavez,[0]!Centro,B1072,[0]!Turno,F$1003)</f>
        <v>33</v>
      </c>
      <c r="G1070" s="68">
        <f>SUMIFS([0]!Chavez,[0]!Centro,B1072,[0]!Turno,G$1003)</f>
        <v>20</v>
      </c>
      <c r="H1070" s="68">
        <f>SUMIFS([0]!Chavez,[0]!Centro,B1072,[0]!Turno,H$1003)</f>
        <v>15</v>
      </c>
      <c r="I1070" s="68">
        <f>SUMIFS([0]!Chavez,[0]!Centro,B1072,[0]!Turno,I$1003)</f>
        <v>6</v>
      </c>
      <c r="J1070" s="68">
        <f>SUMIFS([0]!Chavez,[0]!Centro,B1072,[0]!Turno,J$1003)</f>
        <v>7</v>
      </c>
      <c r="K1070" s="68">
        <f>SUMIFS([0]!Chavez,[0]!Centro,B1072,[0]!Turno,K$1003)</f>
        <v>25</v>
      </c>
      <c r="L1070" s="68">
        <f>SUMIFS([0]!Chavez,[0]!Centro,B1072,[0]!Turno,L$1003)</f>
        <v>22</v>
      </c>
      <c r="M1070" s="68">
        <f>SUMIFS([0]!Chavez,[0]!Centro,B1072,[0]!Turno,M$1003)</f>
        <v>0</v>
      </c>
      <c r="N1070" s="68">
        <f>SUMIFS([0]!Chavez,[0]!Centro,B1072,[0]!Turno,N$1003)</f>
        <v>0</v>
      </c>
      <c r="O1070" s="68">
        <f>SUMIFS([0]!Chavez,[0]!Centro,B1072,[0]!Turno,O$1003)</f>
        <v>0</v>
      </c>
      <c r="P1070" s="68">
        <f>SUMIFS([0]!Chavez,[0]!Centro,B1072,[0]!Turno,P$1003)</f>
        <v>0</v>
      </c>
      <c r="Q1070" s="68">
        <f>SUMIFS([0]!Chavez,[0]!Centro,B1072,[0]!Turno,Q$1003)</f>
        <v>0</v>
      </c>
      <c r="R1070" s="68">
        <f>SUMIFS([0]!Chavez,[0]!Centro,B1072,[0]!Turno,R$1003)</f>
        <v>0</v>
      </c>
      <c r="S1070" s="68">
        <f>SUMIFS([0]!Chavez,[0]!Centro,B1072,[0]!Turno,S$1003)</f>
        <v>0</v>
      </c>
      <c r="T1070" s="68">
        <f>SUMIFS([0]!Chavez,[0]!Centro,B1072,[0]!Turno,T$1003)</f>
        <v>0</v>
      </c>
      <c r="U1070" s="68">
        <f>SUMIFS([0]!Chavez,[0]!Centro,B1072,[0]!Turno,U$1003)</f>
        <v>0</v>
      </c>
      <c r="V1070" s="68">
        <f>SUMIFS([0]!Chavez,[0]!Centro,B1072,[0]!Turno,V$1003)</f>
        <v>0</v>
      </c>
      <c r="W1070" s="68">
        <f>SUMIFS([0]!Chavez,[0]!Centro,B1072,[0]!Turno,W$1003)</f>
        <v>0</v>
      </c>
      <c r="X1070" s="68">
        <f>SUMIFS([0]!Chavez,[0]!Centro,B1072,[0]!Turno,X$1003)</f>
        <v>0</v>
      </c>
      <c r="Y1070" s="69">
        <f>SUMIFS([0]!Chavez,[0]!Centro,B1072,[0]!Turno,Y$1003)</f>
        <v>0</v>
      </c>
    </row>
    <row r="1071" spans="2:25" ht="15" customHeight="1" x14ac:dyDescent="0.2">
      <c r="B1071" s="250"/>
      <c r="C1071" s="92">
        <f>E1071/SUM(E1070:E1072)</f>
        <v>0.49212598425196852</v>
      </c>
      <c r="D1071" s="61" t="s">
        <v>1</v>
      </c>
      <c r="E1071" s="62">
        <f t="shared" si="2441"/>
        <v>125</v>
      </c>
      <c r="F1071" s="62">
        <f>SUMIFS([0]!Capriles,[0]!Centro,B1072,[0]!Turno,F$1003)</f>
        <v>18</v>
      </c>
      <c r="G1071" s="62">
        <f>SUMIFS([0]!Capriles,[0]!Centro,B1072,[0]!Turno,G$1003)</f>
        <v>21</v>
      </c>
      <c r="H1071" s="62">
        <f>SUMIFS([0]!Capriles,[0]!Centro,B1072,[0]!Turno,H$1003)</f>
        <v>15</v>
      </c>
      <c r="I1071" s="62">
        <f>SUMIFS([0]!Capriles,[0]!Centro,B1072,[0]!Turno,I$1003)</f>
        <v>19</v>
      </c>
      <c r="J1071" s="62">
        <f>SUMIFS([0]!Capriles,[0]!Centro,B1072,[0]!Turno,J$1003)</f>
        <v>17</v>
      </c>
      <c r="K1071" s="62">
        <f>SUMIFS([0]!Capriles,[0]!Centro,B1072,[0]!Turno,K$1003)</f>
        <v>20</v>
      </c>
      <c r="L1071" s="62">
        <f>SUMIFS([0]!Capriles,[0]!Centro,B1072,[0]!Turno,L$1003)</f>
        <v>15</v>
      </c>
      <c r="M1071" s="62">
        <f>SUMIFS([0]!Capriles,[0]!Centro,B1072,[0]!Turno,M$1003)</f>
        <v>0</v>
      </c>
      <c r="N1071" s="62">
        <f>SUMIFS([0]!Capriles,[0]!Centro,B1072,[0]!Turno,N$1003)</f>
        <v>0</v>
      </c>
      <c r="O1071" s="62">
        <f>SUMIFS([0]!Capriles,[0]!Centro,B1072,[0]!Turno,O$1003)</f>
        <v>0</v>
      </c>
      <c r="P1071" s="62">
        <f>SUMIFS([0]!Capriles,[0]!Centro,B1072,[0]!Turno,P$1003)</f>
        <v>0</v>
      </c>
      <c r="Q1071" s="62">
        <f>SUMIFS([0]!Capriles,[0]!Centro,B1072,[0]!Turno,Q$1003)</f>
        <v>0</v>
      </c>
      <c r="R1071" s="62">
        <f>SUMIFS([0]!Capriles,[0]!Centro,B1072,[0]!Turno,R$1003)</f>
        <v>0</v>
      </c>
      <c r="S1071" s="62">
        <f>SUMIFS([0]!Capriles,[0]!Centro,B1072,[0]!Turno,S$1003)</f>
        <v>0</v>
      </c>
      <c r="T1071" s="62">
        <f>SUMIFS([0]!Capriles,[0]!Centro,B1072,[0]!Turno,T$1003)</f>
        <v>0</v>
      </c>
      <c r="U1071" s="62">
        <f>SUMIFS([0]!Capriles,[0]!Centro,B1072,[0]!Turno,U$1003)</f>
        <v>0</v>
      </c>
      <c r="V1071" s="62">
        <f>SUMIFS([0]!Capriles,[0]!Centro,B1072,[0]!Turno,V$1003)</f>
        <v>0</v>
      </c>
      <c r="W1071" s="62">
        <f>SUMIFS([0]!Capriles,[0]!Centro,B1072,[0]!Turno,W$1003)</f>
        <v>0</v>
      </c>
      <c r="X1071" s="62">
        <f>SUMIFS([0]!Capriles,[0]!Centro,B1072,[0]!Turno,X$1003)</f>
        <v>0</v>
      </c>
      <c r="Y1071" s="70">
        <f>SUMIFS([0]!Capriles,[0]!Centro,B1072,[0]!Turno,Y$1003)</f>
        <v>0</v>
      </c>
    </row>
    <row r="1072" spans="2:25" ht="15" customHeight="1" thickBot="1" x14ac:dyDescent="0.25">
      <c r="B1072" s="251">
        <v>146</v>
      </c>
      <c r="C1072" s="100">
        <f>E1072/SUM(E1070:E1072)</f>
        <v>3.937007874015748E-3</v>
      </c>
      <c r="D1072" s="71" t="s">
        <v>2</v>
      </c>
      <c r="E1072" s="72">
        <f t="shared" si="2441"/>
        <v>1</v>
      </c>
      <c r="F1072" s="72">
        <f>SUMIFS([0]!Otro,[0]!Centro,B1072,[0]!Turno,F$1003)</f>
        <v>0</v>
      </c>
      <c r="G1072" s="72">
        <f>SUMIFS([0]!Otro,[0]!Centro,B1072,[0]!Turno,G$1003)</f>
        <v>1</v>
      </c>
      <c r="H1072" s="72">
        <f>SUMIFS([0]!Otro,[0]!Centro,B1072,[0]!Turno,H$1003)</f>
        <v>0</v>
      </c>
      <c r="I1072" s="72">
        <f>SUMIFS([0]!Otro,[0]!Centro,B1072,[0]!Turno,I$1003)</f>
        <v>0</v>
      </c>
      <c r="J1072" s="72">
        <f>SUMIFS([0]!Otro,[0]!Centro,B1072,[0]!Turno,J$1003)</f>
        <v>0</v>
      </c>
      <c r="K1072" s="72">
        <f>SUMIFS([0]!Otro,[0]!Centro,B1072,[0]!Turno,K$1003)</f>
        <v>0</v>
      </c>
      <c r="L1072" s="72">
        <f>SUMIFS([0]!Otro,[0]!Centro,B1072,[0]!Turno,L$1003)</f>
        <v>0</v>
      </c>
      <c r="M1072" s="72">
        <f>SUMIFS([0]!Otro,[0]!Centro,B1072,[0]!Turno,M$1003)</f>
        <v>0</v>
      </c>
      <c r="N1072" s="72">
        <f>SUMIFS([0]!Otro,[0]!Centro,B1072,[0]!Turno,N$1003)</f>
        <v>0</v>
      </c>
      <c r="O1072" s="72">
        <f>SUMIFS([0]!Otro,[0]!Centro,B1072,[0]!Turno,O$1003)</f>
        <v>0</v>
      </c>
      <c r="P1072" s="72">
        <f>SUMIFS([0]!Otro,[0]!Centro,B1072,[0]!Turno,P$1003)</f>
        <v>0</v>
      </c>
      <c r="Q1072" s="72">
        <f>SUMIFS([0]!Otro,[0]!Centro,B1072,[0]!Turno,Q$1003)</f>
        <v>0</v>
      </c>
      <c r="R1072" s="72">
        <f>SUMIFS([0]!Otro,[0]!Centro,B1072,[0]!Turno,R$1003)</f>
        <v>0</v>
      </c>
      <c r="S1072" s="72">
        <f>SUMIFS([0]!Otro,[0]!Centro,B1072,[0]!Turno,S$1003)</f>
        <v>0</v>
      </c>
      <c r="T1072" s="72">
        <f>SUMIFS([0]!Otro,[0]!Centro,B1072,[0]!Turno,T$1003)</f>
        <v>0</v>
      </c>
      <c r="U1072" s="72">
        <f>SUMIFS([0]!Otro,[0]!Centro,B1072,[0]!Turno,U$1003)</f>
        <v>0</v>
      </c>
      <c r="V1072" s="72">
        <f>SUMIFS([0]!Otro,[0]!Centro,B1072,[0]!Turno,V$1003)</f>
        <v>0</v>
      </c>
      <c r="W1072" s="72">
        <f>SUMIFS([0]!Otro,[0]!Centro,B1072,[0]!Turno,W$1003)</f>
        <v>0</v>
      </c>
      <c r="X1072" s="72">
        <f>SUMIFS([0]!Otro,[0]!Centro,B1072,[0]!Turno,X$1003)</f>
        <v>0</v>
      </c>
      <c r="Y1072" s="73">
        <f>SUMIFS([0]!Otro,[0]!Centro,B1072,[0]!Turno,Y$1003)</f>
        <v>0</v>
      </c>
    </row>
    <row r="1073" spans="2:25" ht="15" customHeight="1" x14ac:dyDescent="0.2">
      <c r="B1073" s="251"/>
      <c r="C1073" s="94">
        <f>E1073/SUM(E1073:E1075)</f>
        <v>0.50393700787401574</v>
      </c>
      <c r="D1073" s="63" t="s">
        <v>0</v>
      </c>
      <c r="E1073" s="150">
        <f>IF((E1070+E1071+E1072)=0,0,(E1070*$B1074)/(E1070+E1071+E1072))</f>
        <v>1.4516669215326235E-2</v>
      </c>
      <c r="F1073" s="150">
        <f>IF((F1070+F1071+F1072)=0,0,(F1070*$B1074)/(F1070+F1071+F1072))</f>
        <v>1.8639510012693705E-2</v>
      </c>
      <c r="G1073" s="150">
        <f t="shared" ref="G1073:Y1073" si="2442">IF((G1070+G1071+G1072)=0,0,(G1070*$B1074)/(G1070+G1071+G1072))</f>
        <v>1.3717388321029998E-2</v>
      </c>
      <c r="H1073" s="150">
        <f t="shared" si="2442"/>
        <v>1.4403257737081499E-2</v>
      </c>
      <c r="I1073" s="150">
        <f t="shared" si="2442"/>
        <v>6.9135637137991198E-3</v>
      </c>
      <c r="J1073" s="150">
        <f t="shared" si="2442"/>
        <v>8.4019003466308754E-3</v>
      </c>
      <c r="K1073" s="150">
        <f t="shared" si="2442"/>
        <v>1.600361970786833E-2</v>
      </c>
      <c r="L1073" s="150">
        <f t="shared" si="2442"/>
        <v>1.7128198390042863E-2</v>
      </c>
      <c r="M1073" s="150">
        <f t="shared" si="2442"/>
        <v>0</v>
      </c>
      <c r="N1073" s="150">
        <f t="shared" si="2442"/>
        <v>0</v>
      </c>
      <c r="O1073" s="150">
        <f t="shared" si="2442"/>
        <v>0</v>
      </c>
      <c r="P1073" s="150">
        <f t="shared" si="2442"/>
        <v>0</v>
      </c>
      <c r="Q1073" s="150">
        <f t="shared" si="2442"/>
        <v>0</v>
      </c>
      <c r="R1073" s="150">
        <f t="shared" si="2442"/>
        <v>0</v>
      </c>
      <c r="S1073" s="150">
        <f t="shared" si="2442"/>
        <v>0</v>
      </c>
      <c r="T1073" s="150">
        <f t="shared" si="2442"/>
        <v>0</v>
      </c>
      <c r="U1073" s="150">
        <f t="shared" si="2442"/>
        <v>0</v>
      </c>
      <c r="V1073" s="150">
        <f t="shared" si="2442"/>
        <v>0</v>
      </c>
      <c r="W1073" s="150">
        <f t="shared" si="2442"/>
        <v>0</v>
      </c>
      <c r="X1073" s="150">
        <f t="shared" si="2442"/>
        <v>0</v>
      </c>
      <c r="Y1073" s="163">
        <f t="shared" si="2442"/>
        <v>0</v>
      </c>
    </row>
    <row r="1074" spans="2:25" ht="15" customHeight="1" x14ac:dyDescent="0.2">
      <c r="B1074" s="252">
        <v>2.8806515474162998E-2</v>
      </c>
      <c r="C1074" s="92">
        <f>E1074/SUM(E1073:E1075)</f>
        <v>0.49212598425196852</v>
      </c>
      <c r="D1074" s="61" t="s">
        <v>1</v>
      </c>
      <c r="E1074" s="154">
        <f>IF((E1070+E1071+E1072)=0,0,(E1071*$B1074)/(E1070+E1071+E1072))</f>
        <v>1.4176434780592027E-2</v>
      </c>
      <c r="F1074" s="154">
        <f>IF((F1070+F1071+F1072)=0,0,(F1071*$B1074)/(F1070+F1071+F1072))</f>
        <v>1.0167005461469295E-2</v>
      </c>
      <c r="G1074" s="154">
        <f t="shared" ref="G1074:Y1074" si="2443">IF((G1070+G1071+G1072)=0,0,(G1071*$B1074)/(G1070+G1071+G1072))</f>
        <v>1.4403257737081499E-2</v>
      </c>
      <c r="H1074" s="154">
        <f t="shared" si="2443"/>
        <v>1.4403257737081499E-2</v>
      </c>
      <c r="I1074" s="154">
        <f t="shared" si="2443"/>
        <v>2.1892951760363877E-2</v>
      </c>
      <c r="J1074" s="154">
        <f t="shared" si="2443"/>
        <v>2.0404615127532125E-2</v>
      </c>
      <c r="K1074" s="154">
        <f t="shared" si="2443"/>
        <v>1.2802895766294665E-2</v>
      </c>
      <c r="L1074" s="154">
        <f t="shared" si="2443"/>
        <v>1.1678317084120133E-2</v>
      </c>
      <c r="M1074" s="154">
        <f t="shared" si="2443"/>
        <v>0</v>
      </c>
      <c r="N1074" s="154">
        <f t="shared" si="2443"/>
        <v>0</v>
      </c>
      <c r="O1074" s="154">
        <f t="shared" si="2443"/>
        <v>0</v>
      </c>
      <c r="P1074" s="154">
        <f t="shared" si="2443"/>
        <v>0</v>
      </c>
      <c r="Q1074" s="154">
        <f t="shared" si="2443"/>
        <v>0</v>
      </c>
      <c r="R1074" s="154">
        <f t="shared" si="2443"/>
        <v>0</v>
      </c>
      <c r="S1074" s="154">
        <f t="shared" si="2443"/>
        <v>0</v>
      </c>
      <c r="T1074" s="154">
        <f t="shared" si="2443"/>
        <v>0</v>
      </c>
      <c r="U1074" s="154">
        <f t="shared" si="2443"/>
        <v>0</v>
      </c>
      <c r="V1074" s="154">
        <f t="shared" si="2443"/>
        <v>0</v>
      </c>
      <c r="W1074" s="154">
        <f t="shared" si="2443"/>
        <v>0</v>
      </c>
      <c r="X1074" s="154">
        <f t="shared" si="2443"/>
        <v>0</v>
      </c>
      <c r="Y1074" s="159">
        <f t="shared" si="2443"/>
        <v>0</v>
      </c>
    </row>
    <row r="1075" spans="2:25" ht="15" customHeight="1" thickBot="1" x14ac:dyDescent="0.25">
      <c r="B1075" s="253"/>
      <c r="C1075" s="93">
        <f>E1075/SUM(E1073:E1075)</f>
        <v>3.937007874015748E-3</v>
      </c>
      <c r="D1075" s="75" t="s">
        <v>2</v>
      </c>
      <c r="E1075" s="155">
        <f>IF((E1070+E1071+E1072)=0,0,(E1072*$B1074)/(E1070+E1071+E1072))</f>
        <v>1.1341147824473621E-4</v>
      </c>
      <c r="F1075" s="155">
        <f>IF((F1070+F1071+F1072)=0,0,(F1072*$B1074)/(F1070+F1071+F1072))</f>
        <v>0</v>
      </c>
      <c r="G1075" s="155">
        <f t="shared" ref="G1075:Y1075" si="2444">IF((G1070+G1071+G1072)=0,0,(G1072*$B1074)/(G1070+G1071+G1072))</f>
        <v>6.8586941605149998E-4</v>
      </c>
      <c r="H1075" s="155">
        <f t="shared" si="2444"/>
        <v>0</v>
      </c>
      <c r="I1075" s="155">
        <f t="shared" si="2444"/>
        <v>0</v>
      </c>
      <c r="J1075" s="155">
        <f t="shared" si="2444"/>
        <v>0</v>
      </c>
      <c r="K1075" s="155">
        <f t="shared" si="2444"/>
        <v>0</v>
      </c>
      <c r="L1075" s="155">
        <f t="shared" si="2444"/>
        <v>0</v>
      </c>
      <c r="M1075" s="155">
        <f t="shared" si="2444"/>
        <v>0</v>
      </c>
      <c r="N1075" s="155">
        <f t="shared" si="2444"/>
        <v>0</v>
      </c>
      <c r="O1075" s="155">
        <f t="shared" si="2444"/>
        <v>0</v>
      </c>
      <c r="P1075" s="155">
        <f t="shared" si="2444"/>
        <v>0</v>
      </c>
      <c r="Q1075" s="155">
        <f t="shared" si="2444"/>
        <v>0</v>
      </c>
      <c r="R1075" s="155">
        <f t="shared" si="2444"/>
        <v>0</v>
      </c>
      <c r="S1075" s="155">
        <f t="shared" si="2444"/>
        <v>0</v>
      </c>
      <c r="T1075" s="155">
        <f t="shared" si="2444"/>
        <v>0</v>
      </c>
      <c r="U1075" s="155">
        <f t="shared" si="2444"/>
        <v>0</v>
      </c>
      <c r="V1075" s="155">
        <f t="shared" si="2444"/>
        <v>0</v>
      </c>
      <c r="W1075" s="155">
        <f t="shared" si="2444"/>
        <v>0</v>
      </c>
      <c r="X1075" s="155">
        <f t="shared" si="2444"/>
        <v>0</v>
      </c>
      <c r="Y1075" s="160">
        <f t="shared" si="2444"/>
        <v>0</v>
      </c>
    </row>
    <row r="1076" spans="2:25" ht="15" customHeight="1" x14ac:dyDescent="0.2">
      <c r="B1076" s="249" t="s">
        <v>180</v>
      </c>
      <c r="C1076" s="91">
        <f>E1076/SUM(E1076:E1078)</f>
        <v>0.45578231292517007</v>
      </c>
      <c r="D1076" s="67" t="s">
        <v>0</v>
      </c>
      <c r="E1076" s="68">
        <f t="shared" si="2441"/>
        <v>67</v>
      </c>
      <c r="F1076" s="68">
        <f>SUMIFS([0]!Chavez,[0]!Centro,B1078,[0]!Turno,F$1003)</f>
        <v>15</v>
      </c>
      <c r="G1076" s="68">
        <f>SUMIFS([0]!Chavez,[0]!Centro,B1078,[0]!Turno,G$1003)</f>
        <v>19</v>
      </c>
      <c r="H1076" s="68">
        <f>SUMIFS([0]!Chavez,[0]!Centro,B1078,[0]!Turno,H$1003)</f>
        <v>10</v>
      </c>
      <c r="I1076" s="68">
        <f>SUMIFS([0]!Chavez,[0]!Centro,B1078,[0]!Turno,I$1003)</f>
        <v>0</v>
      </c>
      <c r="J1076" s="68">
        <f>SUMIFS([0]!Chavez,[0]!Centro,B1078,[0]!Turno,J$1003)</f>
        <v>6</v>
      </c>
      <c r="K1076" s="68">
        <f>SUMIFS([0]!Chavez,[0]!Centro,B1078,[0]!Turno,K$1003)</f>
        <v>11</v>
      </c>
      <c r="L1076" s="68">
        <f>SUMIFS([0]!Chavez,[0]!Centro,B1078,[0]!Turno,L$1003)</f>
        <v>6</v>
      </c>
      <c r="M1076" s="68">
        <f>SUMIFS([0]!Chavez,[0]!Centro,B1078,[0]!Turno,M$1003)</f>
        <v>0</v>
      </c>
      <c r="N1076" s="68">
        <f>SUMIFS([0]!Chavez,[0]!Centro,B1078,[0]!Turno,N$1003)</f>
        <v>0</v>
      </c>
      <c r="O1076" s="68">
        <f>SUMIFS([0]!Chavez,[0]!Centro,B1078,[0]!Turno,O$1003)</f>
        <v>0</v>
      </c>
      <c r="P1076" s="68">
        <f>SUMIFS([0]!Chavez,[0]!Centro,B1078,[0]!Turno,P$1003)</f>
        <v>0</v>
      </c>
      <c r="Q1076" s="68">
        <f>SUMIFS([0]!Chavez,[0]!Centro,B1078,[0]!Turno,Q$1003)</f>
        <v>0</v>
      </c>
      <c r="R1076" s="68">
        <f>SUMIFS([0]!Chavez,[0]!Centro,B1078,[0]!Turno,R$1003)</f>
        <v>0</v>
      </c>
      <c r="S1076" s="68">
        <f>SUMIFS([0]!Chavez,[0]!Centro,B1078,[0]!Turno,S$1003)</f>
        <v>0</v>
      </c>
      <c r="T1076" s="68">
        <f>SUMIFS([0]!Chavez,[0]!Centro,B1078,[0]!Turno,T$1003)</f>
        <v>0</v>
      </c>
      <c r="U1076" s="68">
        <f>SUMIFS([0]!Chavez,[0]!Centro,B1078,[0]!Turno,U$1003)</f>
        <v>0</v>
      </c>
      <c r="V1076" s="68">
        <f>SUMIFS([0]!Chavez,[0]!Centro,B1078,[0]!Turno,V$1003)</f>
        <v>0</v>
      </c>
      <c r="W1076" s="68">
        <f>SUMIFS([0]!Chavez,[0]!Centro,B1078,[0]!Turno,W$1003)</f>
        <v>0</v>
      </c>
      <c r="X1076" s="68">
        <f>SUMIFS([0]!Chavez,[0]!Centro,B1078,[0]!Turno,X$1003)</f>
        <v>0</v>
      </c>
      <c r="Y1076" s="69">
        <f>SUMIFS([0]!Chavez,[0]!Centro,B1078,[0]!Turno,Y$1003)</f>
        <v>0</v>
      </c>
    </row>
    <row r="1077" spans="2:25" ht="15" customHeight="1" x14ac:dyDescent="0.2">
      <c r="B1077" s="250"/>
      <c r="C1077" s="92">
        <f>E1077/SUM(E1076:E1078)</f>
        <v>0.54421768707482998</v>
      </c>
      <c r="D1077" s="61" t="s">
        <v>1</v>
      </c>
      <c r="E1077" s="62">
        <f t="shared" si="2441"/>
        <v>80</v>
      </c>
      <c r="F1077" s="62">
        <f>SUMIFS([0]!Capriles,[0]!Centro,B1078,[0]!Turno,F$1003)</f>
        <v>19</v>
      </c>
      <c r="G1077" s="62">
        <f>SUMIFS([0]!Capriles,[0]!Centro,B1078,[0]!Turno,G$1003)</f>
        <v>6</v>
      </c>
      <c r="H1077" s="62">
        <f>SUMIFS([0]!Capriles,[0]!Centro,B1078,[0]!Turno,H$1003)</f>
        <v>9</v>
      </c>
      <c r="I1077" s="62">
        <f>SUMIFS([0]!Capriles,[0]!Centro,B1078,[0]!Turno,I$1003)</f>
        <v>6</v>
      </c>
      <c r="J1077" s="62">
        <f>SUMIFS([0]!Capriles,[0]!Centro,B1078,[0]!Turno,J$1003)</f>
        <v>18</v>
      </c>
      <c r="K1077" s="62">
        <f>SUMIFS([0]!Capriles,[0]!Centro,B1078,[0]!Turno,K$1003)</f>
        <v>7</v>
      </c>
      <c r="L1077" s="62">
        <f>SUMIFS([0]!Capriles,[0]!Centro,B1078,[0]!Turno,L$1003)</f>
        <v>15</v>
      </c>
      <c r="M1077" s="62">
        <f>SUMIFS([0]!Capriles,[0]!Centro,B1078,[0]!Turno,M$1003)</f>
        <v>0</v>
      </c>
      <c r="N1077" s="62">
        <f>SUMIFS([0]!Capriles,[0]!Centro,B1078,[0]!Turno,N$1003)</f>
        <v>0</v>
      </c>
      <c r="O1077" s="62">
        <f>SUMIFS([0]!Capriles,[0]!Centro,B1078,[0]!Turno,O$1003)</f>
        <v>0</v>
      </c>
      <c r="P1077" s="62">
        <f>SUMIFS([0]!Capriles,[0]!Centro,B1078,[0]!Turno,P$1003)</f>
        <v>0</v>
      </c>
      <c r="Q1077" s="62">
        <f>SUMIFS([0]!Capriles,[0]!Centro,B1078,[0]!Turno,Q$1003)</f>
        <v>0</v>
      </c>
      <c r="R1077" s="62">
        <f>SUMIFS([0]!Capriles,[0]!Centro,B1078,[0]!Turno,R$1003)</f>
        <v>0</v>
      </c>
      <c r="S1077" s="62">
        <f>SUMIFS([0]!Capriles,[0]!Centro,B1078,[0]!Turno,S$1003)</f>
        <v>0</v>
      </c>
      <c r="T1077" s="62">
        <f>SUMIFS([0]!Capriles,[0]!Centro,B1078,[0]!Turno,T$1003)</f>
        <v>0</v>
      </c>
      <c r="U1077" s="62">
        <f>SUMIFS([0]!Capriles,[0]!Centro,B1078,[0]!Turno,U$1003)</f>
        <v>0</v>
      </c>
      <c r="V1077" s="62">
        <f>SUMIFS([0]!Capriles,[0]!Centro,B1078,[0]!Turno,V$1003)</f>
        <v>0</v>
      </c>
      <c r="W1077" s="62">
        <f>SUMIFS([0]!Capriles,[0]!Centro,B1078,[0]!Turno,W$1003)</f>
        <v>0</v>
      </c>
      <c r="X1077" s="62">
        <f>SUMIFS([0]!Capriles,[0]!Centro,B1078,[0]!Turno,X$1003)</f>
        <v>0</v>
      </c>
      <c r="Y1077" s="70">
        <f>SUMIFS([0]!Capriles,[0]!Centro,B1078,[0]!Turno,Y$1003)</f>
        <v>0</v>
      </c>
    </row>
    <row r="1078" spans="2:25" ht="15" customHeight="1" thickBot="1" x14ac:dyDescent="0.25">
      <c r="B1078" s="251">
        <v>147</v>
      </c>
      <c r="C1078" s="100">
        <f>E1078/SUM(E1076:E1078)</f>
        <v>0</v>
      </c>
      <c r="D1078" s="71" t="s">
        <v>2</v>
      </c>
      <c r="E1078" s="72">
        <f t="shared" si="2441"/>
        <v>0</v>
      </c>
      <c r="F1078" s="72">
        <f>SUMIFS([0]!Otro,[0]!Centro,B1078,[0]!Turno,F$1003)</f>
        <v>0</v>
      </c>
      <c r="G1078" s="72">
        <f>SUMIFS([0]!Otro,[0]!Centro,B1078,[0]!Turno,G$1003)</f>
        <v>0</v>
      </c>
      <c r="H1078" s="72">
        <f>SUMIFS([0]!Otro,[0]!Centro,B1078,[0]!Turno,H$1003)</f>
        <v>0</v>
      </c>
      <c r="I1078" s="72">
        <f>SUMIFS([0]!Otro,[0]!Centro,B1078,[0]!Turno,I$1003)</f>
        <v>0</v>
      </c>
      <c r="J1078" s="72">
        <f>SUMIFS([0]!Otro,[0]!Centro,B1078,[0]!Turno,J$1003)</f>
        <v>0</v>
      </c>
      <c r="K1078" s="72">
        <f>SUMIFS([0]!Otro,[0]!Centro,B1078,[0]!Turno,K$1003)</f>
        <v>0</v>
      </c>
      <c r="L1078" s="72">
        <f>SUMIFS([0]!Otro,[0]!Centro,B1078,[0]!Turno,L$1003)</f>
        <v>0</v>
      </c>
      <c r="M1078" s="72">
        <f>SUMIFS([0]!Otro,[0]!Centro,B1078,[0]!Turno,M$1003)</f>
        <v>0</v>
      </c>
      <c r="N1078" s="72">
        <f>SUMIFS([0]!Otro,[0]!Centro,B1078,[0]!Turno,N$1003)</f>
        <v>0</v>
      </c>
      <c r="O1078" s="72">
        <f>SUMIFS([0]!Otro,[0]!Centro,B1078,[0]!Turno,O$1003)</f>
        <v>0</v>
      </c>
      <c r="P1078" s="72">
        <f>SUMIFS([0]!Otro,[0]!Centro,B1078,[0]!Turno,P$1003)</f>
        <v>0</v>
      </c>
      <c r="Q1078" s="72">
        <f>SUMIFS([0]!Otro,[0]!Centro,B1078,[0]!Turno,Q$1003)</f>
        <v>0</v>
      </c>
      <c r="R1078" s="72">
        <f>SUMIFS([0]!Otro,[0]!Centro,B1078,[0]!Turno,R$1003)</f>
        <v>0</v>
      </c>
      <c r="S1078" s="72">
        <f>SUMIFS([0]!Otro,[0]!Centro,B1078,[0]!Turno,S$1003)</f>
        <v>0</v>
      </c>
      <c r="T1078" s="72">
        <f>SUMIFS([0]!Otro,[0]!Centro,B1078,[0]!Turno,T$1003)</f>
        <v>0</v>
      </c>
      <c r="U1078" s="72">
        <f>SUMIFS([0]!Otro,[0]!Centro,B1078,[0]!Turno,U$1003)</f>
        <v>0</v>
      </c>
      <c r="V1078" s="72">
        <f>SUMIFS([0]!Otro,[0]!Centro,B1078,[0]!Turno,V$1003)</f>
        <v>0</v>
      </c>
      <c r="W1078" s="72">
        <f>SUMIFS([0]!Otro,[0]!Centro,B1078,[0]!Turno,W$1003)</f>
        <v>0</v>
      </c>
      <c r="X1078" s="72">
        <f>SUMIFS([0]!Otro,[0]!Centro,B1078,[0]!Turno,X$1003)</f>
        <v>0</v>
      </c>
      <c r="Y1078" s="73">
        <f>SUMIFS([0]!Otro,[0]!Centro,B1078,[0]!Turno,Y$1003)</f>
        <v>0</v>
      </c>
    </row>
    <row r="1079" spans="2:25" ht="15" customHeight="1" x14ac:dyDescent="0.2">
      <c r="B1079" s="251"/>
      <c r="C1079" s="94">
        <f>E1079/SUM(E1079:E1081)</f>
        <v>0.45578231292517013</v>
      </c>
      <c r="D1079" s="63" t="s">
        <v>0</v>
      </c>
      <c r="E1079" s="150">
        <f>IF((E1076+E1077+E1078)=0,0,(E1076*$B1080)/(E1076+E1077+E1078))</f>
        <v>1.1181920233823247E-2</v>
      </c>
      <c r="F1079" s="150">
        <f>IF((F1076+F1077+F1078)=0,0,(F1076*$B1080)/(F1076+F1077+F1078))</f>
        <v>1.0823588286031721E-2</v>
      </c>
      <c r="G1079" s="150">
        <f t="shared" ref="G1079:Y1079" si="2445">IF((G1076+G1077+G1078)=0,0,(G1076*$B1080)/(G1076+G1077+G1078))</f>
        <v>1.8645434754070645E-2</v>
      </c>
      <c r="H1079" s="150">
        <f t="shared" si="2445"/>
        <v>1.2912350937722052E-2</v>
      </c>
      <c r="I1079" s="150">
        <f t="shared" si="2445"/>
        <v>0</v>
      </c>
      <c r="J1079" s="150">
        <f t="shared" si="2445"/>
        <v>6.1333666954179753E-3</v>
      </c>
      <c r="K1079" s="150">
        <f t="shared" si="2445"/>
        <v>1.4992674144355051E-2</v>
      </c>
      <c r="L1079" s="150">
        <f t="shared" si="2445"/>
        <v>7.0095619376205438E-3</v>
      </c>
      <c r="M1079" s="150">
        <f t="shared" si="2445"/>
        <v>0</v>
      </c>
      <c r="N1079" s="150">
        <f t="shared" si="2445"/>
        <v>0</v>
      </c>
      <c r="O1079" s="150">
        <f t="shared" si="2445"/>
        <v>0</v>
      </c>
      <c r="P1079" s="150">
        <f t="shared" si="2445"/>
        <v>0</v>
      </c>
      <c r="Q1079" s="150">
        <f t="shared" si="2445"/>
        <v>0</v>
      </c>
      <c r="R1079" s="150">
        <f t="shared" si="2445"/>
        <v>0</v>
      </c>
      <c r="S1079" s="150">
        <f t="shared" si="2445"/>
        <v>0</v>
      </c>
      <c r="T1079" s="150">
        <f t="shared" si="2445"/>
        <v>0</v>
      </c>
      <c r="U1079" s="150">
        <f t="shared" si="2445"/>
        <v>0</v>
      </c>
      <c r="V1079" s="150">
        <f t="shared" si="2445"/>
        <v>0</v>
      </c>
      <c r="W1079" s="150">
        <f t="shared" si="2445"/>
        <v>0</v>
      </c>
      <c r="X1079" s="150">
        <f t="shared" si="2445"/>
        <v>0</v>
      </c>
      <c r="Y1079" s="163">
        <f t="shared" si="2445"/>
        <v>0</v>
      </c>
    </row>
    <row r="1080" spans="2:25" ht="15" customHeight="1" x14ac:dyDescent="0.2">
      <c r="B1080" s="252">
        <v>2.4533466781671901E-2</v>
      </c>
      <c r="C1080" s="92">
        <f>E1080/SUM(E1079:E1081)</f>
        <v>0.54421768707482998</v>
      </c>
      <c r="D1080" s="61" t="s">
        <v>1</v>
      </c>
      <c r="E1080" s="154">
        <f>IF((E1076+E1077+E1078)=0,0,(E1077*$B1080)/(E1076+E1077+E1078))</f>
        <v>1.3351546547848652E-2</v>
      </c>
      <c r="F1080" s="154">
        <f>IF((F1076+F1077+F1078)=0,0,(F1077*$B1080)/(F1076+F1077+F1078))</f>
        <v>1.370987849564018E-2</v>
      </c>
      <c r="G1080" s="154">
        <f t="shared" ref="G1080:Y1080" si="2446">IF((G1076+G1077+G1078)=0,0,(G1077*$B1080)/(G1076+G1077+G1078))</f>
        <v>5.8880320276012569E-3</v>
      </c>
      <c r="H1080" s="154">
        <f t="shared" si="2446"/>
        <v>1.1621115843949847E-2</v>
      </c>
      <c r="I1080" s="154">
        <f t="shared" si="2446"/>
        <v>2.4533466781671901E-2</v>
      </c>
      <c r="J1080" s="154">
        <f t="shared" si="2446"/>
        <v>1.8400100086253927E-2</v>
      </c>
      <c r="K1080" s="154">
        <f t="shared" si="2446"/>
        <v>9.5407926373168514E-3</v>
      </c>
      <c r="L1080" s="154">
        <f t="shared" si="2446"/>
        <v>1.7523904844051356E-2</v>
      </c>
      <c r="M1080" s="154">
        <f t="shared" si="2446"/>
        <v>0</v>
      </c>
      <c r="N1080" s="154">
        <f t="shared" si="2446"/>
        <v>0</v>
      </c>
      <c r="O1080" s="154">
        <f t="shared" si="2446"/>
        <v>0</v>
      </c>
      <c r="P1080" s="154">
        <f t="shared" si="2446"/>
        <v>0</v>
      </c>
      <c r="Q1080" s="154">
        <f t="shared" si="2446"/>
        <v>0</v>
      </c>
      <c r="R1080" s="154">
        <f t="shared" si="2446"/>
        <v>0</v>
      </c>
      <c r="S1080" s="154">
        <f t="shared" si="2446"/>
        <v>0</v>
      </c>
      <c r="T1080" s="154">
        <f t="shared" si="2446"/>
        <v>0</v>
      </c>
      <c r="U1080" s="154">
        <f t="shared" si="2446"/>
        <v>0</v>
      </c>
      <c r="V1080" s="154">
        <f t="shared" si="2446"/>
        <v>0</v>
      </c>
      <c r="W1080" s="154">
        <f t="shared" si="2446"/>
        <v>0</v>
      </c>
      <c r="X1080" s="154">
        <f t="shared" si="2446"/>
        <v>0</v>
      </c>
      <c r="Y1080" s="159">
        <f t="shared" si="2446"/>
        <v>0</v>
      </c>
    </row>
    <row r="1081" spans="2:25" ht="15" customHeight="1" thickBot="1" x14ac:dyDescent="0.25">
      <c r="B1081" s="253"/>
      <c r="C1081" s="93">
        <f>E1081/SUM(E1079:E1081)</f>
        <v>0</v>
      </c>
      <c r="D1081" s="75" t="s">
        <v>2</v>
      </c>
      <c r="E1081" s="155">
        <f>IF((E1076+E1077+E1078)=0,0,(E1078*$B1080)/(E1076+E1077+E1078))</f>
        <v>0</v>
      </c>
      <c r="F1081" s="155">
        <f>IF((F1076+F1077+F1078)=0,0,(F1078*$B1080)/(F1076+F1077+F1078))</f>
        <v>0</v>
      </c>
      <c r="G1081" s="155">
        <f t="shared" ref="G1081:Y1081" si="2447">IF((G1076+G1077+G1078)=0,0,(G1078*$B1080)/(G1076+G1077+G1078))</f>
        <v>0</v>
      </c>
      <c r="H1081" s="155">
        <f t="shared" si="2447"/>
        <v>0</v>
      </c>
      <c r="I1081" s="155">
        <f t="shared" si="2447"/>
        <v>0</v>
      </c>
      <c r="J1081" s="155">
        <f t="shared" si="2447"/>
        <v>0</v>
      </c>
      <c r="K1081" s="155">
        <f t="shared" si="2447"/>
        <v>0</v>
      </c>
      <c r="L1081" s="155">
        <f t="shared" si="2447"/>
        <v>0</v>
      </c>
      <c r="M1081" s="155">
        <f t="shared" si="2447"/>
        <v>0</v>
      </c>
      <c r="N1081" s="155">
        <f t="shared" si="2447"/>
        <v>0</v>
      </c>
      <c r="O1081" s="155">
        <f t="shared" si="2447"/>
        <v>0</v>
      </c>
      <c r="P1081" s="155">
        <f t="shared" si="2447"/>
        <v>0</v>
      </c>
      <c r="Q1081" s="155">
        <f t="shared" si="2447"/>
        <v>0</v>
      </c>
      <c r="R1081" s="155">
        <f t="shared" si="2447"/>
        <v>0</v>
      </c>
      <c r="S1081" s="155">
        <f t="shared" si="2447"/>
        <v>0</v>
      </c>
      <c r="T1081" s="155">
        <f t="shared" si="2447"/>
        <v>0</v>
      </c>
      <c r="U1081" s="155">
        <f t="shared" si="2447"/>
        <v>0</v>
      </c>
      <c r="V1081" s="155">
        <f t="shared" si="2447"/>
        <v>0</v>
      </c>
      <c r="W1081" s="155">
        <f t="shared" si="2447"/>
        <v>0</v>
      </c>
      <c r="X1081" s="155">
        <f t="shared" si="2447"/>
        <v>0</v>
      </c>
      <c r="Y1081" s="160">
        <f t="shared" si="2447"/>
        <v>0</v>
      </c>
    </row>
    <row r="1082" spans="2:25" ht="15" customHeight="1" x14ac:dyDescent="0.2">
      <c r="B1082" s="249" t="s">
        <v>167</v>
      </c>
      <c r="C1082" s="91">
        <f>E1082/SUM(E1082:E1084)</f>
        <v>0.54166666666666663</v>
      </c>
      <c r="D1082" s="67" t="s">
        <v>0</v>
      </c>
      <c r="E1082" s="68">
        <f t="shared" si="2441"/>
        <v>299</v>
      </c>
      <c r="F1082" s="68">
        <f>SUMIFS([0]!Chavez,[0]!Centro,B1084,[0]!Turno,F$1003)</f>
        <v>38</v>
      </c>
      <c r="G1082" s="68">
        <f>SUMIFS([0]!Chavez,[0]!Centro,B1084,[0]!Turno,G$1003)</f>
        <v>32</v>
      </c>
      <c r="H1082" s="68">
        <f>SUMIFS([0]!Chavez,[0]!Centro,B1084,[0]!Turno,H$1003)</f>
        <v>30</v>
      </c>
      <c r="I1082" s="68">
        <f>SUMIFS([0]!Chavez,[0]!Centro,B1084,[0]!Turno,I$1003)</f>
        <v>30</v>
      </c>
      <c r="J1082" s="68">
        <f>SUMIFS([0]!Chavez,[0]!Centro,B1084,[0]!Turno,J$1003)</f>
        <v>50</v>
      </c>
      <c r="K1082" s="68">
        <f>SUMIFS([0]!Chavez,[0]!Centro,B1084,[0]!Turno,K$1003)</f>
        <v>74</v>
      </c>
      <c r="L1082" s="68">
        <f>SUMIFS([0]!Chavez,[0]!Centro,B1084,[0]!Turno,L$1003)</f>
        <v>45</v>
      </c>
      <c r="M1082" s="68">
        <f>SUMIFS([0]!Chavez,[0]!Centro,B1084,[0]!Turno,M$1003)</f>
        <v>0</v>
      </c>
      <c r="N1082" s="68">
        <f>SUMIFS([0]!Chavez,[0]!Centro,B1084,[0]!Turno,N$1003)</f>
        <v>0</v>
      </c>
      <c r="O1082" s="68">
        <f>SUMIFS([0]!Chavez,[0]!Centro,B1084,[0]!Turno,O$1003)</f>
        <v>0</v>
      </c>
      <c r="P1082" s="68">
        <f>SUMIFS([0]!Chavez,[0]!Centro,B1084,[0]!Turno,P$1003)</f>
        <v>0</v>
      </c>
      <c r="Q1082" s="68">
        <f>SUMIFS([0]!Chavez,[0]!Centro,B1084,[0]!Turno,Q$1003)</f>
        <v>0</v>
      </c>
      <c r="R1082" s="68">
        <f>SUMIFS([0]!Chavez,[0]!Centro,B1084,[0]!Turno,R$1003)</f>
        <v>0</v>
      </c>
      <c r="S1082" s="68">
        <f>SUMIFS([0]!Chavez,[0]!Centro,B1084,[0]!Turno,S$1003)</f>
        <v>0</v>
      </c>
      <c r="T1082" s="68">
        <f>SUMIFS([0]!Chavez,[0]!Centro,B1084,[0]!Turno,T$1003)</f>
        <v>0</v>
      </c>
      <c r="U1082" s="68">
        <f>SUMIFS([0]!Chavez,[0]!Centro,B1084,[0]!Turno,U$1003)</f>
        <v>0</v>
      </c>
      <c r="V1082" s="68">
        <f>SUMIFS([0]!Chavez,[0]!Centro,B1084,[0]!Turno,V$1003)</f>
        <v>0</v>
      </c>
      <c r="W1082" s="68">
        <f>SUMIFS([0]!Chavez,[0]!Centro,B1084,[0]!Turno,W$1003)</f>
        <v>0</v>
      </c>
      <c r="X1082" s="68">
        <f>SUMIFS([0]!Chavez,[0]!Centro,B1084,[0]!Turno,X$1003)</f>
        <v>0</v>
      </c>
      <c r="Y1082" s="69">
        <f>SUMIFS([0]!Chavez,[0]!Centro,B1084,[0]!Turno,Y$1003)</f>
        <v>0</v>
      </c>
    </row>
    <row r="1083" spans="2:25" ht="15" customHeight="1" x14ac:dyDescent="0.2">
      <c r="B1083" s="250"/>
      <c r="C1083" s="92">
        <f>E1083/SUM(E1082:E1084)</f>
        <v>0.45833333333333331</v>
      </c>
      <c r="D1083" s="61" t="s">
        <v>1</v>
      </c>
      <c r="E1083" s="62">
        <f t="shared" si="2441"/>
        <v>253</v>
      </c>
      <c r="F1083" s="62">
        <f>SUMIFS([0]!Capriles,[0]!Centro,B1084,[0]!Turno,F$1003)</f>
        <v>40</v>
      </c>
      <c r="G1083" s="62">
        <f>SUMIFS([0]!Capriles,[0]!Centro,B1084,[0]!Turno,G$1003)</f>
        <v>48</v>
      </c>
      <c r="H1083" s="62">
        <f>SUMIFS([0]!Capriles,[0]!Centro,B1084,[0]!Turno,H$1003)</f>
        <v>22</v>
      </c>
      <c r="I1083" s="62">
        <f>SUMIFS([0]!Capriles,[0]!Centro,B1084,[0]!Turno,I$1003)</f>
        <v>26</v>
      </c>
      <c r="J1083" s="62">
        <f>SUMIFS([0]!Capriles,[0]!Centro,B1084,[0]!Turno,J$1003)</f>
        <v>29</v>
      </c>
      <c r="K1083" s="62">
        <f>SUMIFS([0]!Capriles,[0]!Centro,B1084,[0]!Turno,K$1003)</f>
        <v>45</v>
      </c>
      <c r="L1083" s="62">
        <f>SUMIFS([0]!Capriles,[0]!Centro,B1084,[0]!Turno,L$1003)</f>
        <v>43</v>
      </c>
      <c r="M1083" s="62">
        <f>SUMIFS([0]!Capriles,[0]!Centro,B1084,[0]!Turno,M$1003)</f>
        <v>0</v>
      </c>
      <c r="N1083" s="62">
        <f>SUMIFS([0]!Capriles,[0]!Centro,B1084,[0]!Turno,N$1003)</f>
        <v>0</v>
      </c>
      <c r="O1083" s="62">
        <f>SUMIFS([0]!Capriles,[0]!Centro,B1084,[0]!Turno,O$1003)</f>
        <v>0</v>
      </c>
      <c r="P1083" s="62">
        <f>SUMIFS([0]!Capriles,[0]!Centro,B1084,[0]!Turno,P$1003)</f>
        <v>0</v>
      </c>
      <c r="Q1083" s="62">
        <f>SUMIFS([0]!Capriles,[0]!Centro,B1084,[0]!Turno,Q$1003)</f>
        <v>0</v>
      </c>
      <c r="R1083" s="62">
        <f>SUMIFS([0]!Capriles,[0]!Centro,B1084,[0]!Turno,R$1003)</f>
        <v>0</v>
      </c>
      <c r="S1083" s="62">
        <f>SUMIFS([0]!Capriles,[0]!Centro,B1084,[0]!Turno,S$1003)</f>
        <v>0</v>
      </c>
      <c r="T1083" s="62">
        <f>SUMIFS([0]!Capriles,[0]!Centro,B1084,[0]!Turno,T$1003)</f>
        <v>0</v>
      </c>
      <c r="U1083" s="62">
        <f>SUMIFS([0]!Capriles,[0]!Centro,B1084,[0]!Turno,U$1003)</f>
        <v>0</v>
      </c>
      <c r="V1083" s="62">
        <f>SUMIFS([0]!Capriles,[0]!Centro,B1084,[0]!Turno,V$1003)</f>
        <v>0</v>
      </c>
      <c r="W1083" s="62">
        <f>SUMIFS([0]!Capriles,[0]!Centro,B1084,[0]!Turno,W$1003)</f>
        <v>0</v>
      </c>
      <c r="X1083" s="62">
        <f>SUMIFS([0]!Capriles,[0]!Centro,B1084,[0]!Turno,X$1003)</f>
        <v>0</v>
      </c>
      <c r="Y1083" s="70">
        <f>SUMIFS([0]!Capriles,[0]!Centro,B1084,[0]!Turno,Y$1003)</f>
        <v>0</v>
      </c>
    </row>
    <row r="1084" spans="2:25" ht="15" customHeight="1" thickBot="1" x14ac:dyDescent="0.25">
      <c r="B1084" s="251">
        <v>148</v>
      </c>
      <c r="C1084" s="100">
        <f>E1084/SUM(E1082:E1084)</f>
        <v>0</v>
      </c>
      <c r="D1084" s="71" t="s">
        <v>2</v>
      </c>
      <c r="E1084" s="72">
        <f t="shared" si="2441"/>
        <v>0</v>
      </c>
      <c r="F1084" s="72">
        <f>SUMIFS([0]!Otro,[0]!Centro,B1084,[0]!Turno,F$1003)</f>
        <v>0</v>
      </c>
      <c r="G1084" s="72">
        <f>SUMIFS([0]!Otro,[0]!Centro,B1084,[0]!Turno,G$1003)</f>
        <v>0</v>
      </c>
      <c r="H1084" s="72">
        <f>SUMIFS([0]!Otro,[0]!Centro,B1084,[0]!Turno,H$1003)</f>
        <v>0</v>
      </c>
      <c r="I1084" s="72">
        <f>SUMIFS([0]!Otro,[0]!Centro,B1084,[0]!Turno,I$1003)</f>
        <v>0</v>
      </c>
      <c r="J1084" s="72">
        <f>SUMIFS([0]!Otro,[0]!Centro,B1084,[0]!Turno,J$1003)</f>
        <v>0</v>
      </c>
      <c r="K1084" s="72">
        <f>SUMIFS([0]!Otro,[0]!Centro,B1084,[0]!Turno,K$1003)</f>
        <v>0</v>
      </c>
      <c r="L1084" s="72">
        <f>SUMIFS([0]!Otro,[0]!Centro,B1084,[0]!Turno,L$1003)</f>
        <v>0</v>
      </c>
      <c r="M1084" s="72">
        <f>SUMIFS([0]!Otro,[0]!Centro,B1084,[0]!Turno,M$1003)</f>
        <v>0</v>
      </c>
      <c r="N1084" s="72">
        <f>SUMIFS([0]!Otro,[0]!Centro,B1084,[0]!Turno,N$1003)</f>
        <v>0</v>
      </c>
      <c r="O1084" s="72">
        <f>SUMIFS([0]!Otro,[0]!Centro,B1084,[0]!Turno,O$1003)</f>
        <v>0</v>
      </c>
      <c r="P1084" s="72">
        <f>SUMIFS([0]!Otro,[0]!Centro,B1084,[0]!Turno,P$1003)</f>
        <v>0</v>
      </c>
      <c r="Q1084" s="72">
        <f>SUMIFS([0]!Otro,[0]!Centro,B1084,[0]!Turno,Q$1003)</f>
        <v>0</v>
      </c>
      <c r="R1084" s="72">
        <f>SUMIFS([0]!Otro,[0]!Centro,B1084,[0]!Turno,R$1003)</f>
        <v>0</v>
      </c>
      <c r="S1084" s="72">
        <f>SUMIFS([0]!Otro,[0]!Centro,B1084,[0]!Turno,S$1003)</f>
        <v>0</v>
      </c>
      <c r="T1084" s="72">
        <f>SUMIFS([0]!Otro,[0]!Centro,B1084,[0]!Turno,T$1003)</f>
        <v>0</v>
      </c>
      <c r="U1084" s="72">
        <f>SUMIFS([0]!Otro,[0]!Centro,B1084,[0]!Turno,U$1003)</f>
        <v>0</v>
      </c>
      <c r="V1084" s="72">
        <f>SUMIFS([0]!Otro,[0]!Centro,B1084,[0]!Turno,V$1003)</f>
        <v>0</v>
      </c>
      <c r="W1084" s="72">
        <f>SUMIFS([0]!Otro,[0]!Centro,B1084,[0]!Turno,W$1003)</f>
        <v>0</v>
      </c>
      <c r="X1084" s="72">
        <f>SUMIFS([0]!Otro,[0]!Centro,B1084,[0]!Turno,X$1003)</f>
        <v>0</v>
      </c>
      <c r="Y1084" s="73">
        <f>SUMIFS([0]!Otro,[0]!Centro,B1084,[0]!Turno,Y$1003)</f>
        <v>0</v>
      </c>
    </row>
    <row r="1085" spans="2:25" ht="15" customHeight="1" x14ac:dyDescent="0.2">
      <c r="B1085" s="251"/>
      <c r="C1085" s="94">
        <f>E1085/SUM(E1085:E1087)</f>
        <v>0.54166666666666674</v>
      </c>
      <c r="D1085" s="63" t="s">
        <v>0</v>
      </c>
      <c r="E1085" s="150">
        <f>IF((E1082+E1083+E1084)=0,0,(E1082*$B1086)/(E1082+E1083+E1084))</f>
        <v>6.5191359895543921E-2</v>
      </c>
      <c r="F1085" s="150">
        <f>IF((F1082+F1083+F1084)=0,0,(F1082*$B1086)/(F1082+F1083+F1084))</f>
        <v>5.8633649136820565E-2</v>
      </c>
      <c r="G1085" s="150">
        <f t="shared" ref="G1085:Y1085" si="2448">IF((G1082+G1083+G1084)=0,0,(G1082*$B1086)/(G1082+G1083+G1084))</f>
        <v>4.8141311922863202E-2</v>
      </c>
      <c r="H1085" s="150">
        <f t="shared" si="2448"/>
        <v>6.9434584504129621E-2</v>
      </c>
      <c r="I1085" s="150">
        <f t="shared" si="2448"/>
        <v>6.4474971325263211E-2</v>
      </c>
      <c r="J1085" s="150">
        <f t="shared" si="2448"/>
        <v>7.6172961903264558E-2</v>
      </c>
      <c r="K1085" s="150">
        <f t="shared" si="2448"/>
        <v>7.4841535342266327E-2</v>
      </c>
      <c r="L1085" s="150">
        <f t="shared" si="2448"/>
        <v>6.1544290810478519E-2</v>
      </c>
      <c r="M1085" s="150">
        <f t="shared" si="2448"/>
        <v>0</v>
      </c>
      <c r="N1085" s="150">
        <f t="shared" si="2448"/>
        <v>0</v>
      </c>
      <c r="O1085" s="150">
        <f t="shared" si="2448"/>
        <v>0</v>
      </c>
      <c r="P1085" s="150">
        <f t="shared" si="2448"/>
        <v>0</v>
      </c>
      <c r="Q1085" s="150">
        <f t="shared" si="2448"/>
        <v>0</v>
      </c>
      <c r="R1085" s="150">
        <f t="shared" si="2448"/>
        <v>0</v>
      </c>
      <c r="S1085" s="150">
        <f t="shared" si="2448"/>
        <v>0</v>
      </c>
      <c r="T1085" s="150">
        <f t="shared" si="2448"/>
        <v>0</v>
      </c>
      <c r="U1085" s="150">
        <f t="shared" si="2448"/>
        <v>0</v>
      </c>
      <c r="V1085" s="150">
        <f t="shared" si="2448"/>
        <v>0</v>
      </c>
      <c r="W1085" s="150">
        <f t="shared" si="2448"/>
        <v>0</v>
      </c>
      <c r="X1085" s="150">
        <f t="shared" si="2448"/>
        <v>0</v>
      </c>
      <c r="Y1085" s="163">
        <f t="shared" si="2448"/>
        <v>0</v>
      </c>
    </row>
    <row r="1086" spans="2:25" ht="15" customHeight="1" x14ac:dyDescent="0.2">
      <c r="B1086" s="252">
        <v>0.120353279807158</v>
      </c>
      <c r="C1086" s="92">
        <f>E1086/SUM(E1085:E1087)</f>
        <v>0.45833333333333331</v>
      </c>
      <c r="D1086" s="61" t="s">
        <v>1</v>
      </c>
      <c r="E1086" s="154">
        <f>IF((E1082+E1083+E1084)=0,0,(E1083*$B1086)/(E1082+E1083+E1084))</f>
        <v>5.516191991161408E-2</v>
      </c>
      <c r="F1086" s="154">
        <f>IF((F1082+F1083+F1084)=0,0,(F1083*$B1086)/(F1082+F1083+F1084))</f>
        <v>6.1719630670337436E-2</v>
      </c>
      <c r="G1086" s="154">
        <f t="shared" ref="G1086:Y1086" si="2449">IF((G1082+G1083+G1084)=0,0,(G1083*$B1086)/(G1082+G1083+G1084))</f>
        <v>7.2211967884294806E-2</v>
      </c>
      <c r="H1086" s="154">
        <f t="shared" si="2449"/>
        <v>5.0918695303028387E-2</v>
      </c>
      <c r="I1086" s="154">
        <f t="shared" si="2449"/>
        <v>5.5878308481894789E-2</v>
      </c>
      <c r="J1086" s="154">
        <f t="shared" si="2449"/>
        <v>4.4180317903893443E-2</v>
      </c>
      <c r="K1086" s="154">
        <f t="shared" si="2449"/>
        <v>4.5511744464891681E-2</v>
      </c>
      <c r="L1086" s="154">
        <f t="shared" si="2449"/>
        <v>5.8808988996679475E-2</v>
      </c>
      <c r="M1086" s="154">
        <f t="shared" si="2449"/>
        <v>0</v>
      </c>
      <c r="N1086" s="154">
        <f t="shared" si="2449"/>
        <v>0</v>
      </c>
      <c r="O1086" s="154">
        <f t="shared" si="2449"/>
        <v>0</v>
      </c>
      <c r="P1086" s="154">
        <f t="shared" si="2449"/>
        <v>0</v>
      </c>
      <c r="Q1086" s="154">
        <f t="shared" si="2449"/>
        <v>0</v>
      </c>
      <c r="R1086" s="154">
        <f t="shared" si="2449"/>
        <v>0</v>
      </c>
      <c r="S1086" s="154">
        <f t="shared" si="2449"/>
        <v>0</v>
      </c>
      <c r="T1086" s="154">
        <f t="shared" si="2449"/>
        <v>0</v>
      </c>
      <c r="U1086" s="154">
        <f t="shared" si="2449"/>
        <v>0</v>
      </c>
      <c r="V1086" s="154">
        <f t="shared" si="2449"/>
        <v>0</v>
      </c>
      <c r="W1086" s="154">
        <f t="shared" si="2449"/>
        <v>0</v>
      </c>
      <c r="X1086" s="154">
        <f t="shared" si="2449"/>
        <v>0</v>
      </c>
      <c r="Y1086" s="159">
        <f t="shared" si="2449"/>
        <v>0</v>
      </c>
    </row>
    <row r="1087" spans="2:25" ht="15" customHeight="1" thickBot="1" x14ac:dyDescent="0.25">
      <c r="B1087" s="253"/>
      <c r="C1087" s="93">
        <f>E1087/SUM(E1085:E1087)</f>
        <v>0</v>
      </c>
      <c r="D1087" s="75" t="s">
        <v>2</v>
      </c>
      <c r="E1087" s="155">
        <f>IF((E1082+E1083+E1084)=0,0,(E1084*$B1086)/(E1082+E1083+E1084))</f>
        <v>0</v>
      </c>
      <c r="F1087" s="155">
        <f>IF((F1082+F1083+F1084)=0,0,(F1084*$B1086)/(F1082+F1083+F1084))</f>
        <v>0</v>
      </c>
      <c r="G1087" s="155">
        <f t="shared" ref="G1087:Y1087" si="2450">IF((G1082+G1083+G1084)=0,0,(G1084*$B1086)/(G1082+G1083+G1084))</f>
        <v>0</v>
      </c>
      <c r="H1087" s="155">
        <f t="shared" si="2450"/>
        <v>0</v>
      </c>
      <c r="I1087" s="155">
        <f t="shared" si="2450"/>
        <v>0</v>
      </c>
      <c r="J1087" s="155">
        <f t="shared" si="2450"/>
        <v>0</v>
      </c>
      <c r="K1087" s="155">
        <f t="shared" si="2450"/>
        <v>0</v>
      </c>
      <c r="L1087" s="155">
        <f t="shared" si="2450"/>
        <v>0</v>
      </c>
      <c r="M1087" s="155">
        <f t="shared" si="2450"/>
        <v>0</v>
      </c>
      <c r="N1087" s="155">
        <f t="shared" si="2450"/>
        <v>0</v>
      </c>
      <c r="O1087" s="155">
        <f t="shared" si="2450"/>
        <v>0</v>
      </c>
      <c r="P1087" s="155">
        <f t="shared" si="2450"/>
        <v>0</v>
      </c>
      <c r="Q1087" s="155">
        <f t="shared" si="2450"/>
        <v>0</v>
      </c>
      <c r="R1087" s="155">
        <f t="shared" si="2450"/>
        <v>0</v>
      </c>
      <c r="S1087" s="155">
        <f t="shared" si="2450"/>
        <v>0</v>
      </c>
      <c r="T1087" s="155">
        <f t="shared" si="2450"/>
        <v>0</v>
      </c>
      <c r="U1087" s="155">
        <f t="shared" si="2450"/>
        <v>0</v>
      </c>
      <c r="V1087" s="155">
        <f t="shared" si="2450"/>
        <v>0</v>
      </c>
      <c r="W1087" s="155">
        <f t="shared" si="2450"/>
        <v>0</v>
      </c>
      <c r="X1087" s="155">
        <f t="shared" si="2450"/>
        <v>0</v>
      </c>
      <c r="Y1087" s="160">
        <f t="shared" si="2450"/>
        <v>0</v>
      </c>
    </row>
    <row r="1088" spans="2:25" ht="15" customHeight="1" x14ac:dyDescent="0.2">
      <c r="B1088" s="249" t="s">
        <v>168</v>
      </c>
      <c r="C1088" s="91">
        <f>E1088/SUM(E1088:E1090)</f>
        <v>0.52192982456140347</v>
      </c>
      <c r="D1088" s="67" t="s">
        <v>0</v>
      </c>
      <c r="E1088" s="68">
        <f t="shared" si="2441"/>
        <v>119</v>
      </c>
      <c r="F1088" s="68">
        <f>SUMIFS([0]!Chavez,[0]!Centro,B1090,[0]!Turno,F$1003)</f>
        <v>23</v>
      </c>
      <c r="G1088" s="68">
        <f>SUMIFS([0]!Chavez,[0]!Centro,B1090,[0]!Turno,G$1003)</f>
        <v>17</v>
      </c>
      <c r="H1088" s="68">
        <f>SUMIFS([0]!Chavez,[0]!Centro,B1090,[0]!Turno,H$1003)</f>
        <v>13</v>
      </c>
      <c r="I1088" s="68">
        <f>SUMIFS([0]!Chavez,[0]!Centro,B1090,[0]!Turno,I$1003)</f>
        <v>20</v>
      </c>
      <c r="J1088" s="68">
        <f>SUMIFS([0]!Chavez,[0]!Centro,B1090,[0]!Turno,J$1003)</f>
        <v>24</v>
      </c>
      <c r="K1088" s="68">
        <f>SUMIFS([0]!Chavez,[0]!Centro,B1090,[0]!Turno,K$1003)</f>
        <v>10</v>
      </c>
      <c r="L1088" s="68">
        <f>SUMIFS([0]!Chavez,[0]!Centro,B1090,[0]!Turno,L$1003)</f>
        <v>12</v>
      </c>
      <c r="M1088" s="68">
        <f>SUMIFS([0]!Chavez,[0]!Centro,B1090,[0]!Turno,M$1003)</f>
        <v>0</v>
      </c>
      <c r="N1088" s="68">
        <f>SUMIFS([0]!Chavez,[0]!Centro,B1090,[0]!Turno,N$1003)</f>
        <v>0</v>
      </c>
      <c r="O1088" s="68">
        <f>SUMIFS([0]!Chavez,[0]!Centro,B1090,[0]!Turno,O$1003)</f>
        <v>0</v>
      </c>
      <c r="P1088" s="68">
        <f>SUMIFS([0]!Chavez,[0]!Centro,B1090,[0]!Turno,P$1003)</f>
        <v>0</v>
      </c>
      <c r="Q1088" s="68">
        <f>SUMIFS([0]!Chavez,[0]!Centro,B1090,[0]!Turno,Q$1003)</f>
        <v>0</v>
      </c>
      <c r="R1088" s="68">
        <f>SUMIFS([0]!Chavez,[0]!Centro,B1090,[0]!Turno,R$1003)</f>
        <v>0</v>
      </c>
      <c r="S1088" s="68">
        <f>SUMIFS([0]!Chavez,[0]!Centro,B1090,[0]!Turno,S$1003)</f>
        <v>0</v>
      </c>
      <c r="T1088" s="68">
        <f>SUMIFS([0]!Chavez,[0]!Centro,B1090,[0]!Turno,T$1003)</f>
        <v>0</v>
      </c>
      <c r="U1088" s="68">
        <f>SUMIFS([0]!Chavez,[0]!Centro,B1090,[0]!Turno,U$1003)</f>
        <v>0</v>
      </c>
      <c r="V1088" s="68">
        <f>SUMIFS([0]!Chavez,[0]!Centro,B1090,[0]!Turno,V$1003)</f>
        <v>0</v>
      </c>
      <c r="W1088" s="68">
        <f>SUMIFS([0]!Chavez,[0]!Centro,B1090,[0]!Turno,W$1003)</f>
        <v>0</v>
      </c>
      <c r="X1088" s="68">
        <f>SUMIFS([0]!Chavez,[0]!Centro,B1090,[0]!Turno,X$1003)</f>
        <v>0</v>
      </c>
      <c r="Y1088" s="69">
        <f>SUMIFS([0]!Chavez,[0]!Centro,B1090,[0]!Turno,Y$1003)</f>
        <v>0</v>
      </c>
    </row>
    <row r="1089" spans="2:25" ht="15" customHeight="1" x14ac:dyDescent="0.2">
      <c r="B1089" s="250"/>
      <c r="C1089" s="92">
        <f>E1089/SUM(E1088:E1090)</f>
        <v>0.47807017543859648</v>
      </c>
      <c r="D1089" s="61" t="s">
        <v>1</v>
      </c>
      <c r="E1089" s="62">
        <f t="shared" si="2441"/>
        <v>109</v>
      </c>
      <c r="F1089" s="62">
        <f>SUMIFS([0]!Capriles,[0]!Centro,B1090,[0]!Turno,F$1003)</f>
        <v>28</v>
      </c>
      <c r="G1089" s="62">
        <f>SUMIFS([0]!Capriles,[0]!Centro,B1090,[0]!Turno,G$1003)</f>
        <v>7</v>
      </c>
      <c r="H1089" s="62">
        <f>SUMIFS([0]!Capriles,[0]!Centro,B1090,[0]!Turno,H$1003)</f>
        <v>13</v>
      </c>
      <c r="I1089" s="62">
        <f>SUMIFS([0]!Capriles,[0]!Centro,B1090,[0]!Turno,I$1003)</f>
        <v>30</v>
      </c>
      <c r="J1089" s="62">
        <f>SUMIFS([0]!Capriles,[0]!Centro,B1090,[0]!Turno,J$1003)</f>
        <v>9</v>
      </c>
      <c r="K1089" s="62">
        <f>SUMIFS([0]!Capriles,[0]!Centro,B1090,[0]!Turno,K$1003)</f>
        <v>15</v>
      </c>
      <c r="L1089" s="62">
        <f>SUMIFS([0]!Capriles,[0]!Centro,B1090,[0]!Turno,L$1003)</f>
        <v>7</v>
      </c>
      <c r="M1089" s="62">
        <f>SUMIFS([0]!Capriles,[0]!Centro,B1090,[0]!Turno,M$1003)</f>
        <v>0</v>
      </c>
      <c r="N1089" s="62">
        <f>SUMIFS([0]!Capriles,[0]!Centro,B1090,[0]!Turno,N$1003)</f>
        <v>0</v>
      </c>
      <c r="O1089" s="62">
        <f>SUMIFS([0]!Capriles,[0]!Centro,B1090,[0]!Turno,O$1003)</f>
        <v>0</v>
      </c>
      <c r="P1089" s="62">
        <f>SUMIFS([0]!Capriles,[0]!Centro,B1090,[0]!Turno,P$1003)</f>
        <v>0</v>
      </c>
      <c r="Q1089" s="62">
        <f>SUMIFS([0]!Capriles,[0]!Centro,B1090,[0]!Turno,Q$1003)</f>
        <v>0</v>
      </c>
      <c r="R1089" s="62">
        <f>SUMIFS([0]!Capriles,[0]!Centro,B1090,[0]!Turno,R$1003)</f>
        <v>0</v>
      </c>
      <c r="S1089" s="62">
        <f>SUMIFS([0]!Capriles,[0]!Centro,B1090,[0]!Turno,S$1003)</f>
        <v>0</v>
      </c>
      <c r="T1089" s="62">
        <f>SUMIFS([0]!Capriles,[0]!Centro,B1090,[0]!Turno,T$1003)</f>
        <v>0</v>
      </c>
      <c r="U1089" s="62">
        <f>SUMIFS([0]!Capriles,[0]!Centro,B1090,[0]!Turno,U$1003)</f>
        <v>0</v>
      </c>
      <c r="V1089" s="62">
        <f>SUMIFS([0]!Capriles,[0]!Centro,B1090,[0]!Turno,V$1003)</f>
        <v>0</v>
      </c>
      <c r="W1089" s="62">
        <f>SUMIFS([0]!Capriles,[0]!Centro,B1090,[0]!Turno,W$1003)</f>
        <v>0</v>
      </c>
      <c r="X1089" s="62">
        <f>SUMIFS([0]!Capriles,[0]!Centro,B1090,[0]!Turno,X$1003)</f>
        <v>0</v>
      </c>
      <c r="Y1089" s="70">
        <f>SUMIFS([0]!Capriles,[0]!Centro,B1090,[0]!Turno,Y$1003)</f>
        <v>0</v>
      </c>
    </row>
    <row r="1090" spans="2:25" ht="15" customHeight="1" thickBot="1" x14ac:dyDescent="0.25">
      <c r="B1090" s="251">
        <v>149</v>
      </c>
      <c r="C1090" s="100">
        <f>E1090/SUM(E1088:E1090)</f>
        <v>0</v>
      </c>
      <c r="D1090" s="71" t="s">
        <v>2</v>
      </c>
      <c r="E1090" s="72">
        <f t="shared" si="2441"/>
        <v>0</v>
      </c>
      <c r="F1090" s="72">
        <f>SUMIFS([0]!Otro,[0]!Centro,B1090,[0]!Turno,F$1003)</f>
        <v>0</v>
      </c>
      <c r="G1090" s="72">
        <f>SUMIFS([0]!Otro,[0]!Centro,B1090,[0]!Turno,G$1003)</f>
        <v>0</v>
      </c>
      <c r="H1090" s="72">
        <f>SUMIFS([0]!Otro,[0]!Centro,B1090,[0]!Turno,H$1003)</f>
        <v>0</v>
      </c>
      <c r="I1090" s="72">
        <f>SUMIFS([0]!Otro,[0]!Centro,B1090,[0]!Turno,I$1003)</f>
        <v>0</v>
      </c>
      <c r="J1090" s="72">
        <f>SUMIFS([0]!Otro,[0]!Centro,B1090,[0]!Turno,J$1003)</f>
        <v>0</v>
      </c>
      <c r="K1090" s="72">
        <f>SUMIFS([0]!Otro,[0]!Centro,B1090,[0]!Turno,K$1003)</f>
        <v>0</v>
      </c>
      <c r="L1090" s="72">
        <f>SUMIFS([0]!Otro,[0]!Centro,B1090,[0]!Turno,L$1003)</f>
        <v>0</v>
      </c>
      <c r="M1090" s="72">
        <f>SUMIFS([0]!Otro,[0]!Centro,B1090,[0]!Turno,M$1003)</f>
        <v>0</v>
      </c>
      <c r="N1090" s="72">
        <f>SUMIFS([0]!Otro,[0]!Centro,B1090,[0]!Turno,N$1003)</f>
        <v>0</v>
      </c>
      <c r="O1090" s="72">
        <f>SUMIFS([0]!Otro,[0]!Centro,B1090,[0]!Turno,O$1003)</f>
        <v>0</v>
      </c>
      <c r="P1090" s="72">
        <f>SUMIFS([0]!Otro,[0]!Centro,B1090,[0]!Turno,P$1003)</f>
        <v>0</v>
      </c>
      <c r="Q1090" s="72">
        <f>SUMIFS([0]!Otro,[0]!Centro,B1090,[0]!Turno,Q$1003)</f>
        <v>0</v>
      </c>
      <c r="R1090" s="72">
        <f>SUMIFS([0]!Otro,[0]!Centro,B1090,[0]!Turno,R$1003)</f>
        <v>0</v>
      </c>
      <c r="S1090" s="72">
        <f>SUMIFS([0]!Otro,[0]!Centro,B1090,[0]!Turno,S$1003)</f>
        <v>0</v>
      </c>
      <c r="T1090" s="72">
        <f>SUMIFS([0]!Otro,[0]!Centro,B1090,[0]!Turno,T$1003)</f>
        <v>0</v>
      </c>
      <c r="U1090" s="72">
        <f>SUMIFS([0]!Otro,[0]!Centro,B1090,[0]!Turno,U$1003)</f>
        <v>0</v>
      </c>
      <c r="V1090" s="72">
        <f>SUMIFS([0]!Otro,[0]!Centro,B1090,[0]!Turno,V$1003)</f>
        <v>0</v>
      </c>
      <c r="W1090" s="72">
        <f>SUMIFS([0]!Otro,[0]!Centro,B1090,[0]!Turno,W$1003)</f>
        <v>0</v>
      </c>
      <c r="X1090" s="72">
        <f>SUMIFS([0]!Otro,[0]!Centro,B1090,[0]!Turno,X$1003)</f>
        <v>0</v>
      </c>
      <c r="Y1090" s="73">
        <f>SUMIFS([0]!Otro,[0]!Centro,B1090,[0]!Turno,Y$1003)</f>
        <v>0</v>
      </c>
    </row>
    <row r="1091" spans="2:25" ht="15" customHeight="1" x14ac:dyDescent="0.2">
      <c r="B1091" s="251"/>
      <c r="C1091" s="94">
        <f>E1091/SUM(E1091:E1093)</f>
        <v>0.52192982456140358</v>
      </c>
      <c r="D1091" s="63" t="s">
        <v>0</v>
      </c>
      <c r="E1091" s="150">
        <f>IF((E1088+E1089+E1090)=0,0,(E1088*$B1092)/(E1088+E1089+E1090))</f>
        <v>8.9823150655980819E-3</v>
      </c>
      <c r="F1091" s="150">
        <f>IF((F1088+F1089+F1090)=0,0,(F1088*$B1092)/(F1088+F1089+F1090))</f>
        <v>7.7612885490190055E-3</v>
      </c>
      <c r="G1091" s="150">
        <f t="shared" ref="G1091:Y1091" si="2451">IF((G1088+G1089+G1090)=0,0,(G1088*$B1092)/(G1088+G1089+G1090))</f>
        <v>1.2190284731883112E-2</v>
      </c>
      <c r="H1091" s="150">
        <f t="shared" si="2451"/>
        <v>8.6049068695645495E-3</v>
      </c>
      <c r="I1091" s="150">
        <f t="shared" si="2451"/>
        <v>6.8839254956516395E-3</v>
      </c>
      <c r="J1091" s="150">
        <f t="shared" si="2451"/>
        <v>1.2516228173912073E-2</v>
      </c>
      <c r="K1091" s="150">
        <f t="shared" si="2451"/>
        <v>6.8839254956516395E-3</v>
      </c>
      <c r="L1091" s="150">
        <f t="shared" si="2451"/>
        <v>1.0869356045765747E-2</v>
      </c>
      <c r="M1091" s="150">
        <f t="shared" si="2451"/>
        <v>0</v>
      </c>
      <c r="N1091" s="150">
        <f t="shared" si="2451"/>
        <v>0</v>
      </c>
      <c r="O1091" s="150">
        <f t="shared" si="2451"/>
        <v>0</v>
      </c>
      <c r="P1091" s="150">
        <f t="shared" si="2451"/>
        <v>0</v>
      </c>
      <c r="Q1091" s="150">
        <f t="shared" si="2451"/>
        <v>0</v>
      </c>
      <c r="R1091" s="150">
        <f t="shared" si="2451"/>
        <v>0</v>
      </c>
      <c r="S1091" s="150">
        <f t="shared" si="2451"/>
        <v>0</v>
      </c>
      <c r="T1091" s="150">
        <f t="shared" si="2451"/>
        <v>0</v>
      </c>
      <c r="U1091" s="150">
        <f t="shared" si="2451"/>
        <v>0</v>
      </c>
      <c r="V1091" s="150">
        <f t="shared" si="2451"/>
        <v>0</v>
      </c>
      <c r="W1091" s="150">
        <f t="shared" si="2451"/>
        <v>0</v>
      </c>
      <c r="X1091" s="150">
        <f t="shared" si="2451"/>
        <v>0</v>
      </c>
      <c r="Y1091" s="163">
        <f t="shared" si="2451"/>
        <v>0</v>
      </c>
    </row>
    <row r="1092" spans="2:25" ht="15" customHeight="1" x14ac:dyDescent="0.2">
      <c r="B1092" s="252">
        <v>1.7209813739129099E-2</v>
      </c>
      <c r="C1092" s="92">
        <f>E1092/SUM(E1091:E1093)</f>
        <v>0.47807017543859653</v>
      </c>
      <c r="D1092" s="61" t="s">
        <v>1</v>
      </c>
      <c r="E1092" s="154">
        <f>IF((E1088+E1089+E1090)=0,0,(E1089*$B1092)/(E1088+E1089+E1090))</f>
        <v>8.2274986735310154E-3</v>
      </c>
      <c r="F1092" s="154">
        <f>IF((F1088+F1089+F1090)=0,0,(F1089*$B1092)/(F1088+F1089+F1090))</f>
        <v>9.4485251901100936E-3</v>
      </c>
      <c r="G1092" s="154">
        <f t="shared" ref="G1092:Y1092" si="2452">IF((G1088+G1089+G1090)=0,0,(G1089*$B1092)/(G1088+G1089+G1090))</f>
        <v>5.0195290072459877E-3</v>
      </c>
      <c r="H1092" s="154">
        <f t="shared" si="2452"/>
        <v>8.6049068695645495E-3</v>
      </c>
      <c r="I1092" s="154">
        <f t="shared" si="2452"/>
        <v>1.0325888243477459E-2</v>
      </c>
      <c r="J1092" s="154">
        <f t="shared" si="2452"/>
        <v>4.6935855652170269E-3</v>
      </c>
      <c r="K1092" s="154">
        <f t="shared" si="2452"/>
        <v>1.0325888243477459E-2</v>
      </c>
      <c r="L1092" s="154">
        <f t="shared" si="2452"/>
        <v>6.3404576933633527E-3</v>
      </c>
      <c r="M1092" s="154">
        <f t="shared" si="2452"/>
        <v>0</v>
      </c>
      <c r="N1092" s="154">
        <f t="shared" si="2452"/>
        <v>0</v>
      </c>
      <c r="O1092" s="154">
        <f t="shared" si="2452"/>
        <v>0</v>
      </c>
      <c r="P1092" s="154">
        <f t="shared" si="2452"/>
        <v>0</v>
      </c>
      <c r="Q1092" s="154">
        <f t="shared" si="2452"/>
        <v>0</v>
      </c>
      <c r="R1092" s="154">
        <f t="shared" si="2452"/>
        <v>0</v>
      </c>
      <c r="S1092" s="154">
        <f t="shared" si="2452"/>
        <v>0</v>
      </c>
      <c r="T1092" s="154">
        <f t="shared" si="2452"/>
        <v>0</v>
      </c>
      <c r="U1092" s="154">
        <f t="shared" si="2452"/>
        <v>0</v>
      </c>
      <c r="V1092" s="154">
        <f t="shared" si="2452"/>
        <v>0</v>
      </c>
      <c r="W1092" s="154">
        <f t="shared" si="2452"/>
        <v>0</v>
      </c>
      <c r="X1092" s="154">
        <f t="shared" si="2452"/>
        <v>0</v>
      </c>
      <c r="Y1092" s="159">
        <f t="shared" si="2452"/>
        <v>0</v>
      </c>
    </row>
    <row r="1093" spans="2:25" ht="15" customHeight="1" thickBot="1" x14ac:dyDescent="0.25">
      <c r="B1093" s="253"/>
      <c r="C1093" s="93">
        <f>E1093/SUM(E1091:E1093)</f>
        <v>0</v>
      </c>
      <c r="D1093" s="75" t="s">
        <v>2</v>
      </c>
      <c r="E1093" s="155">
        <f>IF((E1088+E1089+E1090)=0,0,(E1090*$B1092)/(E1088+E1089+E1090))</f>
        <v>0</v>
      </c>
      <c r="F1093" s="155">
        <f>IF((F1088+F1089+F1090)=0,0,(F1090*$B1092)/(F1088+F1089+F1090))</f>
        <v>0</v>
      </c>
      <c r="G1093" s="155">
        <f t="shared" ref="G1093:Y1093" si="2453">IF((G1088+G1089+G1090)=0,0,(G1090*$B1092)/(G1088+G1089+G1090))</f>
        <v>0</v>
      </c>
      <c r="H1093" s="155">
        <f t="shared" si="2453"/>
        <v>0</v>
      </c>
      <c r="I1093" s="155">
        <f t="shared" si="2453"/>
        <v>0</v>
      </c>
      <c r="J1093" s="155">
        <f t="shared" si="2453"/>
        <v>0</v>
      </c>
      <c r="K1093" s="155">
        <f t="shared" si="2453"/>
        <v>0</v>
      </c>
      <c r="L1093" s="155">
        <f t="shared" si="2453"/>
        <v>0</v>
      </c>
      <c r="M1093" s="155">
        <f t="shared" si="2453"/>
        <v>0</v>
      </c>
      <c r="N1093" s="155">
        <f t="shared" si="2453"/>
        <v>0</v>
      </c>
      <c r="O1093" s="155">
        <f t="shared" si="2453"/>
        <v>0</v>
      </c>
      <c r="P1093" s="155">
        <f t="shared" si="2453"/>
        <v>0</v>
      </c>
      <c r="Q1093" s="155">
        <f t="shared" si="2453"/>
        <v>0</v>
      </c>
      <c r="R1093" s="155">
        <f t="shared" si="2453"/>
        <v>0</v>
      </c>
      <c r="S1093" s="155">
        <f t="shared" si="2453"/>
        <v>0</v>
      </c>
      <c r="T1093" s="155">
        <f t="shared" si="2453"/>
        <v>0</v>
      </c>
      <c r="U1093" s="155">
        <f t="shared" si="2453"/>
        <v>0</v>
      </c>
      <c r="V1093" s="155">
        <f t="shared" si="2453"/>
        <v>0</v>
      </c>
      <c r="W1093" s="155">
        <f t="shared" si="2453"/>
        <v>0</v>
      </c>
      <c r="X1093" s="155">
        <f t="shared" si="2453"/>
        <v>0</v>
      </c>
      <c r="Y1093" s="160">
        <f t="shared" si="2453"/>
        <v>0</v>
      </c>
    </row>
    <row r="1094" spans="2:25" ht="15" customHeight="1" x14ac:dyDescent="0.2">
      <c r="B1094" s="249" t="s">
        <v>169</v>
      </c>
      <c r="C1094" s="91">
        <f>E1094/SUM(E1094:E1096)</f>
        <v>0.52820512820512822</v>
      </c>
      <c r="D1094" s="67" t="s">
        <v>0</v>
      </c>
      <c r="E1094" s="68">
        <f t="shared" si="2441"/>
        <v>103</v>
      </c>
      <c r="F1094" s="68">
        <f>SUMIFS([0]!Chavez,[0]!Centro,B1096,[0]!Turno,F$1003)</f>
        <v>0</v>
      </c>
      <c r="G1094" s="68">
        <f>SUMIFS([0]!Chavez,[0]!Centro,B1096,[0]!Turno,G$1003)</f>
        <v>11</v>
      </c>
      <c r="H1094" s="68">
        <f>SUMIFS([0]!Chavez,[0]!Centro,B1096,[0]!Turno,H$1003)</f>
        <v>17</v>
      </c>
      <c r="I1094" s="68">
        <f>SUMIFS([0]!Chavez,[0]!Centro,B1096,[0]!Turno,I$1003)</f>
        <v>20</v>
      </c>
      <c r="J1094" s="68">
        <f>SUMIFS([0]!Chavez,[0]!Centro,B1096,[0]!Turno,J$1003)</f>
        <v>30</v>
      </c>
      <c r="K1094" s="68">
        <f>SUMIFS([0]!Chavez,[0]!Centro,B1096,[0]!Turno,K$1003)</f>
        <v>20</v>
      </c>
      <c r="L1094" s="68">
        <f>SUMIFS([0]!Chavez,[0]!Centro,B1096,[0]!Turno,L$1003)</f>
        <v>5</v>
      </c>
      <c r="M1094" s="68">
        <f>SUMIFS([0]!Chavez,[0]!Centro,B1096,[0]!Turno,M$1003)</f>
        <v>0</v>
      </c>
      <c r="N1094" s="68">
        <f>SUMIFS([0]!Chavez,[0]!Centro,B1096,[0]!Turno,N$1003)</f>
        <v>0</v>
      </c>
      <c r="O1094" s="68">
        <f>SUMIFS([0]!Chavez,[0]!Centro,B1096,[0]!Turno,O$1003)</f>
        <v>0</v>
      </c>
      <c r="P1094" s="68">
        <f>SUMIFS([0]!Chavez,[0]!Centro,B1096,[0]!Turno,P$1003)</f>
        <v>0</v>
      </c>
      <c r="Q1094" s="68">
        <f>SUMIFS([0]!Chavez,[0]!Centro,B1096,[0]!Turno,Q$1003)</f>
        <v>0</v>
      </c>
      <c r="R1094" s="68">
        <f>SUMIFS([0]!Chavez,[0]!Centro,B1096,[0]!Turno,R$1003)</f>
        <v>0</v>
      </c>
      <c r="S1094" s="68">
        <f>SUMIFS([0]!Chavez,[0]!Centro,B1096,[0]!Turno,S$1003)</f>
        <v>0</v>
      </c>
      <c r="T1094" s="68">
        <f>SUMIFS([0]!Chavez,[0]!Centro,B1096,[0]!Turno,T$1003)</f>
        <v>0</v>
      </c>
      <c r="U1094" s="68">
        <f>SUMIFS([0]!Chavez,[0]!Centro,B1096,[0]!Turno,U$1003)</f>
        <v>0</v>
      </c>
      <c r="V1094" s="68">
        <f>SUMIFS([0]!Chavez,[0]!Centro,B1096,[0]!Turno,V$1003)</f>
        <v>0</v>
      </c>
      <c r="W1094" s="68">
        <f>SUMIFS([0]!Chavez,[0]!Centro,B1096,[0]!Turno,W$1003)</f>
        <v>0</v>
      </c>
      <c r="X1094" s="68">
        <f>SUMIFS([0]!Chavez,[0]!Centro,B1096,[0]!Turno,X$1003)</f>
        <v>0</v>
      </c>
      <c r="Y1094" s="69">
        <f>SUMIFS([0]!Chavez,[0]!Centro,B1096,[0]!Turno,Y$1003)</f>
        <v>0</v>
      </c>
    </row>
    <row r="1095" spans="2:25" ht="15" customHeight="1" x14ac:dyDescent="0.2">
      <c r="B1095" s="250"/>
      <c r="C1095" s="92">
        <f>E1095/SUM(E1094:E1096)</f>
        <v>0.47179487179487178</v>
      </c>
      <c r="D1095" s="61" t="s">
        <v>1</v>
      </c>
      <c r="E1095" s="62">
        <f t="shared" si="2441"/>
        <v>92</v>
      </c>
      <c r="F1095" s="62">
        <f>SUMIFS([0]!Capriles,[0]!Centro,B1096,[0]!Turno,F$1003)</f>
        <v>0</v>
      </c>
      <c r="G1095" s="62">
        <f>SUMIFS([0]!Capriles,[0]!Centro,B1096,[0]!Turno,G$1003)</f>
        <v>17</v>
      </c>
      <c r="H1095" s="62">
        <f>SUMIFS([0]!Capriles,[0]!Centro,B1096,[0]!Turno,H$1003)</f>
        <v>18</v>
      </c>
      <c r="I1095" s="62">
        <f>SUMIFS([0]!Capriles,[0]!Centro,B1096,[0]!Turno,I$1003)</f>
        <v>20</v>
      </c>
      <c r="J1095" s="62">
        <f>SUMIFS([0]!Capriles,[0]!Centro,B1096,[0]!Turno,J$1003)</f>
        <v>13</v>
      </c>
      <c r="K1095" s="62">
        <f>SUMIFS([0]!Capriles,[0]!Centro,B1096,[0]!Turno,K$1003)</f>
        <v>15</v>
      </c>
      <c r="L1095" s="62">
        <f>SUMIFS([0]!Capriles,[0]!Centro,B1096,[0]!Turno,L$1003)</f>
        <v>9</v>
      </c>
      <c r="M1095" s="62">
        <f>SUMIFS([0]!Capriles,[0]!Centro,B1096,[0]!Turno,M$1003)</f>
        <v>0</v>
      </c>
      <c r="N1095" s="62">
        <f>SUMIFS([0]!Capriles,[0]!Centro,B1096,[0]!Turno,N$1003)</f>
        <v>0</v>
      </c>
      <c r="O1095" s="62">
        <f>SUMIFS([0]!Capriles,[0]!Centro,B1096,[0]!Turno,O$1003)</f>
        <v>0</v>
      </c>
      <c r="P1095" s="62">
        <f>SUMIFS([0]!Capriles,[0]!Centro,B1096,[0]!Turno,P$1003)</f>
        <v>0</v>
      </c>
      <c r="Q1095" s="62">
        <f>SUMIFS([0]!Capriles,[0]!Centro,B1096,[0]!Turno,Q$1003)</f>
        <v>0</v>
      </c>
      <c r="R1095" s="62">
        <f>SUMIFS([0]!Capriles,[0]!Centro,B1096,[0]!Turno,R$1003)</f>
        <v>0</v>
      </c>
      <c r="S1095" s="62">
        <f>SUMIFS([0]!Capriles,[0]!Centro,B1096,[0]!Turno,S$1003)</f>
        <v>0</v>
      </c>
      <c r="T1095" s="62">
        <f>SUMIFS([0]!Capriles,[0]!Centro,B1096,[0]!Turno,T$1003)</f>
        <v>0</v>
      </c>
      <c r="U1095" s="62">
        <f>SUMIFS([0]!Capriles,[0]!Centro,B1096,[0]!Turno,U$1003)</f>
        <v>0</v>
      </c>
      <c r="V1095" s="62">
        <f>SUMIFS([0]!Capriles,[0]!Centro,B1096,[0]!Turno,V$1003)</f>
        <v>0</v>
      </c>
      <c r="W1095" s="62">
        <f>SUMIFS([0]!Capriles,[0]!Centro,B1096,[0]!Turno,W$1003)</f>
        <v>0</v>
      </c>
      <c r="X1095" s="62">
        <f>SUMIFS([0]!Capriles,[0]!Centro,B1096,[0]!Turno,X$1003)</f>
        <v>0</v>
      </c>
      <c r="Y1095" s="70">
        <f>SUMIFS([0]!Capriles,[0]!Centro,B1096,[0]!Turno,Y$1003)</f>
        <v>0</v>
      </c>
    </row>
    <row r="1096" spans="2:25" ht="15" customHeight="1" thickBot="1" x14ac:dyDescent="0.25">
      <c r="B1096" s="251">
        <v>150</v>
      </c>
      <c r="C1096" s="100">
        <f>E1096/SUM(E1094:E1096)</f>
        <v>0</v>
      </c>
      <c r="D1096" s="71" t="s">
        <v>2</v>
      </c>
      <c r="E1096" s="72">
        <f t="shared" si="2441"/>
        <v>0</v>
      </c>
      <c r="F1096" s="72">
        <f>SUMIFS([0]!Otro,[0]!Centro,B1096,[0]!Turno,F$1003)</f>
        <v>0</v>
      </c>
      <c r="G1096" s="72">
        <f>SUMIFS([0]!Otro,[0]!Centro,B1096,[0]!Turno,G$1003)</f>
        <v>0</v>
      </c>
      <c r="H1096" s="72">
        <f>SUMIFS([0]!Otro,[0]!Centro,B1096,[0]!Turno,H$1003)</f>
        <v>0</v>
      </c>
      <c r="I1096" s="72">
        <f>SUMIFS([0]!Otro,[0]!Centro,B1096,[0]!Turno,I$1003)</f>
        <v>0</v>
      </c>
      <c r="J1096" s="72">
        <f>SUMIFS([0]!Otro,[0]!Centro,B1096,[0]!Turno,J$1003)</f>
        <v>0</v>
      </c>
      <c r="K1096" s="72">
        <f>SUMIFS([0]!Otro,[0]!Centro,B1096,[0]!Turno,K$1003)</f>
        <v>0</v>
      </c>
      <c r="L1096" s="72">
        <f>SUMIFS([0]!Otro,[0]!Centro,B1096,[0]!Turno,L$1003)</f>
        <v>0</v>
      </c>
      <c r="M1096" s="72">
        <f>SUMIFS([0]!Otro,[0]!Centro,B1096,[0]!Turno,M$1003)</f>
        <v>0</v>
      </c>
      <c r="N1096" s="72">
        <f>SUMIFS([0]!Otro,[0]!Centro,B1096,[0]!Turno,N$1003)</f>
        <v>0</v>
      </c>
      <c r="O1096" s="72">
        <f>SUMIFS([0]!Otro,[0]!Centro,B1096,[0]!Turno,O$1003)</f>
        <v>0</v>
      </c>
      <c r="P1096" s="72">
        <f>SUMIFS([0]!Otro,[0]!Centro,B1096,[0]!Turno,P$1003)</f>
        <v>0</v>
      </c>
      <c r="Q1096" s="72">
        <f>SUMIFS([0]!Otro,[0]!Centro,B1096,[0]!Turno,Q$1003)</f>
        <v>0</v>
      </c>
      <c r="R1096" s="72">
        <f>SUMIFS([0]!Otro,[0]!Centro,B1096,[0]!Turno,R$1003)</f>
        <v>0</v>
      </c>
      <c r="S1096" s="72">
        <f>SUMIFS([0]!Otro,[0]!Centro,B1096,[0]!Turno,S$1003)</f>
        <v>0</v>
      </c>
      <c r="T1096" s="72">
        <f>SUMIFS([0]!Otro,[0]!Centro,B1096,[0]!Turno,T$1003)</f>
        <v>0</v>
      </c>
      <c r="U1096" s="72">
        <f>SUMIFS([0]!Otro,[0]!Centro,B1096,[0]!Turno,U$1003)</f>
        <v>0</v>
      </c>
      <c r="V1096" s="72">
        <f>SUMIFS([0]!Otro,[0]!Centro,B1096,[0]!Turno,V$1003)</f>
        <v>0</v>
      </c>
      <c r="W1096" s="72">
        <f>SUMIFS([0]!Otro,[0]!Centro,B1096,[0]!Turno,W$1003)</f>
        <v>0</v>
      </c>
      <c r="X1096" s="72">
        <f>SUMIFS([0]!Otro,[0]!Centro,B1096,[0]!Turno,X$1003)</f>
        <v>0</v>
      </c>
      <c r="Y1096" s="73">
        <f>SUMIFS([0]!Otro,[0]!Centro,B1096,[0]!Turno,Y$1003)</f>
        <v>0</v>
      </c>
    </row>
    <row r="1097" spans="2:25" ht="15" customHeight="1" x14ac:dyDescent="0.2">
      <c r="B1097" s="251"/>
      <c r="C1097" s="94">
        <f>E1097/SUM(E1097:E1099)</f>
        <v>0.52820512820512822</v>
      </c>
      <c r="D1097" s="63" t="s">
        <v>0</v>
      </c>
      <c r="E1097" s="150">
        <f>IF((E1094+E1095+E1096)=0,0,(E1094*$B1098)/(E1094+E1095+E1096))</f>
        <v>7.503631639572763E-3</v>
      </c>
      <c r="F1097" s="150">
        <f>IF((F1094+F1095+F1096)=0,0,(F1094*$B1098)/(F1094+F1095+F1096))</f>
        <v>0</v>
      </c>
      <c r="G1097" s="150">
        <f t="shared" ref="G1097:Y1097" si="2454">IF((G1094+G1095+G1096)=0,0,(G1094*$B1098)/(G1094+G1095+G1096))</f>
        <v>5.5808910772827932E-3</v>
      </c>
      <c r="H1097" s="150">
        <f t="shared" si="2454"/>
        <v>6.9000107864587261E-3</v>
      </c>
      <c r="I1097" s="150">
        <f t="shared" si="2454"/>
        <v>7.1029522801781004E-3</v>
      </c>
      <c r="J1097" s="150">
        <f t="shared" si="2454"/>
        <v>9.9110962048996748E-3</v>
      </c>
      <c r="K1097" s="150">
        <f t="shared" si="2454"/>
        <v>8.1176597487749719E-3</v>
      </c>
      <c r="L1097" s="150">
        <f t="shared" si="2454"/>
        <v>5.0735373429843574E-3</v>
      </c>
      <c r="M1097" s="150">
        <f t="shared" si="2454"/>
        <v>0</v>
      </c>
      <c r="N1097" s="150">
        <f t="shared" si="2454"/>
        <v>0</v>
      </c>
      <c r="O1097" s="150">
        <f t="shared" si="2454"/>
        <v>0</v>
      </c>
      <c r="P1097" s="150">
        <f t="shared" si="2454"/>
        <v>0</v>
      </c>
      <c r="Q1097" s="150">
        <f t="shared" si="2454"/>
        <v>0</v>
      </c>
      <c r="R1097" s="150">
        <f t="shared" si="2454"/>
        <v>0</v>
      </c>
      <c r="S1097" s="150">
        <f t="shared" si="2454"/>
        <v>0</v>
      </c>
      <c r="T1097" s="150">
        <f t="shared" si="2454"/>
        <v>0</v>
      </c>
      <c r="U1097" s="150">
        <f t="shared" si="2454"/>
        <v>0</v>
      </c>
      <c r="V1097" s="150">
        <f t="shared" si="2454"/>
        <v>0</v>
      </c>
      <c r="W1097" s="150">
        <f t="shared" si="2454"/>
        <v>0</v>
      </c>
      <c r="X1097" s="150">
        <f t="shared" si="2454"/>
        <v>0</v>
      </c>
      <c r="Y1097" s="163">
        <f t="shared" si="2454"/>
        <v>0</v>
      </c>
    </row>
    <row r="1098" spans="2:25" ht="15" customHeight="1" x14ac:dyDescent="0.2">
      <c r="B1098" s="252">
        <v>1.4205904560356201E-2</v>
      </c>
      <c r="C1098" s="92">
        <f>E1098/SUM(E1097:E1099)</f>
        <v>0.47179487179487178</v>
      </c>
      <c r="D1098" s="61" t="s">
        <v>1</v>
      </c>
      <c r="E1098" s="154">
        <f>IF((E1094+E1095+E1096)=0,0,(E1095*$B1098)/(E1094+E1095+E1096))</f>
        <v>6.7022729207834378E-3</v>
      </c>
      <c r="F1098" s="154">
        <f>IF((F1094+F1095+F1096)=0,0,(F1095*$B1098)/(F1094+F1095+F1096))</f>
        <v>0</v>
      </c>
      <c r="G1098" s="154">
        <f t="shared" ref="G1098:Y1098" si="2455">IF((G1094+G1095+G1096)=0,0,(G1095*$B1098)/(G1094+G1095+G1096))</f>
        <v>8.6250134830734067E-3</v>
      </c>
      <c r="H1098" s="154">
        <f t="shared" si="2455"/>
        <v>7.3058937738974747E-3</v>
      </c>
      <c r="I1098" s="154">
        <f t="shared" si="2455"/>
        <v>7.1029522801781004E-3</v>
      </c>
      <c r="J1098" s="154">
        <f t="shared" si="2455"/>
        <v>4.294808355456526E-3</v>
      </c>
      <c r="K1098" s="154">
        <f t="shared" si="2455"/>
        <v>6.0882448115812289E-3</v>
      </c>
      <c r="L1098" s="154">
        <f t="shared" si="2455"/>
        <v>9.1323672173718434E-3</v>
      </c>
      <c r="M1098" s="154">
        <f t="shared" si="2455"/>
        <v>0</v>
      </c>
      <c r="N1098" s="154">
        <f t="shared" si="2455"/>
        <v>0</v>
      </c>
      <c r="O1098" s="154">
        <f t="shared" si="2455"/>
        <v>0</v>
      </c>
      <c r="P1098" s="154">
        <f t="shared" si="2455"/>
        <v>0</v>
      </c>
      <c r="Q1098" s="154">
        <f t="shared" si="2455"/>
        <v>0</v>
      </c>
      <c r="R1098" s="154">
        <f t="shared" si="2455"/>
        <v>0</v>
      </c>
      <c r="S1098" s="154">
        <f t="shared" si="2455"/>
        <v>0</v>
      </c>
      <c r="T1098" s="154">
        <f t="shared" si="2455"/>
        <v>0</v>
      </c>
      <c r="U1098" s="154">
        <f t="shared" si="2455"/>
        <v>0</v>
      </c>
      <c r="V1098" s="154">
        <f t="shared" si="2455"/>
        <v>0</v>
      </c>
      <c r="W1098" s="154">
        <f t="shared" si="2455"/>
        <v>0</v>
      </c>
      <c r="X1098" s="154">
        <f t="shared" si="2455"/>
        <v>0</v>
      </c>
      <c r="Y1098" s="159">
        <f t="shared" si="2455"/>
        <v>0</v>
      </c>
    </row>
    <row r="1099" spans="2:25" ht="15" customHeight="1" thickBot="1" x14ac:dyDescent="0.25">
      <c r="B1099" s="253"/>
      <c r="C1099" s="93">
        <f>E1099/SUM(E1097:E1099)</f>
        <v>0</v>
      </c>
      <c r="D1099" s="75" t="s">
        <v>2</v>
      </c>
      <c r="E1099" s="155">
        <f>IF((E1094+E1095+E1096)=0,0,(E1096*$B1098)/(E1094+E1095+E1096))</f>
        <v>0</v>
      </c>
      <c r="F1099" s="155">
        <f>IF((F1094+F1095+F1096)=0,0,(F1096*$B1098)/(F1094+F1095+F1096))</f>
        <v>0</v>
      </c>
      <c r="G1099" s="155">
        <f t="shared" ref="G1099:Y1099" si="2456">IF((G1094+G1095+G1096)=0,0,(G1096*$B1098)/(G1094+G1095+G1096))</f>
        <v>0</v>
      </c>
      <c r="H1099" s="155">
        <f t="shared" si="2456"/>
        <v>0</v>
      </c>
      <c r="I1099" s="155">
        <f t="shared" si="2456"/>
        <v>0</v>
      </c>
      <c r="J1099" s="155">
        <f t="shared" si="2456"/>
        <v>0</v>
      </c>
      <c r="K1099" s="155">
        <f t="shared" si="2456"/>
        <v>0</v>
      </c>
      <c r="L1099" s="155">
        <f t="shared" si="2456"/>
        <v>0</v>
      </c>
      <c r="M1099" s="155">
        <f t="shared" si="2456"/>
        <v>0</v>
      </c>
      <c r="N1099" s="155">
        <f t="shared" si="2456"/>
        <v>0</v>
      </c>
      <c r="O1099" s="155">
        <f t="shared" si="2456"/>
        <v>0</v>
      </c>
      <c r="P1099" s="155">
        <f t="shared" si="2456"/>
        <v>0</v>
      </c>
      <c r="Q1099" s="155">
        <f t="shared" si="2456"/>
        <v>0</v>
      </c>
      <c r="R1099" s="155">
        <f t="shared" si="2456"/>
        <v>0</v>
      </c>
      <c r="S1099" s="155">
        <f t="shared" si="2456"/>
        <v>0</v>
      </c>
      <c r="T1099" s="155">
        <f t="shared" si="2456"/>
        <v>0</v>
      </c>
      <c r="U1099" s="155">
        <f t="shared" si="2456"/>
        <v>0</v>
      </c>
      <c r="V1099" s="155">
        <f t="shared" si="2456"/>
        <v>0</v>
      </c>
      <c r="W1099" s="155">
        <f t="shared" si="2456"/>
        <v>0</v>
      </c>
      <c r="X1099" s="155">
        <f t="shared" si="2456"/>
        <v>0</v>
      </c>
      <c r="Y1099" s="160">
        <f t="shared" si="2456"/>
        <v>0</v>
      </c>
    </row>
    <row r="1100" spans="2:25" ht="15" customHeight="1" x14ac:dyDescent="0.2">
      <c r="B1100" s="249" t="s">
        <v>55</v>
      </c>
      <c r="C1100" s="91">
        <f>E1100/SUM(E1100:E1102)</f>
        <v>0.70680628272251311</v>
      </c>
      <c r="D1100" s="67" t="s">
        <v>0</v>
      </c>
      <c r="E1100" s="68">
        <f t="shared" si="2441"/>
        <v>135</v>
      </c>
      <c r="F1100" s="68">
        <f>SUMIFS([0]!Chavez,[0]!Centro,B1102,[0]!Turno,F$1003)</f>
        <v>9</v>
      </c>
      <c r="G1100" s="68">
        <f>SUMIFS([0]!Chavez,[0]!Centro,B1102,[0]!Turno,G$1003)</f>
        <v>11</v>
      </c>
      <c r="H1100" s="68">
        <f>SUMIFS([0]!Chavez,[0]!Centro,B1102,[0]!Turno,H$1003)</f>
        <v>22</v>
      </c>
      <c r="I1100" s="68">
        <f>SUMIFS([0]!Chavez,[0]!Centro,B1102,[0]!Turno,I$1003)</f>
        <v>27</v>
      </c>
      <c r="J1100" s="68">
        <f>SUMIFS([0]!Chavez,[0]!Centro,B1102,[0]!Turno,J$1003)</f>
        <v>23</v>
      </c>
      <c r="K1100" s="68">
        <f>SUMIFS([0]!Chavez,[0]!Centro,B1102,[0]!Turno,K$1003)</f>
        <v>13</v>
      </c>
      <c r="L1100" s="68">
        <f>SUMIFS([0]!Chavez,[0]!Centro,B1102,[0]!Turno,L$1003)</f>
        <v>30</v>
      </c>
      <c r="M1100" s="68">
        <f>SUMIFS([0]!Chavez,[0]!Centro,B1102,[0]!Turno,M$1003)</f>
        <v>0</v>
      </c>
      <c r="N1100" s="68">
        <f>SUMIFS([0]!Chavez,[0]!Centro,B1102,[0]!Turno,N$1003)</f>
        <v>0</v>
      </c>
      <c r="O1100" s="68">
        <f>SUMIFS([0]!Chavez,[0]!Centro,B1102,[0]!Turno,O$1003)</f>
        <v>0</v>
      </c>
      <c r="P1100" s="68">
        <f>SUMIFS([0]!Chavez,[0]!Centro,B1102,[0]!Turno,P$1003)</f>
        <v>0</v>
      </c>
      <c r="Q1100" s="68">
        <f>SUMIFS([0]!Chavez,[0]!Centro,B1102,[0]!Turno,Q$1003)</f>
        <v>0</v>
      </c>
      <c r="R1100" s="68">
        <f>SUMIFS([0]!Chavez,[0]!Centro,B1102,[0]!Turno,R$1003)</f>
        <v>0</v>
      </c>
      <c r="S1100" s="68">
        <f>SUMIFS([0]!Chavez,[0]!Centro,B1102,[0]!Turno,S$1003)</f>
        <v>0</v>
      </c>
      <c r="T1100" s="68">
        <f>SUMIFS([0]!Chavez,[0]!Centro,B1102,[0]!Turno,T$1003)</f>
        <v>0</v>
      </c>
      <c r="U1100" s="68">
        <f>SUMIFS([0]!Chavez,[0]!Centro,B1102,[0]!Turno,U$1003)</f>
        <v>0</v>
      </c>
      <c r="V1100" s="68">
        <f>SUMIFS([0]!Chavez,[0]!Centro,B1102,[0]!Turno,V$1003)</f>
        <v>0</v>
      </c>
      <c r="W1100" s="68">
        <f>SUMIFS([0]!Chavez,[0]!Centro,B1102,[0]!Turno,W$1003)</f>
        <v>0</v>
      </c>
      <c r="X1100" s="68">
        <f>SUMIFS([0]!Chavez,[0]!Centro,B1102,[0]!Turno,X$1003)</f>
        <v>0</v>
      </c>
      <c r="Y1100" s="69">
        <f>SUMIFS([0]!Chavez,[0]!Centro,B1102,[0]!Turno,Y$1003)</f>
        <v>0</v>
      </c>
    </row>
    <row r="1101" spans="2:25" ht="15" customHeight="1" x14ac:dyDescent="0.2">
      <c r="B1101" s="250"/>
      <c r="C1101" s="92">
        <f>E1101/SUM(E1100:E1102)</f>
        <v>0.29319371727748689</v>
      </c>
      <c r="D1101" s="61" t="s">
        <v>1</v>
      </c>
      <c r="E1101" s="62">
        <f t="shared" si="2441"/>
        <v>56</v>
      </c>
      <c r="F1101" s="62">
        <f>SUMIFS([0]!Capriles,[0]!Centro,B1102,[0]!Turno,F$1003)</f>
        <v>4</v>
      </c>
      <c r="G1101" s="62">
        <f>SUMIFS([0]!Capriles,[0]!Centro,B1102,[0]!Turno,G$1003)</f>
        <v>2</v>
      </c>
      <c r="H1101" s="62">
        <f>SUMIFS([0]!Capriles,[0]!Centro,B1102,[0]!Turno,H$1003)</f>
        <v>4</v>
      </c>
      <c r="I1101" s="62">
        <f>SUMIFS([0]!Capriles,[0]!Centro,B1102,[0]!Turno,I$1003)</f>
        <v>14</v>
      </c>
      <c r="J1101" s="62">
        <f>SUMIFS([0]!Capriles,[0]!Centro,B1102,[0]!Turno,J$1003)</f>
        <v>14</v>
      </c>
      <c r="K1101" s="62">
        <f>SUMIFS([0]!Capriles,[0]!Centro,B1102,[0]!Turno,K$1003)</f>
        <v>12</v>
      </c>
      <c r="L1101" s="62">
        <f>SUMIFS([0]!Capriles,[0]!Centro,B1102,[0]!Turno,L$1003)</f>
        <v>6</v>
      </c>
      <c r="M1101" s="62">
        <f>SUMIFS([0]!Capriles,[0]!Centro,B1102,[0]!Turno,M$1003)</f>
        <v>0</v>
      </c>
      <c r="N1101" s="62">
        <f>SUMIFS([0]!Capriles,[0]!Centro,B1102,[0]!Turno,N$1003)</f>
        <v>0</v>
      </c>
      <c r="O1101" s="62">
        <f>SUMIFS([0]!Capriles,[0]!Centro,B1102,[0]!Turno,O$1003)</f>
        <v>0</v>
      </c>
      <c r="P1101" s="62">
        <f>SUMIFS([0]!Capriles,[0]!Centro,B1102,[0]!Turno,P$1003)</f>
        <v>0</v>
      </c>
      <c r="Q1101" s="62">
        <f>SUMIFS([0]!Capriles,[0]!Centro,B1102,[0]!Turno,Q$1003)</f>
        <v>0</v>
      </c>
      <c r="R1101" s="62">
        <f>SUMIFS([0]!Capriles,[0]!Centro,B1102,[0]!Turno,R$1003)</f>
        <v>0</v>
      </c>
      <c r="S1101" s="62">
        <f>SUMIFS([0]!Capriles,[0]!Centro,B1102,[0]!Turno,S$1003)</f>
        <v>0</v>
      </c>
      <c r="T1101" s="62">
        <f>SUMIFS([0]!Capriles,[0]!Centro,B1102,[0]!Turno,T$1003)</f>
        <v>0</v>
      </c>
      <c r="U1101" s="62">
        <f>SUMIFS([0]!Capriles,[0]!Centro,B1102,[0]!Turno,U$1003)</f>
        <v>0</v>
      </c>
      <c r="V1101" s="62">
        <f>SUMIFS([0]!Capriles,[0]!Centro,B1102,[0]!Turno,V$1003)</f>
        <v>0</v>
      </c>
      <c r="W1101" s="62">
        <f>SUMIFS([0]!Capriles,[0]!Centro,B1102,[0]!Turno,W$1003)</f>
        <v>0</v>
      </c>
      <c r="X1101" s="62">
        <f>SUMIFS([0]!Capriles,[0]!Centro,B1102,[0]!Turno,X$1003)</f>
        <v>0</v>
      </c>
      <c r="Y1101" s="70">
        <f>SUMIFS([0]!Capriles,[0]!Centro,B1102,[0]!Turno,Y$1003)</f>
        <v>0</v>
      </c>
    </row>
    <row r="1102" spans="2:25" ht="15" customHeight="1" thickBot="1" x14ac:dyDescent="0.25">
      <c r="B1102" s="251">
        <v>151</v>
      </c>
      <c r="C1102" s="100">
        <f>E1102/SUM(E1100:E1102)</f>
        <v>0</v>
      </c>
      <c r="D1102" s="71" t="s">
        <v>2</v>
      </c>
      <c r="E1102" s="72">
        <f t="shared" si="2441"/>
        <v>0</v>
      </c>
      <c r="F1102" s="72">
        <f>SUMIFS([0]!Otro,[0]!Centro,B1102,[0]!Turno,F$1003)</f>
        <v>0</v>
      </c>
      <c r="G1102" s="72">
        <f>SUMIFS([0]!Otro,[0]!Centro,B1102,[0]!Turno,G$1003)</f>
        <v>0</v>
      </c>
      <c r="H1102" s="72">
        <f>SUMIFS([0]!Otro,[0]!Centro,B1102,[0]!Turno,H$1003)</f>
        <v>0</v>
      </c>
      <c r="I1102" s="72">
        <f>SUMIFS([0]!Otro,[0]!Centro,B1102,[0]!Turno,I$1003)</f>
        <v>0</v>
      </c>
      <c r="J1102" s="72">
        <f>SUMIFS([0]!Otro,[0]!Centro,B1102,[0]!Turno,J$1003)</f>
        <v>0</v>
      </c>
      <c r="K1102" s="72">
        <f>SUMIFS([0]!Otro,[0]!Centro,B1102,[0]!Turno,K$1003)</f>
        <v>0</v>
      </c>
      <c r="L1102" s="72">
        <f>SUMIFS([0]!Otro,[0]!Centro,B1102,[0]!Turno,L$1003)</f>
        <v>0</v>
      </c>
      <c r="M1102" s="72">
        <f>SUMIFS([0]!Otro,[0]!Centro,B1102,[0]!Turno,M$1003)</f>
        <v>0</v>
      </c>
      <c r="N1102" s="72">
        <f>SUMIFS([0]!Otro,[0]!Centro,B1102,[0]!Turno,N$1003)</f>
        <v>0</v>
      </c>
      <c r="O1102" s="72">
        <f>SUMIFS([0]!Otro,[0]!Centro,B1102,[0]!Turno,O$1003)</f>
        <v>0</v>
      </c>
      <c r="P1102" s="72">
        <f>SUMIFS([0]!Otro,[0]!Centro,B1102,[0]!Turno,P$1003)</f>
        <v>0</v>
      </c>
      <c r="Q1102" s="72">
        <f>SUMIFS([0]!Otro,[0]!Centro,B1102,[0]!Turno,Q$1003)</f>
        <v>0</v>
      </c>
      <c r="R1102" s="72">
        <f>SUMIFS([0]!Otro,[0]!Centro,B1102,[0]!Turno,R$1003)</f>
        <v>0</v>
      </c>
      <c r="S1102" s="72">
        <f>SUMIFS([0]!Otro,[0]!Centro,B1102,[0]!Turno,S$1003)</f>
        <v>0</v>
      </c>
      <c r="T1102" s="72">
        <f>SUMIFS([0]!Otro,[0]!Centro,B1102,[0]!Turno,T$1003)</f>
        <v>0</v>
      </c>
      <c r="U1102" s="72">
        <f>SUMIFS([0]!Otro,[0]!Centro,B1102,[0]!Turno,U$1003)</f>
        <v>0</v>
      </c>
      <c r="V1102" s="72">
        <f>SUMIFS([0]!Otro,[0]!Centro,B1102,[0]!Turno,V$1003)</f>
        <v>0</v>
      </c>
      <c r="W1102" s="72">
        <f>SUMIFS([0]!Otro,[0]!Centro,B1102,[0]!Turno,W$1003)</f>
        <v>0</v>
      </c>
      <c r="X1102" s="72">
        <f>SUMIFS([0]!Otro,[0]!Centro,B1102,[0]!Turno,X$1003)</f>
        <v>0</v>
      </c>
      <c r="Y1102" s="73">
        <f>SUMIFS([0]!Otro,[0]!Centro,B1102,[0]!Turno,Y$1003)</f>
        <v>0</v>
      </c>
    </row>
    <row r="1103" spans="2:25" ht="15" customHeight="1" x14ac:dyDescent="0.2">
      <c r="B1103" s="251"/>
      <c r="C1103" s="94">
        <f>E1103/SUM(E1103:E1105)</f>
        <v>0.70680628272251311</v>
      </c>
      <c r="D1103" s="63" t="s">
        <v>0</v>
      </c>
      <c r="E1103" s="150">
        <f>IF((E1100+E1101+E1102)=0,0,(E1100*$B1104)/(E1100+E1101+E1102))</f>
        <v>1.233027212804623E-2</v>
      </c>
      <c r="F1103" s="150">
        <f>IF((F1100+F1101+F1102)=0,0,(F1100*$B1104)/(F1100+F1101+F1102))</f>
        <v>1.2077343469009384E-2</v>
      </c>
      <c r="G1103" s="150">
        <f t="shared" ref="G1103:Y1103" si="2457">IF((G1100+G1101+G1102)=0,0,(G1100*$B1104)/(G1100+G1101+G1102))</f>
        <v>1.476119757323369E-2</v>
      </c>
      <c r="H1103" s="150">
        <f t="shared" si="2457"/>
        <v>1.476119757323369E-2</v>
      </c>
      <c r="I1103" s="150">
        <f t="shared" si="2457"/>
        <v>1.1488204763204049E-2</v>
      </c>
      <c r="J1103" s="150">
        <f t="shared" si="2457"/>
        <v>1.0844221313014431E-2</v>
      </c>
      <c r="K1103" s="150">
        <f t="shared" si="2457"/>
        <v>9.0714268722781599E-3</v>
      </c>
      <c r="L1103" s="150">
        <f t="shared" si="2457"/>
        <v>1.4537543064548332E-2</v>
      </c>
      <c r="M1103" s="150">
        <f t="shared" si="2457"/>
        <v>0</v>
      </c>
      <c r="N1103" s="150">
        <f t="shared" si="2457"/>
        <v>0</v>
      </c>
      <c r="O1103" s="150">
        <f t="shared" si="2457"/>
        <v>0</v>
      </c>
      <c r="P1103" s="150">
        <f t="shared" si="2457"/>
        <v>0</v>
      </c>
      <c r="Q1103" s="150">
        <f t="shared" si="2457"/>
        <v>0</v>
      </c>
      <c r="R1103" s="150">
        <f t="shared" si="2457"/>
        <v>0</v>
      </c>
      <c r="S1103" s="150">
        <f t="shared" si="2457"/>
        <v>0</v>
      </c>
      <c r="T1103" s="150">
        <f t="shared" si="2457"/>
        <v>0</v>
      </c>
      <c r="U1103" s="150">
        <f t="shared" si="2457"/>
        <v>0</v>
      </c>
      <c r="V1103" s="150">
        <f t="shared" si="2457"/>
        <v>0</v>
      </c>
      <c r="W1103" s="150">
        <f t="shared" si="2457"/>
        <v>0</v>
      </c>
      <c r="X1103" s="150">
        <f t="shared" si="2457"/>
        <v>0</v>
      </c>
      <c r="Y1103" s="163">
        <f t="shared" si="2457"/>
        <v>0</v>
      </c>
    </row>
    <row r="1104" spans="2:25" ht="15" customHeight="1" x14ac:dyDescent="0.2">
      <c r="B1104" s="252">
        <v>1.7445051677457999E-2</v>
      </c>
      <c r="C1104" s="92">
        <f>E1104/SUM(E1103:E1105)</f>
        <v>0.29319371727748689</v>
      </c>
      <c r="D1104" s="61" t="s">
        <v>1</v>
      </c>
      <c r="E1104" s="154">
        <f>IF((E1100+E1101+E1102)=0,0,(E1101*$B1104)/(E1100+E1101+E1102))</f>
        <v>5.1147795494117694E-3</v>
      </c>
      <c r="F1104" s="154">
        <f>IF((F1100+F1101+F1102)=0,0,(F1101*$B1104)/(F1100+F1101+F1102))</f>
        <v>5.3677082084486148E-3</v>
      </c>
      <c r="G1104" s="154">
        <f t="shared" ref="G1104:Y1104" si="2458">IF((G1100+G1101+G1102)=0,0,(G1101*$B1104)/(G1100+G1101+G1102))</f>
        <v>2.6838541042243074E-3</v>
      </c>
      <c r="H1104" s="154">
        <f t="shared" si="2458"/>
        <v>2.6838541042243074E-3</v>
      </c>
      <c r="I1104" s="154">
        <f t="shared" si="2458"/>
        <v>5.9568469142539512E-3</v>
      </c>
      <c r="J1104" s="154">
        <f t="shared" si="2458"/>
        <v>6.6008303644435676E-3</v>
      </c>
      <c r="K1104" s="154">
        <f t="shared" si="2458"/>
        <v>8.3736248051798409E-3</v>
      </c>
      <c r="L1104" s="154">
        <f t="shared" si="2458"/>
        <v>2.9075086129096667E-3</v>
      </c>
      <c r="M1104" s="154">
        <f t="shared" si="2458"/>
        <v>0</v>
      </c>
      <c r="N1104" s="154">
        <f t="shared" si="2458"/>
        <v>0</v>
      </c>
      <c r="O1104" s="154">
        <f t="shared" si="2458"/>
        <v>0</v>
      </c>
      <c r="P1104" s="154">
        <f t="shared" si="2458"/>
        <v>0</v>
      </c>
      <c r="Q1104" s="154">
        <f t="shared" si="2458"/>
        <v>0</v>
      </c>
      <c r="R1104" s="154">
        <f t="shared" si="2458"/>
        <v>0</v>
      </c>
      <c r="S1104" s="154">
        <f t="shared" si="2458"/>
        <v>0</v>
      </c>
      <c r="T1104" s="154">
        <f t="shared" si="2458"/>
        <v>0</v>
      </c>
      <c r="U1104" s="154">
        <f t="shared" si="2458"/>
        <v>0</v>
      </c>
      <c r="V1104" s="154">
        <f t="shared" si="2458"/>
        <v>0</v>
      </c>
      <c r="W1104" s="154">
        <f t="shared" si="2458"/>
        <v>0</v>
      </c>
      <c r="X1104" s="154">
        <f t="shared" si="2458"/>
        <v>0</v>
      </c>
      <c r="Y1104" s="159">
        <f t="shared" si="2458"/>
        <v>0</v>
      </c>
    </row>
    <row r="1105" spans="2:25" ht="15" customHeight="1" thickBot="1" x14ac:dyDescent="0.25">
      <c r="B1105" s="253"/>
      <c r="C1105" s="93">
        <f>E1105/SUM(E1103:E1105)</f>
        <v>0</v>
      </c>
      <c r="D1105" s="75" t="s">
        <v>2</v>
      </c>
      <c r="E1105" s="155">
        <f>IF((E1100+E1101+E1102)=0,0,(E1102*$B1104)/(E1100+E1101+E1102))</f>
        <v>0</v>
      </c>
      <c r="F1105" s="155">
        <f>IF((F1100+F1101+F1102)=0,0,(F1102*$B1104)/(F1100+F1101+F1102))</f>
        <v>0</v>
      </c>
      <c r="G1105" s="155">
        <f t="shared" ref="G1105:Y1105" si="2459">IF((G1100+G1101+G1102)=0,0,(G1102*$B1104)/(G1100+G1101+G1102))</f>
        <v>0</v>
      </c>
      <c r="H1105" s="155">
        <f t="shared" si="2459"/>
        <v>0</v>
      </c>
      <c r="I1105" s="155">
        <f t="shared" si="2459"/>
        <v>0</v>
      </c>
      <c r="J1105" s="155">
        <f t="shared" si="2459"/>
        <v>0</v>
      </c>
      <c r="K1105" s="155">
        <f t="shared" si="2459"/>
        <v>0</v>
      </c>
      <c r="L1105" s="155">
        <f t="shared" si="2459"/>
        <v>0</v>
      </c>
      <c r="M1105" s="155">
        <f t="shared" si="2459"/>
        <v>0</v>
      </c>
      <c r="N1105" s="155">
        <f t="shared" si="2459"/>
        <v>0</v>
      </c>
      <c r="O1105" s="155">
        <f t="shared" si="2459"/>
        <v>0</v>
      </c>
      <c r="P1105" s="155">
        <f t="shared" si="2459"/>
        <v>0</v>
      </c>
      <c r="Q1105" s="155">
        <f t="shared" si="2459"/>
        <v>0</v>
      </c>
      <c r="R1105" s="155">
        <f t="shared" si="2459"/>
        <v>0</v>
      </c>
      <c r="S1105" s="155">
        <f t="shared" si="2459"/>
        <v>0</v>
      </c>
      <c r="T1105" s="155">
        <f t="shared" si="2459"/>
        <v>0</v>
      </c>
      <c r="U1105" s="155">
        <f t="shared" si="2459"/>
        <v>0</v>
      </c>
      <c r="V1105" s="155">
        <f t="shared" si="2459"/>
        <v>0</v>
      </c>
      <c r="W1105" s="155">
        <f t="shared" si="2459"/>
        <v>0</v>
      </c>
      <c r="X1105" s="155">
        <f t="shared" si="2459"/>
        <v>0</v>
      </c>
      <c r="Y1105" s="160">
        <f t="shared" si="2459"/>
        <v>0</v>
      </c>
    </row>
    <row r="1106" spans="2:25" ht="15" customHeight="1" x14ac:dyDescent="0.2">
      <c r="B1106" s="249" t="s">
        <v>170</v>
      </c>
      <c r="C1106" s="91">
        <f>E1106/SUM(E1106:E1108)</f>
        <v>0.47945205479452052</v>
      </c>
      <c r="D1106" s="67" t="s">
        <v>0</v>
      </c>
      <c r="E1106" s="68">
        <f t="shared" si="2441"/>
        <v>35</v>
      </c>
      <c r="F1106" s="68">
        <f>SUMIFS([0]!Chavez,[0]!Centro,B1108,[0]!Turno,F$1003)</f>
        <v>0</v>
      </c>
      <c r="G1106" s="68">
        <f>SUMIFS([0]!Chavez,[0]!Centro,B1108,[0]!Turno,G$1003)</f>
        <v>12</v>
      </c>
      <c r="H1106" s="68">
        <f>SUMIFS([0]!Chavez,[0]!Centro,B1108,[0]!Turno,H$1003)</f>
        <v>9</v>
      </c>
      <c r="I1106" s="68">
        <f>SUMIFS([0]!Chavez,[0]!Centro,B1108,[0]!Turno,I$1003)</f>
        <v>8</v>
      </c>
      <c r="J1106" s="68">
        <f>SUMIFS([0]!Chavez,[0]!Centro,B1108,[0]!Turno,J$1003)</f>
        <v>6</v>
      </c>
      <c r="K1106" s="68">
        <f>SUMIFS([0]!Chavez,[0]!Centro,B1108,[0]!Turno,K$1003)</f>
        <v>0</v>
      </c>
      <c r="L1106" s="68">
        <f>SUMIFS([0]!Chavez,[0]!Centro,B1108,[0]!Turno,L$1003)</f>
        <v>0</v>
      </c>
      <c r="M1106" s="68">
        <f>SUMIFS([0]!Chavez,[0]!Centro,B1108,[0]!Turno,M$1003)</f>
        <v>0</v>
      </c>
      <c r="N1106" s="68">
        <f>SUMIFS([0]!Chavez,[0]!Centro,B1108,[0]!Turno,N$1003)</f>
        <v>0</v>
      </c>
      <c r="O1106" s="68">
        <f>SUMIFS([0]!Chavez,[0]!Centro,B1108,[0]!Turno,O$1003)</f>
        <v>0</v>
      </c>
      <c r="P1106" s="68">
        <f>SUMIFS([0]!Chavez,[0]!Centro,B1108,[0]!Turno,P$1003)</f>
        <v>0</v>
      </c>
      <c r="Q1106" s="68">
        <f>SUMIFS([0]!Chavez,[0]!Centro,B1108,[0]!Turno,Q$1003)</f>
        <v>0</v>
      </c>
      <c r="R1106" s="68">
        <f>SUMIFS([0]!Chavez,[0]!Centro,B1108,[0]!Turno,R$1003)</f>
        <v>0</v>
      </c>
      <c r="S1106" s="68">
        <f>SUMIFS([0]!Chavez,[0]!Centro,B1108,[0]!Turno,S$1003)</f>
        <v>0</v>
      </c>
      <c r="T1106" s="68">
        <f>SUMIFS([0]!Chavez,[0]!Centro,B1108,[0]!Turno,T$1003)</f>
        <v>0</v>
      </c>
      <c r="U1106" s="68">
        <f>SUMIFS([0]!Chavez,[0]!Centro,B1108,[0]!Turno,U$1003)</f>
        <v>0</v>
      </c>
      <c r="V1106" s="68">
        <f>SUMIFS([0]!Chavez,[0]!Centro,B1108,[0]!Turno,V$1003)</f>
        <v>0</v>
      </c>
      <c r="W1106" s="68">
        <f>SUMIFS([0]!Chavez,[0]!Centro,B1108,[0]!Turno,W$1003)</f>
        <v>0</v>
      </c>
      <c r="X1106" s="68">
        <f>SUMIFS([0]!Chavez,[0]!Centro,B1108,[0]!Turno,X$1003)</f>
        <v>0</v>
      </c>
      <c r="Y1106" s="69">
        <f>SUMIFS([0]!Chavez,[0]!Centro,B1108,[0]!Turno,Y$1003)</f>
        <v>0</v>
      </c>
    </row>
    <row r="1107" spans="2:25" ht="15" customHeight="1" x14ac:dyDescent="0.2">
      <c r="B1107" s="250"/>
      <c r="C1107" s="92">
        <f>E1107/SUM(E1106:E1108)</f>
        <v>0.52054794520547942</v>
      </c>
      <c r="D1107" s="61" t="s">
        <v>1</v>
      </c>
      <c r="E1107" s="62">
        <f t="shared" si="2441"/>
        <v>38</v>
      </c>
      <c r="F1107" s="62">
        <f>SUMIFS([0]!Capriles,[0]!Centro,B1108,[0]!Turno,F$1003)</f>
        <v>0</v>
      </c>
      <c r="G1107" s="62">
        <f>SUMIFS([0]!Capriles,[0]!Centro,B1108,[0]!Turno,G$1003)</f>
        <v>8</v>
      </c>
      <c r="H1107" s="62">
        <f>SUMIFS([0]!Capriles,[0]!Centro,B1108,[0]!Turno,H$1003)</f>
        <v>7</v>
      </c>
      <c r="I1107" s="62">
        <f>SUMIFS([0]!Capriles,[0]!Centro,B1108,[0]!Turno,I$1003)</f>
        <v>13</v>
      </c>
      <c r="J1107" s="62">
        <f>SUMIFS([0]!Capriles,[0]!Centro,B1108,[0]!Turno,J$1003)</f>
        <v>10</v>
      </c>
      <c r="K1107" s="62">
        <f>SUMIFS([0]!Capriles,[0]!Centro,B1108,[0]!Turno,K$1003)</f>
        <v>0</v>
      </c>
      <c r="L1107" s="62">
        <f>SUMIFS([0]!Capriles,[0]!Centro,B1108,[0]!Turno,L$1003)</f>
        <v>0</v>
      </c>
      <c r="M1107" s="62">
        <f>SUMIFS([0]!Capriles,[0]!Centro,B1108,[0]!Turno,M$1003)</f>
        <v>0</v>
      </c>
      <c r="N1107" s="62">
        <f>SUMIFS([0]!Capriles,[0]!Centro,B1108,[0]!Turno,N$1003)</f>
        <v>0</v>
      </c>
      <c r="O1107" s="62">
        <f>SUMIFS([0]!Capriles,[0]!Centro,B1108,[0]!Turno,O$1003)</f>
        <v>0</v>
      </c>
      <c r="P1107" s="62">
        <f>SUMIFS([0]!Capriles,[0]!Centro,B1108,[0]!Turno,P$1003)</f>
        <v>0</v>
      </c>
      <c r="Q1107" s="62">
        <f>SUMIFS([0]!Capriles,[0]!Centro,B1108,[0]!Turno,Q$1003)</f>
        <v>0</v>
      </c>
      <c r="R1107" s="62">
        <f>SUMIFS([0]!Capriles,[0]!Centro,B1108,[0]!Turno,R$1003)</f>
        <v>0</v>
      </c>
      <c r="S1107" s="62">
        <f>SUMIFS([0]!Capriles,[0]!Centro,B1108,[0]!Turno,S$1003)</f>
        <v>0</v>
      </c>
      <c r="T1107" s="62">
        <f>SUMIFS([0]!Capriles,[0]!Centro,B1108,[0]!Turno,T$1003)</f>
        <v>0</v>
      </c>
      <c r="U1107" s="62">
        <f>SUMIFS([0]!Capriles,[0]!Centro,B1108,[0]!Turno,U$1003)</f>
        <v>0</v>
      </c>
      <c r="V1107" s="62">
        <f>SUMIFS([0]!Capriles,[0]!Centro,B1108,[0]!Turno,V$1003)</f>
        <v>0</v>
      </c>
      <c r="W1107" s="62">
        <f>SUMIFS([0]!Capriles,[0]!Centro,B1108,[0]!Turno,W$1003)</f>
        <v>0</v>
      </c>
      <c r="X1107" s="62">
        <f>SUMIFS([0]!Capriles,[0]!Centro,B1108,[0]!Turno,X$1003)</f>
        <v>0</v>
      </c>
      <c r="Y1107" s="70">
        <f>SUMIFS([0]!Capriles,[0]!Centro,B1108,[0]!Turno,Y$1003)</f>
        <v>0</v>
      </c>
    </row>
    <row r="1108" spans="2:25" ht="15" customHeight="1" thickBot="1" x14ac:dyDescent="0.25">
      <c r="B1108" s="251">
        <v>152</v>
      </c>
      <c r="C1108" s="100">
        <f>E1108/SUM(E1106:E1108)</f>
        <v>0</v>
      </c>
      <c r="D1108" s="71" t="s">
        <v>2</v>
      </c>
      <c r="E1108" s="72">
        <f t="shared" si="2441"/>
        <v>0</v>
      </c>
      <c r="F1108" s="72">
        <f>SUMIFS([0]!Otro,[0]!Centro,B1108,[0]!Turno,F$1003)</f>
        <v>0</v>
      </c>
      <c r="G1108" s="72">
        <f>SUMIFS([0]!Otro,[0]!Centro,B1108,[0]!Turno,G$1003)</f>
        <v>0</v>
      </c>
      <c r="H1108" s="72">
        <f>SUMIFS([0]!Otro,[0]!Centro,B1108,[0]!Turno,H$1003)</f>
        <v>0</v>
      </c>
      <c r="I1108" s="72">
        <f>SUMIFS([0]!Otro,[0]!Centro,B1108,[0]!Turno,I$1003)</f>
        <v>0</v>
      </c>
      <c r="J1108" s="72">
        <f>SUMIFS([0]!Otro,[0]!Centro,B1108,[0]!Turno,J$1003)</f>
        <v>0</v>
      </c>
      <c r="K1108" s="72">
        <f>SUMIFS([0]!Otro,[0]!Centro,B1108,[0]!Turno,K$1003)</f>
        <v>0</v>
      </c>
      <c r="L1108" s="72">
        <f>SUMIFS([0]!Otro,[0]!Centro,B1108,[0]!Turno,L$1003)</f>
        <v>0</v>
      </c>
      <c r="M1108" s="72">
        <f>SUMIFS([0]!Otro,[0]!Centro,B1108,[0]!Turno,M$1003)</f>
        <v>0</v>
      </c>
      <c r="N1108" s="72">
        <f>SUMIFS([0]!Otro,[0]!Centro,B1108,[0]!Turno,N$1003)</f>
        <v>0</v>
      </c>
      <c r="O1108" s="72">
        <f>SUMIFS([0]!Otro,[0]!Centro,B1108,[0]!Turno,O$1003)</f>
        <v>0</v>
      </c>
      <c r="P1108" s="72">
        <f>SUMIFS([0]!Otro,[0]!Centro,B1108,[0]!Turno,P$1003)</f>
        <v>0</v>
      </c>
      <c r="Q1108" s="72">
        <f>SUMIFS([0]!Otro,[0]!Centro,B1108,[0]!Turno,Q$1003)</f>
        <v>0</v>
      </c>
      <c r="R1108" s="72">
        <f>SUMIFS([0]!Otro,[0]!Centro,B1108,[0]!Turno,R$1003)</f>
        <v>0</v>
      </c>
      <c r="S1108" s="72">
        <f>SUMIFS([0]!Otro,[0]!Centro,B1108,[0]!Turno,S$1003)</f>
        <v>0</v>
      </c>
      <c r="T1108" s="72">
        <f>SUMIFS([0]!Otro,[0]!Centro,B1108,[0]!Turno,T$1003)</f>
        <v>0</v>
      </c>
      <c r="U1108" s="72">
        <f>SUMIFS([0]!Otro,[0]!Centro,B1108,[0]!Turno,U$1003)</f>
        <v>0</v>
      </c>
      <c r="V1108" s="72">
        <f>SUMIFS([0]!Otro,[0]!Centro,B1108,[0]!Turno,V$1003)</f>
        <v>0</v>
      </c>
      <c r="W1108" s="72">
        <f>SUMIFS([0]!Otro,[0]!Centro,B1108,[0]!Turno,W$1003)</f>
        <v>0</v>
      </c>
      <c r="X1108" s="72">
        <f>SUMIFS([0]!Otro,[0]!Centro,B1108,[0]!Turno,X$1003)</f>
        <v>0</v>
      </c>
      <c r="Y1108" s="73">
        <f>SUMIFS([0]!Otro,[0]!Centro,B1108,[0]!Turno,Y$1003)</f>
        <v>0</v>
      </c>
    </row>
    <row r="1109" spans="2:25" ht="15" customHeight="1" x14ac:dyDescent="0.2">
      <c r="B1109" s="251"/>
      <c r="C1109" s="94">
        <f>E1109/SUM(E1109:E1111)</f>
        <v>0.47945205479452052</v>
      </c>
      <c r="D1109" s="63" t="s">
        <v>0</v>
      </c>
      <c r="E1109" s="150">
        <f>IF((E1106+E1107+E1108)=0,0,(E1106*$B1110)/(E1106+E1107+E1108))</f>
        <v>7.7779624208992801E-3</v>
      </c>
      <c r="F1109" s="150">
        <f>IF((F1106+F1107+F1108)=0,0,(F1106*$B1110)/(F1106+F1107+F1108))</f>
        <v>0</v>
      </c>
      <c r="G1109" s="150">
        <f t="shared" ref="G1109:Y1109" si="2460">IF((G1106+G1107+G1108)=0,0,(G1106*$B1110)/(G1106+G1107+G1108))</f>
        <v>9.7335644010110994E-3</v>
      </c>
      <c r="H1109" s="150">
        <f t="shared" si="2460"/>
        <v>9.1252166259479066E-3</v>
      </c>
      <c r="I1109" s="150">
        <f t="shared" si="2460"/>
        <v>6.1800408895308565E-3</v>
      </c>
      <c r="J1109" s="150">
        <f t="shared" si="2460"/>
        <v>6.0834777506319371E-3</v>
      </c>
      <c r="K1109" s="150">
        <f t="shared" si="2460"/>
        <v>0</v>
      </c>
      <c r="L1109" s="150">
        <f t="shared" si="2460"/>
        <v>0</v>
      </c>
      <c r="M1109" s="150">
        <f t="shared" si="2460"/>
        <v>0</v>
      </c>
      <c r="N1109" s="150">
        <f t="shared" si="2460"/>
        <v>0</v>
      </c>
      <c r="O1109" s="150">
        <f t="shared" si="2460"/>
        <v>0</v>
      </c>
      <c r="P1109" s="150">
        <f t="shared" si="2460"/>
        <v>0</v>
      </c>
      <c r="Q1109" s="150">
        <f t="shared" si="2460"/>
        <v>0</v>
      </c>
      <c r="R1109" s="150">
        <f t="shared" si="2460"/>
        <v>0</v>
      </c>
      <c r="S1109" s="150">
        <f t="shared" si="2460"/>
        <v>0</v>
      </c>
      <c r="T1109" s="150">
        <f t="shared" si="2460"/>
        <v>0</v>
      </c>
      <c r="U1109" s="150">
        <f t="shared" si="2460"/>
        <v>0</v>
      </c>
      <c r="V1109" s="150">
        <f t="shared" si="2460"/>
        <v>0</v>
      </c>
      <c r="W1109" s="150">
        <f t="shared" si="2460"/>
        <v>0</v>
      </c>
      <c r="X1109" s="150">
        <f t="shared" si="2460"/>
        <v>0</v>
      </c>
      <c r="Y1109" s="163">
        <f t="shared" si="2460"/>
        <v>0</v>
      </c>
    </row>
    <row r="1110" spans="2:25" ht="15" customHeight="1" x14ac:dyDescent="0.2">
      <c r="B1110" s="252">
        <v>1.6222607335018499E-2</v>
      </c>
      <c r="C1110" s="92">
        <f>E1110/SUM(E1109:E1111)</f>
        <v>0.52054794520547942</v>
      </c>
      <c r="D1110" s="61" t="s">
        <v>1</v>
      </c>
      <c r="E1110" s="154">
        <f>IF((E1106+E1107+E1108)=0,0,(E1107*$B1110)/(E1106+E1107+E1108))</f>
        <v>8.444644914119219E-3</v>
      </c>
      <c r="F1110" s="154">
        <f>IF((F1106+F1107+F1108)=0,0,(F1107*$B1110)/(F1106+F1107+F1108))</f>
        <v>0</v>
      </c>
      <c r="G1110" s="154">
        <f t="shared" ref="G1110:Y1110" si="2461">IF((G1106+G1107+G1108)=0,0,(G1107*$B1110)/(G1106+G1107+G1108))</f>
        <v>6.4890429340073996E-3</v>
      </c>
      <c r="H1110" s="154">
        <f t="shared" si="2461"/>
        <v>7.0973907090705933E-3</v>
      </c>
      <c r="I1110" s="154">
        <f t="shared" si="2461"/>
        <v>1.0042566445487643E-2</v>
      </c>
      <c r="J1110" s="154">
        <f t="shared" si="2461"/>
        <v>1.0139129584386562E-2</v>
      </c>
      <c r="K1110" s="154">
        <f t="shared" si="2461"/>
        <v>0</v>
      </c>
      <c r="L1110" s="154">
        <f t="shared" si="2461"/>
        <v>0</v>
      </c>
      <c r="M1110" s="154">
        <f t="shared" si="2461"/>
        <v>0</v>
      </c>
      <c r="N1110" s="154">
        <f t="shared" si="2461"/>
        <v>0</v>
      </c>
      <c r="O1110" s="154">
        <f t="shared" si="2461"/>
        <v>0</v>
      </c>
      <c r="P1110" s="154">
        <f t="shared" si="2461"/>
        <v>0</v>
      </c>
      <c r="Q1110" s="154">
        <f t="shared" si="2461"/>
        <v>0</v>
      </c>
      <c r="R1110" s="154">
        <f t="shared" si="2461"/>
        <v>0</v>
      </c>
      <c r="S1110" s="154">
        <f t="shared" si="2461"/>
        <v>0</v>
      </c>
      <c r="T1110" s="154">
        <f t="shared" si="2461"/>
        <v>0</v>
      </c>
      <c r="U1110" s="154">
        <f t="shared" si="2461"/>
        <v>0</v>
      </c>
      <c r="V1110" s="154">
        <f t="shared" si="2461"/>
        <v>0</v>
      </c>
      <c r="W1110" s="154">
        <f t="shared" si="2461"/>
        <v>0</v>
      </c>
      <c r="X1110" s="154">
        <f t="shared" si="2461"/>
        <v>0</v>
      </c>
      <c r="Y1110" s="159">
        <f t="shared" si="2461"/>
        <v>0</v>
      </c>
    </row>
    <row r="1111" spans="2:25" ht="15" customHeight="1" thickBot="1" x14ac:dyDescent="0.25">
      <c r="B1111" s="253"/>
      <c r="C1111" s="93">
        <f>E1111/SUM(E1109:E1111)</f>
        <v>0</v>
      </c>
      <c r="D1111" s="75" t="s">
        <v>2</v>
      </c>
      <c r="E1111" s="155">
        <f>IF((E1106+E1107+E1108)=0,0,(E1108*$B1110)/(E1106+E1107+E1108))</f>
        <v>0</v>
      </c>
      <c r="F1111" s="155">
        <f>IF((F1106+F1107+F1108)=0,0,(F1108*$B1110)/(F1106+F1107+F1108))</f>
        <v>0</v>
      </c>
      <c r="G1111" s="155">
        <f t="shared" ref="G1111:Y1111" si="2462">IF((G1106+G1107+G1108)=0,0,(G1108*$B1110)/(G1106+G1107+G1108))</f>
        <v>0</v>
      </c>
      <c r="H1111" s="155">
        <f t="shared" si="2462"/>
        <v>0</v>
      </c>
      <c r="I1111" s="155">
        <f t="shared" si="2462"/>
        <v>0</v>
      </c>
      <c r="J1111" s="155">
        <f t="shared" si="2462"/>
        <v>0</v>
      </c>
      <c r="K1111" s="155">
        <f t="shared" si="2462"/>
        <v>0</v>
      </c>
      <c r="L1111" s="155">
        <f t="shared" si="2462"/>
        <v>0</v>
      </c>
      <c r="M1111" s="155">
        <f t="shared" si="2462"/>
        <v>0</v>
      </c>
      <c r="N1111" s="155">
        <f t="shared" si="2462"/>
        <v>0</v>
      </c>
      <c r="O1111" s="155">
        <f t="shared" si="2462"/>
        <v>0</v>
      </c>
      <c r="P1111" s="155">
        <f t="shared" si="2462"/>
        <v>0</v>
      </c>
      <c r="Q1111" s="155">
        <f t="shared" si="2462"/>
        <v>0</v>
      </c>
      <c r="R1111" s="155">
        <f t="shared" si="2462"/>
        <v>0</v>
      </c>
      <c r="S1111" s="155">
        <f t="shared" si="2462"/>
        <v>0</v>
      </c>
      <c r="T1111" s="155">
        <f t="shared" si="2462"/>
        <v>0</v>
      </c>
      <c r="U1111" s="155">
        <f t="shared" si="2462"/>
        <v>0</v>
      </c>
      <c r="V1111" s="155">
        <f t="shared" si="2462"/>
        <v>0</v>
      </c>
      <c r="W1111" s="155">
        <f t="shared" si="2462"/>
        <v>0</v>
      </c>
      <c r="X1111" s="155">
        <f t="shared" si="2462"/>
        <v>0</v>
      </c>
      <c r="Y1111" s="160">
        <f t="shared" si="2462"/>
        <v>0</v>
      </c>
    </row>
  </sheetData>
  <customSheetViews>
    <customSheetView guid="{FD329D6D-133B-41A2-9E62-45727D40D6B4}" topLeftCell="A1057">
      <selection activeCell="C6" sqref="C6"/>
      <pageMargins left="0.7" right="0.7" top="0.75" bottom="0.75" header="0.3" footer="0.3"/>
      <pageSetup orientation="portrait" horizontalDpi="360" verticalDpi="360" r:id="rId1"/>
    </customSheetView>
  </customSheetViews>
  <mergeCells count="495">
    <mergeCell ref="B329:B334"/>
    <mergeCell ref="B335:B336"/>
    <mergeCell ref="B337:B338"/>
    <mergeCell ref="B339:B340"/>
    <mergeCell ref="B307:B308"/>
    <mergeCell ref="B318:B319"/>
    <mergeCell ref="B320:B321"/>
    <mergeCell ref="B322:B323"/>
    <mergeCell ref="B324:B325"/>
    <mergeCell ref="B326:B327"/>
    <mergeCell ref="B310:B315"/>
    <mergeCell ref="B316:B317"/>
    <mergeCell ref="B295:B296"/>
    <mergeCell ref="B297:B298"/>
    <mergeCell ref="B299:B300"/>
    <mergeCell ref="B301:B302"/>
    <mergeCell ref="B303:B304"/>
    <mergeCell ref="B305:B306"/>
    <mergeCell ref="B283:B284"/>
    <mergeCell ref="B285:B286"/>
    <mergeCell ref="B287:B288"/>
    <mergeCell ref="B289:B290"/>
    <mergeCell ref="B291:B292"/>
    <mergeCell ref="B293:B294"/>
    <mergeCell ref="B271:B272"/>
    <mergeCell ref="B273:B274"/>
    <mergeCell ref="B275:B276"/>
    <mergeCell ref="B277:B278"/>
    <mergeCell ref="B279:B280"/>
    <mergeCell ref="B281:B282"/>
    <mergeCell ref="B259:B260"/>
    <mergeCell ref="B261:B262"/>
    <mergeCell ref="B263:B264"/>
    <mergeCell ref="B265:B266"/>
    <mergeCell ref="B267:B268"/>
    <mergeCell ref="B269:B270"/>
    <mergeCell ref="B247:B248"/>
    <mergeCell ref="B249:B250"/>
    <mergeCell ref="B251:B252"/>
    <mergeCell ref="B253:B254"/>
    <mergeCell ref="B255:B256"/>
    <mergeCell ref="B257:B258"/>
    <mergeCell ref="B231:B236"/>
    <mergeCell ref="B237:B238"/>
    <mergeCell ref="B239:B240"/>
    <mergeCell ref="B241:B242"/>
    <mergeCell ref="B243:B244"/>
    <mergeCell ref="B245:B246"/>
    <mergeCell ref="B144:B145"/>
    <mergeCell ref="B146:B147"/>
    <mergeCell ref="B148:B149"/>
    <mergeCell ref="B222:B223"/>
    <mergeCell ref="B224:B225"/>
    <mergeCell ref="B226:B227"/>
    <mergeCell ref="B228:B229"/>
    <mergeCell ref="B200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118:B119"/>
    <mergeCell ref="B120:B121"/>
    <mergeCell ref="B122:B123"/>
    <mergeCell ref="B197:B198"/>
    <mergeCell ref="B163:B168"/>
    <mergeCell ref="B169:B170"/>
    <mergeCell ref="B171:B172"/>
    <mergeCell ref="B173:B174"/>
    <mergeCell ref="B175:B176"/>
    <mergeCell ref="B177:B178"/>
    <mergeCell ref="B142:B143"/>
    <mergeCell ref="B191:B192"/>
    <mergeCell ref="B193:B194"/>
    <mergeCell ref="B195:B196"/>
    <mergeCell ref="B179:B180"/>
    <mergeCell ref="B181:B182"/>
    <mergeCell ref="B183:B184"/>
    <mergeCell ref="B185:B186"/>
    <mergeCell ref="B187:B188"/>
    <mergeCell ref="B189:B190"/>
    <mergeCell ref="B154:B155"/>
    <mergeCell ref="B156:B157"/>
    <mergeCell ref="B158:B159"/>
    <mergeCell ref="B160:B161"/>
    <mergeCell ref="B3:B8"/>
    <mergeCell ref="B95:B96"/>
    <mergeCell ref="B16:B21"/>
    <mergeCell ref="B52:B53"/>
    <mergeCell ref="B54:B55"/>
    <mergeCell ref="B56:B57"/>
    <mergeCell ref="B58:B59"/>
    <mergeCell ref="B38:B39"/>
    <mergeCell ref="B40:B41"/>
    <mergeCell ref="B42:B43"/>
    <mergeCell ref="B44:B45"/>
    <mergeCell ref="B22:B23"/>
    <mergeCell ref="B46:B47"/>
    <mergeCell ref="B48:B49"/>
    <mergeCell ref="B28:B29"/>
    <mergeCell ref="B34:B35"/>
    <mergeCell ref="B24:B25"/>
    <mergeCell ref="B26:B27"/>
    <mergeCell ref="B30:B31"/>
    <mergeCell ref="B32:B33"/>
    <mergeCell ref="B36:B37"/>
    <mergeCell ref="B50:B51"/>
    <mergeCell ref="B9:B10"/>
    <mergeCell ref="B11:B12"/>
    <mergeCell ref="B97:B98"/>
    <mergeCell ref="B99:B100"/>
    <mergeCell ref="B71:B76"/>
    <mergeCell ref="B83:B84"/>
    <mergeCell ref="B85:B86"/>
    <mergeCell ref="B77:B78"/>
    <mergeCell ref="B79:B80"/>
    <mergeCell ref="B150:B151"/>
    <mergeCell ref="B152:B153"/>
    <mergeCell ref="B108:B109"/>
    <mergeCell ref="B110:B111"/>
    <mergeCell ref="B112:B113"/>
    <mergeCell ref="B102:B107"/>
    <mergeCell ref="B114:B115"/>
    <mergeCell ref="B116:B117"/>
    <mergeCell ref="B136:B137"/>
    <mergeCell ref="B138:B139"/>
    <mergeCell ref="B140:B141"/>
    <mergeCell ref="B124:B125"/>
    <mergeCell ref="B126:B127"/>
    <mergeCell ref="B128:B129"/>
    <mergeCell ref="B130:B131"/>
    <mergeCell ref="B132:B133"/>
    <mergeCell ref="B134:B135"/>
    <mergeCell ref="B93:B94"/>
    <mergeCell ref="B60:B61"/>
    <mergeCell ref="B62:B63"/>
    <mergeCell ref="B64:B65"/>
    <mergeCell ref="B66:B67"/>
    <mergeCell ref="B68:B69"/>
    <mergeCell ref="B13:B14"/>
    <mergeCell ref="B89:B90"/>
    <mergeCell ref="B91:B92"/>
    <mergeCell ref="B81:B82"/>
    <mergeCell ref="B87:B88"/>
    <mergeCell ref="B342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87:B488"/>
    <mergeCell ref="B489:B490"/>
    <mergeCell ref="B491:B492"/>
    <mergeCell ref="B475:B476"/>
    <mergeCell ref="B477:B478"/>
    <mergeCell ref="B479:B480"/>
    <mergeCell ref="B481:B482"/>
    <mergeCell ref="B483:B484"/>
    <mergeCell ref="B485:B486"/>
    <mergeCell ref="B463:B468"/>
    <mergeCell ref="B469:B470"/>
    <mergeCell ref="B471:B472"/>
    <mergeCell ref="B473:B474"/>
    <mergeCell ref="B522:B523"/>
    <mergeCell ref="B524:B525"/>
    <mergeCell ref="B526:B527"/>
    <mergeCell ref="B528:B529"/>
    <mergeCell ref="B510:B511"/>
    <mergeCell ref="B512:B513"/>
    <mergeCell ref="B514:B515"/>
    <mergeCell ref="B516:B517"/>
    <mergeCell ref="B518:B519"/>
    <mergeCell ref="B520:B521"/>
    <mergeCell ref="B494:B499"/>
    <mergeCell ref="B500:B501"/>
    <mergeCell ref="B502:B503"/>
    <mergeCell ref="B504:B505"/>
    <mergeCell ref="B506:B507"/>
    <mergeCell ref="B508:B509"/>
    <mergeCell ref="B583:B584"/>
    <mergeCell ref="B571:B572"/>
    <mergeCell ref="B573:B574"/>
    <mergeCell ref="B575:B576"/>
    <mergeCell ref="B577:B578"/>
    <mergeCell ref="B579:B580"/>
    <mergeCell ref="B581:B582"/>
    <mergeCell ref="B559:B560"/>
    <mergeCell ref="B561:B562"/>
    <mergeCell ref="B563:B564"/>
    <mergeCell ref="B565:B566"/>
    <mergeCell ref="B567:B568"/>
    <mergeCell ref="B569:B570"/>
    <mergeCell ref="B547:B548"/>
    <mergeCell ref="B549:B550"/>
    <mergeCell ref="B551:B552"/>
    <mergeCell ref="B553:B554"/>
    <mergeCell ref="B555:B556"/>
    <mergeCell ref="B557:B558"/>
    <mergeCell ref="B531:B536"/>
    <mergeCell ref="B537:B538"/>
    <mergeCell ref="B539:B540"/>
    <mergeCell ref="B541:B542"/>
    <mergeCell ref="B543:B544"/>
    <mergeCell ref="B545:B546"/>
    <mergeCell ref="B614:B615"/>
    <mergeCell ref="B602:B603"/>
    <mergeCell ref="B604:B605"/>
    <mergeCell ref="B606:B607"/>
    <mergeCell ref="B608:B609"/>
    <mergeCell ref="B610:B611"/>
    <mergeCell ref="B612:B613"/>
    <mergeCell ref="B586:B591"/>
    <mergeCell ref="B592:B593"/>
    <mergeCell ref="B594:B595"/>
    <mergeCell ref="B596:B597"/>
    <mergeCell ref="B598:B599"/>
    <mergeCell ref="B600:B601"/>
    <mergeCell ref="B717:B718"/>
    <mergeCell ref="B705:B706"/>
    <mergeCell ref="B707:B708"/>
    <mergeCell ref="B709:B710"/>
    <mergeCell ref="B711:B712"/>
    <mergeCell ref="B713:B714"/>
    <mergeCell ref="B715:B716"/>
    <mergeCell ref="B693:B694"/>
    <mergeCell ref="B695:B696"/>
    <mergeCell ref="B697:B698"/>
    <mergeCell ref="B699:B700"/>
    <mergeCell ref="B701:B702"/>
    <mergeCell ref="B703:B704"/>
    <mergeCell ref="B681:B682"/>
    <mergeCell ref="B683:B684"/>
    <mergeCell ref="B685:B686"/>
    <mergeCell ref="B687:B688"/>
    <mergeCell ref="B689:B690"/>
    <mergeCell ref="B691:B692"/>
    <mergeCell ref="B669:B670"/>
    <mergeCell ref="B671:B672"/>
    <mergeCell ref="B673:B674"/>
    <mergeCell ref="B675:B676"/>
    <mergeCell ref="B677:B678"/>
    <mergeCell ref="B679:B680"/>
    <mergeCell ref="B657:B658"/>
    <mergeCell ref="B659:B660"/>
    <mergeCell ref="B661:B662"/>
    <mergeCell ref="B663:B664"/>
    <mergeCell ref="B665:B666"/>
    <mergeCell ref="B667:B668"/>
    <mergeCell ref="B645:B646"/>
    <mergeCell ref="B647:B648"/>
    <mergeCell ref="B649:B650"/>
    <mergeCell ref="B651:B652"/>
    <mergeCell ref="B653:B654"/>
    <mergeCell ref="B655:B656"/>
    <mergeCell ref="B633:B634"/>
    <mergeCell ref="B635:B636"/>
    <mergeCell ref="B637:B638"/>
    <mergeCell ref="B639:B640"/>
    <mergeCell ref="B641:B642"/>
    <mergeCell ref="B643:B644"/>
    <mergeCell ref="B617:B622"/>
    <mergeCell ref="B623:B624"/>
    <mergeCell ref="B625:B626"/>
    <mergeCell ref="B627:B628"/>
    <mergeCell ref="B629:B630"/>
    <mergeCell ref="B631:B632"/>
    <mergeCell ref="B736:B737"/>
    <mergeCell ref="B738:B739"/>
    <mergeCell ref="B740:B741"/>
    <mergeCell ref="B742:B743"/>
    <mergeCell ref="B720:B725"/>
    <mergeCell ref="B726:B727"/>
    <mergeCell ref="B728:B729"/>
    <mergeCell ref="B730:B731"/>
    <mergeCell ref="B732:B733"/>
    <mergeCell ref="B734:B735"/>
    <mergeCell ref="B773:B774"/>
    <mergeCell ref="B761:B762"/>
    <mergeCell ref="B763:B764"/>
    <mergeCell ref="B765:B766"/>
    <mergeCell ref="B767:B768"/>
    <mergeCell ref="B769:B770"/>
    <mergeCell ref="B771:B772"/>
    <mergeCell ref="B745:B750"/>
    <mergeCell ref="B751:B752"/>
    <mergeCell ref="B753:B754"/>
    <mergeCell ref="B755:B756"/>
    <mergeCell ref="B757:B758"/>
    <mergeCell ref="B759:B760"/>
    <mergeCell ref="B776:B781"/>
    <mergeCell ref="B782:B783"/>
    <mergeCell ref="B784:B785"/>
    <mergeCell ref="B786:B787"/>
    <mergeCell ref="B788:B789"/>
    <mergeCell ref="B790:B791"/>
    <mergeCell ref="B847:B848"/>
    <mergeCell ref="B849:B850"/>
    <mergeCell ref="B851:B852"/>
    <mergeCell ref="B816:B817"/>
    <mergeCell ref="B804:B805"/>
    <mergeCell ref="B806:B807"/>
    <mergeCell ref="B808:B809"/>
    <mergeCell ref="B810:B811"/>
    <mergeCell ref="B812:B813"/>
    <mergeCell ref="B814:B815"/>
    <mergeCell ref="B792:B793"/>
    <mergeCell ref="B794:B795"/>
    <mergeCell ref="B796:B797"/>
    <mergeCell ref="B798:B799"/>
    <mergeCell ref="B800:B801"/>
    <mergeCell ref="B802:B803"/>
    <mergeCell ref="B853:B854"/>
    <mergeCell ref="B835:B836"/>
    <mergeCell ref="B837:B838"/>
    <mergeCell ref="B839:B840"/>
    <mergeCell ref="B841:B842"/>
    <mergeCell ref="B843:B844"/>
    <mergeCell ref="B845:B846"/>
    <mergeCell ref="B819:B824"/>
    <mergeCell ref="B825:B826"/>
    <mergeCell ref="B827:B828"/>
    <mergeCell ref="B829:B830"/>
    <mergeCell ref="B831:B832"/>
    <mergeCell ref="B833:B834"/>
    <mergeCell ref="B896:B897"/>
    <mergeCell ref="B898:B899"/>
    <mergeCell ref="B900:B901"/>
    <mergeCell ref="B902:B903"/>
    <mergeCell ref="B884:B885"/>
    <mergeCell ref="B886:B887"/>
    <mergeCell ref="B888:B889"/>
    <mergeCell ref="B890:B891"/>
    <mergeCell ref="B892:B893"/>
    <mergeCell ref="B894:B895"/>
    <mergeCell ref="B872:B873"/>
    <mergeCell ref="B874:B875"/>
    <mergeCell ref="B876:B877"/>
    <mergeCell ref="B878:B879"/>
    <mergeCell ref="B880:B881"/>
    <mergeCell ref="B882:B883"/>
    <mergeCell ref="B856:B861"/>
    <mergeCell ref="B862:B863"/>
    <mergeCell ref="B864:B865"/>
    <mergeCell ref="B866:B867"/>
    <mergeCell ref="B868:B869"/>
    <mergeCell ref="B870:B871"/>
    <mergeCell ref="B905:B910"/>
    <mergeCell ref="B911:B912"/>
    <mergeCell ref="B913:B914"/>
    <mergeCell ref="B915:B916"/>
    <mergeCell ref="B917:B918"/>
    <mergeCell ref="B919:B920"/>
    <mergeCell ref="B921:B922"/>
    <mergeCell ref="B923:B924"/>
    <mergeCell ref="B925:B926"/>
    <mergeCell ref="B927:B928"/>
    <mergeCell ref="B929:B930"/>
    <mergeCell ref="B931:B932"/>
    <mergeCell ref="B933:B934"/>
    <mergeCell ref="B935:B936"/>
    <mergeCell ref="B937:B938"/>
    <mergeCell ref="B939:B940"/>
    <mergeCell ref="B958:B959"/>
    <mergeCell ref="B960:B961"/>
    <mergeCell ref="B962:B963"/>
    <mergeCell ref="B964:B965"/>
    <mergeCell ref="B942:B947"/>
    <mergeCell ref="B948:B949"/>
    <mergeCell ref="B950:B951"/>
    <mergeCell ref="B952:B953"/>
    <mergeCell ref="B954:B955"/>
    <mergeCell ref="B956:B957"/>
    <mergeCell ref="B995:B996"/>
    <mergeCell ref="B967:B972"/>
    <mergeCell ref="B973:B974"/>
    <mergeCell ref="B975:B976"/>
    <mergeCell ref="B977:B978"/>
    <mergeCell ref="B979:B980"/>
    <mergeCell ref="B981:B982"/>
    <mergeCell ref="B997:B998"/>
    <mergeCell ref="B999:B1000"/>
    <mergeCell ref="B1001:B1002"/>
    <mergeCell ref="B983:B984"/>
    <mergeCell ref="B985:B986"/>
    <mergeCell ref="B987:B988"/>
    <mergeCell ref="B989:B990"/>
    <mergeCell ref="B991:B992"/>
    <mergeCell ref="B993:B994"/>
    <mergeCell ref="B1104:B1105"/>
    <mergeCell ref="B1106:B1107"/>
    <mergeCell ref="B1108:B1109"/>
    <mergeCell ref="B1110:B1111"/>
    <mergeCell ref="B1092:B1093"/>
    <mergeCell ref="B1094:B1095"/>
    <mergeCell ref="B1096:B1097"/>
    <mergeCell ref="B1098:B1099"/>
    <mergeCell ref="B1100:B1101"/>
    <mergeCell ref="B1102:B1103"/>
    <mergeCell ref="B1080:B1081"/>
    <mergeCell ref="B1082:B1083"/>
    <mergeCell ref="B1084:B1085"/>
    <mergeCell ref="B1086:B1087"/>
    <mergeCell ref="B1088:B1089"/>
    <mergeCell ref="B1090:B1091"/>
    <mergeCell ref="B1068:B1069"/>
    <mergeCell ref="B1070:B1071"/>
    <mergeCell ref="B1072:B1073"/>
    <mergeCell ref="B1074:B1075"/>
    <mergeCell ref="B1076:B1077"/>
    <mergeCell ref="B1078:B1079"/>
    <mergeCell ref="B1056:B1057"/>
    <mergeCell ref="B1058:B1059"/>
    <mergeCell ref="B1060:B1061"/>
    <mergeCell ref="B1062:B1063"/>
    <mergeCell ref="B1064:B1065"/>
    <mergeCell ref="B1066:B1067"/>
    <mergeCell ref="B1044:B1045"/>
    <mergeCell ref="B1046:B1047"/>
    <mergeCell ref="B1048:B1049"/>
    <mergeCell ref="B1050:B1051"/>
    <mergeCell ref="B1052:B1053"/>
    <mergeCell ref="B1054:B1055"/>
    <mergeCell ref="B1038:B1039"/>
    <mergeCell ref="B1040:B1041"/>
    <mergeCell ref="B1042:B1043"/>
    <mergeCell ref="B1020:B1021"/>
    <mergeCell ref="B1022:B1023"/>
    <mergeCell ref="B1024:B1025"/>
    <mergeCell ref="B1026:B1027"/>
    <mergeCell ref="B1028:B1029"/>
    <mergeCell ref="B1030:B1031"/>
    <mergeCell ref="B1004:B1009"/>
    <mergeCell ref="B1010:B1011"/>
    <mergeCell ref="B1012:B1013"/>
    <mergeCell ref="B1014:B1015"/>
    <mergeCell ref="B1016:B1017"/>
    <mergeCell ref="B1018:B1019"/>
    <mergeCell ref="B1032:B1033"/>
    <mergeCell ref="B1034:B1035"/>
    <mergeCell ref="B1036:B1037"/>
  </mergeCells>
  <pageMargins left="0.7" right="0.7" top="0.75" bottom="0.75" header="0.3" footer="0.3"/>
  <pageSetup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ME77"/>
  <sheetViews>
    <sheetView topLeftCell="AU1" zoomScale="80" zoomScaleNormal="80" workbookViewId="0">
      <selection activeCell="BY24" sqref="BY24"/>
    </sheetView>
  </sheetViews>
  <sheetFormatPr baseColWidth="10" defaultColWidth="7.140625" defaultRowHeight="12" x14ac:dyDescent="0.2"/>
  <cols>
    <col min="1" max="1" width="1.7109375" style="26" customWidth="1"/>
    <col min="2" max="2" width="7.7109375" style="27" customWidth="1"/>
    <col min="3" max="3" width="10.140625" style="115" customWidth="1"/>
    <col min="4" max="4" width="15.28515625" style="29" customWidth="1"/>
    <col min="5" max="5" width="11.28515625" style="128" customWidth="1"/>
    <col min="6" max="8" width="6.28515625" style="128" customWidth="1"/>
    <col min="9" max="9" width="6.42578125" style="129" customWidth="1"/>
    <col min="10" max="25" width="6.28515625" style="129" customWidth="1"/>
    <col min="26" max="41" width="6.28515625" style="185" customWidth="1"/>
    <col min="42" max="42" width="8.140625" style="179" customWidth="1"/>
    <col min="43" max="43" width="8.85546875" style="33" customWidth="1"/>
    <col min="44" max="44" width="7.7109375" style="27" customWidth="1"/>
    <col min="45" max="45" width="8.7109375" style="115" customWidth="1"/>
    <col min="46" max="46" width="14.28515625" style="29" bestFit="1" customWidth="1"/>
    <col min="47" max="47" width="9" style="147" customWidth="1"/>
    <col min="48" max="67" width="6.28515625" style="122" customWidth="1"/>
    <col min="68" max="68" width="6.28515625" style="29" customWidth="1"/>
    <col min="69" max="69" width="6.28515625" style="5" customWidth="1"/>
    <col min="70" max="70" width="7.140625" style="16"/>
    <col min="71" max="72" width="9.28515625" style="40" customWidth="1"/>
    <col min="73" max="73" width="7.140625" style="5" customWidth="1"/>
    <col min="74" max="75" width="9.28515625" style="40" customWidth="1"/>
    <col min="76" max="76" width="7.140625" style="5" customWidth="1"/>
    <col min="77" max="78" width="9.28515625" style="5" customWidth="1"/>
    <col min="79" max="79" width="7.140625" style="5" customWidth="1"/>
    <col min="80" max="80" width="2.5703125" style="5" customWidth="1"/>
    <col min="81" max="81" width="7.140625" style="16"/>
    <col min="82" max="83" width="9.28515625" style="40" customWidth="1"/>
    <col min="84" max="84" width="7.140625" style="5" customWidth="1"/>
    <col min="85" max="86" width="9.28515625" style="40" customWidth="1"/>
    <col min="87" max="87" width="7.140625" style="5" customWidth="1"/>
    <col min="88" max="89" width="9.28515625" style="5" customWidth="1"/>
    <col min="90" max="90" width="7.140625" style="5" customWidth="1"/>
    <col min="91" max="91" width="2.5703125" style="5" customWidth="1"/>
    <col min="92" max="92" width="7.140625" style="16"/>
    <col min="93" max="94" width="9.28515625" style="40" customWidth="1"/>
    <col min="95" max="95" width="7.140625" style="5" customWidth="1"/>
    <col min="96" max="97" width="9.28515625" style="40" customWidth="1"/>
    <col min="98" max="98" width="7.140625" style="5" customWidth="1"/>
    <col min="99" max="100" width="9.28515625" style="5" customWidth="1"/>
    <col min="101" max="101" width="7.140625" style="5" customWidth="1"/>
    <col min="102" max="102" width="2.5703125" style="5" customWidth="1"/>
    <col min="103" max="103" width="7.140625" style="16"/>
    <col min="104" max="105" width="9.28515625" style="40" customWidth="1"/>
    <col min="106" max="106" width="7.140625" style="5" customWidth="1"/>
    <col min="107" max="108" width="9.28515625" style="40" customWidth="1"/>
    <col min="109" max="109" width="7.140625" style="5" customWidth="1"/>
    <col min="110" max="111" width="9.28515625" style="5" customWidth="1"/>
    <col min="112" max="112" width="7.140625" style="5" customWidth="1"/>
    <col min="113" max="113" width="2.5703125" style="5" customWidth="1"/>
    <col min="114" max="114" width="7.140625" style="16"/>
    <col min="115" max="116" width="9.28515625" style="40" customWidth="1"/>
    <col min="117" max="117" width="7.140625" style="5" customWidth="1"/>
    <col min="118" max="119" width="9.28515625" style="40" customWidth="1"/>
    <col min="120" max="120" width="7.140625" style="5" customWidth="1"/>
    <col min="121" max="122" width="9.28515625" style="5" customWidth="1"/>
    <col min="123" max="123" width="7.140625" style="5" customWidth="1"/>
    <col min="124" max="124" width="2.5703125" style="5" customWidth="1"/>
    <col min="125" max="125" width="7.140625" style="16"/>
    <col min="126" max="127" width="9.28515625" style="40" customWidth="1"/>
    <col min="128" max="128" width="7.140625" style="5" customWidth="1"/>
    <col min="129" max="130" width="9.28515625" style="40" customWidth="1"/>
    <col min="131" max="131" width="7.140625" style="5" customWidth="1"/>
    <col min="132" max="133" width="9.28515625" style="5" customWidth="1"/>
    <col min="134" max="134" width="7.140625" style="5" customWidth="1"/>
    <col min="135" max="135" width="2.5703125" style="5" customWidth="1"/>
    <col min="136" max="136" width="7.140625" style="16"/>
    <col min="137" max="138" width="9.28515625" style="40" customWidth="1"/>
    <col min="139" max="139" width="7.140625" style="5" customWidth="1"/>
    <col min="140" max="141" width="9.28515625" style="40" customWidth="1"/>
    <col min="142" max="142" width="7.140625" style="5" customWidth="1"/>
    <col min="143" max="144" width="9.28515625" style="5" customWidth="1"/>
    <col min="145" max="145" width="7.140625" style="5" customWidth="1"/>
    <col min="146" max="146" width="2.5703125" style="5" customWidth="1"/>
    <col min="147" max="147" width="7.140625" style="16"/>
    <col min="148" max="149" width="9.28515625" style="40" customWidth="1"/>
    <col min="150" max="150" width="7.140625" style="5" customWidth="1"/>
    <col min="151" max="152" width="9.28515625" style="40" customWidth="1"/>
    <col min="153" max="153" width="7.140625" style="5" customWidth="1"/>
    <col min="154" max="155" width="9.28515625" style="5" customWidth="1"/>
    <col min="156" max="156" width="7.140625" style="5" customWidth="1"/>
    <col min="157" max="157" width="2.5703125" style="5" customWidth="1"/>
    <col min="158" max="158" width="7.140625" style="16"/>
    <col min="159" max="160" width="9.28515625" style="40" customWidth="1"/>
    <col min="161" max="161" width="7.140625" style="5" customWidth="1"/>
    <col min="162" max="163" width="9.28515625" style="40" customWidth="1"/>
    <col min="164" max="164" width="7.140625" style="5" customWidth="1"/>
    <col min="165" max="166" width="9.28515625" style="5" customWidth="1"/>
    <col min="167" max="167" width="7.140625" style="5" customWidth="1"/>
    <col min="168" max="168" width="2.5703125" style="5" customWidth="1"/>
    <col min="169" max="169" width="7.140625" style="16"/>
    <col min="170" max="171" width="9.28515625" style="40" customWidth="1"/>
    <col min="172" max="172" width="7.140625" style="5" customWidth="1"/>
    <col min="173" max="174" width="9.28515625" style="40" customWidth="1"/>
    <col min="175" max="175" width="7.140625" style="5" customWidth="1"/>
    <col min="176" max="177" width="9.28515625" style="5" customWidth="1"/>
    <col min="178" max="178" width="7.140625" style="5" customWidth="1"/>
    <col min="179" max="179" width="2.5703125" style="5" customWidth="1"/>
    <col min="180" max="180" width="7.140625" style="16"/>
    <col min="181" max="182" width="9.28515625" style="40" customWidth="1"/>
    <col min="183" max="183" width="7.140625" style="5" customWidth="1"/>
    <col min="184" max="185" width="9.28515625" style="40" customWidth="1"/>
    <col min="186" max="186" width="7.140625" style="5" customWidth="1"/>
    <col min="187" max="188" width="9.28515625" style="5" customWidth="1"/>
    <col min="189" max="189" width="7.140625" style="5" customWidth="1"/>
    <col min="190" max="190" width="2.5703125" style="5" customWidth="1"/>
    <col min="191" max="191" width="7.140625" style="16"/>
    <col min="192" max="193" width="9.28515625" style="40" customWidth="1"/>
    <col min="194" max="194" width="7.140625" style="5" customWidth="1"/>
    <col min="195" max="196" width="9.28515625" style="40" customWidth="1"/>
    <col min="197" max="197" width="7.140625" style="5" customWidth="1"/>
    <col min="198" max="199" width="9.28515625" style="5" customWidth="1"/>
    <col min="200" max="200" width="7.140625" style="5" customWidth="1"/>
    <col min="201" max="201" width="2.5703125" style="5" customWidth="1"/>
    <col min="202" max="202" width="7.140625" style="16"/>
    <col min="203" max="204" width="9.28515625" style="40" customWidth="1"/>
    <col min="205" max="205" width="7.140625" style="5" customWidth="1"/>
    <col min="206" max="207" width="9.28515625" style="40" customWidth="1"/>
    <col min="208" max="208" width="7.140625" style="5" customWidth="1"/>
    <col min="209" max="210" width="9.28515625" style="5" customWidth="1"/>
    <col min="211" max="211" width="7.140625" style="5" customWidth="1"/>
    <col min="212" max="212" width="2.5703125" style="5" customWidth="1"/>
    <col min="213" max="213" width="7.140625" style="16"/>
    <col min="214" max="215" width="9.28515625" style="40" customWidth="1"/>
    <col min="216" max="216" width="7.140625" style="5" customWidth="1"/>
    <col min="217" max="218" width="9.28515625" style="40" customWidth="1"/>
    <col min="219" max="219" width="7.140625" style="5" customWidth="1"/>
    <col min="220" max="221" width="9.28515625" style="5" customWidth="1"/>
    <col min="222" max="222" width="7.140625" style="5" customWidth="1"/>
    <col min="223" max="223" width="2.5703125" style="5" customWidth="1"/>
    <col min="224" max="224" width="7.140625" style="16"/>
    <col min="225" max="226" width="9.28515625" style="40" customWidth="1"/>
    <col min="227" max="227" width="7.140625" style="5" customWidth="1"/>
    <col min="228" max="229" width="9.28515625" style="40" customWidth="1"/>
    <col min="230" max="230" width="7.140625" style="5" customWidth="1"/>
    <col min="231" max="232" width="9.28515625" style="5" customWidth="1"/>
    <col min="233" max="233" width="7.140625" style="5" customWidth="1"/>
    <col min="234" max="234" width="2.5703125" style="5" customWidth="1"/>
    <col min="235" max="235" width="7.140625" style="16"/>
    <col min="236" max="237" width="9.28515625" style="40" customWidth="1"/>
    <col min="238" max="238" width="7.140625" style="5" customWidth="1"/>
    <col min="239" max="240" width="9.28515625" style="40" customWidth="1"/>
    <col min="241" max="241" width="7.140625" style="5" customWidth="1"/>
    <col min="242" max="243" width="9.28515625" style="5" customWidth="1"/>
    <col min="244" max="244" width="7.140625" style="5" customWidth="1"/>
    <col min="245" max="245" width="2.5703125" style="5" customWidth="1"/>
    <col min="246" max="246" width="7.140625" style="16"/>
    <col min="247" max="248" width="9.28515625" style="40" customWidth="1"/>
    <col min="249" max="249" width="7.140625" style="5" customWidth="1"/>
    <col min="250" max="251" width="9.28515625" style="40" customWidth="1"/>
    <col min="252" max="252" width="7.140625" style="5" customWidth="1"/>
    <col min="253" max="254" width="9.28515625" style="5" customWidth="1"/>
    <col min="255" max="255" width="7.140625" style="5" customWidth="1"/>
    <col min="256" max="256" width="2.5703125" style="5" customWidth="1"/>
    <col min="257" max="257" width="7.140625" style="16"/>
    <col min="258" max="259" width="9.28515625" style="40" customWidth="1"/>
    <col min="260" max="260" width="7.140625" style="5" customWidth="1"/>
    <col min="261" max="262" width="9.28515625" style="40" customWidth="1"/>
    <col min="263" max="263" width="7.140625" style="5" customWidth="1"/>
    <col min="264" max="265" width="9.28515625" style="5" customWidth="1"/>
    <col min="266" max="266" width="7.140625" style="5" customWidth="1"/>
    <col min="267" max="267" width="2.5703125" style="5" customWidth="1"/>
    <col min="268" max="268" width="7.140625" style="16"/>
    <col min="269" max="270" width="9.28515625" style="40" customWidth="1"/>
    <col min="271" max="271" width="7.140625" style="5" customWidth="1"/>
    <col min="272" max="273" width="9.28515625" style="40" customWidth="1"/>
    <col min="274" max="274" width="7.140625" style="5" customWidth="1"/>
    <col min="275" max="276" width="9.28515625" style="5" customWidth="1"/>
    <col min="277" max="277" width="7.140625" style="5" customWidth="1"/>
    <col min="278" max="278" width="2.5703125" style="5" customWidth="1"/>
    <col min="279" max="279" width="7.140625" style="16"/>
    <col min="280" max="281" width="9.28515625" style="40" customWidth="1"/>
    <col min="282" max="282" width="7.140625" style="5" customWidth="1"/>
    <col min="283" max="284" width="9.28515625" style="40" customWidth="1"/>
    <col min="285" max="285" width="7.140625" style="5" customWidth="1"/>
    <col min="286" max="287" width="9.28515625" style="5" customWidth="1"/>
    <col min="288" max="288" width="7.140625" style="5" customWidth="1"/>
    <col min="289" max="289" width="2.5703125" style="5" customWidth="1"/>
    <col min="290" max="290" width="7.140625" style="16"/>
    <col min="291" max="292" width="9.28515625" style="40" customWidth="1"/>
    <col min="293" max="293" width="7.140625" style="5" customWidth="1"/>
    <col min="294" max="295" width="9.28515625" style="40" customWidth="1"/>
    <col min="296" max="296" width="7.140625" style="5" customWidth="1"/>
    <col min="297" max="298" width="9.28515625" style="5" customWidth="1"/>
    <col min="299" max="299" width="7.140625" style="5" customWidth="1"/>
    <col min="300" max="300" width="2.5703125" style="5" customWidth="1"/>
    <col min="301" max="301" width="7.140625" style="16"/>
    <col min="302" max="303" width="9.28515625" style="40" customWidth="1"/>
    <col min="304" max="304" width="7.140625" style="5" customWidth="1"/>
    <col min="305" max="306" width="9.28515625" style="40" customWidth="1"/>
    <col min="307" max="307" width="7.140625" style="5" customWidth="1"/>
    <col min="308" max="309" width="9.28515625" style="5" customWidth="1"/>
    <col min="310" max="310" width="7.140625" style="5" customWidth="1"/>
    <col min="311" max="311" width="2.5703125" style="5" customWidth="1"/>
    <col min="312" max="312" width="7.140625" style="16"/>
    <col min="313" max="314" width="9.28515625" style="40" customWidth="1"/>
    <col min="315" max="315" width="7.140625" style="5" customWidth="1"/>
    <col min="316" max="317" width="9.28515625" style="40" customWidth="1"/>
    <col min="318" max="318" width="7.140625" style="5" customWidth="1"/>
    <col min="319" max="320" width="9.28515625" style="5" customWidth="1"/>
    <col min="321" max="321" width="7.140625" style="5" customWidth="1"/>
    <col min="322" max="322" width="2.5703125" style="5" customWidth="1"/>
    <col min="323" max="323" width="7.140625" style="16"/>
    <col min="324" max="325" width="9.28515625" style="40" customWidth="1"/>
    <col min="326" max="326" width="7.140625" style="5" customWidth="1"/>
    <col min="327" max="328" width="9.28515625" style="40" customWidth="1"/>
    <col min="329" max="329" width="7.140625" style="5" customWidth="1"/>
    <col min="330" max="331" width="9.28515625" style="5" customWidth="1"/>
    <col min="332" max="332" width="7.140625" style="5" customWidth="1"/>
    <col min="333" max="333" width="2.5703125" style="5" customWidth="1"/>
    <col min="334" max="334" width="7.140625" style="16"/>
    <col min="335" max="336" width="9.28515625" style="40" customWidth="1"/>
    <col min="337" max="337" width="7.140625" style="5" customWidth="1"/>
    <col min="338" max="339" width="9.28515625" style="40" customWidth="1"/>
    <col min="340" max="340" width="7.140625" style="5" customWidth="1"/>
    <col min="341" max="342" width="9.28515625" style="5" customWidth="1"/>
    <col min="343" max="343" width="7.140625" style="5" customWidth="1"/>
    <col min="344" max="16384" width="7.140625" style="5"/>
  </cols>
  <sheetData>
    <row r="1" spans="2:343" ht="27" customHeight="1" thickBot="1" x14ac:dyDescent="0.25">
      <c r="B1" s="130"/>
      <c r="C1" s="131"/>
      <c r="D1" s="132"/>
      <c r="E1" s="142" t="s">
        <v>176</v>
      </c>
      <c r="F1" s="143">
        <v>1</v>
      </c>
      <c r="G1" s="143">
        <v>2</v>
      </c>
      <c r="H1" s="143">
        <v>3</v>
      </c>
      <c r="I1" s="144">
        <v>4</v>
      </c>
      <c r="J1" s="144">
        <v>5</v>
      </c>
      <c r="K1" s="144">
        <v>6</v>
      </c>
      <c r="L1" s="144">
        <v>7</v>
      </c>
      <c r="M1" s="144">
        <v>8</v>
      </c>
      <c r="N1" s="144">
        <v>9</v>
      </c>
      <c r="O1" s="144">
        <v>10</v>
      </c>
      <c r="P1" s="144">
        <v>11</v>
      </c>
      <c r="Q1" s="144">
        <v>12</v>
      </c>
      <c r="R1" s="144">
        <v>13</v>
      </c>
      <c r="S1" s="144">
        <v>14</v>
      </c>
      <c r="T1" s="144">
        <v>15</v>
      </c>
      <c r="U1" s="144">
        <v>16</v>
      </c>
      <c r="V1" s="144">
        <v>17</v>
      </c>
      <c r="W1" s="144">
        <v>18</v>
      </c>
      <c r="X1" s="144">
        <v>19</v>
      </c>
      <c r="Y1" s="144">
        <v>20</v>
      </c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R1" s="28"/>
      <c r="AS1" s="148"/>
      <c r="AT1" s="7"/>
      <c r="AU1" s="145" t="s">
        <v>176</v>
      </c>
      <c r="AV1" s="6">
        <v>1</v>
      </c>
      <c r="AW1" s="6">
        <v>2</v>
      </c>
      <c r="AX1" s="6">
        <v>3</v>
      </c>
      <c r="AY1" s="6">
        <v>4</v>
      </c>
      <c r="AZ1" s="6">
        <v>5</v>
      </c>
      <c r="BA1" s="6">
        <v>6</v>
      </c>
      <c r="BB1" s="6">
        <v>7</v>
      </c>
      <c r="BC1" s="6">
        <v>8</v>
      </c>
      <c r="BD1" s="6">
        <v>9</v>
      </c>
      <c r="BE1" s="6">
        <v>10</v>
      </c>
      <c r="BF1" s="6">
        <v>11</v>
      </c>
      <c r="BG1" s="6">
        <v>12</v>
      </c>
      <c r="BH1" s="6">
        <v>13</v>
      </c>
      <c r="BI1" s="6">
        <v>14</v>
      </c>
      <c r="BJ1" s="6">
        <v>15</v>
      </c>
      <c r="BK1" s="6">
        <v>16</v>
      </c>
      <c r="BL1" s="6">
        <v>17</v>
      </c>
      <c r="BM1" s="6">
        <v>18</v>
      </c>
      <c r="BN1" s="6">
        <v>19</v>
      </c>
      <c r="BO1" s="146">
        <v>20</v>
      </c>
      <c r="BR1" s="47"/>
      <c r="BS1" s="267" t="s">
        <v>177</v>
      </c>
      <c r="BT1" s="268"/>
      <c r="BU1" s="268"/>
      <c r="BV1" s="268"/>
      <c r="BW1" s="268"/>
      <c r="BX1" s="268"/>
      <c r="BY1" s="268"/>
      <c r="BZ1" s="268"/>
      <c r="CA1" s="269"/>
      <c r="CB1" s="37"/>
      <c r="CC1" s="47"/>
      <c r="CD1" s="267" t="s">
        <v>31</v>
      </c>
      <c r="CE1" s="268"/>
      <c r="CF1" s="268"/>
      <c r="CG1" s="268"/>
      <c r="CH1" s="268"/>
      <c r="CI1" s="268"/>
      <c r="CJ1" s="268"/>
      <c r="CK1" s="268"/>
      <c r="CL1" s="269"/>
      <c r="CM1" s="37"/>
      <c r="CN1" s="47"/>
      <c r="CO1" s="267" t="s">
        <v>33</v>
      </c>
      <c r="CP1" s="268"/>
      <c r="CQ1" s="268"/>
      <c r="CR1" s="268"/>
      <c r="CS1" s="268"/>
      <c r="CT1" s="268"/>
      <c r="CU1" s="268"/>
      <c r="CV1" s="268"/>
      <c r="CW1" s="269"/>
      <c r="CX1" s="37"/>
      <c r="CY1" s="47"/>
      <c r="CZ1" s="267" t="s">
        <v>42</v>
      </c>
      <c r="DA1" s="268"/>
      <c r="DB1" s="268"/>
      <c r="DC1" s="268"/>
      <c r="DD1" s="268"/>
      <c r="DE1" s="268"/>
      <c r="DF1" s="268"/>
      <c r="DG1" s="268"/>
      <c r="DH1" s="269"/>
      <c r="DI1" s="37"/>
      <c r="DJ1" s="47"/>
      <c r="DK1" s="267" t="s">
        <v>47</v>
      </c>
      <c r="DL1" s="268"/>
      <c r="DM1" s="268"/>
      <c r="DN1" s="268"/>
      <c r="DO1" s="268"/>
      <c r="DP1" s="268"/>
      <c r="DQ1" s="268"/>
      <c r="DR1" s="268"/>
      <c r="DS1" s="269"/>
      <c r="DT1" s="37"/>
      <c r="DU1" s="47"/>
      <c r="DV1" s="267" t="s">
        <v>57</v>
      </c>
      <c r="DW1" s="268"/>
      <c r="DX1" s="268"/>
      <c r="DY1" s="268"/>
      <c r="DZ1" s="268"/>
      <c r="EA1" s="268"/>
      <c r="EB1" s="268"/>
      <c r="EC1" s="268"/>
      <c r="ED1" s="269"/>
      <c r="EE1" s="37"/>
      <c r="EF1" s="47"/>
      <c r="EG1" s="267" t="s">
        <v>35</v>
      </c>
      <c r="EH1" s="268"/>
      <c r="EI1" s="268"/>
      <c r="EJ1" s="268"/>
      <c r="EK1" s="268"/>
      <c r="EL1" s="268"/>
      <c r="EM1" s="268"/>
      <c r="EN1" s="268"/>
      <c r="EO1" s="269"/>
      <c r="EP1" s="37"/>
      <c r="EQ1" s="47"/>
      <c r="ER1" s="267" t="s">
        <v>65</v>
      </c>
      <c r="ES1" s="268"/>
      <c r="ET1" s="268"/>
      <c r="EU1" s="268"/>
      <c r="EV1" s="268"/>
      <c r="EW1" s="268"/>
      <c r="EX1" s="268"/>
      <c r="EY1" s="268"/>
      <c r="EZ1" s="269"/>
      <c r="FA1" s="37"/>
      <c r="FB1" s="47"/>
      <c r="FC1" s="267" t="s">
        <v>77</v>
      </c>
      <c r="FD1" s="268"/>
      <c r="FE1" s="268"/>
      <c r="FF1" s="268"/>
      <c r="FG1" s="268"/>
      <c r="FH1" s="268"/>
      <c r="FI1" s="268"/>
      <c r="FJ1" s="268"/>
      <c r="FK1" s="269"/>
      <c r="FL1" s="37"/>
      <c r="FM1" s="47"/>
      <c r="FN1" s="267" t="s">
        <v>79</v>
      </c>
      <c r="FO1" s="268"/>
      <c r="FP1" s="268"/>
      <c r="FQ1" s="268"/>
      <c r="FR1" s="268"/>
      <c r="FS1" s="268"/>
      <c r="FT1" s="268"/>
      <c r="FU1" s="268"/>
      <c r="FV1" s="269"/>
      <c r="FW1" s="37"/>
      <c r="FX1" s="47"/>
      <c r="FY1" s="267" t="s">
        <v>80</v>
      </c>
      <c r="FZ1" s="268"/>
      <c r="GA1" s="268"/>
      <c r="GB1" s="268"/>
      <c r="GC1" s="268"/>
      <c r="GD1" s="268"/>
      <c r="GE1" s="268"/>
      <c r="GF1" s="268"/>
      <c r="GG1" s="269"/>
      <c r="GH1" s="37"/>
      <c r="GI1" s="47"/>
      <c r="GJ1" s="267" t="s">
        <v>78</v>
      </c>
      <c r="GK1" s="268"/>
      <c r="GL1" s="268"/>
      <c r="GM1" s="268"/>
      <c r="GN1" s="268"/>
      <c r="GO1" s="268"/>
      <c r="GP1" s="268"/>
      <c r="GQ1" s="268"/>
      <c r="GR1" s="269"/>
      <c r="GS1" s="37"/>
      <c r="GT1" s="47"/>
      <c r="GU1" s="267" t="s">
        <v>100</v>
      </c>
      <c r="GV1" s="268"/>
      <c r="GW1" s="268"/>
      <c r="GX1" s="268"/>
      <c r="GY1" s="268"/>
      <c r="GZ1" s="268"/>
      <c r="HA1" s="268"/>
      <c r="HB1" s="268"/>
      <c r="HC1" s="269"/>
      <c r="HD1" s="37"/>
      <c r="HE1" s="47"/>
      <c r="HF1" s="267" t="s">
        <v>101</v>
      </c>
      <c r="HG1" s="268"/>
      <c r="HH1" s="268"/>
      <c r="HI1" s="268"/>
      <c r="HJ1" s="268"/>
      <c r="HK1" s="268"/>
      <c r="HL1" s="268"/>
      <c r="HM1" s="268"/>
      <c r="HN1" s="269"/>
      <c r="HO1" s="37"/>
      <c r="HP1" s="47"/>
      <c r="HQ1" s="267" t="s">
        <v>109</v>
      </c>
      <c r="HR1" s="268"/>
      <c r="HS1" s="268"/>
      <c r="HT1" s="268"/>
      <c r="HU1" s="268"/>
      <c r="HV1" s="268"/>
      <c r="HW1" s="268"/>
      <c r="HX1" s="268"/>
      <c r="HY1" s="269"/>
      <c r="HZ1" s="37"/>
      <c r="IA1" s="47"/>
      <c r="IB1" s="267" t="s">
        <v>39</v>
      </c>
      <c r="IC1" s="268"/>
      <c r="ID1" s="268"/>
      <c r="IE1" s="268"/>
      <c r="IF1" s="268"/>
      <c r="IG1" s="268"/>
      <c r="IH1" s="268"/>
      <c r="II1" s="268"/>
      <c r="IJ1" s="269"/>
      <c r="IK1" s="37"/>
      <c r="IL1" s="47"/>
      <c r="IM1" s="267" t="s">
        <v>125</v>
      </c>
      <c r="IN1" s="268"/>
      <c r="IO1" s="268"/>
      <c r="IP1" s="268"/>
      <c r="IQ1" s="268"/>
      <c r="IR1" s="268"/>
      <c r="IS1" s="268"/>
      <c r="IT1" s="268"/>
      <c r="IU1" s="269"/>
      <c r="IV1" s="37"/>
      <c r="IW1" s="47"/>
      <c r="IX1" s="267" t="s">
        <v>127</v>
      </c>
      <c r="IY1" s="268"/>
      <c r="IZ1" s="268"/>
      <c r="JA1" s="268"/>
      <c r="JB1" s="268"/>
      <c r="JC1" s="268"/>
      <c r="JD1" s="268"/>
      <c r="JE1" s="268"/>
      <c r="JF1" s="269"/>
      <c r="JG1" s="37"/>
      <c r="JH1" s="47"/>
      <c r="JI1" s="267" t="s">
        <v>132</v>
      </c>
      <c r="JJ1" s="268"/>
      <c r="JK1" s="268"/>
      <c r="JL1" s="268"/>
      <c r="JM1" s="268"/>
      <c r="JN1" s="268"/>
      <c r="JO1" s="268"/>
      <c r="JP1" s="268"/>
      <c r="JQ1" s="269"/>
      <c r="JR1" s="37"/>
      <c r="JS1" s="47"/>
      <c r="JT1" s="267" t="s">
        <v>55</v>
      </c>
      <c r="JU1" s="268"/>
      <c r="JV1" s="268"/>
      <c r="JW1" s="268"/>
      <c r="JX1" s="268"/>
      <c r="JY1" s="268"/>
      <c r="JZ1" s="268"/>
      <c r="KA1" s="268"/>
      <c r="KB1" s="269"/>
      <c r="KC1" s="37"/>
      <c r="KD1" s="47"/>
      <c r="KE1" s="267" t="s">
        <v>141</v>
      </c>
      <c r="KF1" s="268"/>
      <c r="KG1" s="268"/>
      <c r="KH1" s="268"/>
      <c r="KI1" s="268"/>
      <c r="KJ1" s="268"/>
      <c r="KK1" s="268"/>
      <c r="KL1" s="268"/>
      <c r="KM1" s="269"/>
      <c r="KN1" s="37"/>
      <c r="KO1" s="47"/>
      <c r="KP1" s="267" t="s">
        <v>148</v>
      </c>
      <c r="KQ1" s="268"/>
      <c r="KR1" s="268"/>
      <c r="KS1" s="268"/>
      <c r="KT1" s="268"/>
      <c r="KU1" s="268"/>
      <c r="KV1" s="268"/>
      <c r="KW1" s="268"/>
      <c r="KX1" s="269"/>
      <c r="KY1" s="37"/>
      <c r="KZ1" s="47"/>
      <c r="LA1" s="267" t="s">
        <v>149</v>
      </c>
      <c r="LB1" s="268"/>
      <c r="LC1" s="268"/>
      <c r="LD1" s="268"/>
      <c r="LE1" s="268"/>
      <c r="LF1" s="268"/>
      <c r="LG1" s="268"/>
      <c r="LH1" s="268"/>
      <c r="LI1" s="269"/>
      <c r="LJ1" s="37"/>
      <c r="LK1" s="47"/>
      <c r="LL1" s="267" t="s">
        <v>152</v>
      </c>
      <c r="LM1" s="268"/>
      <c r="LN1" s="268"/>
      <c r="LO1" s="268"/>
      <c r="LP1" s="268"/>
      <c r="LQ1" s="268"/>
      <c r="LR1" s="268"/>
      <c r="LS1" s="268"/>
      <c r="LT1" s="269"/>
      <c r="LU1" s="37"/>
      <c r="LV1" s="47"/>
      <c r="LW1" s="267" t="s">
        <v>157</v>
      </c>
      <c r="LX1" s="268"/>
      <c r="LY1" s="268"/>
      <c r="LZ1" s="268"/>
      <c r="MA1" s="268"/>
      <c r="MB1" s="268"/>
      <c r="MC1" s="268"/>
      <c r="MD1" s="268"/>
      <c r="ME1" s="269"/>
    </row>
    <row r="2" spans="2:343" ht="27" customHeight="1" thickBot="1" x14ac:dyDescent="0.25">
      <c r="B2" s="109">
        <f>E2/SUM($E$2:$E$4)</f>
        <v>0.54043196234299451</v>
      </c>
      <c r="C2" s="116" t="s">
        <v>0</v>
      </c>
      <c r="D2" s="273" t="s">
        <v>177</v>
      </c>
      <c r="E2" s="106">
        <f>SUM(F2:Y2)</f>
        <v>102.21474637796489</v>
      </c>
      <c r="F2" s="106">
        <f t="shared" ref="F2:S2" si="0">SUM(F5,F8,F11,F14,F17,F20,F23,F26,F29,F32,F35,F38,F41,F44,F47,F50,F53,F56,F59,F62,F65,F68,F71,F74)</f>
        <v>10.229620919103018</v>
      </c>
      <c r="G2" s="106">
        <f t="shared" si="0"/>
        <v>11.129464936088336</v>
      </c>
      <c r="H2" s="106">
        <f t="shared" si="0"/>
        <v>11.209488309065813</v>
      </c>
      <c r="I2" s="106">
        <f t="shared" si="0"/>
        <v>10.356012991261101</v>
      </c>
      <c r="J2" s="106">
        <f t="shared" si="0"/>
        <v>11.27875658673136</v>
      </c>
      <c r="K2" s="106">
        <f t="shared" si="0"/>
        <v>11.060560490432726</v>
      </c>
      <c r="L2" s="106">
        <f t="shared" si="0"/>
        <v>9.9384660980353665</v>
      </c>
      <c r="M2" s="106">
        <f t="shared" si="0"/>
        <v>10.676346295373401</v>
      </c>
      <c r="N2" s="106">
        <f t="shared" si="0"/>
        <v>8.697145426592364</v>
      </c>
      <c r="O2" s="106">
        <f t="shared" si="0"/>
        <v>2.4387054163526205</v>
      </c>
      <c r="P2" s="106">
        <f t="shared" si="0"/>
        <v>1.8257806606514639</v>
      </c>
      <c r="Q2" s="106">
        <f t="shared" si="0"/>
        <v>1.9995622836534834</v>
      </c>
      <c r="R2" s="106">
        <f t="shared" si="0"/>
        <v>1.3748359646238404</v>
      </c>
      <c r="S2" s="106">
        <f t="shared" si="0"/>
        <v>0</v>
      </c>
      <c r="T2" s="106">
        <f t="shared" ref="T2:Y2" si="1">SUM(T5,T8,T11,T14,T17,T20,T23,T26,T29,T32,T35,T38,T41,T44,T47,T50,T53,T56,T59,T62,T65,T68,T71,T74)</f>
        <v>0</v>
      </c>
      <c r="U2" s="106">
        <f t="shared" si="1"/>
        <v>0</v>
      </c>
      <c r="V2" s="106">
        <f t="shared" si="1"/>
        <v>0</v>
      </c>
      <c r="W2" s="106">
        <f t="shared" si="1"/>
        <v>0</v>
      </c>
      <c r="X2" s="106">
        <f t="shared" si="1"/>
        <v>0</v>
      </c>
      <c r="Y2" s="110">
        <f t="shared" si="1"/>
        <v>0</v>
      </c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1"/>
      <c r="AR2" s="9">
        <f>AU2/SUM($AU2:$AU4)</f>
        <v>0.50937307944933585</v>
      </c>
      <c r="AS2" s="121" t="s">
        <v>0</v>
      </c>
      <c r="AT2" s="30"/>
      <c r="AU2" s="105">
        <f>SUM(AU5,AU8,AU11,AU14,AU17,AU20,AU23,AU26,AU29,AU32,AU35,AU38,AU41,AU44,AU47,AU50,AU53,AU56,AU59,AU62,AU65,AU68,AU71,AU74)</f>
        <v>50.937307944933579</v>
      </c>
      <c r="AV2" s="105">
        <f t="shared" ref="AV2:BO2" si="2">SUM(AV5,AV8,AV11,AV14,AV17,AV20,AV23,AV26,AV29,AV32,AV35,AV38,AV41,AV44,AV47,AV50,AV53,AV56,AV59,AV62,AV65,AV68,AV71,AV74)</f>
        <v>51.877274843993625</v>
      </c>
      <c r="AW2" s="105">
        <f t="shared" si="2"/>
        <v>54.878428635991924</v>
      </c>
      <c r="AX2" s="105">
        <f t="shared" si="2"/>
        <v>52.68380169884729</v>
      </c>
      <c r="AY2" s="105">
        <f t="shared" si="2"/>
        <v>46.810237973275115</v>
      </c>
      <c r="AZ2" s="105">
        <f t="shared" si="2"/>
        <v>51.277844535083865</v>
      </c>
      <c r="BA2" s="105">
        <f t="shared" si="2"/>
        <v>48.511776118060041</v>
      </c>
      <c r="BB2" s="105">
        <f t="shared" si="2"/>
        <v>48.830889635897613</v>
      </c>
      <c r="BC2" s="105">
        <f t="shared" si="2"/>
        <v>49.556412088816955</v>
      </c>
      <c r="BD2" s="105">
        <f t="shared" si="2"/>
        <v>48.037795490761511</v>
      </c>
      <c r="BE2" s="105">
        <f t="shared" si="2"/>
        <v>27.244950032710594</v>
      </c>
      <c r="BF2" s="105">
        <f t="shared" si="2"/>
        <v>23.16057777478078</v>
      </c>
      <c r="BG2" s="105">
        <f t="shared" si="2"/>
        <v>24.717970640293068</v>
      </c>
      <c r="BH2" s="105">
        <f t="shared" si="2"/>
        <v>11.891969350945601</v>
      </c>
      <c r="BI2" s="105">
        <f t="shared" si="2"/>
        <v>0</v>
      </c>
      <c r="BJ2" s="105">
        <f t="shared" si="2"/>
        <v>0</v>
      </c>
      <c r="BK2" s="105">
        <f t="shared" si="2"/>
        <v>0</v>
      </c>
      <c r="BL2" s="105">
        <f t="shared" si="2"/>
        <v>0</v>
      </c>
      <c r="BM2" s="105">
        <f t="shared" si="2"/>
        <v>0</v>
      </c>
      <c r="BN2" s="105">
        <f t="shared" si="2"/>
        <v>0</v>
      </c>
      <c r="BO2" s="127">
        <f t="shared" si="2"/>
        <v>0</v>
      </c>
      <c r="BR2" s="47"/>
      <c r="BS2" s="270" t="s">
        <v>182</v>
      </c>
      <c r="BT2" s="271"/>
      <c r="BU2" s="272"/>
      <c r="BV2" s="270" t="s">
        <v>183</v>
      </c>
      <c r="BW2" s="271"/>
      <c r="BX2" s="272"/>
      <c r="BY2" s="270" t="s">
        <v>205</v>
      </c>
      <c r="BZ2" s="271"/>
      <c r="CA2" s="272"/>
      <c r="CB2" s="48"/>
      <c r="CC2" s="47"/>
      <c r="CD2" s="270" t="s">
        <v>182</v>
      </c>
      <c r="CE2" s="271"/>
      <c r="CF2" s="272"/>
      <c r="CG2" s="270" t="s">
        <v>183</v>
      </c>
      <c r="CH2" s="271"/>
      <c r="CI2" s="272"/>
      <c r="CJ2" s="270" t="s">
        <v>205</v>
      </c>
      <c r="CK2" s="271"/>
      <c r="CL2" s="272"/>
      <c r="CM2" s="48"/>
      <c r="CN2" s="47"/>
      <c r="CO2" s="270" t="s">
        <v>182</v>
      </c>
      <c r="CP2" s="271"/>
      <c r="CQ2" s="272"/>
      <c r="CR2" s="270" t="s">
        <v>183</v>
      </c>
      <c r="CS2" s="271"/>
      <c r="CT2" s="272"/>
      <c r="CU2" s="270" t="s">
        <v>205</v>
      </c>
      <c r="CV2" s="271"/>
      <c r="CW2" s="272"/>
      <c r="CX2" s="48"/>
      <c r="CY2" s="47"/>
      <c r="CZ2" s="270" t="s">
        <v>182</v>
      </c>
      <c r="DA2" s="271"/>
      <c r="DB2" s="272"/>
      <c r="DC2" s="270" t="s">
        <v>183</v>
      </c>
      <c r="DD2" s="271"/>
      <c r="DE2" s="272"/>
      <c r="DF2" s="270" t="s">
        <v>205</v>
      </c>
      <c r="DG2" s="271"/>
      <c r="DH2" s="272"/>
      <c r="DI2" s="48"/>
      <c r="DJ2" s="47"/>
      <c r="DK2" s="270" t="s">
        <v>182</v>
      </c>
      <c r="DL2" s="271"/>
      <c r="DM2" s="272"/>
      <c r="DN2" s="270" t="s">
        <v>183</v>
      </c>
      <c r="DO2" s="271"/>
      <c r="DP2" s="272"/>
      <c r="DQ2" s="270" t="s">
        <v>205</v>
      </c>
      <c r="DR2" s="271"/>
      <c r="DS2" s="272"/>
      <c r="DT2" s="48"/>
      <c r="DU2" s="47"/>
      <c r="DV2" s="270" t="s">
        <v>182</v>
      </c>
      <c r="DW2" s="271"/>
      <c r="DX2" s="272"/>
      <c r="DY2" s="270" t="s">
        <v>183</v>
      </c>
      <c r="DZ2" s="271"/>
      <c r="EA2" s="272"/>
      <c r="EB2" s="270" t="s">
        <v>205</v>
      </c>
      <c r="EC2" s="271"/>
      <c r="ED2" s="272"/>
      <c r="EE2" s="48"/>
      <c r="EF2" s="47"/>
      <c r="EG2" s="270" t="s">
        <v>182</v>
      </c>
      <c r="EH2" s="271"/>
      <c r="EI2" s="272"/>
      <c r="EJ2" s="270" t="s">
        <v>183</v>
      </c>
      <c r="EK2" s="271"/>
      <c r="EL2" s="272"/>
      <c r="EM2" s="270" t="s">
        <v>205</v>
      </c>
      <c r="EN2" s="271"/>
      <c r="EO2" s="272"/>
      <c r="EP2" s="48"/>
      <c r="EQ2" s="47"/>
      <c r="ER2" s="270" t="s">
        <v>182</v>
      </c>
      <c r="ES2" s="271"/>
      <c r="ET2" s="272"/>
      <c r="EU2" s="270" t="s">
        <v>183</v>
      </c>
      <c r="EV2" s="271"/>
      <c r="EW2" s="272"/>
      <c r="EX2" s="270" t="s">
        <v>205</v>
      </c>
      <c r="EY2" s="271"/>
      <c r="EZ2" s="272"/>
      <c r="FA2" s="48"/>
      <c r="FB2" s="47"/>
      <c r="FC2" s="270" t="s">
        <v>182</v>
      </c>
      <c r="FD2" s="271"/>
      <c r="FE2" s="272"/>
      <c r="FF2" s="270" t="s">
        <v>183</v>
      </c>
      <c r="FG2" s="271"/>
      <c r="FH2" s="272"/>
      <c r="FI2" s="270" t="s">
        <v>205</v>
      </c>
      <c r="FJ2" s="271"/>
      <c r="FK2" s="272"/>
      <c r="FL2" s="48"/>
      <c r="FM2" s="47"/>
      <c r="FN2" s="270" t="s">
        <v>182</v>
      </c>
      <c r="FO2" s="271"/>
      <c r="FP2" s="272"/>
      <c r="FQ2" s="270" t="s">
        <v>183</v>
      </c>
      <c r="FR2" s="271"/>
      <c r="FS2" s="272"/>
      <c r="FT2" s="270" t="s">
        <v>205</v>
      </c>
      <c r="FU2" s="271"/>
      <c r="FV2" s="272"/>
      <c r="FW2" s="48"/>
      <c r="FX2" s="47"/>
      <c r="FY2" s="270" t="s">
        <v>182</v>
      </c>
      <c r="FZ2" s="271"/>
      <c r="GA2" s="272"/>
      <c r="GB2" s="270" t="s">
        <v>183</v>
      </c>
      <c r="GC2" s="271"/>
      <c r="GD2" s="272"/>
      <c r="GE2" s="270" t="s">
        <v>205</v>
      </c>
      <c r="GF2" s="271"/>
      <c r="GG2" s="272"/>
      <c r="GH2" s="48"/>
      <c r="GI2" s="47"/>
      <c r="GJ2" s="270" t="s">
        <v>182</v>
      </c>
      <c r="GK2" s="271"/>
      <c r="GL2" s="272"/>
      <c r="GM2" s="270" t="s">
        <v>183</v>
      </c>
      <c r="GN2" s="271"/>
      <c r="GO2" s="272"/>
      <c r="GP2" s="270" t="s">
        <v>205</v>
      </c>
      <c r="GQ2" s="271"/>
      <c r="GR2" s="272"/>
      <c r="GS2" s="48"/>
      <c r="GT2" s="47"/>
      <c r="GU2" s="270" t="s">
        <v>182</v>
      </c>
      <c r="GV2" s="271"/>
      <c r="GW2" s="272"/>
      <c r="GX2" s="270" t="s">
        <v>183</v>
      </c>
      <c r="GY2" s="271"/>
      <c r="GZ2" s="272"/>
      <c r="HA2" s="270" t="s">
        <v>205</v>
      </c>
      <c r="HB2" s="271"/>
      <c r="HC2" s="272"/>
      <c r="HD2" s="48"/>
      <c r="HE2" s="47"/>
      <c r="HF2" s="270" t="s">
        <v>182</v>
      </c>
      <c r="HG2" s="271"/>
      <c r="HH2" s="272"/>
      <c r="HI2" s="270" t="s">
        <v>183</v>
      </c>
      <c r="HJ2" s="271"/>
      <c r="HK2" s="272"/>
      <c r="HL2" s="270" t="s">
        <v>205</v>
      </c>
      <c r="HM2" s="271"/>
      <c r="HN2" s="272"/>
      <c r="HO2" s="48"/>
      <c r="HP2" s="47"/>
      <c r="HQ2" s="270" t="s">
        <v>182</v>
      </c>
      <c r="HR2" s="271"/>
      <c r="HS2" s="272"/>
      <c r="HT2" s="270" t="s">
        <v>183</v>
      </c>
      <c r="HU2" s="271"/>
      <c r="HV2" s="272"/>
      <c r="HW2" s="270" t="s">
        <v>205</v>
      </c>
      <c r="HX2" s="271"/>
      <c r="HY2" s="272"/>
      <c r="HZ2" s="48"/>
      <c r="IA2" s="47"/>
      <c r="IB2" s="270" t="s">
        <v>182</v>
      </c>
      <c r="IC2" s="271"/>
      <c r="ID2" s="272"/>
      <c r="IE2" s="270" t="s">
        <v>183</v>
      </c>
      <c r="IF2" s="271"/>
      <c r="IG2" s="272"/>
      <c r="IH2" s="270" t="s">
        <v>205</v>
      </c>
      <c r="II2" s="271"/>
      <c r="IJ2" s="272"/>
      <c r="IK2" s="48"/>
      <c r="IL2" s="47"/>
      <c r="IM2" s="270" t="s">
        <v>182</v>
      </c>
      <c r="IN2" s="271"/>
      <c r="IO2" s="272"/>
      <c r="IP2" s="270" t="s">
        <v>183</v>
      </c>
      <c r="IQ2" s="271"/>
      <c r="IR2" s="272"/>
      <c r="IS2" s="270" t="s">
        <v>205</v>
      </c>
      <c r="IT2" s="271"/>
      <c r="IU2" s="272"/>
      <c r="IV2" s="48"/>
      <c r="IW2" s="47"/>
      <c r="IX2" s="270" t="s">
        <v>182</v>
      </c>
      <c r="IY2" s="271"/>
      <c r="IZ2" s="272"/>
      <c r="JA2" s="270" t="s">
        <v>183</v>
      </c>
      <c r="JB2" s="271"/>
      <c r="JC2" s="272"/>
      <c r="JD2" s="270" t="s">
        <v>205</v>
      </c>
      <c r="JE2" s="271"/>
      <c r="JF2" s="272"/>
      <c r="JG2" s="48"/>
      <c r="JH2" s="47"/>
      <c r="JI2" s="270" t="s">
        <v>182</v>
      </c>
      <c r="JJ2" s="271"/>
      <c r="JK2" s="272"/>
      <c r="JL2" s="270" t="s">
        <v>183</v>
      </c>
      <c r="JM2" s="271"/>
      <c r="JN2" s="272"/>
      <c r="JO2" s="270" t="s">
        <v>205</v>
      </c>
      <c r="JP2" s="271"/>
      <c r="JQ2" s="272"/>
      <c r="JR2" s="48"/>
      <c r="JS2" s="47"/>
      <c r="JT2" s="270" t="s">
        <v>182</v>
      </c>
      <c r="JU2" s="271"/>
      <c r="JV2" s="272"/>
      <c r="JW2" s="270" t="s">
        <v>183</v>
      </c>
      <c r="JX2" s="271"/>
      <c r="JY2" s="272"/>
      <c r="JZ2" s="270" t="s">
        <v>205</v>
      </c>
      <c r="KA2" s="271"/>
      <c r="KB2" s="272"/>
      <c r="KC2" s="48"/>
      <c r="KD2" s="47"/>
      <c r="KE2" s="270" t="s">
        <v>182</v>
      </c>
      <c r="KF2" s="271"/>
      <c r="KG2" s="272"/>
      <c r="KH2" s="270" t="s">
        <v>183</v>
      </c>
      <c r="KI2" s="271"/>
      <c r="KJ2" s="272"/>
      <c r="KK2" s="270" t="s">
        <v>205</v>
      </c>
      <c r="KL2" s="271"/>
      <c r="KM2" s="272"/>
      <c r="KN2" s="48"/>
      <c r="KO2" s="47"/>
      <c r="KP2" s="270" t="s">
        <v>182</v>
      </c>
      <c r="KQ2" s="271"/>
      <c r="KR2" s="272"/>
      <c r="KS2" s="270" t="s">
        <v>183</v>
      </c>
      <c r="KT2" s="271"/>
      <c r="KU2" s="272"/>
      <c r="KV2" s="270" t="s">
        <v>205</v>
      </c>
      <c r="KW2" s="271"/>
      <c r="KX2" s="272"/>
      <c r="KY2" s="48"/>
      <c r="KZ2" s="47"/>
      <c r="LA2" s="270" t="s">
        <v>182</v>
      </c>
      <c r="LB2" s="271"/>
      <c r="LC2" s="272"/>
      <c r="LD2" s="270" t="s">
        <v>183</v>
      </c>
      <c r="LE2" s="271"/>
      <c r="LF2" s="272"/>
      <c r="LG2" s="270" t="s">
        <v>205</v>
      </c>
      <c r="LH2" s="271"/>
      <c r="LI2" s="272"/>
      <c r="LJ2" s="48"/>
      <c r="LK2" s="47"/>
      <c r="LL2" s="270" t="s">
        <v>182</v>
      </c>
      <c r="LM2" s="271"/>
      <c r="LN2" s="272"/>
      <c r="LO2" s="270" t="s">
        <v>183</v>
      </c>
      <c r="LP2" s="271"/>
      <c r="LQ2" s="272"/>
      <c r="LR2" s="270" t="s">
        <v>205</v>
      </c>
      <c r="LS2" s="271"/>
      <c r="LT2" s="272"/>
      <c r="LU2" s="48"/>
      <c r="LV2" s="47"/>
      <c r="LW2" s="270" t="s">
        <v>182</v>
      </c>
      <c r="LX2" s="271"/>
      <c r="LY2" s="272"/>
      <c r="LZ2" s="270" t="s">
        <v>183</v>
      </c>
      <c r="MA2" s="271"/>
      <c r="MB2" s="272"/>
      <c r="MC2" s="270" t="s">
        <v>205</v>
      </c>
      <c r="MD2" s="271"/>
      <c r="ME2" s="272"/>
    </row>
    <row r="3" spans="2:343" ht="27" customHeight="1" thickBot="1" x14ac:dyDescent="0.25">
      <c r="B3" s="111">
        <f>E3/SUM($E$2:$E$4)</f>
        <v>0.44666270341654191</v>
      </c>
      <c r="C3" s="117" t="s">
        <v>1</v>
      </c>
      <c r="D3" s="274"/>
      <c r="E3" s="106">
        <f t="shared" ref="E3:E4" si="3">SUM(F3:Y3)</f>
        <v>84.479672053966922</v>
      </c>
      <c r="F3" s="107">
        <f t="shared" ref="F3:S3" si="4">SUM(F6,F9,F12,F15,F18,F21,F24,F27,F30,F33,F36,F39,F42,F45,F48,F51,F54,F57,F60,F63,F66,F69,F72,F75)</f>
        <v>8.6870385623321109</v>
      </c>
      <c r="G3" s="107">
        <f t="shared" si="4"/>
        <v>8.2955014531976659</v>
      </c>
      <c r="H3" s="107">
        <f t="shared" si="4"/>
        <v>8.4424501565402021</v>
      </c>
      <c r="I3" s="107">
        <f t="shared" si="4"/>
        <v>9.9910436823062128</v>
      </c>
      <c r="J3" s="107">
        <f t="shared" si="4"/>
        <v>9.5419483336542239</v>
      </c>
      <c r="K3" s="107">
        <f t="shared" si="4"/>
        <v>8.7920605980634647</v>
      </c>
      <c r="L3" s="107">
        <f t="shared" si="4"/>
        <v>9.89165770495093</v>
      </c>
      <c r="M3" s="107">
        <f t="shared" si="4"/>
        <v>9.2207942050719698</v>
      </c>
      <c r="N3" s="107">
        <f t="shared" si="4"/>
        <v>5.8554290312136708</v>
      </c>
      <c r="O3" s="107">
        <f t="shared" si="4"/>
        <v>2.1307383409306091</v>
      </c>
      <c r="P3" s="107">
        <f t="shared" si="4"/>
        <v>1.4195151999884654</v>
      </c>
      <c r="Q3" s="107">
        <f t="shared" si="4"/>
        <v>1.5316147097461046</v>
      </c>
      <c r="R3" s="107">
        <f t="shared" si="4"/>
        <v>0.67988007597128652</v>
      </c>
      <c r="S3" s="107">
        <f t="shared" si="4"/>
        <v>0</v>
      </c>
      <c r="T3" s="107">
        <f t="shared" ref="T3:Y3" si="5">SUM(T6,T9,T12,T15,T18,T21,T24,T27,T30,T33,T36,T39,T42,T45,T48,T51,T54,T57,T60,T63,T66,T69,T72,T75)</f>
        <v>0</v>
      </c>
      <c r="U3" s="107">
        <f t="shared" si="5"/>
        <v>0</v>
      </c>
      <c r="V3" s="107">
        <f t="shared" si="5"/>
        <v>0</v>
      </c>
      <c r="W3" s="107">
        <f t="shared" si="5"/>
        <v>0</v>
      </c>
      <c r="X3" s="107">
        <f t="shared" si="5"/>
        <v>0</v>
      </c>
      <c r="Y3" s="112">
        <f t="shared" si="5"/>
        <v>0</v>
      </c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2"/>
      <c r="AR3" s="10">
        <f>AU3/SUM($AU2:$AU4)</f>
        <v>0.47508223874071753</v>
      </c>
      <c r="AS3" s="119" t="s">
        <v>1</v>
      </c>
      <c r="AT3" s="8" t="s">
        <v>177</v>
      </c>
      <c r="AU3" s="123">
        <f t="shared" ref="AU3:BO4" si="6">SUM(AU6,AU9,AU12,AU15,AU18,AU21,AU24,AU27,AU30,AU33,AU36,AU39,AU42,AU45,AU48,AU51,AU54,AU57,AU60,AU63,AU66,AU69,AU72,AU75)</f>
        <v>47.508223874071746</v>
      </c>
      <c r="AV3" s="123">
        <f t="shared" si="6"/>
        <v>46.133797682359592</v>
      </c>
      <c r="AW3" s="123">
        <f t="shared" si="6"/>
        <v>43.216322061689347</v>
      </c>
      <c r="AX3" s="123">
        <f t="shared" si="6"/>
        <v>44.990201673253374</v>
      </c>
      <c r="AY3" s="123">
        <f t="shared" si="6"/>
        <v>49.166762705594557</v>
      </c>
      <c r="AZ3" s="123">
        <f t="shared" si="6"/>
        <v>46.940579321372908</v>
      </c>
      <c r="BA3" s="123">
        <f t="shared" si="6"/>
        <v>50.048029950201382</v>
      </c>
      <c r="BB3" s="123">
        <f t="shared" si="6"/>
        <v>48.580940372334595</v>
      </c>
      <c r="BC3" s="123">
        <f t="shared" si="6"/>
        <v>48.511425405577263</v>
      </c>
      <c r="BD3" s="123">
        <f t="shared" si="6"/>
        <v>38.619607899308079</v>
      </c>
      <c r="BE3" s="123">
        <f t="shared" si="6"/>
        <v>23.321536995227639</v>
      </c>
      <c r="BF3" s="123">
        <f t="shared" si="6"/>
        <v>24.223431436143827</v>
      </c>
      <c r="BG3" s="123">
        <f t="shared" si="6"/>
        <v>17.535328069749529</v>
      </c>
      <c r="BH3" s="123">
        <f t="shared" si="6"/>
        <v>11.998207545783929</v>
      </c>
      <c r="BI3" s="123">
        <f t="shared" si="6"/>
        <v>0</v>
      </c>
      <c r="BJ3" s="123">
        <f t="shared" si="6"/>
        <v>0</v>
      </c>
      <c r="BK3" s="123">
        <f t="shared" si="6"/>
        <v>0</v>
      </c>
      <c r="BL3" s="123">
        <f t="shared" si="6"/>
        <v>0</v>
      </c>
      <c r="BM3" s="123">
        <f t="shared" si="6"/>
        <v>0</v>
      </c>
      <c r="BN3" s="123">
        <f t="shared" si="6"/>
        <v>0</v>
      </c>
      <c r="BO3" s="124">
        <f t="shared" si="6"/>
        <v>0</v>
      </c>
      <c r="BR3" s="47" t="s">
        <v>175</v>
      </c>
      <c r="BS3" s="46" t="s">
        <v>175</v>
      </c>
      <c r="BT3" s="45" t="s">
        <v>175</v>
      </c>
      <c r="BU3" s="39"/>
      <c r="BV3" s="46"/>
      <c r="BW3" s="45"/>
      <c r="BX3" s="39"/>
      <c r="BY3" s="46"/>
      <c r="BZ3" s="45"/>
      <c r="CA3" s="39"/>
      <c r="CB3" s="49"/>
      <c r="CC3" s="47" t="s">
        <v>175</v>
      </c>
      <c r="CD3" s="46"/>
      <c r="CE3" s="45"/>
      <c r="CF3" s="39"/>
      <c r="CG3" s="46"/>
      <c r="CH3" s="45"/>
      <c r="CI3" s="39"/>
      <c r="CJ3" s="46"/>
      <c r="CK3" s="45"/>
      <c r="CL3" s="39"/>
      <c r="CM3" s="49"/>
      <c r="CN3" s="47"/>
      <c r="CO3" s="46"/>
      <c r="CP3" s="45"/>
      <c r="CQ3" s="39"/>
      <c r="CR3" s="46"/>
      <c r="CS3" s="45"/>
      <c r="CT3" s="39"/>
      <c r="CU3" s="46"/>
      <c r="CV3" s="45"/>
      <c r="CW3" s="39"/>
      <c r="CX3" s="49"/>
      <c r="CY3" s="47"/>
      <c r="CZ3" s="46"/>
      <c r="DA3" s="45"/>
      <c r="DB3" s="39"/>
      <c r="DC3" s="46"/>
      <c r="DD3" s="45"/>
      <c r="DE3" s="39"/>
      <c r="DF3" s="46"/>
      <c r="DG3" s="45"/>
      <c r="DH3" s="39"/>
      <c r="DI3" s="49"/>
      <c r="DJ3" s="47"/>
      <c r="DK3" s="46"/>
      <c r="DL3" s="45"/>
      <c r="DM3" s="39"/>
      <c r="DN3" s="46"/>
      <c r="DO3" s="45"/>
      <c r="DP3" s="39"/>
      <c r="DQ3" s="46"/>
      <c r="DR3" s="45"/>
      <c r="DS3" s="39"/>
      <c r="DT3" s="49"/>
      <c r="DU3" s="47"/>
      <c r="DV3" s="46"/>
      <c r="DW3" s="45"/>
      <c r="DX3" s="39"/>
      <c r="DY3" s="46"/>
      <c r="DZ3" s="45"/>
      <c r="EA3" s="39"/>
      <c r="EB3" s="46"/>
      <c r="EC3" s="45"/>
      <c r="ED3" s="39"/>
      <c r="EE3" s="49"/>
      <c r="EF3" s="47"/>
      <c r="EG3" s="46"/>
      <c r="EH3" s="45"/>
      <c r="EI3" s="39"/>
      <c r="EJ3" s="46"/>
      <c r="EK3" s="45"/>
      <c r="EL3" s="39"/>
      <c r="EM3" s="46"/>
      <c r="EN3" s="45"/>
      <c r="EO3" s="39"/>
      <c r="EP3" s="49"/>
      <c r="EQ3" s="47"/>
      <c r="ER3" s="46"/>
      <c r="ES3" s="45"/>
      <c r="ET3" s="39"/>
      <c r="EU3" s="46"/>
      <c r="EV3" s="45"/>
      <c r="EW3" s="39"/>
      <c r="EX3" s="46"/>
      <c r="EY3" s="45"/>
      <c r="EZ3" s="39"/>
      <c r="FA3" s="49"/>
      <c r="FB3" s="47"/>
      <c r="FC3" s="46"/>
      <c r="FD3" s="45"/>
      <c r="FE3" s="39"/>
      <c r="FF3" s="46"/>
      <c r="FG3" s="45"/>
      <c r="FH3" s="39"/>
      <c r="FI3" s="46"/>
      <c r="FJ3" s="45"/>
      <c r="FK3" s="39"/>
      <c r="FL3" s="49"/>
      <c r="FM3" s="47"/>
      <c r="FN3" s="46"/>
      <c r="FO3" s="45"/>
      <c r="FP3" s="39"/>
      <c r="FQ3" s="46"/>
      <c r="FR3" s="45"/>
      <c r="FS3" s="39"/>
      <c r="FT3" s="46"/>
      <c r="FU3" s="45"/>
      <c r="FV3" s="39"/>
      <c r="FW3" s="49"/>
      <c r="FX3" s="47"/>
      <c r="FY3" s="46"/>
      <c r="FZ3" s="45"/>
      <c r="GA3" s="39"/>
      <c r="GB3" s="46"/>
      <c r="GC3" s="45"/>
      <c r="GD3" s="39"/>
      <c r="GE3" s="46"/>
      <c r="GF3" s="45"/>
      <c r="GG3" s="39"/>
      <c r="GH3" s="49"/>
      <c r="GI3" s="47"/>
      <c r="GJ3" s="46"/>
      <c r="GK3" s="45"/>
      <c r="GL3" s="39"/>
      <c r="GM3" s="46"/>
      <c r="GN3" s="45"/>
      <c r="GO3" s="39"/>
      <c r="GP3" s="46"/>
      <c r="GQ3" s="45"/>
      <c r="GR3" s="39"/>
      <c r="GS3" s="49"/>
      <c r="GT3" s="47"/>
      <c r="GU3" s="46"/>
      <c r="GV3" s="45"/>
      <c r="GW3" s="39"/>
      <c r="GX3" s="46"/>
      <c r="GY3" s="45"/>
      <c r="GZ3" s="39"/>
      <c r="HA3" s="46"/>
      <c r="HB3" s="45"/>
      <c r="HC3" s="39"/>
      <c r="HD3" s="49"/>
      <c r="HE3" s="47"/>
      <c r="HF3" s="46"/>
      <c r="HG3" s="45"/>
      <c r="HH3" s="39"/>
      <c r="HI3" s="46"/>
      <c r="HJ3" s="45"/>
      <c r="HK3" s="39"/>
      <c r="HL3" s="46"/>
      <c r="HM3" s="45"/>
      <c r="HN3" s="39"/>
      <c r="HO3" s="49"/>
      <c r="HP3" s="47"/>
      <c r="HQ3" s="46"/>
      <c r="HR3" s="45"/>
      <c r="HS3" s="39"/>
      <c r="HT3" s="46"/>
      <c r="HU3" s="45"/>
      <c r="HV3" s="39"/>
      <c r="HW3" s="46"/>
      <c r="HX3" s="45"/>
      <c r="HY3" s="39"/>
      <c r="HZ3" s="49"/>
      <c r="IA3" s="47"/>
      <c r="IB3" s="46"/>
      <c r="IC3" s="45"/>
      <c r="ID3" s="39"/>
      <c r="IE3" s="46"/>
      <c r="IF3" s="45"/>
      <c r="IG3" s="39"/>
      <c r="IH3" s="46"/>
      <c r="II3" s="45"/>
      <c r="IJ3" s="39"/>
      <c r="IK3" s="49"/>
      <c r="IL3" s="47"/>
      <c r="IM3" s="46"/>
      <c r="IN3" s="45"/>
      <c r="IO3" s="39"/>
      <c r="IP3" s="46"/>
      <c r="IQ3" s="45"/>
      <c r="IR3" s="39"/>
      <c r="IS3" s="46"/>
      <c r="IT3" s="45"/>
      <c r="IU3" s="39"/>
      <c r="IV3" s="49"/>
      <c r="IW3" s="47"/>
      <c r="IX3" s="46"/>
      <c r="IY3" s="45"/>
      <c r="IZ3" s="39"/>
      <c r="JA3" s="46"/>
      <c r="JB3" s="45"/>
      <c r="JC3" s="39"/>
      <c r="JD3" s="46"/>
      <c r="JE3" s="45"/>
      <c r="JF3" s="39"/>
      <c r="JG3" s="49"/>
      <c r="JH3" s="47"/>
      <c r="JI3" s="46"/>
      <c r="JJ3" s="45"/>
      <c r="JK3" s="39"/>
      <c r="JL3" s="46"/>
      <c r="JM3" s="45"/>
      <c r="JN3" s="39"/>
      <c r="JO3" s="46"/>
      <c r="JP3" s="45"/>
      <c r="JQ3" s="39"/>
      <c r="JR3" s="49"/>
      <c r="JS3" s="47"/>
      <c r="JT3" s="46"/>
      <c r="JU3" s="45"/>
      <c r="JV3" s="39"/>
      <c r="JW3" s="46"/>
      <c r="JX3" s="45"/>
      <c r="JY3" s="39"/>
      <c r="JZ3" s="46"/>
      <c r="KA3" s="45"/>
      <c r="KB3" s="39"/>
      <c r="KC3" s="49"/>
      <c r="KD3" s="47"/>
      <c r="KE3" s="46"/>
      <c r="KF3" s="45"/>
      <c r="KG3" s="39"/>
      <c r="KH3" s="46"/>
      <c r="KI3" s="45"/>
      <c r="KJ3" s="39"/>
      <c r="KK3" s="46"/>
      <c r="KL3" s="45"/>
      <c r="KM3" s="39"/>
      <c r="KN3" s="49"/>
      <c r="KO3" s="47"/>
      <c r="KP3" s="46"/>
      <c r="KQ3" s="45"/>
      <c r="KR3" s="39"/>
      <c r="KS3" s="46"/>
      <c r="KT3" s="45"/>
      <c r="KU3" s="39"/>
      <c r="KV3" s="46"/>
      <c r="KW3" s="45"/>
      <c r="KX3" s="39"/>
      <c r="KY3" s="49"/>
      <c r="KZ3" s="47"/>
      <c r="LA3" s="46"/>
      <c r="LB3" s="45"/>
      <c r="LC3" s="39"/>
      <c r="LD3" s="46"/>
      <c r="LE3" s="45"/>
      <c r="LF3" s="39"/>
      <c r="LG3" s="46"/>
      <c r="LH3" s="45"/>
      <c r="LI3" s="39"/>
      <c r="LJ3" s="49"/>
      <c r="LK3" s="47"/>
      <c r="LL3" s="46"/>
      <c r="LM3" s="45"/>
      <c r="LN3" s="39"/>
      <c r="LO3" s="46"/>
      <c r="LP3" s="45"/>
      <c r="LQ3" s="39"/>
      <c r="LR3" s="46"/>
      <c r="LS3" s="45"/>
      <c r="LT3" s="39"/>
      <c r="LU3" s="49"/>
      <c r="LV3" s="47"/>
      <c r="LW3" s="46"/>
      <c r="LX3" s="45"/>
      <c r="LY3" s="39"/>
      <c r="LZ3" s="46"/>
      <c r="MA3" s="45"/>
      <c r="MB3" s="39"/>
      <c r="MC3" s="46"/>
      <c r="MD3" s="45"/>
      <c r="ME3" s="39"/>
    </row>
    <row r="4" spans="2:343" ht="27" customHeight="1" thickBot="1" x14ac:dyDescent="0.25">
      <c r="B4" s="113">
        <f>E4/SUM($E$2:$E$4)</f>
        <v>1.2905334240463527E-2</v>
      </c>
      <c r="C4" s="118" t="s">
        <v>2</v>
      </c>
      <c r="D4" s="275"/>
      <c r="E4" s="106">
        <f t="shared" si="3"/>
        <v>2.4408539061844863</v>
      </c>
      <c r="F4" s="108">
        <f t="shared" ref="F4:S4" si="7">SUM(F7,F10,F13,F16,F19,F22,F25,F28,F31,F34,F37,F40,F43,F46,F49,F52,F55,F58,F61,F64,F67,F70,F73,F76)</f>
        <v>0.27483681846883501</v>
      </c>
      <c r="G4" s="108">
        <f t="shared" si="7"/>
        <v>0.24563549418325403</v>
      </c>
      <c r="H4" s="108">
        <f t="shared" si="7"/>
        <v>0.18834323011051957</v>
      </c>
      <c r="I4" s="108">
        <f t="shared" si="7"/>
        <v>0.28704233934708051</v>
      </c>
      <c r="J4" s="108">
        <f t="shared" si="7"/>
        <v>0.31539414954088829</v>
      </c>
      <c r="K4" s="108">
        <f t="shared" si="7"/>
        <v>0.18727819290002656</v>
      </c>
      <c r="L4" s="108">
        <f t="shared" si="7"/>
        <v>0.15047218301848747</v>
      </c>
      <c r="M4" s="108">
        <f t="shared" si="7"/>
        <v>0.35409589766793764</v>
      </c>
      <c r="N4" s="108">
        <f t="shared" si="7"/>
        <v>0.22537398105302442</v>
      </c>
      <c r="O4" s="108">
        <f t="shared" si="7"/>
        <v>0.15997852466122206</v>
      </c>
      <c r="P4" s="108">
        <f t="shared" si="7"/>
        <v>1.5650674980445158E-3</v>
      </c>
      <c r="Q4" s="108">
        <f t="shared" si="7"/>
        <v>4.8241853937124039E-2</v>
      </c>
      <c r="R4" s="108">
        <f t="shared" si="7"/>
        <v>2.5961737980423824E-3</v>
      </c>
      <c r="S4" s="108">
        <f t="shared" si="7"/>
        <v>0</v>
      </c>
      <c r="T4" s="108">
        <f t="shared" ref="T4:Y4" si="8">SUM(T7,T10,T13,T16,T19,T22,T25,T28,T31,T34,T37,T40,T43,T46,T49,T52,T55,T58,T61,T64,T67,T70,T73,T76)</f>
        <v>0</v>
      </c>
      <c r="U4" s="108">
        <f t="shared" si="8"/>
        <v>0</v>
      </c>
      <c r="V4" s="108">
        <f t="shared" si="8"/>
        <v>0</v>
      </c>
      <c r="W4" s="108">
        <f t="shared" si="8"/>
        <v>0</v>
      </c>
      <c r="X4" s="108">
        <f t="shared" si="8"/>
        <v>0</v>
      </c>
      <c r="Y4" s="114">
        <f t="shared" si="8"/>
        <v>0</v>
      </c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2"/>
      <c r="AR4" s="11">
        <f>AU4/SUM($AU2:$AU4)</f>
        <v>1.554468180994666E-2</v>
      </c>
      <c r="AS4" s="120" t="s">
        <v>2</v>
      </c>
      <c r="AT4" s="31"/>
      <c r="AU4" s="125">
        <f t="shared" si="6"/>
        <v>1.5544681809946657</v>
      </c>
      <c r="AV4" s="125">
        <f t="shared" si="6"/>
        <v>1.3866407988897822</v>
      </c>
      <c r="AW4" s="125">
        <f t="shared" si="6"/>
        <v>1.3029626275617219</v>
      </c>
      <c r="AX4" s="125">
        <f t="shared" si="6"/>
        <v>1.2116019412712622</v>
      </c>
      <c r="AY4" s="125">
        <f t="shared" si="6"/>
        <v>1.355740398277127</v>
      </c>
      <c r="AZ4" s="125">
        <f t="shared" si="6"/>
        <v>1.7815761435432298</v>
      </c>
      <c r="BA4" s="125">
        <f t="shared" si="6"/>
        <v>1.4401939317385808</v>
      </c>
      <c r="BB4" s="125">
        <f t="shared" si="6"/>
        <v>1.173956247488658</v>
      </c>
      <c r="BC4" s="125">
        <f t="shared" si="6"/>
        <v>1.9321625056057898</v>
      </c>
      <c r="BD4" s="125">
        <f t="shared" si="6"/>
        <v>1.9432392632040838</v>
      </c>
      <c r="BE4" s="125">
        <f t="shared" si="6"/>
        <v>1.5928494579254275</v>
      </c>
      <c r="BF4" s="125">
        <f t="shared" si="6"/>
        <v>2.6476127490563283E-2</v>
      </c>
      <c r="BG4" s="125">
        <f t="shared" si="6"/>
        <v>0.93623911845987817</v>
      </c>
      <c r="BH4" s="125">
        <f t="shared" si="6"/>
        <v>6.8606837966929471E-2</v>
      </c>
      <c r="BI4" s="125">
        <f t="shared" si="6"/>
        <v>0</v>
      </c>
      <c r="BJ4" s="125">
        <f t="shared" si="6"/>
        <v>0</v>
      </c>
      <c r="BK4" s="125">
        <f t="shared" si="6"/>
        <v>0</v>
      </c>
      <c r="BL4" s="125">
        <f t="shared" si="6"/>
        <v>0</v>
      </c>
      <c r="BM4" s="125">
        <f t="shared" si="6"/>
        <v>0</v>
      </c>
      <c r="BN4" s="125">
        <f t="shared" si="6"/>
        <v>0</v>
      </c>
      <c r="BO4" s="126">
        <f t="shared" si="6"/>
        <v>0</v>
      </c>
      <c r="BP4" s="29">
        <v>1</v>
      </c>
      <c r="BQ4" s="47" t="s">
        <v>185</v>
      </c>
      <c r="BR4" s="47" t="s">
        <v>186</v>
      </c>
      <c r="BS4" s="41">
        <f>AV2</f>
        <v>51.877274843993625</v>
      </c>
      <c r="BT4" s="43">
        <f>BS4</f>
        <v>51.877274843993625</v>
      </c>
      <c r="BU4" s="38">
        <f>IF((BS4+BV4+BY4)&lt;&gt;0,BT4/(BT4+BW4+BZ4),NA())</f>
        <v>0.52191618004575258</v>
      </c>
      <c r="BV4" s="41">
        <f>AV3</f>
        <v>46.133797682359592</v>
      </c>
      <c r="BW4" s="43">
        <f>BV4</f>
        <v>46.133797682359592</v>
      </c>
      <c r="BX4" s="38">
        <f>IF((BS4+BV4+BY4)&lt;&gt;0,BW4/(BT4+BW4+BZ4),NA())</f>
        <v>0.46413339038699464</v>
      </c>
      <c r="BY4" s="41">
        <f>AV4</f>
        <v>1.3866407988897822</v>
      </c>
      <c r="BZ4" s="43">
        <f>BY4</f>
        <v>1.3866407988897822</v>
      </c>
      <c r="CA4" s="38">
        <f>IF((BS4+BV4+BY4)&lt;&gt;0,BZ4/(BT4+BW4+BZ4),NA())</f>
        <v>1.3950429567252745E-2</v>
      </c>
      <c r="CB4" s="49"/>
      <c r="CC4" s="47" t="s">
        <v>184</v>
      </c>
      <c r="CD4" s="41">
        <f>$F$5</f>
        <v>0.38709677419354838</v>
      </c>
      <c r="CE4" s="43">
        <f>CD4</f>
        <v>0.38709677419354838</v>
      </c>
      <c r="CF4" s="38">
        <f>IF((CD4+CG4+CJ4)&lt;&gt;0,CE4/(CE4+CH4+CK4),NA())</f>
        <v>0.38709677419354838</v>
      </c>
      <c r="CG4" s="41">
        <f>$F$6</f>
        <v>0.61290322580645162</v>
      </c>
      <c r="CH4" s="43">
        <f>CG4</f>
        <v>0.61290322580645162</v>
      </c>
      <c r="CI4" s="38">
        <f>IF((CD4+CG4+CJ4)&lt;&gt;0,CH4/(CE4+CH4+CK4),NA())</f>
        <v>0.61290322580645162</v>
      </c>
      <c r="CJ4" s="41">
        <f>$F$7</f>
        <v>0</v>
      </c>
      <c r="CK4" s="43">
        <f>CJ4</f>
        <v>0</v>
      </c>
      <c r="CL4" s="38">
        <f>IF((CD4+CG4+CJ4)&lt;&gt;0,CK4/(CE4+CH4+CK4),NA())</f>
        <v>0</v>
      </c>
      <c r="CM4" s="49"/>
      <c r="CN4" s="47" t="s">
        <v>184</v>
      </c>
      <c r="CO4" s="41">
        <f>$F$8</f>
        <v>0.61948413440130257</v>
      </c>
      <c r="CP4" s="43">
        <f>CO4</f>
        <v>0.61948413440130257</v>
      </c>
      <c r="CQ4" s="38">
        <f>IF((CO4+CR4+CU4)&lt;&gt;0,CP4/(CP4+CS4+CV4),NA())</f>
        <v>0.61948413440130268</v>
      </c>
      <c r="CR4" s="41">
        <f>$F$9</f>
        <v>0.37110950864263204</v>
      </c>
      <c r="CS4" s="43">
        <f>CR4</f>
        <v>0.37110950864263204</v>
      </c>
      <c r="CT4" s="38">
        <f>IF((CO4+CR4+CU4)&lt;&gt;0,CS4/(CP4+CS4+CV4),NA())</f>
        <v>0.37110950864263209</v>
      </c>
      <c r="CU4" s="41">
        <f>$F$10</f>
        <v>9.4063569560653218E-3</v>
      </c>
      <c r="CV4" s="43">
        <f>CU4</f>
        <v>9.4063569560653218E-3</v>
      </c>
      <c r="CW4" s="38">
        <f>IF((CO4+CR4+CU4)&lt;&gt;0,CV4/(CP4+CS4+CV4),NA())</f>
        <v>9.4063569560653235E-3</v>
      </c>
      <c r="CX4" s="49"/>
      <c r="CY4" s="47" t="s">
        <v>184</v>
      </c>
      <c r="CZ4" s="41">
        <f>$F$11</f>
        <v>0.62246852374849815</v>
      </c>
      <c r="DA4" s="43">
        <f>CZ4</f>
        <v>0.62246852374849815</v>
      </c>
      <c r="DB4" s="38">
        <f>IF((CZ4+DC4+DF4)&lt;&gt;0,DA4/(DA4+DD4+DG4),NA())</f>
        <v>0.62246852374849815</v>
      </c>
      <c r="DC4" s="41">
        <f>$F$12</f>
        <v>0.33411729841491528</v>
      </c>
      <c r="DD4" s="43">
        <f>DC4</f>
        <v>0.33411729841491528</v>
      </c>
      <c r="DE4" s="38">
        <f>IF((CZ4+DC4+DF4)&lt;&gt;0,DD4/(DA4+DD4+DG4),NA())</f>
        <v>0.33411729841491528</v>
      </c>
      <c r="DF4" s="41">
        <f>$F$13</f>
        <v>4.3414177836586701E-2</v>
      </c>
      <c r="DG4" s="43">
        <f>DF4</f>
        <v>4.3414177836586701E-2</v>
      </c>
      <c r="DH4" s="38">
        <f>IF((CZ4+DC4+DF4)&lt;&gt;0,DG4/(DA4+DD4+DG4),NA())</f>
        <v>4.3414177836586701E-2</v>
      </c>
      <c r="DI4" s="49"/>
      <c r="DJ4" s="47" t="s">
        <v>184</v>
      </c>
      <c r="DK4" s="41">
        <f>$F$14</f>
        <v>0.44222325498486653</v>
      </c>
      <c r="DL4" s="43">
        <f>DK4</f>
        <v>0.44222325498486653</v>
      </c>
      <c r="DM4" s="38">
        <f>IF((DK4+DN4+DQ4)&lt;&gt;0,DL4/(DL4+DO4+DR4),NA())</f>
        <v>0.51552034935708269</v>
      </c>
      <c r="DN4" s="41">
        <f>$F$15</f>
        <v>0.41060128187936568</v>
      </c>
      <c r="DO4" s="43">
        <f>DN4</f>
        <v>0.41060128187936568</v>
      </c>
      <c r="DP4" s="38">
        <f>IF((DK4+DN4+DQ4)&lt;&gt;0,DO4/(DL4+DO4+DR4),NA())</f>
        <v>0.47865713504406349</v>
      </c>
      <c r="DQ4" s="41">
        <f>$F$16</f>
        <v>4.9946656878558484E-3</v>
      </c>
      <c r="DR4" s="43">
        <f>DQ4</f>
        <v>4.9946656878558484E-3</v>
      </c>
      <c r="DS4" s="38">
        <f>IF((DK4+DN4+DQ4)&lt;&gt;0,DR4/(DL4+DO4+DR4),NA())</f>
        <v>5.8225155988537863E-3</v>
      </c>
      <c r="DT4" s="49"/>
      <c r="DU4" s="47" t="s">
        <v>184</v>
      </c>
      <c r="DV4" s="41">
        <f>$F$17</f>
        <v>0.379878413388201</v>
      </c>
      <c r="DW4" s="43">
        <f>DV4</f>
        <v>0.379878413388201</v>
      </c>
      <c r="DX4" s="38">
        <f>IF((DV4+DY4+EB4)&lt;&gt;0,DW4/(DW4+DZ4+EC4),NA())</f>
        <v>0.41914825341145134</v>
      </c>
      <c r="DY4" s="41">
        <f>$F$18</f>
        <v>0.52181773135707032</v>
      </c>
      <c r="DZ4" s="43">
        <f>DY4</f>
        <v>0.52181773135707032</v>
      </c>
      <c r="EA4" s="38">
        <f>IF((DV4+DY4+EB4)&lt;&gt;0,DZ4/(DW4+DZ4+EC4),NA())</f>
        <v>0.57576051438840548</v>
      </c>
      <c r="EB4" s="41">
        <f>$F$19</f>
        <v>4.6142365968127805E-3</v>
      </c>
      <c r="EC4" s="43">
        <f>EB4</f>
        <v>4.6142365968127805E-3</v>
      </c>
      <c r="ED4" s="38">
        <f>IF((DV4+DY4+EB4)&lt;&gt;0,EC4/(DW4+DZ4+EC4),NA())</f>
        <v>5.0912322001430881E-3</v>
      </c>
      <c r="EE4" s="49"/>
      <c r="EF4" s="47" t="s">
        <v>184</v>
      </c>
      <c r="EG4" s="41">
        <f>$F$20</f>
        <v>0.65011673337423748</v>
      </c>
      <c r="EH4" s="43">
        <f>EG4</f>
        <v>0.65011673337423748</v>
      </c>
      <c r="EI4" s="38">
        <f>IF((EG4+EJ4+EM4)&lt;&gt;0,EH4/(EH4+EK4+EN4),NA())</f>
        <v>0.65011673337423737</v>
      </c>
      <c r="EJ4" s="41">
        <f>$F$21</f>
        <v>0.34988326662576269</v>
      </c>
      <c r="EK4" s="43">
        <f>EJ4</f>
        <v>0.34988326662576269</v>
      </c>
      <c r="EL4" s="38">
        <f>IF((EG4+EJ4+EM4)&lt;&gt;0,EK4/(EH4+EK4+EN4),NA())</f>
        <v>0.34988326662576263</v>
      </c>
      <c r="EM4" s="41">
        <f>$F$22</f>
        <v>0</v>
      </c>
      <c r="EN4" s="43">
        <f>EM4</f>
        <v>0</v>
      </c>
      <c r="EO4" s="38">
        <f>IF((EG4+EJ4+EM4)&lt;&gt;0,EN4/(EH4+EK4+EN4),NA())</f>
        <v>0</v>
      </c>
      <c r="EP4" s="49"/>
      <c r="EQ4" s="47" t="s">
        <v>184</v>
      </c>
      <c r="ER4" s="41">
        <f>$F$23</f>
        <v>0.18344000223268614</v>
      </c>
      <c r="ES4" s="43">
        <f>ER4</f>
        <v>0.18344000223268614</v>
      </c>
      <c r="ET4" s="38">
        <f>IF((ER4+EU4+EX4)&lt;&gt;0,ES4/(ES4+EV4+EY4),NA())</f>
        <v>0.65433184139613321</v>
      </c>
      <c r="EU4" s="41">
        <f>$F$24</f>
        <v>9.2403543720387352E-2</v>
      </c>
      <c r="EV4" s="43">
        <f>EU4</f>
        <v>9.2403543720387352E-2</v>
      </c>
      <c r="EW4" s="38">
        <f>IF((ER4+EU4+EX4)&lt;&gt;0,EV4/(ES4+EV4+EY4),NA())</f>
        <v>0.32960412220991386</v>
      </c>
      <c r="EX4" s="41">
        <f>$F$25</f>
        <v>4.50350523319359E-3</v>
      </c>
      <c r="EY4" s="43">
        <f>EX4</f>
        <v>4.50350523319359E-3</v>
      </c>
      <c r="EZ4" s="38">
        <f>IF((ER4+EU4+EX4)&lt;&gt;0,EY4/(ES4+EV4+EY4),NA())</f>
        <v>1.6064036393952968E-2</v>
      </c>
      <c r="FA4" s="49"/>
      <c r="FB4" s="47" t="s">
        <v>184</v>
      </c>
      <c r="FC4" s="41">
        <f>$F$26</f>
        <v>0.11113275105245032</v>
      </c>
      <c r="FD4" s="43">
        <f>FC4</f>
        <v>0.11113275105245032</v>
      </c>
      <c r="FE4" s="38">
        <f>IF((FC4+FF4+FI4)&lt;&gt;0,FD4/(FD4+FG4+FJ4),NA())</f>
        <v>0.2105263157894737</v>
      </c>
      <c r="FF4" s="41">
        <f>$F$27</f>
        <v>0.41674781644668873</v>
      </c>
      <c r="FG4" s="43">
        <f>FF4</f>
        <v>0.41674781644668873</v>
      </c>
      <c r="FH4" s="38">
        <f>IF((FC4+FF4+FI4)&lt;&gt;0,FG4/(FD4+FG4+FJ4),NA())</f>
        <v>0.78947368421052633</v>
      </c>
      <c r="FI4" s="41">
        <f>$F$28</f>
        <v>0</v>
      </c>
      <c r="FJ4" s="43">
        <f>FI4</f>
        <v>0</v>
      </c>
      <c r="FK4" s="38">
        <f>IF((FC4+FF4+FI4)&lt;&gt;0,FJ4/(FD4+FG4+FJ4),NA())</f>
        <v>0</v>
      </c>
      <c r="FL4" s="49"/>
      <c r="FM4" s="47" t="s">
        <v>184</v>
      </c>
      <c r="FN4" s="41">
        <f>$F$29</f>
        <v>0</v>
      </c>
      <c r="FO4" s="43">
        <f>FN4</f>
        <v>0</v>
      </c>
      <c r="FP4" s="38" t="e">
        <f>IF((FN4+FQ4+FT4)&lt;&gt;0,FO4/(FO4+FR4+FU4),NA())</f>
        <v>#N/A</v>
      </c>
      <c r="FQ4" s="41">
        <f>$F$30</f>
        <v>0</v>
      </c>
      <c r="FR4" s="43">
        <f>FQ4</f>
        <v>0</v>
      </c>
      <c r="FS4" s="38" t="e">
        <f>IF((FN4+FQ4+FT4)&lt;&gt;0,FR4/(FO4+FR4+FU4),NA())</f>
        <v>#N/A</v>
      </c>
      <c r="FT4" s="41">
        <f>$F$31</f>
        <v>0</v>
      </c>
      <c r="FU4" s="43">
        <f>FT4</f>
        <v>0</v>
      </c>
      <c r="FV4" s="38" t="e">
        <f>IF((FN4+FQ4+FT4)&lt;&gt;0,FU4/(FO4+FR4+FU4),NA())</f>
        <v>#N/A</v>
      </c>
      <c r="FW4" s="49"/>
      <c r="FX4" s="47" t="s">
        <v>184</v>
      </c>
      <c r="FY4" s="41">
        <f>$F$32</f>
        <v>0.27799602964464726</v>
      </c>
      <c r="FZ4" s="43">
        <f>FY4</f>
        <v>0.27799602964464726</v>
      </c>
      <c r="GA4" s="38">
        <f>IF((FY4+GB4+GE4)&lt;&gt;0,FZ4/(FZ4+GC4+GF4),NA())</f>
        <v>0.40351170040642098</v>
      </c>
      <c r="GB4" s="41">
        <f>$F$33</f>
        <v>0.38705623212196316</v>
      </c>
      <c r="GC4" s="43">
        <f>GB4</f>
        <v>0.38705623212196316</v>
      </c>
      <c r="GD4" s="38">
        <f>IF((FY4+GB4+GE4)&lt;&gt;0,GC4/(FZ4+GC4+GF4),NA())</f>
        <v>0.5618127660890605</v>
      </c>
      <c r="GE4" s="41">
        <f>$F$34</f>
        <v>2.388942038200375E-2</v>
      </c>
      <c r="GF4" s="43">
        <f>GE4</f>
        <v>2.388942038200375E-2</v>
      </c>
      <c r="GG4" s="38">
        <f>IF((FY4+GB4+GE4)&lt;&gt;0,GF4/(FZ4+GC4+GF4),NA())</f>
        <v>3.4675533504518713E-2</v>
      </c>
      <c r="GH4" s="49"/>
      <c r="GI4" s="47" t="s">
        <v>184</v>
      </c>
      <c r="GJ4" s="41">
        <f>$F$35</f>
        <v>0.88318573874163431</v>
      </c>
      <c r="GK4" s="43">
        <f>GJ4</f>
        <v>0.88318573874163431</v>
      </c>
      <c r="GL4" s="38">
        <f>IF((GJ4+GM4+GP4)&lt;&gt;0,GK4/(GK4+GN4+GQ4),NA())</f>
        <v>0.88318573874163353</v>
      </c>
      <c r="GM4" s="41">
        <f>$F$36</f>
        <v>0.11681426125836664</v>
      </c>
      <c r="GN4" s="43">
        <f>GM4</f>
        <v>0.11681426125836664</v>
      </c>
      <c r="GO4" s="38">
        <f>IF((GJ4+GM4+GP4)&lt;&gt;0,GN4/(GK4+GN4+GQ4),NA())</f>
        <v>0.11681426125836654</v>
      </c>
      <c r="GP4" s="41">
        <f>$F$37</f>
        <v>0</v>
      </c>
      <c r="GQ4" s="43">
        <f>GP4</f>
        <v>0</v>
      </c>
      <c r="GR4" s="38">
        <f>IF((GJ4+GM4+GP4)&lt;&gt;0,GQ4/(GK4+GN4+GQ4),NA())</f>
        <v>0</v>
      </c>
      <c r="GS4" s="49"/>
      <c r="GT4" s="47" t="s">
        <v>184</v>
      </c>
      <c r="GU4" s="41">
        <f>$F$38</f>
        <v>0.46112174604503076</v>
      </c>
      <c r="GV4" s="43">
        <f>GU4</f>
        <v>0.46112174604503076</v>
      </c>
      <c r="GW4" s="38">
        <f>IF((GU4+GX4+HA4)&lt;&gt;0,GV4/(GV4+GY4+HB4),NA())</f>
        <v>0.61195183283906751</v>
      </c>
      <c r="GX4" s="41">
        <f>$F$39</f>
        <v>0.27971646922882015</v>
      </c>
      <c r="GY4" s="43">
        <f>GX4</f>
        <v>0.27971646922882015</v>
      </c>
      <c r="GZ4" s="38">
        <f>IF((GU4+GX4+HA4)&lt;&gt;0,GY4/(GV4+GY4+HB4),NA())</f>
        <v>0.37121000579125424</v>
      </c>
      <c r="HA4" s="41">
        <f>$F$40</f>
        <v>1.268799594071315E-2</v>
      </c>
      <c r="HB4" s="43">
        <f>HA4</f>
        <v>1.268799594071315E-2</v>
      </c>
      <c r="HC4" s="38">
        <f>IF((GU4+GX4+HA4)&lt;&gt;0,HB4/(GV4+GY4+HB4),NA())</f>
        <v>1.6838161369678337E-2</v>
      </c>
      <c r="HD4" s="49"/>
      <c r="HE4" s="47" t="s">
        <v>184</v>
      </c>
      <c r="HF4" s="41">
        <f>$F$41</f>
        <v>0.47995167032801955</v>
      </c>
      <c r="HG4" s="43">
        <f>HF4</f>
        <v>0.47995167032801955</v>
      </c>
      <c r="HH4" s="38">
        <f>IF((HF4+HI4+HL4)&lt;&gt;0,HG4/(HG4+HJ4+HM4),NA())</f>
        <v>0.47995167032801944</v>
      </c>
      <c r="HI4" s="41">
        <f>$F$42</f>
        <v>0.51943647116919378</v>
      </c>
      <c r="HJ4" s="43">
        <f>HI4</f>
        <v>0.51943647116919378</v>
      </c>
      <c r="HK4" s="38">
        <f>IF((HF4+HI4+HL4)&lt;&gt;0,HJ4/(HG4+HJ4+HM4),NA())</f>
        <v>0.51943647116919367</v>
      </c>
      <c r="HL4" s="41">
        <f>$F$43</f>
        <v>6.1185850278688727E-4</v>
      </c>
      <c r="HM4" s="43">
        <f>HL4</f>
        <v>6.1185850278688727E-4</v>
      </c>
      <c r="HN4" s="38">
        <f>IF((HF4+HI4+HL4)&lt;&gt;0,HM4/(HG4+HJ4+HM4),NA())</f>
        <v>6.1185850278688717E-4</v>
      </c>
      <c r="HO4" s="49"/>
      <c r="HP4" s="47" t="s">
        <v>184</v>
      </c>
      <c r="HQ4" s="41">
        <f>$F$44</f>
        <v>0.61440784722493058</v>
      </c>
      <c r="HR4" s="43">
        <f>HQ4</f>
        <v>0.61440784722493058</v>
      </c>
      <c r="HS4" s="38">
        <f>IF((HQ4+HT4+HW4)&lt;&gt;0,HR4/(HR4+HU4+HX4),NA())</f>
        <v>0.61440784722493003</v>
      </c>
      <c r="HT4" s="41">
        <f>$F$45</f>
        <v>0.37147287498750542</v>
      </c>
      <c r="HU4" s="43">
        <f>HT4</f>
        <v>0.37147287498750542</v>
      </c>
      <c r="HV4" s="38">
        <f>IF((HQ4+HT4+HW4)&lt;&gt;0,HU4/(HR4+HU4+HX4),NA())</f>
        <v>0.37147287498750509</v>
      </c>
      <c r="HW4" s="41">
        <f>$F$46</f>
        <v>1.4119277787564985E-2</v>
      </c>
      <c r="HX4" s="43">
        <f>HW4</f>
        <v>1.4119277787564985E-2</v>
      </c>
      <c r="HY4" s="38">
        <f>IF((HQ4+HT4+HW4)&lt;&gt;0,HX4/(HR4+HU4+HX4),NA())</f>
        <v>1.4119277787564973E-2</v>
      </c>
      <c r="HZ4" s="49"/>
      <c r="IA4" s="47" t="s">
        <v>184</v>
      </c>
      <c r="IB4" s="41">
        <f>$F$47</f>
        <v>0.31387899140639458</v>
      </c>
      <c r="IC4" s="43">
        <f>IB4</f>
        <v>0.31387899140639458</v>
      </c>
      <c r="ID4" s="38">
        <f>IF((IB4+IE4+IH4)&lt;&gt;0,IC4/(IC4+IF4+II4),NA())</f>
        <v>0.37598950898023958</v>
      </c>
      <c r="IE4" s="41">
        <f>$F$48</f>
        <v>0.49505512854300893</v>
      </c>
      <c r="IF4" s="43">
        <f>IE4</f>
        <v>0.49505512854300893</v>
      </c>
      <c r="IG4" s="38">
        <f>IF((IB4+IE4+IH4)&lt;&gt;0,IF4/(IC4+IF4+II4),NA())</f>
        <v>0.59301686253361396</v>
      </c>
      <c r="IH4" s="41">
        <f>$F$49</f>
        <v>2.5873724178212123E-2</v>
      </c>
      <c r="II4" s="43">
        <f>IH4</f>
        <v>2.5873724178212123E-2</v>
      </c>
      <c r="IJ4" s="38">
        <f>IF((IB4+IE4+IH4)&lt;&gt;0,II4/(IC4+IF4+II4),NA())</f>
        <v>3.0993628486146389E-2</v>
      </c>
      <c r="IK4" s="49"/>
      <c r="IL4" s="47" t="s">
        <v>184</v>
      </c>
      <c r="IM4" s="41">
        <f>$F$50</f>
        <v>0.41154419905446865</v>
      </c>
      <c r="IN4" s="43">
        <f>IM4</f>
        <v>0.41154419905446865</v>
      </c>
      <c r="IO4" s="38">
        <f>IF((IM4+IP4+IS4)&lt;&gt;0,IN4/(IN4+IQ4+IT4),NA())</f>
        <v>0.41154419905446876</v>
      </c>
      <c r="IP4" s="41">
        <f>$F$51</f>
        <v>0.58334280851889342</v>
      </c>
      <c r="IQ4" s="43">
        <f>IP4</f>
        <v>0.58334280851889342</v>
      </c>
      <c r="IR4" s="38">
        <f>IF((IM4+IP4+IS4)&lt;&gt;0,IQ4/(IN4+IQ4+IT4),NA())</f>
        <v>0.58334280851889364</v>
      </c>
      <c r="IS4" s="41">
        <f>$F$52</f>
        <v>5.1129924266375996E-3</v>
      </c>
      <c r="IT4" s="43">
        <f>IS4</f>
        <v>5.1129924266375996E-3</v>
      </c>
      <c r="IU4" s="38">
        <f>IF((IM4+IP4+IS4)&lt;&gt;0,IT4/(IN4+IQ4+IT4),NA())</f>
        <v>5.1129924266376013E-3</v>
      </c>
      <c r="IV4" s="49"/>
      <c r="IW4" s="47" t="s">
        <v>184</v>
      </c>
      <c r="IX4" s="41">
        <f>$F$53</f>
        <v>0.37178159763759333</v>
      </c>
      <c r="IY4" s="43">
        <f>IX4</f>
        <v>0.37178159763759333</v>
      </c>
      <c r="IZ4" s="38">
        <f>IF((IX4+JA4+JD4)&lt;&gt;0,IY4/(IY4+JB4+JE4),NA())</f>
        <v>0.47250723515384491</v>
      </c>
      <c r="JA4" s="41">
        <f>$F$54</f>
        <v>0.33451757741366783</v>
      </c>
      <c r="JB4" s="43">
        <f>JA4</f>
        <v>0.33451757741366783</v>
      </c>
      <c r="JC4" s="38">
        <f>IF((IX4+JA4+JD4)&lt;&gt;0,JB4/(IY4+JB4+JE4),NA())</f>
        <v>0.42514738926957518</v>
      </c>
      <c r="JD4" s="41">
        <f>$F$55</f>
        <v>8.0528136739094799E-2</v>
      </c>
      <c r="JE4" s="43">
        <f>JD4</f>
        <v>8.0528136739094799E-2</v>
      </c>
      <c r="JF4" s="38">
        <f>IF((IX4+JA4+JD4)&lt;&gt;0,JE4/(IY4+JB4+JE4),NA())</f>
        <v>0.10234537557658001</v>
      </c>
      <c r="JG4" s="49"/>
      <c r="JH4" s="47" t="s">
        <v>184</v>
      </c>
      <c r="JI4" s="41">
        <f>$F$56</f>
        <v>0.30008951714482396</v>
      </c>
      <c r="JJ4" s="43">
        <f>JI4</f>
        <v>0.30008951714482396</v>
      </c>
      <c r="JK4" s="38">
        <f>IF((JI4+JL4+JO4)&lt;&gt;0,JJ4/(JJ4+JM4+JP4),NA())</f>
        <v>0.57579438865608001</v>
      </c>
      <c r="JL4" s="41">
        <f>$F$57</f>
        <v>0.21774336125862587</v>
      </c>
      <c r="JM4" s="43">
        <f>JL4</f>
        <v>0.21774336125862587</v>
      </c>
      <c r="JN4" s="38">
        <f>IF((JI4+JL4+JO4)&lt;&gt;0,JM4/(JJ4+JM4+JP4),NA())</f>
        <v>0.41779335303913318</v>
      </c>
      <c r="JO4" s="41">
        <f>$F$58</f>
        <v>3.3419073481813573E-3</v>
      </c>
      <c r="JP4" s="43">
        <f>JO4</f>
        <v>3.3419073481813573E-3</v>
      </c>
      <c r="JQ4" s="38">
        <f>IF((JI4+JL4+JO4)&lt;&gt;0,JP4/(JJ4+JM4+JP4),NA())</f>
        <v>6.4122583047867589E-3</v>
      </c>
      <c r="JR4" s="49"/>
      <c r="JS4" s="47" t="s">
        <v>184</v>
      </c>
      <c r="JT4" s="41">
        <f>$F$59</f>
        <v>0.4228392747628878</v>
      </c>
      <c r="JU4" s="43">
        <f>JT4</f>
        <v>0.4228392747628878</v>
      </c>
      <c r="JV4" s="38">
        <f>IF((JT4+JW4+JZ4)&lt;&gt;0,JU4/(JU4+JX4+KA4),NA())</f>
        <v>0.50428590880169932</v>
      </c>
      <c r="JW4" s="41">
        <f>$F$60</f>
        <v>0.40702441720672128</v>
      </c>
      <c r="JX4" s="43">
        <f>JW4</f>
        <v>0.40702441720672128</v>
      </c>
      <c r="JY4" s="38">
        <f>IF((JT4+JW4+JZ4)&lt;&gt;0,JX4/(JU4+JX4+KA4),NA())</f>
        <v>0.48542481833238793</v>
      </c>
      <c r="JZ4" s="41">
        <f>$F$61</f>
        <v>8.6274643025387576E-3</v>
      </c>
      <c r="KA4" s="43">
        <f>JZ4</f>
        <v>8.6274643025387576E-3</v>
      </c>
      <c r="KB4" s="38">
        <f>IF((JT4+JW4+JZ4)&lt;&gt;0,KA4/(JU4+JX4+KA4),NA())</f>
        <v>1.0289272865912677E-2</v>
      </c>
      <c r="KC4" s="49"/>
      <c r="KD4" s="47" t="s">
        <v>184</v>
      </c>
      <c r="KE4" s="41">
        <f>$F$62</f>
        <v>0.3492183634177255</v>
      </c>
      <c r="KF4" s="43">
        <f>KE4</f>
        <v>0.3492183634177255</v>
      </c>
      <c r="KG4" s="38">
        <f>IF((KE4+KH4+KK4)&lt;&gt;0,KF4/(KF4+KI4+KL4),NA())</f>
        <v>0.37588199380757914</v>
      </c>
      <c r="KH4" s="41">
        <f>$F$63</f>
        <v>0.56833642641680893</v>
      </c>
      <c r="KI4" s="43">
        <f>KH4</f>
        <v>0.56833642641680893</v>
      </c>
      <c r="KJ4" s="38">
        <f>IF((KE4+KH4+KK4)&lt;&gt;0,KI4/(KF4+KI4+KL4),NA())</f>
        <v>0.61173022811371836</v>
      </c>
      <c r="KK4" s="41">
        <f>$F$64</f>
        <v>1.15090365016023E-2</v>
      </c>
      <c r="KL4" s="43">
        <f>KK4</f>
        <v>1.15090365016023E-2</v>
      </c>
      <c r="KM4" s="38">
        <f>IF((KE4+KH4+KK4)&lt;&gt;0,KL4/(KF4+KI4+KL4),NA())</f>
        <v>1.2387778078702541E-2</v>
      </c>
      <c r="KN4" s="49"/>
      <c r="KO4" s="47" t="s">
        <v>184</v>
      </c>
      <c r="KP4" s="41">
        <f>$F$65</f>
        <v>0.61733054667650178</v>
      </c>
      <c r="KQ4" s="43">
        <f>KP4</f>
        <v>0.61733054667650178</v>
      </c>
      <c r="KR4" s="38">
        <f>IF((KP4+KS4+KV4)&lt;&gt;0,KQ4/(KQ4+KT4+KW4),NA())</f>
        <v>0.70885837690437659</v>
      </c>
      <c r="KS4" s="41">
        <f>$F$66</f>
        <v>0.24273341045070818</v>
      </c>
      <c r="KT4" s="43">
        <f>KS4</f>
        <v>0.24273341045070818</v>
      </c>
      <c r="KU4" s="38">
        <f>IF((KP4+KS4+KV4)&lt;&gt;0,KT4/(KQ4+KT4+KW4),NA())</f>
        <v>0.27872201088846965</v>
      </c>
      <c r="KV4" s="41">
        <f>$F$67</f>
        <v>1.081599123767797E-2</v>
      </c>
      <c r="KW4" s="43">
        <f>KV4</f>
        <v>1.081599123767797E-2</v>
      </c>
      <c r="KX4" s="38">
        <f>IF((KP4+KS4+KV4)&lt;&gt;0,KW4/(KQ4+KT4+KW4),NA())</f>
        <v>1.2419612207153728E-2</v>
      </c>
      <c r="KY4" s="49"/>
      <c r="KZ4" s="47" t="s">
        <v>184</v>
      </c>
      <c r="LA4" s="41">
        <f>$F$68</f>
        <v>0.3480602105823879</v>
      </c>
      <c r="LB4" s="43">
        <f>LA4</f>
        <v>0.3480602105823879</v>
      </c>
      <c r="LC4" s="38">
        <f>IF((LA4+LD4+LG4)&lt;&gt;0,LB4/(LB4+LE4+LH4),NA())</f>
        <v>0.68965517241379304</v>
      </c>
      <c r="LD4" s="41">
        <f>$F$69</f>
        <v>0.15662709476207456</v>
      </c>
      <c r="LE4" s="43">
        <f>LD4</f>
        <v>0.15662709476207456</v>
      </c>
      <c r="LF4" s="38">
        <f>IF((LA4+LD4+LG4)&lt;&gt;0,LE4/(LB4+LE4+LH4),NA())</f>
        <v>0.31034482758620691</v>
      </c>
      <c r="LG4" s="41">
        <f>$F$70</f>
        <v>0</v>
      </c>
      <c r="LH4" s="43">
        <f>LG4</f>
        <v>0</v>
      </c>
      <c r="LI4" s="38">
        <f>IF((LA4+LD4+LG4)&lt;&gt;0,LH4/(LB4+LE4+LH4),NA())</f>
        <v>0</v>
      </c>
      <c r="LJ4" s="49"/>
      <c r="LK4" s="47" t="s">
        <v>184</v>
      </c>
      <c r="LL4" s="41">
        <f>$F$71</f>
        <v>0.54784384853263179</v>
      </c>
      <c r="LM4" s="43">
        <f>LL4</f>
        <v>0.54784384853263179</v>
      </c>
      <c r="LN4" s="38">
        <f>IF((LL4+LO4+LR4)&lt;&gt;0,LM4/(LM4+LP4+LS4),NA())</f>
        <v>0.54784384853263179</v>
      </c>
      <c r="LO4" s="41">
        <f>$F$72</f>
        <v>0.44272205663095016</v>
      </c>
      <c r="LP4" s="43">
        <f>LO4</f>
        <v>0.44272205663095016</v>
      </c>
      <c r="LQ4" s="38">
        <f>IF((LL4+LO4+LR4)&lt;&gt;0,LP4/(LM4+LP4+LS4),NA())</f>
        <v>0.44272205663095016</v>
      </c>
      <c r="LR4" s="41">
        <f>$F$73</f>
        <v>9.4340948364179684E-3</v>
      </c>
      <c r="LS4" s="43">
        <f>LR4</f>
        <v>9.4340948364179684E-3</v>
      </c>
      <c r="LT4" s="38">
        <f>IF((LL4+LO4+LR4)&lt;&gt;0,LS4/(LM4+LP4+LS4),NA())</f>
        <v>9.4340948364179684E-3</v>
      </c>
      <c r="LU4" s="49"/>
      <c r="LV4" s="47" t="s">
        <v>184</v>
      </c>
      <c r="LW4" s="41">
        <f>$F$74</f>
        <v>0.43453075052755258</v>
      </c>
      <c r="LX4" s="43">
        <f>LW4</f>
        <v>0.43453075052755258</v>
      </c>
      <c r="LY4" s="38">
        <f>IF((LW4+LZ4+MC4)&lt;&gt;0,LX4/(LX4+MA4+MD4),NA())</f>
        <v>0.48783171934385539</v>
      </c>
      <c r="LZ4" s="41">
        <f>$F$75</f>
        <v>0.45485629947152778</v>
      </c>
      <c r="MA4" s="43">
        <f>LZ4</f>
        <v>0.45485629947152778</v>
      </c>
      <c r="MB4" s="38">
        <f>IF((LW4+LZ4+MC4)&lt;&gt;0,MA4/(LX4+MA4+MD4),NA())</f>
        <v>0.51065046686841842</v>
      </c>
      <c r="MC4" s="41">
        <f>$F$76</f>
        <v>1.3519759748891445E-3</v>
      </c>
      <c r="MD4" s="43">
        <f>MC4</f>
        <v>1.3519759748891445E-3</v>
      </c>
      <c r="ME4" s="38">
        <f>IF((LW4+LZ4+MC4)&lt;&gt;0,MD4/(LX4+MA4+MD4),NA())</f>
        <v>1.5178137877262538E-3</v>
      </c>
    </row>
    <row r="5" spans="2:343" ht="14.25" customHeight="1" x14ac:dyDescent="0.2">
      <c r="B5" s="133">
        <f>E5/SUM($E$5:$E$7)</f>
        <v>0.58762886597938147</v>
      </c>
      <c r="C5" s="134" t="s">
        <v>0</v>
      </c>
      <c r="D5" s="135"/>
      <c r="E5" s="166">
        <f>CORE!E6</f>
        <v>0.58762886597938147</v>
      </c>
      <c r="F5" s="166">
        <f>CORE!F6</f>
        <v>0.38709677419354838</v>
      </c>
      <c r="G5" s="166">
        <f>CORE!G6</f>
        <v>0.66666666666666663</v>
      </c>
      <c r="H5" s="166">
        <f>CORE!H6</f>
        <v>0</v>
      </c>
      <c r="I5" s="166">
        <f>CORE!I6</f>
        <v>0.47058823529411764</v>
      </c>
      <c r="J5" s="166">
        <f>CORE!J6</f>
        <v>0.51428571428571423</v>
      </c>
      <c r="K5" s="166">
        <f>CORE!K6</f>
        <v>1</v>
      </c>
      <c r="L5" s="166">
        <f>CORE!L6</f>
        <v>0</v>
      </c>
      <c r="M5" s="166">
        <f>CORE!M6</f>
        <v>0.75</v>
      </c>
      <c r="N5" s="166">
        <f>CORE!N6</f>
        <v>0.88</v>
      </c>
      <c r="O5" s="166">
        <f>CORE!O6</f>
        <v>0.39393939393939392</v>
      </c>
      <c r="P5" s="166">
        <f>CORE!P6</f>
        <v>0.80645161290322576</v>
      </c>
      <c r="Q5" s="166">
        <f>CORE!Q6</f>
        <v>0</v>
      </c>
      <c r="R5" s="166">
        <f>CORE!R6</f>
        <v>0.83333333333333337</v>
      </c>
      <c r="S5" s="166">
        <f>CORE!S6</f>
        <v>0</v>
      </c>
      <c r="T5" s="166">
        <f>CORE!T6</f>
        <v>0</v>
      </c>
      <c r="U5" s="166">
        <f>CORE!U6</f>
        <v>0</v>
      </c>
      <c r="V5" s="166">
        <f>CORE!V6</f>
        <v>0</v>
      </c>
      <c r="W5" s="166">
        <f>CORE!W6</f>
        <v>0</v>
      </c>
      <c r="X5" s="166">
        <f>CORE!X6</f>
        <v>0</v>
      </c>
      <c r="Y5" s="167">
        <f>CORE!Y6</f>
        <v>0</v>
      </c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2"/>
      <c r="AQ5" s="33">
        <v>0.51210801187107746</v>
      </c>
      <c r="AR5" s="9">
        <f>AU5/SUM($AU5:$AU7)</f>
        <v>0.58762886597938147</v>
      </c>
      <c r="AS5" s="121" t="s">
        <v>0</v>
      </c>
      <c r="AT5" s="30"/>
      <c r="AU5" s="105">
        <f>IF((E5+E6+E7)=0,1,E5/(E5+E6+E7)*$AQ5)</f>
        <v>0.30092945027475687</v>
      </c>
      <c r="AV5" s="105">
        <f>IF((F5+F6+F7)=0,0,F5/(F5+F6+F7)*$AQ5)</f>
        <v>0.19823535943396547</v>
      </c>
      <c r="AW5" s="105">
        <f t="shared" ref="AW5:BO5" si="9">IF((G5+G6+G7)=0,0,G5/(G5+G6+G7)*$AQ5)</f>
        <v>0.34140534124738497</v>
      </c>
      <c r="AX5" s="105">
        <f t="shared" si="9"/>
        <v>0</v>
      </c>
      <c r="AY5" s="105">
        <f t="shared" si="9"/>
        <v>0.24099200558638939</v>
      </c>
      <c r="AZ5" s="105">
        <f t="shared" si="9"/>
        <v>0.26336983467655417</v>
      </c>
      <c r="BA5" s="105">
        <f t="shared" si="9"/>
        <v>0.51210801187107746</v>
      </c>
      <c r="BB5" s="105">
        <f t="shared" si="9"/>
        <v>0</v>
      </c>
      <c r="BC5" s="105">
        <f t="shared" si="9"/>
        <v>0.3840810089033081</v>
      </c>
      <c r="BD5" s="105">
        <f t="shared" si="9"/>
        <v>0.45065505044654819</v>
      </c>
      <c r="BE5" s="105">
        <f t="shared" si="9"/>
        <v>0.2017395198280002</v>
      </c>
      <c r="BF5" s="105">
        <f t="shared" si="9"/>
        <v>0.4129903321540947</v>
      </c>
      <c r="BG5" s="105">
        <f t="shared" si="9"/>
        <v>0</v>
      </c>
      <c r="BH5" s="105">
        <f t="shared" si="9"/>
        <v>0.42675667655923122</v>
      </c>
      <c r="BI5" s="105">
        <f t="shared" si="9"/>
        <v>0</v>
      </c>
      <c r="BJ5" s="105">
        <f t="shared" si="9"/>
        <v>0</v>
      </c>
      <c r="BK5" s="105">
        <f t="shared" si="9"/>
        <v>0</v>
      </c>
      <c r="BL5" s="105">
        <f t="shared" si="9"/>
        <v>0</v>
      </c>
      <c r="BM5" s="105">
        <f t="shared" si="9"/>
        <v>0</v>
      </c>
      <c r="BN5" s="105">
        <f t="shared" si="9"/>
        <v>0</v>
      </c>
      <c r="BO5" s="127">
        <f t="shared" si="9"/>
        <v>0</v>
      </c>
      <c r="BP5" s="29">
        <v>2</v>
      </c>
      <c r="BQ5" s="47" t="s">
        <v>186</v>
      </c>
      <c r="BR5" s="47" t="s">
        <v>187</v>
      </c>
      <c r="BS5" s="41">
        <f>AW2</f>
        <v>54.878428635991924</v>
      </c>
      <c r="BT5" s="43">
        <f t="shared" ref="BT5:BT23" si="10">BT4+BS5</f>
        <v>106.75570347998556</v>
      </c>
      <c r="BU5" s="38">
        <f t="shared" ref="BU5:BU23" si="11">IF((BS5+BV5+BY5)&lt;&gt;0,BT5/(BT5+BW5+BZ5),NA())</f>
        <v>0.53701287438407252</v>
      </c>
      <c r="BV5" s="41">
        <f>AW3</f>
        <v>43.216322061689347</v>
      </c>
      <c r="BW5" s="43">
        <f t="shared" ref="BW5:BW23" si="12">BW4+BV5</f>
        <v>89.350119744048939</v>
      </c>
      <c r="BX5" s="38">
        <f t="shared" ref="BX5:BX23" si="13">IF((BS5+BV5+BY5)&lt;&gt;0,BW5/(BT5+BW5+BZ5),NA())</f>
        <v>0.44945762208675288</v>
      </c>
      <c r="BY5" s="41">
        <f>AW4</f>
        <v>1.3029626275617219</v>
      </c>
      <c r="BZ5" s="43">
        <f t="shared" ref="BZ5:BZ23" si="14">BZ4+BY5</f>
        <v>2.6896034264515043</v>
      </c>
      <c r="CA5" s="38">
        <f t="shared" ref="CA5:CA23" si="15">IF((BS5+BV5+BY5)&lt;&gt;0,BZ5/(BT5+BW5+BZ5),NA())</f>
        <v>1.3529503529174517E-2</v>
      </c>
      <c r="CB5" s="49"/>
      <c r="CC5" s="47" t="s">
        <v>185</v>
      </c>
      <c r="CD5" s="41">
        <f>$G$5</f>
        <v>0.66666666666666663</v>
      </c>
      <c r="CE5" s="43">
        <f t="shared" ref="CE5:CE23" si="16">CE4+CD5</f>
        <v>1.053763440860215</v>
      </c>
      <c r="CF5" s="38">
        <f t="shared" ref="CF5:CF23" si="17">IF((CD5+CG5+CJ5)&lt;&gt;0,CE5/(CE5+CH5+CK5),NA())</f>
        <v>0.5268817204301075</v>
      </c>
      <c r="CG5" s="41">
        <f>$G$6</f>
        <v>0.33333333333333331</v>
      </c>
      <c r="CH5" s="43">
        <f t="shared" ref="CH5:CH23" si="18">CH4+CG5</f>
        <v>0.94623655913978499</v>
      </c>
      <c r="CI5" s="38">
        <f t="shared" ref="CI5:CI23" si="19">IF((CD5+CG5+CJ5)&lt;&gt;0,CH5/(CE5+CH5+CK5),NA())</f>
        <v>0.4731182795698925</v>
      </c>
      <c r="CJ5" s="41">
        <f>$G$7</f>
        <v>0</v>
      </c>
      <c r="CK5" s="43">
        <f>CK4+CJ5</f>
        <v>0</v>
      </c>
      <c r="CL5" s="38">
        <f t="shared" ref="CL5:CL23" si="20">IF((CD5+CG5+CJ5)&lt;&gt;0,CK5/(CE5+CH5+CK5),NA())</f>
        <v>0</v>
      </c>
      <c r="CM5" s="49"/>
      <c r="CN5" s="47" t="s">
        <v>185</v>
      </c>
      <c r="CO5" s="41">
        <f>$G$8</f>
        <v>0.59614116187737065</v>
      </c>
      <c r="CP5" s="43">
        <f t="shared" ref="CP5:CP23" si="21">CP4+CO5</f>
        <v>1.2156252962786733</v>
      </c>
      <c r="CQ5" s="38">
        <f t="shared" ref="CQ5:CQ23" si="22">IF((CO5+CR5+CU5)&lt;&gt;0,CP5/(CP5+CS5+CV5),NA())</f>
        <v>0.66496469246375645</v>
      </c>
      <c r="CR5" s="41">
        <f>$G$9</f>
        <v>0.22858933810423337</v>
      </c>
      <c r="CS5" s="43">
        <f t="shared" ref="CS5:CS23" si="23">CS4+CR5</f>
        <v>0.59969884674686535</v>
      </c>
      <c r="CT5" s="38">
        <f t="shared" ref="CT5:CT23" si="24">IF((CO5+CR5+CU5)&lt;&gt;0,CS5/(CP5+CS5+CV5),NA())</f>
        <v>0.32804397902763094</v>
      </c>
      <c r="CU5" s="41">
        <f>$G$10</f>
        <v>3.3745258276126843E-3</v>
      </c>
      <c r="CV5" s="43">
        <f>CV4+CU5</f>
        <v>1.2780882783678007E-2</v>
      </c>
      <c r="CW5" s="38">
        <f t="shared" ref="CW5:CW23" si="25">IF((CO5+CR5+CU5)&lt;&gt;0,CV5/(CP5+CS5+CV5),NA())</f>
        <v>6.991328508612631E-3</v>
      </c>
      <c r="CX5" s="49"/>
      <c r="CY5" s="47" t="s">
        <v>185</v>
      </c>
      <c r="CZ5" s="41">
        <f>$G$11</f>
        <v>0.53585642306235071</v>
      </c>
      <c r="DA5" s="43">
        <f t="shared" ref="DA5:DA23" si="26">DA4+CZ5</f>
        <v>1.1583249468108487</v>
      </c>
      <c r="DB5" s="38">
        <f t="shared" ref="DB5:DB23" si="27">IF((CZ5+DC5+DF5)&lt;&gt;0,DA5/(DA5+DD5+DG5),NA())</f>
        <v>0.62891753328402078</v>
      </c>
      <c r="DC5" s="41">
        <f>$G$12</f>
        <v>0.27289609041950624</v>
      </c>
      <c r="DD5" s="43">
        <f t="shared" ref="DD5:DD23" si="28">DD4+DC5</f>
        <v>0.60701338883442157</v>
      </c>
      <c r="DE5" s="38">
        <f t="shared" ref="DE5:DE23" si="29">IF((CZ5+DC5+DF5)&lt;&gt;0,DD5/(DA5+DD5+DG5),NA())</f>
        <v>0.32958054147689797</v>
      </c>
      <c r="DF5" s="41">
        <f>$G$13</f>
        <v>3.3023054075338495E-2</v>
      </c>
      <c r="DG5" s="43">
        <f>DG4+DF5</f>
        <v>7.6437231911925196E-2</v>
      </c>
      <c r="DH5" s="38">
        <f t="shared" ref="DH5:DH23" si="30">IF((CZ5+DC5+DF5)&lt;&gt;0,DG5/(DA5+DD5+DG5),NA())</f>
        <v>4.1501925239081264E-2</v>
      </c>
      <c r="DI5" s="49"/>
      <c r="DJ5" s="47" t="s">
        <v>185</v>
      </c>
      <c r="DK5" s="41">
        <f>$G$14</f>
        <v>0.56941577492240381</v>
      </c>
      <c r="DL5" s="43">
        <f t="shared" ref="DL5:DL23" si="31">DL4+DK5</f>
        <v>1.0116390299072704</v>
      </c>
      <c r="DM5" s="38">
        <f t="shared" ref="DM5:DM23" si="32">IF((DK5+DN5+DQ5)&lt;&gt;0,DL5/(DL5+DO5+DR5),NA())</f>
        <v>0.54453039806972647</v>
      </c>
      <c r="DN5" s="41">
        <f>$G$15</f>
        <v>0.40268920180615836</v>
      </c>
      <c r="DO5" s="43">
        <f t="shared" ref="DO5:DO23" si="33">DO4+DN5</f>
        <v>0.81329048368552403</v>
      </c>
      <c r="DP5" s="38">
        <f t="shared" ref="DP5:DP23" si="34">IF((DK5+DN5+DQ5)&lt;&gt;0,DO5/(DL5+DO5+DR5),NA())</f>
        <v>0.43776621673858573</v>
      </c>
      <c r="DQ5" s="41">
        <f>$G$16</f>
        <v>2.7895023271437908E-2</v>
      </c>
      <c r="DR5" s="43">
        <f>DR4+DQ5</f>
        <v>3.2889688959293756E-2</v>
      </c>
      <c r="DS5" s="38">
        <f t="shared" ref="DS5:DS23" si="35">IF((DK5+DN5+DQ5)&lt;&gt;0,DR5/(DL5+DO5+DR5),NA())</f>
        <v>1.7703385191687734E-2</v>
      </c>
      <c r="DT5" s="49"/>
      <c r="DU5" s="47" t="s">
        <v>185</v>
      </c>
      <c r="DV5" s="41">
        <f>$G$17</f>
        <v>0.34406487515109885</v>
      </c>
      <c r="DW5" s="43">
        <f t="shared" ref="DW5:DW23" si="36">DW4+DV5</f>
        <v>0.72394328853929979</v>
      </c>
      <c r="DX5" s="38">
        <f t="shared" ref="DX5:DX23" si="37">IF((DV5+DY5+EB5)&lt;&gt;0,DW5/(DW5+DZ5+EC5),NA())</f>
        <v>0.39939037632299262</v>
      </c>
      <c r="DY5" s="41">
        <f>$G$18</f>
        <v>0.56224550619098512</v>
      </c>
      <c r="DZ5" s="43">
        <f t="shared" ref="DZ5:DZ23" si="38">DZ4+DY5</f>
        <v>1.0840632375480554</v>
      </c>
      <c r="EA5" s="38">
        <f t="shared" ref="EA5:EA23" si="39">IF((DV5+DY5+EB5)&lt;&gt;0,DZ5/(DW5+DZ5+EC5),NA())</f>
        <v>0.5980640075769359</v>
      </c>
      <c r="EB5" s="41">
        <f>$G$19</f>
        <v>0</v>
      </c>
      <c r="EC5" s="43">
        <f>EC4+EB5</f>
        <v>4.6142365968127805E-3</v>
      </c>
      <c r="ED5" s="38">
        <f t="shared" ref="ED5:ED23" si="40">IF((DV5+DY5+EB5)&lt;&gt;0,EC5/(DW5+DZ5+EC5),NA())</f>
        <v>2.5456161000715445E-3</v>
      </c>
      <c r="EE5" s="49"/>
      <c r="EF5" s="47" t="s">
        <v>185</v>
      </c>
      <c r="EG5" s="41">
        <f>$G$20</f>
        <v>0.48896584509282304</v>
      </c>
      <c r="EH5" s="43">
        <f t="shared" ref="EH5:EH23" si="41">EH4+EG5</f>
        <v>1.1390825784670606</v>
      </c>
      <c r="EI5" s="38">
        <f t="shared" ref="EI5:EI23" si="42">IF((EG5+EJ5+EM5)&lt;&gt;0,EH5/(EH5+EK5+EN5),NA())</f>
        <v>0.5695412892335302</v>
      </c>
      <c r="EJ5" s="41">
        <f>$G$21</f>
        <v>0.49812942051714737</v>
      </c>
      <c r="EK5" s="43">
        <f t="shared" ref="EK5:EK23" si="43">EK4+EJ5</f>
        <v>0.84801268714291012</v>
      </c>
      <c r="EL5" s="38">
        <f t="shared" ref="EL5:EL23" si="44">IF((EG5+EJ5+EM5)&lt;&gt;0,EK5/(EH5+EK5+EN5),NA())</f>
        <v>0.42400634357145495</v>
      </c>
      <c r="EM5" s="41">
        <f>$G$22</f>
        <v>1.2904734390029567E-2</v>
      </c>
      <c r="EN5" s="43">
        <f>EN4+EM5</f>
        <v>1.2904734390029567E-2</v>
      </c>
      <c r="EO5" s="38">
        <f t="shared" ref="EO5:EO23" si="45">IF((EG5+EJ5+EM5)&lt;&gt;0,EN5/(EH5+EK5+EN5),NA())</f>
        <v>6.4523671950147818E-3</v>
      </c>
      <c r="EP5" s="49"/>
      <c r="EQ5" s="47" t="s">
        <v>185</v>
      </c>
      <c r="ER5" s="41">
        <f>$G$23</f>
        <v>0.43435945826090649</v>
      </c>
      <c r="ES5" s="43">
        <f t="shared" ref="ES5:ES23" si="46">ES4+ER5</f>
        <v>0.61779946049359258</v>
      </c>
      <c r="ET5" s="38">
        <f t="shared" ref="ET5:ET23" si="47">IF((ER5+EU5+EX5)&lt;&gt;0,ES5/(ES5+EV5+EY5),NA())</f>
        <v>0.5876843484792762</v>
      </c>
      <c r="EU5" s="41">
        <f>$G$24</f>
        <v>0.30796706005425784</v>
      </c>
      <c r="EV5" s="43">
        <f t="shared" ref="EV5:EV23" si="48">EV4+EU5</f>
        <v>0.40037060377464517</v>
      </c>
      <c r="EW5" s="38">
        <f t="shared" ref="EW5:EW23" si="49">IF((ER5+EU5+EX5)&lt;&gt;0,EV5/(ES5+EV5+EY5),NA())</f>
        <v>0.38085422936687247</v>
      </c>
      <c r="EX5" s="41">
        <f>$G$25</f>
        <v>2.8570116147580517E-2</v>
      </c>
      <c r="EY5" s="43">
        <f>EY4+EX5</f>
        <v>3.3073621380774104E-2</v>
      </c>
      <c r="EZ5" s="38">
        <f t="shared" ref="EZ5:EZ23" si="50">IF((ER5+EU5+EX5)&lt;&gt;0,EY5/(ES5+EV5+EY5),NA())</f>
        <v>3.1461422153851289E-2</v>
      </c>
      <c r="FA5" s="49"/>
      <c r="FB5" s="47" t="s">
        <v>185</v>
      </c>
      <c r="FC5" s="41">
        <f>$G$26</f>
        <v>0.51906524014270961</v>
      </c>
      <c r="FD5" s="43">
        <f t="shared" ref="FD5:FD23" si="51">FD4+FC5</f>
        <v>0.63019799119515996</v>
      </c>
      <c r="FE5" s="38">
        <f t="shared" ref="FE5:FE23" si="52">IF((FC5+FF5+FI5)&lt;&gt;0,FD5/(FD5+FG5+FJ5),NA())</f>
        <v>0.41246547969824554</v>
      </c>
      <c r="FF5" s="41">
        <f>$G$27</f>
        <v>0.45454073148233354</v>
      </c>
      <c r="FG5" s="43">
        <f t="shared" ref="FG5:FG23" si="53">FG4+FF5</f>
        <v>0.87128854792902222</v>
      </c>
      <c r="FH5" s="38">
        <f t="shared" ref="FH5:FH23" si="54">IF((FC5+FF5+FI5)&lt;&gt;0,FG5/(FD5+FG5+FJ5),NA())</f>
        <v>0.57025959126842107</v>
      </c>
      <c r="FI5" s="41">
        <f>$G$28</f>
        <v>2.6394028374956951E-2</v>
      </c>
      <c r="FJ5" s="43">
        <f>FJ4+FI5</f>
        <v>2.6394028374956951E-2</v>
      </c>
      <c r="FK5" s="38">
        <f t="shared" ref="FK5:FK23" si="55">IF((FC5+FF5+FI5)&lt;&gt;0,FJ5/(FD5+FG5+FJ5),NA())</f>
        <v>1.7274929033333507E-2</v>
      </c>
      <c r="FL5" s="49"/>
      <c r="FM5" s="47" t="s">
        <v>185</v>
      </c>
      <c r="FN5" s="41">
        <f>$G$29</f>
        <v>0</v>
      </c>
      <c r="FO5" s="43">
        <f t="shared" ref="FO5:FO23" si="56">FO4+FN5</f>
        <v>0</v>
      </c>
      <c r="FP5" s="38" t="e">
        <f t="shared" ref="FP5:FP23" si="57">IF((FN5+FQ5+FT5)&lt;&gt;0,FO5/(FO5+FR5+FU5),NA())</f>
        <v>#N/A</v>
      </c>
      <c r="FQ5" s="41">
        <f>$G$30</f>
        <v>0</v>
      </c>
      <c r="FR5" s="43">
        <f t="shared" ref="FR5:FR23" si="58">FR4+FQ5</f>
        <v>0</v>
      </c>
      <c r="FS5" s="38" t="e">
        <f t="shared" ref="FS5:FS23" si="59">IF((FN5+FQ5+FT5)&lt;&gt;0,FR5/(FO5+FR5+FU5),NA())</f>
        <v>#N/A</v>
      </c>
      <c r="FT5" s="41">
        <f>$G$31</f>
        <v>0</v>
      </c>
      <c r="FU5" s="43">
        <f>FU4+FT5</f>
        <v>0</v>
      </c>
      <c r="FV5" s="38" t="e">
        <f t="shared" ref="FV5:FV23" si="60">IF((FN5+FQ5+FT5)&lt;&gt;0,FU5/(FO5+FR5+FU5),NA())</f>
        <v>#N/A</v>
      </c>
      <c r="FW5" s="49"/>
      <c r="FX5" s="47" t="s">
        <v>185</v>
      </c>
      <c r="FY5" s="41">
        <f>$G$32</f>
        <v>0.346627935358366</v>
      </c>
      <c r="FZ5" s="43">
        <f t="shared" ref="FZ5:FZ23" si="61">FZ4+FY5</f>
        <v>0.6246239650030132</v>
      </c>
      <c r="GA5" s="38">
        <f t="shared" ref="GA5:GA23" si="62">IF((FY5+GB5+GE5)&lt;&gt;0,FZ5/(FZ5+GC5+GF5),NA())</f>
        <v>0.45806476985154904</v>
      </c>
      <c r="GB5" s="41">
        <f>$G$33</f>
        <v>0.30710299127596008</v>
      </c>
      <c r="GC5" s="43">
        <f t="shared" ref="GC5:GC23" si="63">GC4+GB5</f>
        <v>0.69415922339792324</v>
      </c>
      <c r="GD5" s="38">
        <f t="shared" ref="GD5:GD23" si="64">IF((FY5+GB5+GE5)&lt;&gt;0,GC5/(FZ5+GC5+GF5),NA())</f>
        <v>0.50905809370373079</v>
      </c>
      <c r="GE5" s="41">
        <f>$G$34</f>
        <v>2.0942334155027113E-2</v>
      </c>
      <c r="GF5" s="43">
        <f>GF4+GE5</f>
        <v>4.4831754537030866E-2</v>
      </c>
      <c r="GG5" s="38">
        <f t="shared" ref="GG5:GG23" si="65">IF((FY5+GB5+GE5)&lt;&gt;0,GF5/(FZ5+GC5+GF5),NA())</f>
        <v>3.2877136444720172E-2</v>
      </c>
      <c r="GH5" s="49"/>
      <c r="GI5" s="47" t="s">
        <v>185</v>
      </c>
      <c r="GJ5" s="41">
        <f>$G$35</f>
        <v>0.35286956162319505</v>
      </c>
      <c r="GK5" s="43">
        <f t="shared" ref="GK5:GK23" si="66">GK4+GJ5</f>
        <v>1.2360553003648294</v>
      </c>
      <c r="GL5" s="38">
        <f t="shared" ref="GL5:GL23" si="67">IF((GJ5+GM5+GP5)&lt;&gt;0,GK5/(GK5+GN5+GQ5),NA())</f>
        <v>0.83743401116688443</v>
      </c>
      <c r="GM5" s="41">
        <f>$G$36</f>
        <v>0.12313366237113892</v>
      </c>
      <c r="GN5" s="43">
        <f t="shared" ref="GN5:GN23" si="68">GN4+GM5</f>
        <v>0.23994792362950557</v>
      </c>
      <c r="GO5" s="38">
        <f t="shared" ref="GO5:GO23" si="69">IF((GJ5+GM5+GP5)&lt;&gt;0,GN5/(GK5+GN5+GQ5),NA())</f>
        <v>0.16256598883311552</v>
      </c>
      <c r="GP5" s="41">
        <f>$G$37</f>
        <v>0</v>
      </c>
      <c r="GQ5" s="43">
        <f>GQ4+GP5</f>
        <v>0</v>
      </c>
      <c r="GR5" s="38">
        <f t="shared" ref="GR5:GR23" si="70">IF((GJ5+GM5+GP5)&lt;&gt;0,GQ5/(GK5+GN5+GQ5),NA())</f>
        <v>0</v>
      </c>
      <c r="GS5" s="49"/>
      <c r="GT5" s="47" t="s">
        <v>185</v>
      </c>
      <c r="GU5" s="41">
        <f>$G$38</f>
        <v>0.147477069519211</v>
      </c>
      <c r="GV5" s="43">
        <f t="shared" ref="GV5:GV23" si="71">GV4+GU5</f>
        <v>0.60859881556424178</v>
      </c>
      <c r="GW5" s="38">
        <f t="shared" ref="GW5:GW23" si="72">IF((GU5+GX5+HA5)&lt;&gt;0,GV5/(GV5+GY5+HB5),NA())</f>
        <v>0.67546792401088729</v>
      </c>
      <c r="GX5" s="41">
        <f>$G$39</f>
        <v>0</v>
      </c>
      <c r="GY5" s="43">
        <f t="shared" ref="GY5:GY23" si="73">GY4+GX5</f>
        <v>0.27971646922882015</v>
      </c>
      <c r="GZ5" s="38">
        <f t="shared" ref="GZ5:GZ23" si="74">IF((GU5+GX5+HA5)&lt;&gt;0,GY5/(GV5+GY5+HB5),NA())</f>
        <v>0.31045000080468038</v>
      </c>
      <c r="HA5" s="41">
        <f>$G$40</f>
        <v>0</v>
      </c>
      <c r="HB5" s="43">
        <f>HB4+HA5</f>
        <v>1.268799594071315E-2</v>
      </c>
      <c r="HC5" s="38">
        <f t="shared" ref="HC5:HC23" si="75">IF((GU5+GX5+HA5)&lt;&gt;0,HB5/(GV5+GY5+HB5),NA())</f>
        <v>1.4082075184432262E-2</v>
      </c>
      <c r="HD5" s="49"/>
      <c r="HE5" s="47" t="s">
        <v>185</v>
      </c>
      <c r="HF5" s="41">
        <f>$G$41</f>
        <v>0.52775905506437104</v>
      </c>
      <c r="HG5" s="43">
        <f t="shared" ref="HG5:HG23" si="76">HG4+HF5</f>
        <v>1.0077107253923905</v>
      </c>
      <c r="HH5" s="38">
        <f t="shared" ref="HH5:HH23" si="77">IF((HF5+HI5+HL5)&lt;&gt;0,HG5/(HG5+HJ5+HM5),NA())</f>
        <v>0.50385536269619513</v>
      </c>
      <c r="HI5" s="41">
        <f>$G$42</f>
        <v>0.47224094493562929</v>
      </c>
      <c r="HJ5" s="43">
        <f t="shared" ref="HJ5:HJ23" si="78">HJ4+HI5</f>
        <v>0.99167741610482307</v>
      </c>
      <c r="HK5" s="38">
        <f t="shared" ref="HK5:HK23" si="79">IF((HF5+HI5+HL5)&lt;&gt;0,HJ5/(HG5+HJ5+HM5),NA())</f>
        <v>0.49583870805241143</v>
      </c>
      <c r="HL5" s="41">
        <f>$G$43</f>
        <v>0</v>
      </c>
      <c r="HM5" s="43">
        <f>HM4+HL5</f>
        <v>6.1185850278688727E-4</v>
      </c>
      <c r="HN5" s="38">
        <f t="shared" ref="HN5:HN23" si="80">IF((HF5+HI5+HL5)&lt;&gt;0,HM5/(HG5+HJ5+HM5),NA())</f>
        <v>3.0592925139344358E-4</v>
      </c>
      <c r="HO5" s="49"/>
      <c r="HP5" s="47" t="s">
        <v>185</v>
      </c>
      <c r="HQ5" s="41">
        <f>$G$44</f>
        <v>0.54748456486692965</v>
      </c>
      <c r="HR5" s="43">
        <f t="shared" ref="HR5:HR23" si="81">HR4+HQ5</f>
        <v>1.1618924120918601</v>
      </c>
      <c r="HS5" s="38">
        <f t="shared" ref="HS5:HS23" si="82">IF((HQ5+HT5+HW5)&lt;&gt;0,HR5/(HR5+HU5+HX5),NA())</f>
        <v>0.5809462060459295</v>
      </c>
      <c r="HT5" s="41">
        <f>$G$45</f>
        <v>0.44180715242336044</v>
      </c>
      <c r="HU5" s="43">
        <f t="shared" ref="HU5:HU23" si="83">HU4+HT5</f>
        <v>0.8132800274108658</v>
      </c>
      <c r="HV5" s="38">
        <f t="shared" ref="HV5:HV23" si="84">IF((HQ5+HT5+HW5)&lt;&gt;0,HU5/(HR5+HU5+HX5),NA())</f>
        <v>0.40664001370543251</v>
      </c>
      <c r="HW5" s="41">
        <f>$G$46</f>
        <v>1.070828270971085E-2</v>
      </c>
      <c r="HX5" s="43">
        <f>HX4+HW5</f>
        <v>2.4827560497275837E-2</v>
      </c>
      <c r="HY5" s="38">
        <f t="shared" ref="HY5:HY23" si="85">IF((HQ5+HT5+HW5)&lt;&gt;0,HX5/(HR5+HU5+HX5),NA())</f>
        <v>1.2413780248637908E-2</v>
      </c>
      <c r="HZ5" s="49"/>
      <c r="IA5" s="47" t="s">
        <v>185</v>
      </c>
      <c r="IB5" s="41">
        <f>$G$47</f>
        <v>0.2392800818225885</v>
      </c>
      <c r="IC5" s="43">
        <f t="shared" ref="IC5:IC23" si="86">IC4+IB5</f>
        <v>0.55315907322898306</v>
      </c>
      <c r="ID5" s="38">
        <f t="shared" ref="ID5:ID23" si="87">IF((IB5+IE5+IH5)&lt;&gt;0,IC5/(IC5+IF5+II5),NA())</f>
        <v>0.34641328645096409</v>
      </c>
      <c r="IE5" s="41">
        <f>$G$48</f>
        <v>0.52174817967927012</v>
      </c>
      <c r="IF5" s="43">
        <f t="shared" ref="IF5:IF23" si="88">IF4+IE5</f>
        <v>1.0168033082222792</v>
      </c>
      <c r="IG5" s="38">
        <f t="shared" ref="IG5:IG23" si="89">IF((IB5+IE5+IH5)&lt;&gt;0,IF5/(IC5+IF5+II5),NA())</f>
        <v>0.63676832347588219</v>
      </c>
      <c r="IH5" s="41">
        <f>$G$49</f>
        <v>9.8218877299656492E-4</v>
      </c>
      <c r="II5" s="43">
        <f>II4+IH5</f>
        <v>2.6855912951208687E-2</v>
      </c>
      <c r="IJ5" s="38">
        <f t="shared" ref="IJ5:IJ23" si="90">IF((IB5+IE5+IH5)&lt;&gt;0,II5/(IC5+IF5+II5),NA())</f>
        <v>1.6818390073153666E-2</v>
      </c>
      <c r="IK5" s="49"/>
      <c r="IL5" s="47" t="s">
        <v>185</v>
      </c>
      <c r="IM5" s="41">
        <f>$G$50</f>
        <v>0.27716265826479042</v>
      </c>
      <c r="IN5" s="43">
        <f t="shared" ref="IN5:IN23" si="91">IN4+IM5</f>
        <v>0.68870685731925907</v>
      </c>
      <c r="IO5" s="38">
        <f t="shared" ref="IO5:IO23" si="92">IF((IM5+IP5+IS5)&lt;&gt;0,IN5/(IN5+IQ5+IT5),NA())</f>
        <v>0.34435342865962959</v>
      </c>
      <c r="IP5" s="41">
        <f>$G$51</f>
        <v>0.72028084552189064</v>
      </c>
      <c r="IQ5" s="43">
        <f t="shared" ref="IQ5:IQ23" si="93">IQ4+IP5</f>
        <v>1.3036236540407842</v>
      </c>
      <c r="IR5" s="38">
        <f t="shared" ref="IR5:IR23" si="94">IF((IM5+IP5+IS5)&lt;&gt;0,IQ5/(IN5+IQ5+IT5),NA())</f>
        <v>0.6518118270203922</v>
      </c>
      <c r="IS5" s="41">
        <f>$G$52</f>
        <v>2.5564962133187998E-3</v>
      </c>
      <c r="IT5" s="43">
        <f>IT4+IS5</f>
        <v>7.669488639956399E-3</v>
      </c>
      <c r="IU5" s="38">
        <f t="shared" ref="IU5:IU23" si="95">IF((IM5+IP5+IS5)&lt;&gt;0,IT5/(IN5+IQ5+IT5),NA())</f>
        <v>3.8347443199782004E-3</v>
      </c>
      <c r="IV5" s="49"/>
      <c r="IW5" s="47" t="s">
        <v>185</v>
      </c>
      <c r="IX5" s="41">
        <f>$G$53</f>
        <v>0.67271960117517615</v>
      </c>
      <c r="IY5" s="43">
        <f t="shared" ref="IY5:IY23" si="96">IY4+IX5</f>
        <v>1.0445011988127695</v>
      </c>
      <c r="IZ5" s="38">
        <f t="shared" ref="IZ5:IZ23" si="97">IF((IX5+JA5+JD5)&lt;&gt;0,IY5/(IY5+JB5+JE5),NA())</f>
        <v>0.58455632053564577</v>
      </c>
      <c r="JA5" s="41">
        <f>$G$54</f>
        <v>0.28701633045527647</v>
      </c>
      <c r="JB5" s="43">
        <f t="shared" ref="JB5:JB23" si="98">JB4+JA5</f>
        <v>0.62153390786894436</v>
      </c>
      <c r="JC5" s="38">
        <f t="shared" ref="JC5:JC23" si="99">IF((IX5+JA5+JD5)&lt;&gt;0,JB5/(IY5+JB5+JE5),NA())</f>
        <v>0.34784218025310071</v>
      </c>
      <c r="JD5" s="41">
        <f>$G$55</f>
        <v>4.02640683695474E-2</v>
      </c>
      <c r="JE5" s="43">
        <f>JE4+JD5</f>
        <v>0.12079220510864219</v>
      </c>
      <c r="JF5" s="38">
        <f t="shared" ref="JF5:JF23" si="100">IF((IX5+JA5+JD5)&lt;&gt;0,JE5/(IY5+JB5+JE5),NA())</f>
        <v>6.7601499211253635E-2</v>
      </c>
      <c r="JG5" s="49"/>
      <c r="JH5" s="47" t="s">
        <v>185</v>
      </c>
      <c r="JI5" s="41">
        <f>$G$56</f>
        <v>0.87737385808016666</v>
      </c>
      <c r="JJ5" s="43">
        <f t="shared" ref="JJ5:JJ23" si="101">JJ4+JI5</f>
        <v>1.1774633752249906</v>
      </c>
      <c r="JK5" s="38">
        <f t="shared" ref="JK5:JK23" si="102">IF((JI5+JL5+JO5)&lt;&gt;0,JJ5/(JJ5+JM5+JP5),NA())</f>
        <v>0.77404870646944846</v>
      </c>
      <c r="JL5" s="41">
        <f>$G$57</f>
        <v>0.11598214969258341</v>
      </c>
      <c r="JM5" s="43">
        <f t="shared" ref="JM5:JM23" si="103">JM4+JL5</f>
        <v>0.33372551095120928</v>
      </c>
      <c r="JN5" s="38">
        <f t="shared" ref="JN5:JN23" si="104">IF((JI5+JL5+JO5)&lt;&gt;0,JM5/(JJ5+JM5+JP5),NA())</f>
        <v>0.21938669643824746</v>
      </c>
      <c r="JO5" s="41">
        <f>$G$58</f>
        <v>6.6439922272502417E-3</v>
      </c>
      <c r="JP5" s="43">
        <f>JP4+JO5</f>
        <v>9.9858995754315994E-3</v>
      </c>
      <c r="JQ5" s="38">
        <f t="shared" ref="JQ5:JQ23" si="105">IF((JI5+JL5+JO5)&lt;&gt;0,JP5/(JJ5+JM5+JP5),NA())</f>
        <v>6.5645970923041844E-3</v>
      </c>
      <c r="JR5" s="49"/>
      <c r="JS5" s="47" t="s">
        <v>185</v>
      </c>
      <c r="JT5" s="41">
        <f>$G$59</f>
        <v>0.54518465785579107</v>
      </c>
      <c r="JU5" s="43">
        <f t="shared" ref="JU5:JU23" si="106">JU4+JT5</f>
        <v>0.96802393261867881</v>
      </c>
      <c r="JV5" s="38">
        <f t="shared" ref="JV5:JV23" si="107">IF((JT5+JW5+JZ5)&lt;&gt;0,JU5/(JU5+JX5+KA5),NA())</f>
        <v>0.55328841665340389</v>
      </c>
      <c r="JW5" s="41">
        <f>$G$60</f>
        <v>0.35886885529535029</v>
      </c>
      <c r="JX5" s="43">
        <f t="shared" ref="JX5:JX23" si="108">JX4+JW5</f>
        <v>0.76589327250207151</v>
      </c>
      <c r="JY5" s="38">
        <f t="shared" ref="JY5:JY23" si="109">IF((JT5+JW5+JZ5)&lt;&gt;0,JX5/(JU5+JX5+KA5),NA())</f>
        <v>0.43775764398904732</v>
      </c>
      <c r="JZ5" s="41">
        <f>$G$61</f>
        <v>7.0381945625974081E-3</v>
      </c>
      <c r="KA5" s="43">
        <f>KA4+JZ5</f>
        <v>1.5665658865136167E-2</v>
      </c>
      <c r="KB5" s="38">
        <f t="shared" ref="KB5:KB23" si="110">IF((JT5+JW5+JZ5)&lt;&gt;0,KA5/(JU5+JX5+KA5),NA())</f>
        <v>8.9539393575487937E-3</v>
      </c>
      <c r="KC5" s="49"/>
      <c r="KD5" s="47" t="s">
        <v>185</v>
      </c>
      <c r="KE5" s="41">
        <f>$G$62</f>
        <v>0.22742758080328407</v>
      </c>
      <c r="KF5" s="43">
        <f t="shared" ref="KF5:KF23" si="111">KF4+KE5</f>
        <v>0.57664594422100957</v>
      </c>
      <c r="KG5" s="38">
        <f t="shared" ref="KG5:KG23" si="112">IF((KE5+KH5+KK5)&lt;&gt;0,KF5/(KF5+KI5+KL5),NA())</f>
        <v>0.31789105878172935</v>
      </c>
      <c r="KH5" s="41">
        <f>$G$63</f>
        <v>0.64516658131419291</v>
      </c>
      <c r="KI5" s="43">
        <f t="shared" ref="KI5:KI23" si="113">KI4+KH5</f>
        <v>1.2135030077310018</v>
      </c>
      <c r="KJ5" s="38">
        <f t="shared" ref="KJ5:KJ23" si="114">IF((KE5+KH5+KK5)&lt;&gt;0,KI5/(KF5+KI5+KL5),NA())</f>
        <v>0.66897506143660901</v>
      </c>
      <c r="KK5" s="41">
        <f>$G$64</f>
        <v>1.2315472866500881E-2</v>
      </c>
      <c r="KL5" s="43">
        <f>KL4+KK5</f>
        <v>2.3824509368103181E-2</v>
      </c>
      <c r="KM5" s="38">
        <f t="shared" ref="KM5:KM23" si="115">IF((KE5+KH5+KK5)&lt;&gt;0,KL5/(KF5+KI5+KL5),NA())</f>
        <v>1.3133879781661721E-2</v>
      </c>
      <c r="KN5" s="49"/>
      <c r="KO5" s="47" t="s">
        <v>185</v>
      </c>
      <c r="KP5" s="41">
        <f>$G$65</f>
        <v>0.66751283814913331</v>
      </c>
      <c r="KQ5" s="43">
        <f t="shared" ref="KQ5:KQ23" si="116">KQ4+KP5</f>
        <v>1.2848433848256351</v>
      </c>
      <c r="KR5" s="38">
        <f t="shared" ref="KR5:KR23" si="117">IF((KP5+KS5+KV5)&lt;&gt;0,KQ5/(KQ5+KT5+KW5),NA())</f>
        <v>0.68675886229288141</v>
      </c>
      <c r="KS5" s="41">
        <f>$G$66</f>
        <v>0.33248716185086657</v>
      </c>
      <c r="KT5" s="43">
        <f t="shared" ref="KT5:KT23" si="118">KT4+KS5</f>
        <v>0.57522057230157475</v>
      </c>
      <c r="KU5" s="38">
        <f t="shared" ref="KU5:KU23" si="119">IF((KP5+KS5+KV5)&lt;&gt;0,KT5/(KQ5+KT5+KW5),NA())</f>
        <v>0.30745990559378555</v>
      </c>
      <c r="KV5" s="41">
        <f>$G$67</f>
        <v>0</v>
      </c>
      <c r="KW5" s="43">
        <f>KW4+KV5</f>
        <v>1.081599123767797E-2</v>
      </c>
      <c r="KX5" s="38">
        <f t="shared" ref="KX5:KX23" si="120">IF((KP5+KS5+KV5)&lt;&gt;0,KW5/(KQ5+KT5+KW5),NA())</f>
        <v>5.7812321133330511E-3</v>
      </c>
      <c r="KY5" s="49"/>
      <c r="KZ5" s="47" t="s">
        <v>185</v>
      </c>
      <c r="LA5" s="41">
        <f>$G$68</f>
        <v>0.4478000426098151</v>
      </c>
      <c r="LB5" s="43">
        <f t="shared" ref="LB5:LB23" si="121">LB4+LA5</f>
        <v>0.79586025319220299</v>
      </c>
      <c r="LC5" s="38">
        <f t="shared" ref="LC5:LC23" si="122">IF((LA5+LD5+LG5)&lt;&gt;0,LB5/(LB5+LE5+LH5),NA())</f>
        <v>0.64042608245447152</v>
      </c>
      <c r="LD5" s="41">
        <f>$G$69</f>
        <v>0.29021696249794626</v>
      </c>
      <c r="LE5" s="43">
        <f t="shared" ref="LE5:LE23" si="123">LE4+LD5</f>
        <v>0.44684405726002085</v>
      </c>
      <c r="LF5" s="38">
        <f t="shared" ref="LF5:LF23" si="124">IF((LA5+LD5+LG5)&lt;&gt;0,LE5/(LB5+LE5+LH5),NA())</f>
        <v>0.35957391754552859</v>
      </c>
      <c r="LG5" s="41">
        <f>$G$70</f>
        <v>0</v>
      </c>
      <c r="LH5" s="43">
        <f>LH4+LG5</f>
        <v>0</v>
      </c>
      <c r="LI5" s="38">
        <f t="shared" ref="LI5:LI23" si="125">IF((LA5+LD5+LG5)&lt;&gt;0,LH5/(LB5+LE5+LH5),NA())</f>
        <v>0</v>
      </c>
      <c r="LJ5" s="49"/>
      <c r="LK5" s="47" t="s">
        <v>185</v>
      </c>
      <c r="LL5" s="41">
        <f>$G$71</f>
        <v>0.49452774826345702</v>
      </c>
      <c r="LM5" s="43">
        <f t="shared" ref="LM5:LM23" si="126">LM4+LL5</f>
        <v>1.0423715967960887</v>
      </c>
      <c r="LN5" s="38">
        <f t="shared" ref="LN5:LN23" si="127">IF((LL5+LO5+LR5)&lt;&gt;0,LM5/(LM5+LP5+LS5),NA())</f>
        <v>0.59434667530817609</v>
      </c>
      <c r="LO5" s="41">
        <f>$G$72</f>
        <v>0.2592830158930115</v>
      </c>
      <c r="LP5" s="43">
        <f t="shared" ref="LP5:LP23" si="128">LP4+LO5</f>
        <v>0.70200507252396172</v>
      </c>
      <c r="LQ5" s="38">
        <f t="shared" ref="LQ5:LQ23" si="129">IF((LL5+LO5+LR5)&lt;&gt;0,LP5/(LM5+LP5+LS5),NA())</f>
        <v>0.40027412698747211</v>
      </c>
      <c r="LR5" s="41">
        <f>$G$73</f>
        <v>0</v>
      </c>
      <c r="LS5" s="43">
        <f>LS4+LR5</f>
        <v>9.4340948364179684E-3</v>
      </c>
      <c r="LT5" s="38">
        <f t="shared" ref="LT5:LT23" si="130">IF((LL5+LO5+LR5)&lt;&gt;0,LS5/(LM5+LP5+LS5),NA())</f>
        <v>5.37919770435181E-3</v>
      </c>
      <c r="LU5" s="49"/>
      <c r="LV5" s="47" t="s">
        <v>185</v>
      </c>
      <c r="LW5" s="41">
        <f>$G$74</f>
        <v>0.60372223745573184</v>
      </c>
      <c r="LX5" s="43">
        <f t="shared" ref="LX5:LX23" si="131">LX4+LW5</f>
        <v>1.0382529879832845</v>
      </c>
      <c r="LY5" s="38">
        <f t="shared" ref="LY5:LY23" si="132">IF((LW5+LZ5+MC5)&lt;&gt;0,LX5/(LX5+MA5+MD5),NA())</f>
        <v>0.55632810314096159</v>
      </c>
      <c r="LZ5" s="41">
        <f>$G$75</f>
        <v>0.35977593808323494</v>
      </c>
      <c r="MA5" s="43">
        <f t="shared" ref="MA5:MA23" si="133">MA4+LZ5</f>
        <v>0.81463223755476277</v>
      </c>
      <c r="MB5" s="38">
        <f t="shared" ref="MB5:MB23" si="134">IF((LW5+LZ5+MC5)&lt;&gt;0,MA5/(LX5+MA5+MD5),NA())</f>
        <v>0.43650518006851596</v>
      </c>
      <c r="MC5" s="41">
        <f>$G$76</f>
        <v>1.2022982219348638E-2</v>
      </c>
      <c r="MD5" s="43">
        <f>MD4+MC5</f>
        <v>1.3374958194237783E-2</v>
      </c>
      <c r="ME5" s="38">
        <f t="shared" ref="ME5:ME23" si="135">IF((LW5+LZ5+MC5)&lt;&gt;0,MD5/(LX5+MA5+MD5),NA())</f>
        <v>7.166716790522506E-3</v>
      </c>
    </row>
    <row r="6" spans="2:343" ht="14.25" customHeight="1" x14ac:dyDescent="0.2">
      <c r="B6" s="136">
        <f>E6/SUM($E$5:$E$7)</f>
        <v>0.40206185567010311</v>
      </c>
      <c r="C6" s="137" t="s">
        <v>1</v>
      </c>
      <c r="D6" s="138" t="s">
        <v>31</v>
      </c>
      <c r="E6" s="168">
        <f>CORE!E7</f>
        <v>0.40206185567010311</v>
      </c>
      <c r="F6" s="168">
        <f>CORE!F7</f>
        <v>0.61290322580645162</v>
      </c>
      <c r="G6" s="168">
        <f>CORE!G7</f>
        <v>0.33333333333333331</v>
      </c>
      <c r="H6" s="168">
        <f>CORE!H7</f>
        <v>0</v>
      </c>
      <c r="I6" s="168">
        <f>CORE!I7</f>
        <v>0.52941176470588236</v>
      </c>
      <c r="J6" s="168">
        <f>CORE!J7</f>
        <v>0.45714285714285713</v>
      </c>
      <c r="K6" s="168">
        <f>CORE!K7</f>
        <v>0</v>
      </c>
      <c r="L6" s="168">
        <f>CORE!L7</f>
        <v>1</v>
      </c>
      <c r="M6" s="168">
        <f>CORE!M7</f>
        <v>0.25</v>
      </c>
      <c r="N6" s="168">
        <f>CORE!N7</f>
        <v>0.12</v>
      </c>
      <c r="O6" s="168">
        <f>CORE!O7</f>
        <v>0.5757575757575758</v>
      </c>
      <c r="P6" s="168">
        <f>CORE!P7</f>
        <v>0.19354838709677419</v>
      </c>
      <c r="Q6" s="168">
        <f>CORE!Q7</f>
        <v>0</v>
      </c>
      <c r="R6" s="168">
        <f>CORE!R7</f>
        <v>0.16666666666666666</v>
      </c>
      <c r="S6" s="168">
        <f>CORE!S7</f>
        <v>0</v>
      </c>
      <c r="T6" s="168">
        <f>CORE!T7</f>
        <v>0</v>
      </c>
      <c r="U6" s="168">
        <f>CORE!U7</f>
        <v>0</v>
      </c>
      <c r="V6" s="168">
        <f>CORE!V7</f>
        <v>0</v>
      </c>
      <c r="W6" s="168">
        <f>CORE!W7</f>
        <v>0</v>
      </c>
      <c r="X6" s="168">
        <f>CORE!X7</f>
        <v>0</v>
      </c>
      <c r="Y6" s="169">
        <f>CORE!Y7</f>
        <v>0</v>
      </c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2"/>
      <c r="AQ6" s="33">
        <v>0.51210801187107746</v>
      </c>
      <c r="AR6" s="10">
        <f>AU6/SUM($AU5:$AU7)</f>
        <v>0.40206185567010311</v>
      </c>
      <c r="AS6" s="119" t="s">
        <v>1</v>
      </c>
      <c r="AT6" s="8" t="s">
        <v>31</v>
      </c>
      <c r="AU6" s="123">
        <f>IF((E5+E6+E7)=0,1,E6/(E5+E6+E7)*$AQ6)</f>
        <v>0.20589909755641259</v>
      </c>
      <c r="AV6" s="123">
        <f t="shared" ref="AV6:BO6" si="136">IF((F5+F6+F7)=0,0,F6/(F5+F6+F7)*$AQ6)</f>
        <v>0.31387265243711199</v>
      </c>
      <c r="AW6" s="123">
        <f t="shared" si="136"/>
        <v>0.17070267062369249</v>
      </c>
      <c r="AX6" s="123">
        <f t="shared" si="136"/>
        <v>0</v>
      </c>
      <c r="AY6" s="123">
        <f t="shared" si="136"/>
        <v>0.27111600628468807</v>
      </c>
      <c r="AZ6" s="123">
        <f t="shared" si="136"/>
        <v>0.23410651971249258</v>
      </c>
      <c r="BA6" s="123">
        <f t="shared" si="136"/>
        <v>0</v>
      </c>
      <c r="BB6" s="123">
        <f t="shared" si="136"/>
        <v>0.51210801187107746</v>
      </c>
      <c r="BC6" s="123">
        <f t="shared" si="136"/>
        <v>0.12802700296776937</v>
      </c>
      <c r="BD6" s="123">
        <f t="shared" si="136"/>
        <v>6.1452961424529294E-2</v>
      </c>
      <c r="BE6" s="123">
        <f t="shared" si="136"/>
        <v>0.2948500674409234</v>
      </c>
      <c r="BF6" s="123">
        <f t="shared" si="136"/>
        <v>9.9117679716982737E-2</v>
      </c>
      <c r="BG6" s="123">
        <f t="shared" si="136"/>
        <v>0</v>
      </c>
      <c r="BH6" s="123">
        <f t="shared" si="136"/>
        <v>8.5351335311846244E-2</v>
      </c>
      <c r="BI6" s="123">
        <f t="shared" si="136"/>
        <v>0</v>
      </c>
      <c r="BJ6" s="123">
        <f t="shared" si="136"/>
        <v>0</v>
      </c>
      <c r="BK6" s="123">
        <f t="shared" si="136"/>
        <v>0</v>
      </c>
      <c r="BL6" s="123">
        <f t="shared" si="136"/>
        <v>0</v>
      </c>
      <c r="BM6" s="123">
        <f t="shared" si="136"/>
        <v>0</v>
      </c>
      <c r="BN6" s="123">
        <f t="shared" si="136"/>
        <v>0</v>
      </c>
      <c r="BO6" s="124">
        <f t="shared" si="136"/>
        <v>0</v>
      </c>
      <c r="BP6" s="29">
        <v>3</v>
      </c>
      <c r="BQ6" s="47" t="s">
        <v>187</v>
      </c>
      <c r="BR6" s="47" t="s">
        <v>188</v>
      </c>
      <c r="BS6" s="41">
        <f>AX2</f>
        <v>52.68380169884729</v>
      </c>
      <c r="BT6" s="43">
        <f t="shared" si="10"/>
        <v>159.43950517883286</v>
      </c>
      <c r="BU6" s="38">
        <f t="shared" si="11"/>
        <v>0.53560518830165416</v>
      </c>
      <c r="BV6" s="41">
        <f>AX3</f>
        <v>44.990201673253374</v>
      </c>
      <c r="BW6" s="43">
        <f t="shared" si="12"/>
        <v>134.34032141730231</v>
      </c>
      <c r="BX6" s="38">
        <f t="shared" si="13"/>
        <v>0.45128949107383109</v>
      </c>
      <c r="BY6" s="41">
        <f>AX4</f>
        <v>1.2116019412712622</v>
      </c>
      <c r="BZ6" s="43">
        <f>BZ5+BY6</f>
        <v>3.9012053677227665</v>
      </c>
      <c r="CA6" s="38">
        <f t="shared" si="15"/>
        <v>1.3105320624514697E-2</v>
      </c>
      <c r="CB6" s="49"/>
      <c r="CC6" s="47" t="s">
        <v>186</v>
      </c>
      <c r="CD6" s="41">
        <f>$H$5</f>
        <v>0</v>
      </c>
      <c r="CE6" s="43">
        <f t="shared" si="16"/>
        <v>1.053763440860215</v>
      </c>
      <c r="CF6" s="38" t="e">
        <f t="shared" si="17"/>
        <v>#N/A</v>
      </c>
      <c r="CG6" s="41">
        <f>$H$6</f>
        <v>0</v>
      </c>
      <c r="CH6" s="43">
        <f t="shared" si="18"/>
        <v>0.94623655913978499</v>
      </c>
      <c r="CI6" s="38" t="e">
        <f t="shared" si="19"/>
        <v>#N/A</v>
      </c>
      <c r="CJ6" s="41">
        <f>$H$7</f>
        <v>0</v>
      </c>
      <c r="CK6" s="43">
        <f>CK5+CJ6</f>
        <v>0</v>
      </c>
      <c r="CL6" s="38" t="e">
        <f t="shared" si="20"/>
        <v>#N/A</v>
      </c>
      <c r="CM6" s="49"/>
      <c r="CN6" s="47" t="s">
        <v>186</v>
      </c>
      <c r="CO6" s="41">
        <f>$H$8</f>
        <v>0.63532182906711698</v>
      </c>
      <c r="CP6" s="43">
        <f t="shared" si="21"/>
        <v>1.8509471253457903</v>
      </c>
      <c r="CQ6" s="38">
        <f t="shared" si="22"/>
        <v>0.66968445803387155</v>
      </c>
      <c r="CR6" s="41">
        <f>$H$9</f>
        <v>0.2860991051744069</v>
      </c>
      <c r="CS6" s="43">
        <f t="shared" si="23"/>
        <v>0.8857979519212722</v>
      </c>
      <c r="CT6" s="38">
        <f t="shared" si="24"/>
        <v>0.32048734036586224</v>
      </c>
      <c r="CU6" s="41">
        <f>$H$10</f>
        <v>1.4383375369691746E-2</v>
      </c>
      <c r="CV6" s="43">
        <f>CV5+CU6</f>
        <v>2.7164258153369751E-2</v>
      </c>
      <c r="CW6" s="38">
        <f t="shared" si="25"/>
        <v>9.8282016002661891E-3</v>
      </c>
      <c r="CX6" s="49"/>
      <c r="CY6" s="47" t="s">
        <v>186</v>
      </c>
      <c r="CZ6" s="41">
        <f>$H$11</f>
        <v>0.67821391204387882</v>
      </c>
      <c r="DA6" s="43">
        <f t="shared" si="26"/>
        <v>1.8365388588547276</v>
      </c>
      <c r="DB6" s="38">
        <f t="shared" si="27"/>
        <v>0.64626456776578789</v>
      </c>
      <c r="DC6" s="41">
        <f>$H$12</f>
        <v>0.31378049908937256</v>
      </c>
      <c r="DD6" s="43">
        <f t="shared" si="28"/>
        <v>0.92079388792379413</v>
      </c>
      <c r="DE6" s="38">
        <f t="shared" si="29"/>
        <v>0.32402062233060619</v>
      </c>
      <c r="DF6" s="41">
        <f>$H$13</f>
        <v>8.0055888667487259E-3</v>
      </c>
      <c r="DG6" s="43">
        <f>DG5+DF6</f>
        <v>8.4442820778673919E-2</v>
      </c>
      <c r="DH6" s="38">
        <f t="shared" si="30"/>
        <v>2.9714809903605931E-2</v>
      </c>
      <c r="DI6" s="49"/>
      <c r="DJ6" s="47" t="s">
        <v>186</v>
      </c>
      <c r="DK6" s="41">
        <f>$H$14</f>
        <v>0.38201456246995202</v>
      </c>
      <c r="DL6" s="43">
        <f t="shared" si="31"/>
        <v>1.3936535923772224</v>
      </c>
      <c r="DM6" s="38">
        <f t="shared" si="32"/>
        <v>0.50402740344811636</v>
      </c>
      <c r="DN6" s="41">
        <f>$H$15</f>
        <v>0.4889556466829631</v>
      </c>
      <c r="DO6" s="43">
        <f t="shared" si="33"/>
        <v>1.3022461303684871</v>
      </c>
      <c r="DP6" s="38">
        <f t="shared" si="34"/>
        <v>0.47096906959525542</v>
      </c>
      <c r="DQ6" s="41">
        <f>$H$16</f>
        <v>3.6245947172428253E-2</v>
      </c>
      <c r="DR6" s="43">
        <f>DR5+DQ6</f>
        <v>6.9135636131722009E-2</v>
      </c>
      <c r="DS6" s="38">
        <f t="shared" si="35"/>
        <v>2.5003526956628209E-2</v>
      </c>
      <c r="DT6" s="49"/>
      <c r="DU6" s="47" t="s">
        <v>186</v>
      </c>
      <c r="DV6" s="41">
        <f>$H$17</f>
        <v>0.32060384722322022</v>
      </c>
      <c r="DW6" s="43">
        <f t="shared" si="36"/>
        <v>1.04454713576252</v>
      </c>
      <c r="DX6" s="38">
        <f t="shared" si="37"/>
        <v>0.38417564860275644</v>
      </c>
      <c r="DY6" s="41">
        <f>$H$18</f>
        <v>0.57288849091274829</v>
      </c>
      <c r="DZ6" s="43">
        <f t="shared" si="38"/>
        <v>1.6569517284608037</v>
      </c>
      <c r="EA6" s="38">
        <f t="shared" si="39"/>
        <v>0.60941290554609395</v>
      </c>
      <c r="EB6" s="41">
        <f>$H$19</f>
        <v>1.2818043206115581E-2</v>
      </c>
      <c r="EC6" s="43">
        <f>EC5+EB6</f>
        <v>1.7432279802928361E-2</v>
      </c>
      <c r="ED6" s="38">
        <f t="shared" si="40"/>
        <v>6.4114458511495302E-3</v>
      </c>
      <c r="EE6" s="49"/>
      <c r="EF6" s="47" t="s">
        <v>186</v>
      </c>
      <c r="EG6" s="41">
        <f>$H$20</f>
        <v>0.51824461072721861</v>
      </c>
      <c r="EH6" s="43">
        <f t="shared" si="41"/>
        <v>1.6573271891942793</v>
      </c>
      <c r="EI6" s="38">
        <f t="shared" si="42"/>
        <v>0.56943285438379265</v>
      </c>
      <c r="EJ6" s="41">
        <f>$H$21</f>
        <v>0.3922428619138586</v>
      </c>
      <c r="EK6" s="43">
        <f t="shared" si="43"/>
        <v>1.2402555490567688</v>
      </c>
      <c r="EL6" s="38">
        <f t="shared" si="44"/>
        <v>0.42613327173379578</v>
      </c>
      <c r="EM6" s="41">
        <f>$H$22</f>
        <v>0</v>
      </c>
      <c r="EN6" s="43">
        <f>EN5+EM6</f>
        <v>1.2904734390029567E-2</v>
      </c>
      <c r="EO6" s="38">
        <f t="shared" si="45"/>
        <v>4.4338738824116503E-3</v>
      </c>
      <c r="EP6" s="49"/>
      <c r="EQ6" s="47" t="s">
        <v>186</v>
      </c>
      <c r="ER6" s="41">
        <f>$H$23</f>
        <v>0.50598705664484422</v>
      </c>
      <c r="ES6" s="43">
        <f t="shared" si="46"/>
        <v>1.1237865171384369</v>
      </c>
      <c r="ET6" s="38">
        <f t="shared" si="47"/>
        <v>0.55494611377019731</v>
      </c>
      <c r="EU6" s="41">
        <f>$H$24</f>
        <v>0.45331401074818467</v>
      </c>
      <c r="EV6" s="43">
        <f t="shared" si="48"/>
        <v>0.85368461452282984</v>
      </c>
      <c r="EW6" s="38">
        <f t="shared" si="49"/>
        <v>0.42156490756019033</v>
      </c>
      <c r="EX6" s="41">
        <f>$H$25</f>
        <v>1.4492433908683221E-2</v>
      </c>
      <c r="EY6" s="43">
        <f>EY5+EX6</f>
        <v>4.7566055289457329E-2</v>
      </c>
      <c r="EZ6" s="38">
        <f t="shared" si="50"/>
        <v>2.3488978669612338E-2</v>
      </c>
      <c r="FA6" s="49"/>
      <c r="FB6" s="47" t="s">
        <v>186</v>
      </c>
      <c r="FC6" s="41">
        <f>$H$26</f>
        <v>0.49651492906260764</v>
      </c>
      <c r="FD6" s="43">
        <f t="shared" si="51"/>
        <v>1.1267129202577677</v>
      </c>
      <c r="FE6" s="38">
        <f t="shared" si="52"/>
        <v>0.44571445927622977</v>
      </c>
      <c r="FF6" s="41">
        <f>$H$27</f>
        <v>0.50348507093739236</v>
      </c>
      <c r="FG6" s="43">
        <f t="shared" si="53"/>
        <v>1.3747736188664146</v>
      </c>
      <c r="FH6" s="38">
        <f t="shared" si="54"/>
        <v>0.54384437166131372</v>
      </c>
      <c r="FI6" s="41">
        <f>$H$28</f>
        <v>0</v>
      </c>
      <c r="FJ6" s="43">
        <f>FJ5+FI6</f>
        <v>2.6394028374956951E-2</v>
      </c>
      <c r="FK6" s="38">
        <f t="shared" si="55"/>
        <v>1.0441169062456483E-2</v>
      </c>
      <c r="FL6" s="49"/>
      <c r="FM6" s="47" t="s">
        <v>186</v>
      </c>
      <c r="FN6" s="41">
        <f>$H$29</f>
        <v>0</v>
      </c>
      <c r="FO6" s="43">
        <f t="shared" si="56"/>
        <v>0</v>
      </c>
      <c r="FP6" s="38" t="e">
        <f t="shared" si="57"/>
        <v>#N/A</v>
      </c>
      <c r="FQ6" s="41">
        <f>$H$30</f>
        <v>0</v>
      </c>
      <c r="FR6" s="43">
        <f t="shared" si="58"/>
        <v>0</v>
      </c>
      <c r="FS6" s="38" t="e">
        <f t="shared" si="59"/>
        <v>#N/A</v>
      </c>
      <c r="FT6" s="41">
        <f>$H$31</f>
        <v>0</v>
      </c>
      <c r="FU6" s="43">
        <f>FU5+FT6</f>
        <v>0</v>
      </c>
      <c r="FV6" s="38" t="e">
        <f t="shared" si="60"/>
        <v>#N/A</v>
      </c>
      <c r="FW6" s="49"/>
      <c r="FX6" s="47" t="s">
        <v>186</v>
      </c>
      <c r="FY6" s="41">
        <f>$H$32</f>
        <v>0.38077292276104779</v>
      </c>
      <c r="FZ6" s="43">
        <f t="shared" si="61"/>
        <v>1.0053968877640611</v>
      </c>
      <c r="GA6" s="38">
        <f t="shared" si="62"/>
        <v>0.4549864384665856</v>
      </c>
      <c r="GB6" s="41">
        <f>$H$33</f>
        <v>0.44643853793102417</v>
      </c>
      <c r="GC6" s="43">
        <f t="shared" si="63"/>
        <v>1.1405977613289475</v>
      </c>
      <c r="GD6" s="38">
        <f t="shared" si="64"/>
        <v>0.51617079728995863</v>
      </c>
      <c r="GE6" s="41">
        <f>$H$34</f>
        <v>1.8902948199637008E-2</v>
      </c>
      <c r="GF6" s="43">
        <f>GF5+GE6</f>
        <v>6.373470273666787E-2</v>
      </c>
      <c r="GG6" s="38">
        <f t="shared" si="65"/>
        <v>2.8842764243455853E-2</v>
      </c>
      <c r="GH6" s="49"/>
      <c r="GI6" s="47" t="s">
        <v>186</v>
      </c>
      <c r="GJ6" s="41">
        <f>$H$35</f>
        <v>0.71171434360868524</v>
      </c>
      <c r="GK6" s="43">
        <f t="shared" si="66"/>
        <v>1.9477696439735146</v>
      </c>
      <c r="GL6" s="38">
        <f t="shared" si="67"/>
        <v>0.81591871458714293</v>
      </c>
      <c r="GM6" s="41">
        <f>$H$36</f>
        <v>0.19949283602044782</v>
      </c>
      <c r="GN6" s="43">
        <f t="shared" si="68"/>
        <v>0.43944075964995338</v>
      </c>
      <c r="GO6" s="38">
        <f t="shared" si="69"/>
        <v>0.18408128541285709</v>
      </c>
      <c r="GP6" s="41">
        <f>$H$37</f>
        <v>0</v>
      </c>
      <c r="GQ6" s="43">
        <f>GQ5+GP6</f>
        <v>0</v>
      </c>
      <c r="GR6" s="38">
        <f t="shared" si="70"/>
        <v>0</v>
      </c>
      <c r="GS6" s="49"/>
      <c r="GT6" s="47" t="s">
        <v>186</v>
      </c>
      <c r="GU6" s="41">
        <f>$H$38</f>
        <v>0.31398261153339629</v>
      </c>
      <c r="GV6" s="43">
        <f t="shared" si="71"/>
        <v>0.92258142709763802</v>
      </c>
      <c r="GW6" s="38">
        <f t="shared" si="72"/>
        <v>0.71244332079799255</v>
      </c>
      <c r="GX6" s="41">
        <f>$H$39</f>
        <v>7.996824677124971E-2</v>
      </c>
      <c r="GY6" s="43">
        <f t="shared" si="73"/>
        <v>0.35968471600006985</v>
      </c>
      <c r="GZ6" s="38">
        <f t="shared" si="74"/>
        <v>0.27775865195284583</v>
      </c>
      <c r="HA6" s="41">
        <f>$H$40</f>
        <v>0</v>
      </c>
      <c r="HB6" s="43">
        <f>HB5+HA6</f>
        <v>1.268799594071315E-2</v>
      </c>
      <c r="HC6" s="38">
        <f t="shared" si="75"/>
        <v>9.79802724916168E-3</v>
      </c>
      <c r="HD6" s="49"/>
      <c r="HE6" s="47" t="s">
        <v>186</v>
      </c>
      <c r="HF6" s="41">
        <f>$H$41</f>
        <v>0.46382766620345761</v>
      </c>
      <c r="HG6" s="43">
        <f t="shared" si="76"/>
        <v>1.471538391595848</v>
      </c>
      <c r="HH6" s="38">
        <f t="shared" si="77"/>
        <v>0.4996885751710895</v>
      </c>
      <c r="HI6" s="41">
        <f>$H$42</f>
        <v>0.47577417722138782</v>
      </c>
      <c r="HJ6" s="43">
        <f t="shared" si="78"/>
        <v>1.4674515933262109</v>
      </c>
      <c r="HK6" s="38">
        <f t="shared" si="79"/>
        <v>0.498300825849679</v>
      </c>
      <c r="HL6" s="41">
        <f>$H$43</f>
        <v>5.3091765879782855E-3</v>
      </c>
      <c r="HM6" s="43">
        <f>HM5+HL6</f>
        <v>5.921035090765173E-3</v>
      </c>
      <c r="HN6" s="38">
        <f t="shared" si="80"/>
        <v>2.01059897923143E-3</v>
      </c>
      <c r="HO6" s="49"/>
      <c r="HP6" s="47" t="s">
        <v>186</v>
      </c>
      <c r="HQ6" s="41">
        <f>$H$44</f>
        <v>0.59916045342027657</v>
      </c>
      <c r="HR6" s="43">
        <f t="shared" si="81"/>
        <v>1.7610528655121367</v>
      </c>
      <c r="HS6" s="38">
        <f t="shared" si="82"/>
        <v>0.58701762183737838</v>
      </c>
      <c r="HT6" s="41">
        <f>$H$45</f>
        <v>0.39562579907054185</v>
      </c>
      <c r="HU6" s="43">
        <f t="shared" si="83"/>
        <v>1.2089058264814077</v>
      </c>
      <c r="HV6" s="38">
        <f t="shared" si="84"/>
        <v>0.40296860882713553</v>
      </c>
      <c r="HW6" s="41">
        <f>$H$46</f>
        <v>5.2137475091824613E-3</v>
      </c>
      <c r="HX6" s="43">
        <f>HX5+HW6</f>
        <v>3.0041308006458298E-2</v>
      </c>
      <c r="HY6" s="38">
        <f t="shared" si="85"/>
        <v>1.0013769335486091E-2</v>
      </c>
      <c r="HZ6" s="49"/>
      <c r="IA6" s="47" t="s">
        <v>186</v>
      </c>
      <c r="IB6" s="41">
        <f>$H$47</f>
        <v>0.26846495826671291</v>
      </c>
      <c r="IC6" s="43">
        <f t="shared" si="86"/>
        <v>0.82162403149569596</v>
      </c>
      <c r="ID6" s="38">
        <f t="shared" si="87"/>
        <v>0.35349686826283</v>
      </c>
      <c r="IE6" s="41">
        <f>$H$48</f>
        <v>0.44759437543608005</v>
      </c>
      <c r="IF6" s="43">
        <f t="shared" si="88"/>
        <v>1.4643976836583592</v>
      </c>
      <c r="IG6" s="38">
        <f t="shared" si="89"/>
        <v>0.63004485655344922</v>
      </c>
      <c r="IH6" s="41">
        <f>$H$49</f>
        <v>1.1397649164821595E-2</v>
      </c>
      <c r="II6" s="43">
        <f>II5+IH6</f>
        <v>3.8253562116030281E-2</v>
      </c>
      <c r="IJ6" s="38">
        <f t="shared" si="90"/>
        <v>1.6458275183720911E-2</v>
      </c>
      <c r="IK6" s="49"/>
      <c r="IL6" s="47" t="s">
        <v>186</v>
      </c>
      <c r="IM6" s="41">
        <f>$H$50</f>
        <v>0.37806197939090996</v>
      </c>
      <c r="IN6" s="43">
        <f t="shared" si="91"/>
        <v>1.0667688367101691</v>
      </c>
      <c r="IO6" s="38">
        <f t="shared" si="92"/>
        <v>0.35558961223672308</v>
      </c>
      <c r="IP6" s="41">
        <f>$H$51</f>
        <v>0.62193802060908998</v>
      </c>
      <c r="IQ6" s="43">
        <f t="shared" si="93"/>
        <v>1.9255616746498743</v>
      </c>
      <c r="IR6" s="38">
        <f t="shared" si="94"/>
        <v>0.6418538915499582</v>
      </c>
      <c r="IS6" s="41">
        <f>$H$52</f>
        <v>0</v>
      </c>
      <c r="IT6" s="43">
        <f>IT5+IS6</f>
        <v>7.669488639956399E-3</v>
      </c>
      <c r="IU6" s="38">
        <f t="shared" si="95"/>
        <v>2.5564962133188002E-3</v>
      </c>
      <c r="IV6" s="49"/>
      <c r="IW6" s="47" t="s">
        <v>186</v>
      </c>
      <c r="IX6" s="41">
        <f>$H$53</f>
        <v>0.58783664213543596</v>
      </c>
      <c r="IY6" s="43">
        <f t="shared" si="96"/>
        <v>1.6323378409482054</v>
      </c>
      <c r="IZ6" s="38">
        <f t="shared" si="97"/>
        <v>0.63424898818674524</v>
      </c>
      <c r="JA6" s="41">
        <f>$H$54</f>
        <v>0.19899066965492013</v>
      </c>
      <c r="JB6" s="43">
        <f t="shared" si="98"/>
        <v>0.82052457752386454</v>
      </c>
      <c r="JC6" s="38">
        <f t="shared" si="99"/>
        <v>0.31881689563391102</v>
      </c>
      <c r="JD6" s="41">
        <f>$H$55</f>
        <v>0</v>
      </c>
      <c r="JE6" s="43">
        <f>JE5+JD6</f>
        <v>0.12079220510864219</v>
      </c>
      <c r="JF6" s="38">
        <f t="shared" si="100"/>
        <v>4.6934116179343684E-2</v>
      </c>
      <c r="JG6" s="49"/>
      <c r="JH6" s="47" t="s">
        <v>186</v>
      </c>
      <c r="JI6" s="41">
        <f>$H$56</f>
        <v>0.71121258760147466</v>
      </c>
      <c r="JJ6" s="43">
        <f t="shared" si="101"/>
        <v>1.8886759628264653</v>
      </c>
      <c r="JK6" s="38">
        <f t="shared" si="102"/>
        <v>0.7712763698303996</v>
      </c>
      <c r="JL6" s="41">
        <f>$H$57</f>
        <v>0.21637941985459611</v>
      </c>
      <c r="JM6" s="43">
        <f t="shared" si="103"/>
        <v>0.55010493080580536</v>
      </c>
      <c r="JN6" s="38">
        <f t="shared" si="104"/>
        <v>0.2246457001669844</v>
      </c>
      <c r="JO6" s="41">
        <f>$H$58</f>
        <v>0</v>
      </c>
      <c r="JP6" s="43">
        <f>JP5+JO6</f>
        <v>9.9858995754315994E-3</v>
      </c>
      <c r="JQ6" s="38">
        <f t="shared" si="105"/>
        <v>4.0779300026160571E-3</v>
      </c>
      <c r="JR6" s="49"/>
      <c r="JS6" s="47" t="s">
        <v>186</v>
      </c>
      <c r="JT6" s="41">
        <f>$H$59</f>
        <v>0.6460530311951016</v>
      </c>
      <c r="JU6" s="43">
        <f t="shared" si="106"/>
        <v>1.6140769638137804</v>
      </c>
      <c r="JV6" s="38">
        <f t="shared" si="107"/>
        <v>0.60664200762542564</v>
      </c>
      <c r="JW6" s="41">
        <f>$H$60</f>
        <v>0.24275106040374539</v>
      </c>
      <c r="JX6" s="43">
        <f t="shared" si="108"/>
        <v>1.008644332905817</v>
      </c>
      <c r="JY6" s="38">
        <f t="shared" si="109"/>
        <v>0.3790934613478491</v>
      </c>
      <c r="JZ6" s="41">
        <f>$H$61</f>
        <v>2.228761611489179E-2</v>
      </c>
      <c r="KA6" s="43">
        <f>KA5+JZ6</f>
        <v>3.7953274980027957E-2</v>
      </c>
      <c r="KB6" s="38">
        <f t="shared" si="110"/>
        <v>1.4264531026725149E-2</v>
      </c>
      <c r="KC6" s="49"/>
      <c r="KD6" s="47" t="s">
        <v>186</v>
      </c>
      <c r="KE6" s="41">
        <f>$H$62</f>
        <v>0.32334655244658972</v>
      </c>
      <c r="KF6" s="43">
        <f t="shared" si="111"/>
        <v>0.89999249666759928</v>
      </c>
      <c r="KG6" s="38">
        <f t="shared" si="112"/>
        <v>0.32857000156013594</v>
      </c>
      <c r="KH6" s="41">
        <f>$H$63</f>
        <v>0.56764608907533998</v>
      </c>
      <c r="KI6" s="43">
        <f t="shared" si="113"/>
        <v>1.7811490968063417</v>
      </c>
      <c r="KJ6" s="38">
        <f t="shared" si="114"/>
        <v>0.65026337850974592</v>
      </c>
      <c r="KK6" s="41">
        <f>$H$64</f>
        <v>3.4153391920717355E-2</v>
      </c>
      <c r="KL6" s="43">
        <f>KL5+KK6</f>
        <v>5.7977901288820535E-2</v>
      </c>
      <c r="KM6" s="38">
        <f t="shared" si="115"/>
        <v>2.1166619930118116E-2</v>
      </c>
      <c r="KN6" s="49"/>
      <c r="KO6" s="47" t="s">
        <v>186</v>
      </c>
      <c r="KP6" s="41">
        <f>$H$65</f>
        <v>0.69737421439466452</v>
      </c>
      <c r="KQ6" s="43">
        <f t="shared" si="116"/>
        <v>1.9822175992202995</v>
      </c>
      <c r="KR6" s="38">
        <f t="shared" si="117"/>
        <v>0.69045645755729812</v>
      </c>
      <c r="KS6" s="41">
        <f>$H$66</f>
        <v>0.30262578560533548</v>
      </c>
      <c r="KT6" s="43">
        <f t="shared" si="118"/>
        <v>0.87784635790691024</v>
      </c>
      <c r="KU6" s="38">
        <f t="shared" si="119"/>
        <v>0.30577605949941877</v>
      </c>
      <c r="KV6" s="41">
        <f>$H$67</f>
        <v>0</v>
      </c>
      <c r="KW6" s="43">
        <f>KW5+KV6</f>
        <v>1.081599123767797E-2</v>
      </c>
      <c r="KX6" s="38">
        <f t="shared" si="120"/>
        <v>3.7674829432830259E-3</v>
      </c>
      <c r="KY6" s="49"/>
      <c r="KZ6" s="47" t="s">
        <v>186</v>
      </c>
      <c r="LA6" s="41">
        <f>$H$68</f>
        <v>0.54240144283759717</v>
      </c>
      <c r="LB6" s="43">
        <f t="shared" si="121"/>
        <v>1.3382616960298002</v>
      </c>
      <c r="LC6" s="38">
        <f t="shared" si="122"/>
        <v>0.59671785076292572</v>
      </c>
      <c r="LD6" s="41">
        <f>$H$69</f>
        <v>0.45759855716240283</v>
      </c>
      <c r="LE6" s="43">
        <f t="shared" si="123"/>
        <v>0.90444261442242369</v>
      </c>
      <c r="LF6" s="38">
        <f t="shared" si="124"/>
        <v>0.40328214923707439</v>
      </c>
      <c r="LG6" s="41">
        <f>$H$70</f>
        <v>0</v>
      </c>
      <c r="LH6" s="43">
        <f>LH5+LG6</f>
        <v>0</v>
      </c>
      <c r="LI6" s="38">
        <f t="shared" si="125"/>
        <v>0</v>
      </c>
      <c r="LJ6" s="49"/>
      <c r="LK6" s="47" t="s">
        <v>186</v>
      </c>
      <c r="LL6" s="41">
        <f>$H$71</f>
        <v>0.5250390608945712</v>
      </c>
      <c r="LM6" s="43">
        <f t="shared" si="126"/>
        <v>1.5674106576906599</v>
      </c>
      <c r="LN6" s="38">
        <f t="shared" si="127"/>
        <v>0.60127820528536002</v>
      </c>
      <c r="LO6" s="41">
        <f>$H$72</f>
        <v>0.32794790004991253</v>
      </c>
      <c r="LP6" s="43">
        <f t="shared" si="128"/>
        <v>1.0299529725738743</v>
      </c>
      <c r="LQ6" s="38">
        <f t="shared" si="129"/>
        <v>0.39510275870521855</v>
      </c>
      <c r="LR6" s="41">
        <f>$H$73</f>
        <v>0</v>
      </c>
      <c r="LS6" s="43">
        <f>LS5+LR6</f>
        <v>9.4340948364179684E-3</v>
      </c>
      <c r="LT6" s="38">
        <f t="shared" si="130"/>
        <v>3.6190360094213361E-3</v>
      </c>
      <c r="LU6" s="49"/>
      <c r="LV6" s="47" t="s">
        <v>186</v>
      </c>
      <c r="LW6" s="41">
        <f>$H$74</f>
        <v>0.52333909513705135</v>
      </c>
      <c r="LX6" s="43">
        <f t="shared" si="131"/>
        <v>1.5615920831203358</v>
      </c>
      <c r="LY6" s="38">
        <f t="shared" si="132"/>
        <v>0.5487654858211134</v>
      </c>
      <c r="LZ6" s="41">
        <f>$H$75</f>
        <v>0.45091299621520059</v>
      </c>
      <c r="MA6" s="43">
        <f t="shared" si="133"/>
        <v>1.2655452337699633</v>
      </c>
      <c r="MB6" s="38">
        <f t="shared" si="134"/>
        <v>0.4447304469235398</v>
      </c>
      <c r="MC6" s="41">
        <f>$H$76</f>
        <v>5.1333120896235396E-3</v>
      </c>
      <c r="MD6" s="43">
        <f>MD5+MC6</f>
        <v>1.8508270283861324E-2</v>
      </c>
      <c r="ME6" s="38">
        <f t="shared" si="135"/>
        <v>6.5040672553467113E-3</v>
      </c>
    </row>
    <row r="7" spans="2:343" ht="14.25" customHeight="1" thickBot="1" x14ac:dyDescent="0.25">
      <c r="B7" s="139">
        <f>E7/SUM($E$5:$E$7)</f>
        <v>1.0309278350515464E-2</v>
      </c>
      <c r="C7" s="140" t="s">
        <v>2</v>
      </c>
      <c r="D7" s="141"/>
      <c r="E7" s="170">
        <f>CORE!E8</f>
        <v>1.0309278350515464E-2</v>
      </c>
      <c r="F7" s="170">
        <f>CORE!F8</f>
        <v>0</v>
      </c>
      <c r="G7" s="170">
        <f>CORE!G8</f>
        <v>0</v>
      </c>
      <c r="H7" s="170">
        <f>CORE!H8</f>
        <v>0</v>
      </c>
      <c r="I7" s="170">
        <f>CORE!I8</f>
        <v>0</v>
      </c>
      <c r="J7" s="170">
        <f>CORE!J8</f>
        <v>2.8571428571428571E-2</v>
      </c>
      <c r="K7" s="170">
        <f>CORE!K8</f>
        <v>0</v>
      </c>
      <c r="L7" s="170">
        <f>CORE!L8</f>
        <v>0</v>
      </c>
      <c r="M7" s="170">
        <f>CORE!M8</f>
        <v>0</v>
      </c>
      <c r="N7" s="170">
        <f>CORE!N8</f>
        <v>0</v>
      </c>
      <c r="O7" s="170">
        <f>CORE!O8</f>
        <v>3.0303030303030304E-2</v>
      </c>
      <c r="P7" s="170">
        <f>CORE!P8</f>
        <v>0</v>
      </c>
      <c r="Q7" s="170">
        <f>CORE!Q8</f>
        <v>0</v>
      </c>
      <c r="R7" s="170">
        <f>CORE!R8</f>
        <v>0</v>
      </c>
      <c r="S7" s="170">
        <f>CORE!S8</f>
        <v>0</v>
      </c>
      <c r="T7" s="170">
        <f>CORE!T8</f>
        <v>0</v>
      </c>
      <c r="U7" s="170">
        <f>CORE!U8</f>
        <v>0</v>
      </c>
      <c r="V7" s="170">
        <f>CORE!V8</f>
        <v>0</v>
      </c>
      <c r="W7" s="170">
        <f>CORE!W8</f>
        <v>0</v>
      </c>
      <c r="X7" s="170">
        <f>CORE!X8</f>
        <v>0</v>
      </c>
      <c r="Y7" s="171">
        <f>CORE!Y8</f>
        <v>0</v>
      </c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2"/>
      <c r="AQ7" s="33">
        <v>0.51210801187107746</v>
      </c>
      <c r="AR7" s="11">
        <f>AU7/SUM($AU5:$AU7)</f>
        <v>1.0309278350515464E-2</v>
      </c>
      <c r="AS7" s="120" t="s">
        <v>2</v>
      </c>
      <c r="AT7" s="31"/>
      <c r="AU7" s="125">
        <f>IF((E5+E6+E7)=0,1,E7/(E5+E6+E7)*$AQ7)</f>
        <v>5.2794640399080146E-3</v>
      </c>
      <c r="AV7" s="125">
        <f t="shared" ref="AV7:BO7" si="137">IF((F5+F6+F7)=0,0,F7/(F5+F6+F7)*$AQ7)</f>
        <v>0</v>
      </c>
      <c r="AW7" s="125">
        <f t="shared" si="137"/>
        <v>0</v>
      </c>
      <c r="AX7" s="125">
        <f t="shared" si="137"/>
        <v>0</v>
      </c>
      <c r="AY7" s="125">
        <f t="shared" si="137"/>
        <v>0</v>
      </c>
      <c r="AZ7" s="125">
        <f t="shared" si="137"/>
        <v>1.4631657482030786E-2</v>
      </c>
      <c r="BA7" s="125">
        <f t="shared" si="137"/>
        <v>0</v>
      </c>
      <c r="BB7" s="125">
        <f t="shared" si="137"/>
        <v>0</v>
      </c>
      <c r="BC7" s="125">
        <f t="shared" si="137"/>
        <v>0</v>
      </c>
      <c r="BD7" s="125">
        <f t="shared" si="137"/>
        <v>0</v>
      </c>
      <c r="BE7" s="125">
        <f t="shared" si="137"/>
        <v>1.5518424602153863E-2</v>
      </c>
      <c r="BF7" s="125">
        <f t="shared" si="137"/>
        <v>0</v>
      </c>
      <c r="BG7" s="125">
        <f t="shared" si="137"/>
        <v>0</v>
      </c>
      <c r="BH7" s="125">
        <f t="shared" si="137"/>
        <v>0</v>
      </c>
      <c r="BI7" s="125">
        <f t="shared" si="137"/>
        <v>0</v>
      </c>
      <c r="BJ7" s="125">
        <f t="shared" si="137"/>
        <v>0</v>
      </c>
      <c r="BK7" s="125">
        <f t="shared" si="137"/>
        <v>0</v>
      </c>
      <c r="BL7" s="125">
        <f t="shared" si="137"/>
        <v>0</v>
      </c>
      <c r="BM7" s="125">
        <f t="shared" si="137"/>
        <v>0</v>
      </c>
      <c r="BN7" s="125">
        <f t="shared" si="137"/>
        <v>0</v>
      </c>
      <c r="BO7" s="126">
        <f t="shared" si="137"/>
        <v>0</v>
      </c>
      <c r="BP7" s="29">
        <v>4</v>
      </c>
      <c r="BQ7" s="47" t="s">
        <v>188</v>
      </c>
      <c r="BR7" s="47" t="s">
        <v>189</v>
      </c>
      <c r="BS7" s="41">
        <f>AY2</f>
        <v>46.810237973275115</v>
      </c>
      <c r="BT7" s="43">
        <f t="shared" si="10"/>
        <v>206.24974315210798</v>
      </c>
      <c r="BU7" s="38">
        <f t="shared" si="11"/>
        <v>0.52213304251216086</v>
      </c>
      <c r="BV7" s="41">
        <f>AY3</f>
        <v>49.166762705594557</v>
      </c>
      <c r="BW7" s="43">
        <f t="shared" si="12"/>
        <v>183.50708412289686</v>
      </c>
      <c r="BX7" s="38">
        <f t="shared" si="13"/>
        <v>0.46455869806809935</v>
      </c>
      <c r="BY7" s="41">
        <f>AY4</f>
        <v>1.355740398277127</v>
      </c>
      <c r="BZ7" s="43">
        <f t="shared" si="14"/>
        <v>5.2569457659998937</v>
      </c>
      <c r="CA7" s="38">
        <f t="shared" si="15"/>
        <v>1.3308259419739756E-2</v>
      </c>
      <c r="CB7" s="49"/>
      <c r="CC7" s="47" t="s">
        <v>187</v>
      </c>
      <c r="CD7" s="41">
        <f>$I$5</f>
        <v>0.47058823529411764</v>
      </c>
      <c r="CE7" s="43">
        <f t="shared" si="16"/>
        <v>1.5243516761543328</v>
      </c>
      <c r="CF7" s="38">
        <f t="shared" si="17"/>
        <v>0.50811722538477755</v>
      </c>
      <c r="CG7" s="41">
        <f>$I$6</f>
        <v>0.52941176470588236</v>
      </c>
      <c r="CH7" s="43">
        <f t="shared" si="18"/>
        <v>1.4756483238456672</v>
      </c>
      <c r="CI7" s="38">
        <f t="shared" si="19"/>
        <v>0.4918827746152224</v>
      </c>
      <c r="CJ7" s="41">
        <f>$I$7</f>
        <v>0</v>
      </c>
      <c r="CK7" s="43">
        <f t="shared" ref="CK7:CK23" si="138">CK6+CJ7</f>
        <v>0</v>
      </c>
      <c r="CL7" s="38">
        <f t="shared" si="20"/>
        <v>0</v>
      </c>
      <c r="CM7" s="49"/>
      <c r="CN7" s="47" t="s">
        <v>187</v>
      </c>
      <c r="CO7" s="41">
        <f>$I$8</f>
        <v>0.61104209155735945</v>
      </c>
      <c r="CP7" s="43">
        <f t="shared" si="21"/>
        <v>2.4619892169031496</v>
      </c>
      <c r="CQ7" s="38">
        <f t="shared" si="22"/>
        <v>0.65410428294180556</v>
      </c>
      <c r="CR7" s="41">
        <f>$I$9</f>
        <v>0.38895790844264055</v>
      </c>
      <c r="CS7" s="43">
        <f t="shared" si="23"/>
        <v>1.2747558603639129</v>
      </c>
      <c r="CT7" s="38">
        <f t="shared" si="24"/>
        <v>0.33867868398629253</v>
      </c>
      <c r="CU7" s="41">
        <f>$I$10</f>
        <v>0</v>
      </c>
      <c r="CV7" s="43">
        <f t="shared" ref="CV7:CV23" si="139">CV6+CU7</f>
        <v>2.7164258153369751E-2</v>
      </c>
      <c r="CW7" s="38">
        <f t="shared" si="25"/>
        <v>7.2170330719019508E-3</v>
      </c>
      <c r="CX7" s="49"/>
      <c r="CY7" s="47" t="s">
        <v>187</v>
      </c>
      <c r="CZ7" s="41">
        <f>$I$11</f>
        <v>0.48689101263157852</v>
      </c>
      <c r="DA7" s="43">
        <f t="shared" si="26"/>
        <v>2.3234298714863062</v>
      </c>
      <c r="DB7" s="38">
        <f t="shared" si="27"/>
        <v>0.63075814241795591</v>
      </c>
      <c r="DC7" s="41">
        <f>$I$12</f>
        <v>0.34774443512554376</v>
      </c>
      <c r="DD7" s="43">
        <f t="shared" si="28"/>
        <v>1.2685383230493379</v>
      </c>
      <c r="DE7" s="38">
        <f t="shared" si="29"/>
        <v>0.34437918099104764</v>
      </c>
      <c r="DF7" s="41">
        <f>$I$13</f>
        <v>7.1401198000731886E-3</v>
      </c>
      <c r="DG7" s="43">
        <f t="shared" ref="DG7:DG23" si="140">DG6+DF7</f>
        <v>9.1582940578747107E-2</v>
      </c>
      <c r="DH7" s="38">
        <f t="shared" si="30"/>
        <v>2.4862676590996485E-2</v>
      </c>
      <c r="DI7" s="49"/>
      <c r="DJ7" s="47" t="s">
        <v>187</v>
      </c>
      <c r="DK7" s="41">
        <f>$I$14</f>
        <v>0.55126925178308384</v>
      </c>
      <c r="DL7" s="43">
        <f t="shared" si="31"/>
        <v>1.9449228441603061</v>
      </c>
      <c r="DM7" s="38">
        <f t="shared" si="32"/>
        <v>0.51657492128844096</v>
      </c>
      <c r="DN7" s="41">
        <f>$I$15</f>
        <v>0.43771170837741918</v>
      </c>
      <c r="DO7" s="43">
        <f t="shared" si="33"/>
        <v>1.7399578387459063</v>
      </c>
      <c r="DP7" s="38">
        <f t="shared" si="34"/>
        <v>0.46213585607989766</v>
      </c>
      <c r="DQ7" s="41">
        <f>$I$16</f>
        <v>1.1019039839496907E-2</v>
      </c>
      <c r="DR7" s="43">
        <f t="shared" ref="DR7:DR23" si="141">DR6+DQ7</f>
        <v>8.0154675971218919E-2</v>
      </c>
      <c r="DS7" s="38">
        <f t="shared" si="35"/>
        <v>2.1289222631661432E-2</v>
      </c>
      <c r="DT7" s="49"/>
      <c r="DU7" s="47" t="s">
        <v>187</v>
      </c>
      <c r="DV7" s="41">
        <f>$I$17</f>
        <v>0.39577461549983711</v>
      </c>
      <c r="DW7" s="43">
        <f t="shared" si="36"/>
        <v>1.4403217512623572</v>
      </c>
      <c r="DX7" s="38">
        <f t="shared" si="37"/>
        <v>0.39730366685458723</v>
      </c>
      <c r="DY7" s="41">
        <f>$I$18</f>
        <v>0.51053576584224702</v>
      </c>
      <c r="DZ7" s="43">
        <f t="shared" si="38"/>
        <v>2.1674874943030509</v>
      </c>
      <c r="EA7" s="38">
        <f t="shared" si="39"/>
        <v>0.59788774875705064</v>
      </c>
      <c r="EB7" s="41">
        <f>$I$19</f>
        <v>0</v>
      </c>
      <c r="EC7" s="43">
        <f t="shared" ref="EC7:EC23" si="142">EC6+EB7</f>
        <v>1.7432279802928361E-2</v>
      </c>
      <c r="ED7" s="38">
        <f t="shared" si="40"/>
        <v>4.8085843883621474E-3</v>
      </c>
      <c r="EE7" s="49"/>
      <c r="EF7" s="47" t="s">
        <v>187</v>
      </c>
      <c r="EG7" s="41">
        <f>$I$20</f>
        <v>0.54596946201069718</v>
      </c>
      <c r="EH7" s="43">
        <f t="shared" si="41"/>
        <v>2.2032966512049765</v>
      </c>
      <c r="EI7" s="38">
        <f t="shared" si="42"/>
        <v>0.56343273482395451</v>
      </c>
      <c r="EJ7" s="41">
        <f>$I$21</f>
        <v>0.45403053798930282</v>
      </c>
      <c r="EK7" s="43">
        <f t="shared" si="43"/>
        <v>1.6942860870460716</v>
      </c>
      <c r="EL7" s="38">
        <f t="shared" si="44"/>
        <v>0.43326723302396342</v>
      </c>
      <c r="EM7" s="41">
        <f>$I$22</f>
        <v>0</v>
      </c>
      <c r="EN7" s="43">
        <f t="shared" ref="EN7:EN23" si="143">EN6+EM7</f>
        <v>1.2904734390029567E-2</v>
      </c>
      <c r="EO7" s="38">
        <f t="shared" si="45"/>
        <v>3.3000321520820332E-3</v>
      </c>
      <c r="EP7" s="49"/>
      <c r="EQ7" s="47" t="s">
        <v>187</v>
      </c>
      <c r="ER7" s="41">
        <f>$I$23</f>
        <v>0.32235789984380475</v>
      </c>
      <c r="ES7" s="43">
        <f t="shared" si="46"/>
        <v>1.4461444169822417</v>
      </c>
      <c r="ET7" s="38">
        <f t="shared" si="47"/>
        <v>0.52147732039723393</v>
      </c>
      <c r="EU7" s="41">
        <f>$I$24</f>
        <v>0.4160798631837872</v>
      </c>
      <c r="EV7" s="43">
        <f t="shared" si="48"/>
        <v>1.269764477706617</v>
      </c>
      <c r="EW7" s="38">
        <f t="shared" si="49"/>
        <v>0.45787500169021572</v>
      </c>
      <c r="EX7" s="41">
        <f>$I$25</f>
        <v>9.6934322643576747E-3</v>
      </c>
      <c r="EY7" s="43">
        <f t="shared" ref="EY7:EY23" si="144">EY6+EX7</f>
        <v>5.7259487553815006E-2</v>
      </c>
      <c r="EZ7" s="38">
        <f t="shared" si="50"/>
        <v>2.0647677912550337E-2</v>
      </c>
      <c r="FA7" s="49"/>
      <c r="FB7" s="47" t="s">
        <v>187</v>
      </c>
      <c r="FC7" s="41">
        <f>$I$26</f>
        <v>0.3401756439492879</v>
      </c>
      <c r="FD7" s="43">
        <f t="shared" si="51"/>
        <v>1.4668885642070557</v>
      </c>
      <c r="FE7" s="38">
        <f t="shared" si="52"/>
        <v>0.41579881635474714</v>
      </c>
      <c r="FF7" s="41">
        <f>$I$27</f>
        <v>0.65982435605071221</v>
      </c>
      <c r="FG7" s="43">
        <f t="shared" si="53"/>
        <v>2.0345979749171268</v>
      </c>
      <c r="FH7" s="38">
        <f t="shared" si="54"/>
        <v>0.57671962981428881</v>
      </c>
      <c r="FI7" s="41">
        <f>$I$28</f>
        <v>0</v>
      </c>
      <c r="FJ7" s="43">
        <f t="shared" ref="FJ7:FJ23" si="145">FJ6+FI7</f>
        <v>2.6394028374956951E-2</v>
      </c>
      <c r="FK7" s="38">
        <f t="shared" si="55"/>
        <v>7.4815538309640894E-3</v>
      </c>
      <c r="FL7" s="49"/>
      <c r="FM7" s="47" t="s">
        <v>187</v>
      </c>
      <c r="FN7" s="41">
        <f>$I$29</f>
        <v>0.3</v>
      </c>
      <c r="FO7" s="43">
        <f t="shared" si="56"/>
        <v>0.3</v>
      </c>
      <c r="FP7" s="38">
        <f t="shared" si="57"/>
        <v>0.30000000000000004</v>
      </c>
      <c r="FQ7" s="41">
        <f>$I$30</f>
        <v>0.6</v>
      </c>
      <c r="FR7" s="43">
        <f t="shared" si="58"/>
        <v>0.6</v>
      </c>
      <c r="FS7" s="38">
        <f t="shared" si="59"/>
        <v>0.60000000000000009</v>
      </c>
      <c r="FT7" s="41">
        <f>$I$31</f>
        <v>0.1</v>
      </c>
      <c r="FU7" s="43">
        <f t="shared" ref="FU7:FU23" si="146">FU6+FT7</f>
        <v>0.1</v>
      </c>
      <c r="FV7" s="38">
        <f t="shared" si="60"/>
        <v>0.10000000000000002</v>
      </c>
      <c r="FW7" s="49"/>
      <c r="FX7" s="47" t="s">
        <v>187</v>
      </c>
      <c r="FY7" s="41">
        <f>$I$32</f>
        <v>0.37108223122643597</v>
      </c>
      <c r="FZ7" s="43">
        <f t="shared" si="61"/>
        <v>1.376479118990497</v>
      </c>
      <c r="GA7" s="38">
        <f t="shared" si="62"/>
        <v>0.44029075022527192</v>
      </c>
      <c r="GB7" s="41">
        <f>$I$33</f>
        <v>0.49937799470489547</v>
      </c>
      <c r="GC7" s="43">
        <f t="shared" si="63"/>
        <v>1.639975756033843</v>
      </c>
      <c r="GD7" s="38">
        <f t="shared" si="64"/>
        <v>0.52457472548145734</v>
      </c>
      <c r="GE7" s="41">
        <f>$I$34</f>
        <v>4.610621265982269E-2</v>
      </c>
      <c r="GF7" s="43">
        <f t="shared" ref="GF7:GF23" si="147">GF6+GE7</f>
        <v>0.10984091539649056</v>
      </c>
      <c r="GG7" s="38">
        <f t="shared" si="65"/>
        <v>3.5134524293270686E-2</v>
      </c>
      <c r="GH7" s="49"/>
      <c r="GI7" s="47" t="s">
        <v>187</v>
      </c>
      <c r="GJ7" s="41">
        <f>$I$35</f>
        <v>0.7771216383586026</v>
      </c>
      <c r="GK7" s="43">
        <f t="shared" si="66"/>
        <v>2.7248912823321172</v>
      </c>
      <c r="GL7" s="38">
        <f t="shared" si="67"/>
        <v>0.80446472395608026</v>
      </c>
      <c r="GM7" s="41">
        <f>$I$36</f>
        <v>0.19863215834444151</v>
      </c>
      <c r="GN7" s="43">
        <f t="shared" si="68"/>
        <v>0.63807291799439492</v>
      </c>
      <c r="GO7" s="38">
        <f t="shared" si="69"/>
        <v>0.18837711330592757</v>
      </c>
      <c r="GP7" s="41">
        <f>$I$37</f>
        <v>2.42462032969568E-2</v>
      </c>
      <c r="GQ7" s="43">
        <f t="shared" ref="GQ7:GQ23" si="148">GQ6+GP7</f>
        <v>2.42462032969568E-2</v>
      </c>
      <c r="GR7" s="38">
        <f t="shared" si="70"/>
        <v>7.158162737992131E-3</v>
      </c>
      <c r="GS7" s="49"/>
      <c r="GT7" s="47" t="s">
        <v>187</v>
      </c>
      <c r="GU7" s="41">
        <f>$I$38</f>
        <v>0.35459600132823899</v>
      </c>
      <c r="GV7" s="43">
        <f t="shared" si="71"/>
        <v>1.277177428425877</v>
      </c>
      <c r="GW7" s="38">
        <f t="shared" si="72"/>
        <v>0.66608312936439973</v>
      </c>
      <c r="GX7" s="41">
        <f>$I$39</f>
        <v>0.26789435285238505</v>
      </c>
      <c r="GY7" s="43">
        <f t="shared" si="73"/>
        <v>0.62757906885245496</v>
      </c>
      <c r="GZ7" s="38">
        <f t="shared" si="74"/>
        <v>0.32729973205058072</v>
      </c>
      <c r="HA7" s="41">
        <f>$I$40</f>
        <v>0</v>
      </c>
      <c r="HB7" s="43">
        <f t="shared" ref="HB7:HB23" si="149">HB6+HA7</f>
        <v>1.268799594071315E-2</v>
      </c>
      <c r="HC7" s="38">
        <f t="shared" si="75"/>
        <v>6.6171385850196281E-3</v>
      </c>
      <c r="HD7" s="49"/>
      <c r="HE7" s="47" t="s">
        <v>187</v>
      </c>
      <c r="HF7" s="41">
        <f>$I$41</f>
        <v>0.55201989553188702</v>
      </c>
      <c r="HG7" s="43">
        <f t="shared" si="76"/>
        <v>2.0235582871277349</v>
      </c>
      <c r="HH7" s="38">
        <f t="shared" si="77"/>
        <v>0.53554082637079814</v>
      </c>
      <c r="HI7" s="41">
        <f>$I$42</f>
        <v>0.28160134097957912</v>
      </c>
      <c r="HJ7" s="43">
        <f t="shared" si="78"/>
        <v>1.7490529343057899</v>
      </c>
      <c r="HK7" s="38">
        <f t="shared" si="79"/>
        <v>0.46289215376837056</v>
      </c>
      <c r="HL7" s="41">
        <f>$I$43</f>
        <v>0</v>
      </c>
      <c r="HM7" s="43">
        <f t="shared" ref="HM7:HM23" si="150">HM6+HL7</f>
        <v>5.921035090765173E-3</v>
      </c>
      <c r="HN7" s="38">
        <f t="shared" si="80"/>
        <v>1.5670198608312741E-3</v>
      </c>
      <c r="HO7" s="49"/>
      <c r="HP7" s="47" t="s">
        <v>187</v>
      </c>
      <c r="HQ7" s="41">
        <f>$I$44</f>
        <v>0.41491513557896958</v>
      </c>
      <c r="HR7" s="43">
        <f t="shared" si="81"/>
        <v>2.1759680010911064</v>
      </c>
      <c r="HS7" s="38">
        <f t="shared" si="82"/>
        <v>0.54399200027277617</v>
      </c>
      <c r="HT7" s="41">
        <f>$I$45</f>
        <v>0.58508486442103147</v>
      </c>
      <c r="HU7" s="43">
        <f t="shared" si="83"/>
        <v>1.7939906909024392</v>
      </c>
      <c r="HV7" s="38">
        <f t="shared" si="84"/>
        <v>0.44849767272560942</v>
      </c>
      <c r="HW7" s="41">
        <f>$I$46</f>
        <v>0</v>
      </c>
      <c r="HX7" s="43">
        <f t="shared" ref="HX7:HX23" si="151">HX6+HW7</f>
        <v>3.0041308006458298E-2</v>
      </c>
      <c r="HY7" s="38">
        <f t="shared" si="85"/>
        <v>7.5103270016145677E-3</v>
      </c>
      <c r="HZ7" s="49"/>
      <c r="IA7" s="47" t="s">
        <v>187</v>
      </c>
      <c r="IB7" s="41">
        <f>$I$47</f>
        <v>0.23910686490631927</v>
      </c>
      <c r="IC7" s="43">
        <f t="shared" si="86"/>
        <v>1.0607308964020152</v>
      </c>
      <c r="ID7" s="38">
        <f t="shared" si="87"/>
        <v>0.34044129460527472</v>
      </c>
      <c r="IE7" s="41">
        <f>$I$48</f>
        <v>0.5285218364480665</v>
      </c>
      <c r="IF7" s="43">
        <f t="shared" si="88"/>
        <v>1.9929195201064256</v>
      </c>
      <c r="IG7" s="38">
        <f t="shared" si="89"/>
        <v>0.63962698151861375</v>
      </c>
      <c r="IH7" s="41">
        <f>$I$49</f>
        <v>2.3848761159583596E-2</v>
      </c>
      <c r="II7" s="43">
        <f t="shared" ref="II7:II23" si="152">II6+IH7</f>
        <v>6.210232327561388E-2</v>
      </c>
      <c r="IJ7" s="38">
        <f t="shared" si="90"/>
        <v>1.9931723876111571E-2</v>
      </c>
      <c r="IK7" s="49"/>
      <c r="IL7" s="47" t="s">
        <v>187</v>
      </c>
      <c r="IM7" s="41">
        <f>$I$50</f>
        <v>0.27029598569203128</v>
      </c>
      <c r="IN7" s="43">
        <f t="shared" si="91"/>
        <v>1.3370648224022004</v>
      </c>
      <c r="IO7" s="38">
        <f t="shared" si="92"/>
        <v>0.33426620560055015</v>
      </c>
      <c r="IP7" s="41">
        <f>$I$51</f>
        <v>0.72714751809464984</v>
      </c>
      <c r="IQ7" s="43">
        <f t="shared" si="93"/>
        <v>2.6527091927445241</v>
      </c>
      <c r="IR7" s="38">
        <f t="shared" si="94"/>
        <v>0.66317729818613114</v>
      </c>
      <c r="IS7" s="41">
        <f>$I$52</f>
        <v>2.5564962133187998E-3</v>
      </c>
      <c r="IT7" s="43">
        <f t="shared" ref="IT7:IT23" si="153">IT6+IS7</f>
        <v>1.0225984853275199E-2</v>
      </c>
      <c r="IU7" s="38">
        <f t="shared" si="95"/>
        <v>2.5564962133188002E-3</v>
      </c>
      <c r="IV7" s="49"/>
      <c r="IW7" s="47" t="s">
        <v>187</v>
      </c>
      <c r="IX7" s="41">
        <f>$I$53</f>
        <v>0.29753189022179527</v>
      </c>
      <c r="IY7" s="43">
        <f t="shared" si="96"/>
        <v>1.9298697311700006</v>
      </c>
      <c r="IZ7" s="38">
        <f t="shared" si="97"/>
        <v>0.60859705058245328</v>
      </c>
      <c r="JA7" s="41">
        <f>$I$54</f>
        <v>0.290873261866538</v>
      </c>
      <c r="JB7" s="43">
        <f t="shared" si="98"/>
        <v>1.1113978393904025</v>
      </c>
      <c r="JC7" s="38">
        <f t="shared" si="99"/>
        <v>0.35048658267034455</v>
      </c>
      <c r="JD7" s="41">
        <f>$I$55</f>
        <v>8.9541642161927101E-3</v>
      </c>
      <c r="JE7" s="43">
        <f t="shared" ref="JE7:JE23" si="154">JE6+JD7</f>
        <v>0.12974636932483491</v>
      </c>
      <c r="JF7" s="38">
        <f t="shared" si="100"/>
        <v>4.0916366747202178E-2</v>
      </c>
      <c r="JG7" s="49"/>
      <c r="JH7" s="47" t="s">
        <v>187</v>
      </c>
      <c r="JI7" s="41">
        <f>$I$56</f>
        <v>0.87516062582787602</v>
      </c>
      <c r="JJ7" s="43">
        <f t="shared" si="101"/>
        <v>2.7638365886543412</v>
      </c>
      <c r="JK7" s="38">
        <f t="shared" si="102"/>
        <v>0.80139851557886677</v>
      </c>
      <c r="JL7" s="41">
        <f>$I$57</f>
        <v>0.12483937417212417</v>
      </c>
      <c r="JM7" s="43">
        <f t="shared" si="103"/>
        <v>0.67494430497792957</v>
      </c>
      <c r="JN7" s="38">
        <f t="shared" si="104"/>
        <v>0.19570598577648768</v>
      </c>
      <c r="JO7" s="41">
        <f>$I$58</f>
        <v>0</v>
      </c>
      <c r="JP7" s="43">
        <f t="shared" ref="JP7:JP23" si="155">JP6+JO7</f>
        <v>9.9858995754315994E-3</v>
      </c>
      <c r="JQ7" s="38">
        <f t="shared" si="105"/>
        <v>2.8954986446455841E-3</v>
      </c>
      <c r="JR7" s="49"/>
      <c r="JS7" s="47" t="s">
        <v>187</v>
      </c>
      <c r="JT7" s="41">
        <f>$I$59</f>
        <v>0.47869024240040881</v>
      </c>
      <c r="JU7" s="43">
        <f t="shared" si="106"/>
        <v>2.0927672062141891</v>
      </c>
      <c r="JV7" s="38">
        <f t="shared" si="107"/>
        <v>0.58547219615600132</v>
      </c>
      <c r="JW7" s="41">
        <f>$I$60</f>
        <v>0.39946960456455138</v>
      </c>
      <c r="JX7" s="43">
        <f t="shared" si="108"/>
        <v>1.4081139374703684</v>
      </c>
      <c r="JY7" s="38">
        <f t="shared" si="109"/>
        <v>0.39393371463422794</v>
      </c>
      <c r="JZ7" s="41">
        <f>$I$61</f>
        <v>3.5660185783826868E-2</v>
      </c>
      <c r="KA7" s="43">
        <f t="shared" ref="KA7:KA23" si="156">KA6+JZ7</f>
        <v>7.3613460763854832E-2</v>
      </c>
      <c r="KB7" s="38">
        <f t="shared" si="110"/>
        <v>2.0594089209770756E-2</v>
      </c>
      <c r="KC7" s="49"/>
      <c r="KD7" s="47" t="s">
        <v>187</v>
      </c>
      <c r="KE7" s="41">
        <f>$I$62</f>
        <v>0.20404454325567545</v>
      </c>
      <c r="KF7" s="43">
        <f t="shared" si="111"/>
        <v>1.1040370399232748</v>
      </c>
      <c r="KG7" s="38">
        <f t="shared" si="112"/>
        <v>0.3046435335911411</v>
      </c>
      <c r="KH7" s="41">
        <f>$I$63</f>
        <v>0.66747446067281535</v>
      </c>
      <c r="KI7" s="43">
        <f t="shared" si="113"/>
        <v>2.4486235574791571</v>
      </c>
      <c r="KJ7" s="38">
        <f t="shared" si="114"/>
        <v>0.67566332107553329</v>
      </c>
      <c r="KK7" s="41">
        <f>$I$64</f>
        <v>1.3390631055487098E-2</v>
      </c>
      <c r="KL7" s="43">
        <f t="shared" ref="KL7:KL23" si="157">KL6+KK7</f>
        <v>7.1368532344307636E-2</v>
      </c>
      <c r="KM7" s="38">
        <f t="shared" si="115"/>
        <v>1.9693145333325487E-2</v>
      </c>
      <c r="KN7" s="49"/>
      <c r="KO7" s="47" t="s">
        <v>187</v>
      </c>
      <c r="KP7" s="41">
        <f>$I$65</f>
        <v>0</v>
      </c>
      <c r="KQ7" s="43">
        <f t="shared" si="116"/>
        <v>1.9822175992202995</v>
      </c>
      <c r="KR7" s="38" t="e">
        <f t="shared" si="117"/>
        <v>#N/A</v>
      </c>
      <c r="KS7" s="41">
        <f>$I$66</f>
        <v>0</v>
      </c>
      <c r="KT7" s="43">
        <f t="shared" si="118"/>
        <v>0.87784635790691024</v>
      </c>
      <c r="KU7" s="38" t="e">
        <f t="shared" si="119"/>
        <v>#N/A</v>
      </c>
      <c r="KV7" s="41">
        <f>$I$67</f>
        <v>0</v>
      </c>
      <c r="KW7" s="43">
        <f t="shared" ref="KW7:KW23" si="158">KW6+KV7</f>
        <v>1.081599123767797E-2</v>
      </c>
      <c r="KX7" s="38" t="e">
        <f t="shared" si="120"/>
        <v>#N/A</v>
      </c>
      <c r="KY7" s="49"/>
      <c r="KZ7" s="47" t="s">
        <v>187</v>
      </c>
      <c r="LA7" s="41">
        <f>$I$68</f>
        <v>0.38994715509573791</v>
      </c>
      <c r="LB7" s="43">
        <f t="shared" si="121"/>
        <v>1.728208851125538</v>
      </c>
      <c r="LC7" s="38">
        <f t="shared" si="122"/>
        <v>0.57979551530159101</v>
      </c>
      <c r="LD7" s="41">
        <f>$I$69</f>
        <v>0.3480698500120234</v>
      </c>
      <c r="LE7" s="43">
        <f t="shared" si="123"/>
        <v>1.2525124644344472</v>
      </c>
      <c r="LF7" s="38">
        <f t="shared" si="124"/>
        <v>0.42020448469840893</v>
      </c>
      <c r="LG7" s="41">
        <f>$I$70</f>
        <v>0</v>
      </c>
      <c r="LH7" s="43">
        <f t="shared" ref="LH7:LH23" si="159">LH6+LG7</f>
        <v>0</v>
      </c>
      <c r="LI7" s="38">
        <f t="shared" si="125"/>
        <v>0</v>
      </c>
      <c r="LJ7" s="49"/>
      <c r="LK7" s="47" t="s">
        <v>187</v>
      </c>
      <c r="LL7" s="41">
        <f>$I$71</f>
        <v>0.70619241377386921</v>
      </c>
      <c r="LM7" s="43">
        <f t="shared" si="126"/>
        <v>2.273603071464529</v>
      </c>
      <c r="LN7" s="38">
        <f t="shared" si="127"/>
        <v>0.65970030245789713</v>
      </c>
      <c r="LO7" s="41">
        <f>$I$72</f>
        <v>0.13342797400702522</v>
      </c>
      <c r="LP7" s="43">
        <f t="shared" si="128"/>
        <v>1.1633809465808995</v>
      </c>
      <c r="LQ7" s="38">
        <f t="shared" si="129"/>
        <v>0.33756233529311874</v>
      </c>
      <c r="LR7" s="41">
        <f>$I$73</f>
        <v>0</v>
      </c>
      <c r="LS7" s="43">
        <f t="shared" ref="LS7:LS23" si="160">LS6+LR7</f>
        <v>9.4340948364179684E-3</v>
      </c>
      <c r="LT7" s="38">
        <f t="shared" si="130"/>
        <v>2.737362248984152E-3</v>
      </c>
      <c r="LU7" s="49"/>
      <c r="LV7" s="47" t="s">
        <v>187</v>
      </c>
      <c r="LW7" s="41">
        <f>$I$74</f>
        <v>0.40124015549348629</v>
      </c>
      <c r="LX7" s="43">
        <f t="shared" si="131"/>
        <v>1.9628322386138222</v>
      </c>
      <c r="LY7" s="38">
        <f t="shared" si="132"/>
        <v>0.51040383054543026</v>
      </c>
      <c r="LZ7" s="41">
        <f>$I$75</f>
        <v>0.59433275144855024</v>
      </c>
      <c r="MA7" s="43">
        <f t="shared" si="133"/>
        <v>1.8598779852185134</v>
      </c>
      <c r="MB7" s="38">
        <f t="shared" si="134"/>
        <v>0.48363218686129111</v>
      </c>
      <c r="MC7" s="41">
        <f>$I$76</f>
        <v>4.4270930579642046E-3</v>
      </c>
      <c r="MD7" s="43">
        <f t="shared" ref="MD7:MD23" si="161">MD6+MC7</f>
        <v>2.2935363341825526E-2</v>
      </c>
      <c r="ME7" s="38">
        <f t="shared" si="135"/>
        <v>5.9639825932786437E-3</v>
      </c>
    </row>
    <row r="8" spans="2:343" ht="14.25" customHeight="1" x14ac:dyDescent="0.2">
      <c r="B8" s="133">
        <f>E8/SUM($E$8:$E$10)</f>
        <v>0.64587417898931376</v>
      </c>
      <c r="C8" s="134" t="s">
        <v>0</v>
      </c>
      <c r="D8" s="135"/>
      <c r="E8" s="166">
        <f>CORE!E19</f>
        <v>0.64587417898931365</v>
      </c>
      <c r="F8" s="166">
        <f>CORE!F19</f>
        <v>0.61948413440130257</v>
      </c>
      <c r="G8" s="166">
        <f>CORE!G19</f>
        <v>0.59614116187737065</v>
      </c>
      <c r="H8" s="166">
        <f>CORE!H19</f>
        <v>0.63532182906711698</v>
      </c>
      <c r="I8" s="166">
        <f>CORE!I19</f>
        <v>0.61104209155735945</v>
      </c>
      <c r="J8" s="166">
        <f>CORE!J19</f>
        <v>0.6150924260948426</v>
      </c>
      <c r="K8" s="166">
        <f>CORE!K19</f>
        <v>0.59469779511186571</v>
      </c>
      <c r="L8" s="166">
        <f>CORE!L19</f>
        <v>0.65421345891139482</v>
      </c>
      <c r="M8" s="166">
        <f>CORE!M19</f>
        <v>0.65607989641354703</v>
      </c>
      <c r="N8" s="166">
        <f>CORE!N19</f>
        <v>0.41306543079525848</v>
      </c>
      <c r="O8" s="166">
        <f>CORE!O19</f>
        <v>3.6191789501146036E-2</v>
      </c>
      <c r="P8" s="166">
        <f>CORE!P19</f>
        <v>3.2901626819223671E-2</v>
      </c>
      <c r="Q8" s="166">
        <f>CORE!Q19</f>
        <v>0</v>
      </c>
      <c r="R8" s="166">
        <f>CORE!R19</f>
        <v>0</v>
      </c>
      <c r="S8" s="166">
        <f>CORE!S19</f>
        <v>0</v>
      </c>
      <c r="T8" s="166">
        <f>CORE!T19</f>
        <v>0</v>
      </c>
      <c r="U8" s="166">
        <f>CORE!U19</f>
        <v>0</v>
      </c>
      <c r="V8" s="166">
        <f>CORE!V19</f>
        <v>0</v>
      </c>
      <c r="W8" s="166">
        <f>CORE!W19</f>
        <v>0</v>
      </c>
      <c r="X8" s="166">
        <f>CORE!X19</f>
        <v>0</v>
      </c>
      <c r="Y8" s="167">
        <f>CORE!Y19</f>
        <v>0</v>
      </c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2"/>
      <c r="AQ8" s="33">
        <v>5.3530205331433178</v>
      </c>
      <c r="AR8" s="9">
        <f>AU8/SUM($AU8:$AU10)</f>
        <v>0.64587417898931365</v>
      </c>
      <c r="AS8" s="121" t="s">
        <v>0</v>
      </c>
      <c r="AT8" s="30"/>
      <c r="AU8" s="105">
        <f>IF((E8+E9+E10)=0,1,E8/(E8+E9+E10)*$AQ8)</f>
        <v>3.4573777419568792</v>
      </c>
      <c r="AV8" s="105">
        <f t="shared" ref="AV8:BO8" si="162">IF((F8+F9+F10)=0,0,F8/(F8+F9+F10)*$AQ8)</f>
        <v>3.3161112914066879</v>
      </c>
      <c r="AW8" s="105">
        <f t="shared" si="162"/>
        <v>3.8535641986511444</v>
      </c>
      <c r="AX8" s="105">
        <f t="shared" si="162"/>
        <v>3.6341901412736206</v>
      </c>
      <c r="AY8" s="105">
        <f t="shared" si="162"/>
        <v>3.2709208627213844</v>
      </c>
      <c r="AZ8" s="105">
        <f t="shared" si="162"/>
        <v>3.2926023866666316</v>
      </c>
      <c r="BA8" s="105">
        <f t="shared" si="162"/>
        <v>3.4018111217840468</v>
      </c>
      <c r="BB8" s="105">
        <f t="shared" si="162"/>
        <v>3.6473086925368241</v>
      </c>
      <c r="BC8" s="105">
        <f t="shared" si="162"/>
        <v>3.7529311639346252</v>
      </c>
      <c r="BD8" s="105">
        <f t="shared" si="162"/>
        <v>3.9124856272379276</v>
      </c>
      <c r="BE8" s="105">
        <f t="shared" si="162"/>
        <v>2.9441612932288246</v>
      </c>
      <c r="BF8" s="105">
        <f t="shared" si="162"/>
        <v>2.6765102665716589</v>
      </c>
      <c r="BG8" s="105">
        <f t="shared" si="162"/>
        <v>0</v>
      </c>
      <c r="BH8" s="105">
        <f t="shared" si="162"/>
        <v>0</v>
      </c>
      <c r="BI8" s="105">
        <f t="shared" si="162"/>
        <v>0</v>
      </c>
      <c r="BJ8" s="105">
        <f t="shared" si="162"/>
        <v>0</v>
      </c>
      <c r="BK8" s="105">
        <f t="shared" si="162"/>
        <v>0</v>
      </c>
      <c r="BL8" s="105">
        <f t="shared" si="162"/>
        <v>0</v>
      </c>
      <c r="BM8" s="105">
        <f t="shared" si="162"/>
        <v>0</v>
      </c>
      <c r="BN8" s="105">
        <f t="shared" si="162"/>
        <v>0</v>
      </c>
      <c r="BO8" s="127">
        <f t="shared" si="162"/>
        <v>0</v>
      </c>
      <c r="BP8" s="29">
        <v>5</v>
      </c>
      <c r="BQ8" s="47" t="s">
        <v>189</v>
      </c>
      <c r="BR8" s="47" t="s">
        <v>190</v>
      </c>
      <c r="BS8" s="41">
        <f>AZ2</f>
        <v>51.277844535083865</v>
      </c>
      <c r="BT8" s="43">
        <f t="shared" si="10"/>
        <v>257.52758768719184</v>
      </c>
      <c r="BU8" s="38">
        <f t="shared" si="11"/>
        <v>0.52024327748524968</v>
      </c>
      <c r="BV8" s="41">
        <f>AZ3</f>
        <v>46.940579321372908</v>
      </c>
      <c r="BW8" s="43">
        <f t="shared" si="12"/>
        <v>230.44766344426978</v>
      </c>
      <c r="BX8" s="38">
        <f t="shared" si="13"/>
        <v>0.46553788196349943</v>
      </c>
      <c r="BY8" s="41">
        <f>AZ4</f>
        <v>1.7815761435432298</v>
      </c>
      <c r="BZ8" s="43">
        <f t="shared" si="14"/>
        <v>7.0385219095431237</v>
      </c>
      <c r="CA8" s="38">
        <f t="shared" si="15"/>
        <v>1.421884055125085E-2</v>
      </c>
      <c r="CB8" s="49"/>
      <c r="CC8" s="47" t="s">
        <v>188</v>
      </c>
      <c r="CD8" s="41">
        <f>$J$5</f>
        <v>0.51428571428571423</v>
      </c>
      <c r="CE8" s="43">
        <f t="shared" si="16"/>
        <v>2.038637390440047</v>
      </c>
      <c r="CF8" s="38">
        <f t="shared" si="17"/>
        <v>0.50965934761001175</v>
      </c>
      <c r="CG8" s="41">
        <f>$J$6</f>
        <v>0.45714285714285713</v>
      </c>
      <c r="CH8" s="43">
        <f t="shared" si="18"/>
        <v>1.9327911809885243</v>
      </c>
      <c r="CI8" s="38">
        <f t="shared" si="19"/>
        <v>0.48319779524713108</v>
      </c>
      <c r="CJ8" s="41">
        <f>$J$7</f>
        <v>2.8571428571428571E-2</v>
      </c>
      <c r="CK8" s="43">
        <f t="shared" si="138"/>
        <v>2.8571428571428571E-2</v>
      </c>
      <c r="CL8" s="38">
        <f t="shared" si="20"/>
        <v>7.1428571428571426E-3</v>
      </c>
      <c r="CM8" s="49"/>
      <c r="CN8" s="47" t="s">
        <v>188</v>
      </c>
      <c r="CO8" s="41">
        <f>$J$8</f>
        <v>0.6150924260948426</v>
      </c>
      <c r="CP8" s="43">
        <f t="shared" si="21"/>
        <v>3.0770816429979924</v>
      </c>
      <c r="CQ8" s="38">
        <f t="shared" si="22"/>
        <v>0.64591524026693703</v>
      </c>
      <c r="CR8" s="41">
        <f>$J$9</f>
        <v>0.37848800486627887</v>
      </c>
      <c r="CS8" s="43">
        <f t="shared" si="23"/>
        <v>1.6532438652301917</v>
      </c>
      <c r="CT8" s="38">
        <f t="shared" si="24"/>
        <v>0.34703512364059025</v>
      </c>
      <c r="CU8" s="41">
        <f>$J$10</f>
        <v>6.4195690388784326E-3</v>
      </c>
      <c r="CV8" s="43">
        <f t="shared" si="139"/>
        <v>3.3583827192248186E-2</v>
      </c>
      <c r="CW8" s="38">
        <f t="shared" si="25"/>
        <v>7.0496360924728416E-3</v>
      </c>
      <c r="CX8" s="49"/>
      <c r="CY8" s="47" t="s">
        <v>188</v>
      </c>
      <c r="CZ8" s="41">
        <f>$J$11</f>
        <v>0.5122856822048405</v>
      </c>
      <c r="DA8" s="43">
        <f t="shared" si="26"/>
        <v>2.8357155536911467</v>
      </c>
      <c r="DB8" s="38">
        <f t="shared" si="27"/>
        <v>0.60546270807863978</v>
      </c>
      <c r="DC8" s="41">
        <f>$J$12</f>
        <v>0.47500848015936903</v>
      </c>
      <c r="DD8" s="43">
        <f t="shared" si="28"/>
        <v>1.7435468032087069</v>
      </c>
      <c r="DE8" s="38">
        <f t="shared" si="29"/>
        <v>0.37227026094295484</v>
      </c>
      <c r="DF8" s="41">
        <f>$J$13</f>
        <v>1.270583763579047E-2</v>
      </c>
      <c r="DG8" s="43">
        <f t="shared" si="140"/>
        <v>0.10428877821453758</v>
      </c>
      <c r="DH8" s="38">
        <f t="shared" si="30"/>
        <v>2.2267030978405326E-2</v>
      </c>
      <c r="DI8" s="49"/>
      <c r="DJ8" s="47" t="s">
        <v>188</v>
      </c>
      <c r="DK8" s="41">
        <f>$J$14</f>
        <v>0.51980541448928919</v>
      </c>
      <c r="DL8" s="43">
        <f t="shared" si="31"/>
        <v>2.4647282586495951</v>
      </c>
      <c r="DM8" s="38">
        <f t="shared" si="32"/>
        <v>0.52634795802185563</v>
      </c>
      <c r="DN8" s="41">
        <f>$J$15</f>
        <v>0.39104298986834563</v>
      </c>
      <c r="DO8" s="43">
        <f t="shared" si="33"/>
        <v>2.1310008286142521</v>
      </c>
      <c r="DP8" s="38">
        <f t="shared" si="34"/>
        <v>0.45507975605332485</v>
      </c>
      <c r="DQ8" s="41">
        <f>$J$16</f>
        <v>6.8137205979612947E-3</v>
      </c>
      <c r="DR8" s="43">
        <f t="shared" si="141"/>
        <v>8.696839656918022E-2</v>
      </c>
      <c r="DS8" s="38">
        <f t="shared" si="35"/>
        <v>1.8572285924819586E-2</v>
      </c>
      <c r="DT8" s="49"/>
      <c r="DU8" s="47" t="s">
        <v>188</v>
      </c>
      <c r="DV8" s="41">
        <f>$J$17</f>
        <v>0.35839494427744023</v>
      </c>
      <c r="DW8" s="43">
        <f t="shared" si="36"/>
        <v>1.7987166955397975</v>
      </c>
      <c r="DX8" s="38">
        <f t="shared" si="37"/>
        <v>0.39693172064877347</v>
      </c>
      <c r="DY8" s="41">
        <f>$J$18</f>
        <v>0.54791543706464385</v>
      </c>
      <c r="DZ8" s="43">
        <f t="shared" si="38"/>
        <v>2.7154029313676946</v>
      </c>
      <c r="EA8" s="38">
        <f t="shared" si="39"/>
        <v>0.59922141184053679</v>
      </c>
      <c r="EB8" s="41">
        <f>$J$19</f>
        <v>0</v>
      </c>
      <c r="EC8" s="43">
        <f t="shared" si="142"/>
        <v>1.7432279802928361E-2</v>
      </c>
      <c r="ED8" s="38">
        <f t="shared" si="40"/>
        <v>3.8468675106897179E-3</v>
      </c>
      <c r="EE8" s="49"/>
      <c r="EF8" s="47" t="s">
        <v>188</v>
      </c>
      <c r="EG8" s="41">
        <f>$J$20</f>
        <v>0.50288543388581142</v>
      </c>
      <c r="EH8" s="43">
        <f t="shared" si="41"/>
        <v>2.7061820850907878</v>
      </c>
      <c r="EI8" s="38">
        <f t="shared" si="42"/>
        <v>0.5613350236841782</v>
      </c>
      <c r="EJ8" s="41">
        <f>$J$21</f>
        <v>0.39741105994134701</v>
      </c>
      <c r="EK8" s="43">
        <f t="shared" si="43"/>
        <v>2.0916971469874186</v>
      </c>
      <c r="EL8" s="38">
        <f t="shared" si="44"/>
        <v>0.43387430358549584</v>
      </c>
      <c r="EM8" s="41">
        <f>$J$22</f>
        <v>1.0190978813918842E-2</v>
      </c>
      <c r="EN8" s="43">
        <f t="shared" si="143"/>
        <v>2.3095713203948411E-2</v>
      </c>
      <c r="EO8" s="38">
        <f t="shared" si="45"/>
        <v>4.7906727303260654E-3</v>
      </c>
      <c r="EP8" s="49"/>
      <c r="EQ8" s="47" t="s">
        <v>188</v>
      </c>
      <c r="ER8" s="41">
        <f>$J$23</f>
        <v>0.59712725113578291</v>
      </c>
      <c r="ES8" s="43">
        <f t="shared" si="46"/>
        <v>2.0432716681180247</v>
      </c>
      <c r="ET8" s="38">
        <f t="shared" si="47"/>
        <v>0.55128964230048849</v>
      </c>
      <c r="EU8" s="41">
        <f>$J$24</f>
        <v>0.32136011665431752</v>
      </c>
      <c r="EV8" s="43">
        <f t="shared" si="48"/>
        <v>1.5911245943609345</v>
      </c>
      <c r="EW8" s="38">
        <f t="shared" si="49"/>
        <v>0.42929705440915539</v>
      </c>
      <c r="EX8" s="41">
        <f>$J$25</f>
        <v>1.4692984530081554E-2</v>
      </c>
      <c r="EY8" s="43">
        <f t="shared" si="144"/>
        <v>7.195247208389656E-2</v>
      </c>
      <c r="EZ8" s="38">
        <f t="shared" si="50"/>
        <v>1.9413303290356183E-2</v>
      </c>
      <c r="FA8" s="49"/>
      <c r="FB8" s="47" t="s">
        <v>188</v>
      </c>
      <c r="FC8" s="41">
        <f>$J$26</f>
        <v>0.20656196119531528</v>
      </c>
      <c r="FD8" s="43">
        <f t="shared" si="51"/>
        <v>1.673450525402371</v>
      </c>
      <c r="FE8" s="38">
        <f t="shared" si="52"/>
        <v>0.41261072082418909</v>
      </c>
      <c r="FF8" s="41">
        <f>$J$27</f>
        <v>0.32131860630382375</v>
      </c>
      <c r="FG8" s="43">
        <f t="shared" si="53"/>
        <v>2.3559165812209506</v>
      </c>
      <c r="FH8" s="38">
        <f t="shared" si="54"/>
        <v>0.580881492475259</v>
      </c>
      <c r="FI8" s="41">
        <f>$J$28</f>
        <v>0</v>
      </c>
      <c r="FJ8" s="43">
        <f t="shared" si="145"/>
        <v>2.6394028374956951E-2</v>
      </c>
      <c r="FK8" s="38">
        <f t="shared" si="55"/>
        <v>6.5077867005518689E-3</v>
      </c>
      <c r="FL8" s="49"/>
      <c r="FM8" s="47" t="s">
        <v>188</v>
      </c>
      <c r="FN8" s="41">
        <f>$J$29</f>
        <v>0.52500000000000002</v>
      </c>
      <c r="FO8" s="43">
        <f t="shared" si="56"/>
        <v>0.82499999999999996</v>
      </c>
      <c r="FP8" s="38">
        <f t="shared" si="57"/>
        <v>0.41249999999999998</v>
      </c>
      <c r="FQ8" s="41">
        <f>$J$30</f>
        <v>0.45</v>
      </c>
      <c r="FR8" s="43">
        <f t="shared" si="58"/>
        <v>1.05</v>
      </c>
      <c r="FS8" s="38">
        <f t="shared" si="59"/>
        <v>0.52500000000000002</v>
      </c>
      <c r="FT8" s="41">
        <f>$J$31</f>
        <v>2.5000000000000001E-2</v>
      </c>
      <c r="FU8" s="43">
        <f t="shared" si="146"/>
        <v>0.125</v>
      </c>
      <c r="FV8" s="38">
        <f t="shared" si="60"/>
        <v>6.25E-2</v>
      </c>
      <c r="FW8" s="49"/>
      <c r="FX8" s="47" t="s">
        <v>188</v>
      </c>
      <c r="FY8" s="41">
        <f>$J$32</f>
        <v>0.25262875653828737</v>
      </c>
      <c r="FZ8" s="43">
        <f t="shared" si="61"/>
        <v>1.6291078755287844</v>
      </c>
      <c r="GA8" s="38">
        <f t="shared" si="62"/>
        <v>0.41669641010080866</v>
      </c>
      <c r="GB8" s="41">
        <f>$J$33</f>
        <v>0.49420514401024312</v>
      </c>
      <c r="GC8" s="43">
        <f t="shared" si="63"/>
        <v>2.1341809000440861</v>
      </c>
      <c r="GD8" s="38">
        <f t="shared" si="64"/>
        <v>0.54588497969505423</v>
      </c>
      <c r="GE8" s="41">
        <f>$J$34</f>
        <v>3.6450127908044042E-2</v>
      </c>
      <c r="GF8" s="43">
        <f t="shared" si="147"/>
        <v>0.1462910433045346</v>
      </c>
      <c r="GG8" s="38">
        <f t="shared" si="65"/>
        <v>3.7418610204137115E-2</v>
      </c>
      <c r="GH8" s="49"/>
      <c r="GI8" s="47" t="s">
        <v>188</v>
      </c>
      <c r="GJ8" s="41">
        <f>$J$35</f>
        <v>0.53424236782112933</v>
      </c>
      <c r="GK8" s="43">
        <f t="shared" si="66"/>
        <v>3.2591336501532466</v>
      </c>
      <c r="GL8" s="38">
        <f t="shared" si="67"/>
        <v>0.76039277547948791</v>
      </c>
      <c r="GM8" s="41">
        <f>$J$36</f>
        <v>0.36022622944281812</v>
      </c>
      <c r="GN8" s="43">
        <f t="shared" si="68"/>
        <v>0.99829914743721304</v>
      </c>
      <c r="GO8" s="38">
        <f t="shared" si="69"/>
        <v>0.23291449230469441</v>
      </c>
      <c r="GP8" s="41">
        <f>$J$37</f>
        <v>4.4396410185433954E-3</v>
      </c>
      <c r="GQ8" s="43">
        <f t="shared" si="148"/>
        <v>2.8685844315500197E-2</v>
      </c>
      <c r="GR8" s="38">
        <f t="shared" si="70"/>
        <v>6.692732215817552E-3</v>
      </c>
      <c r="GS8" s="49"/>
      <c r="GT8" s="47" t="s">
        <v>188</v>
      </c>
      <c r="GU8" s="41">
        <f>$J$38</f>
        <v>0.65209038664436791</v>
      </c>
      <c r="GV8" s="43">
        <f t="shared" si="71"/>
        <v>1.9292678150702449</v>
      </c>
      <c r="GW8" s="38">
        <f t="shared" si="72"/>
        <v>0.66128689665027129</v>
      </c>
      <c r="GX8" s="41">
        <f>$J$39</f>
        <v>0.34790961335563103</v>
      </c>
      <c r="GY8" s="43">
        <f t="shared" si="73"/>
        <v>0.97548868220808593</v>
      </c>
      <c r="GZ8" s="38">
        <f t="shared" si="74"/>
        <v>0.3343640931217009</v>
      </c>
      <c r="HA8" s="41">
        <f>$J$40</f>
        <v>0</v>
      </c>
      <c r="HB8" s="43">
        <f t="shared" si="149"/>
        <v>1.268799594071315E-2</v>
      </c>
      <c r="HC8" s="38">
        <f t="shared" si="75"/>
        <v>4.3490102280278504E-3</v>
      </c>
      <c r="HD8" s="49"/>
      <c r="HE8" s="47" t="s">
        <v>188</v>
      </c>
      <c r="HF8" s="41">
        <f>$J$41</f>
        <v>0.55256086116391423</v>
      </c>
      <c r="HG8" s="43">
        <f t="shared" si="76"/>
        <v>2.576119148291649</v>
      </c>
      <c r="HH8" s="38">
        <f t="shared" si="77"/>
        <v>0.53910259678050454</v>
      </c>
      <c r="HI8" s="41">
        <f>$J$42</f>
        <v>0.42962137276510914</v>
      </c>
      <c r="HJ8" s="43">
        <f t="shared" si="78"/>
        <v>2.1786743070708989</v>
      </c>
      <c r="HK8" s="38">
        <f t="shared" si="79"/>
        <v>0.45592960141605865</v>
      </c>
      <c r="HL8" s="41">
        <f>$J$43</f>
        <v>1.781776607097681E-2</v>
      </c>
      <c r="HM8" s="43">
        <f t="shared" si="150"/>
        <v>2.3738801161741985E-2</v>
      </c>
      <c r="HN8" s="38">
        <f t="shared" si="80"/>
        <v>4.9678018034367364E-3</v>
      </c>
      <c r="HO8" s="49"/>
      <c r="HP8" s="47" t="s">
        <v>188</v>
      </c>
      <c r="HQ8" s="41">
        <f>$J$44</f>
        <v>0.50839485982077504</v>
      </c>
      <c r="HR8" s="43">
        <f t="shared" si="81"/>
        <v>2.6843628609118815</v>
      </c>
      <c r="HS8" s="38">
        <f t="shared" si="82"/>
        <v>0.53687257218237572</v>
      </c>
      <c r="HT8" s="41">
        <f>$J$45</f>
        <v>0.47520357856907397</v>
      </c>
      <c r="HU8" s="43">
        <f t="shared" si="83"/>
        <v>2.2691942694715133</v>
      </c>
      <c r="HV8" s="38">
        <f t="shared" si="84"/>
        <v>0.45383885389430217</v>
      </c>
      <c r="HW8" s="41">
        <f>$J$46</f>
        <v>1.6401561610151931E-2</v>
      </c>
      <c r="HX8" s="43">
        <f t="shared" si="151"/>
        <v>4.6442869616610233E-2</v>
      </c>
      <c r="HY8" s="38">
        <f t="shared" si="85"/>
        <v>9.2885739233220365E-3</v>
      </c>
      <c r="HZ8" s="49"/>
      <c r="IA8" s="47" t="s">
        <v>188</v>
      </c>
      <c r="IB8" s="41">
        <f>$J$47</f>
        <v>0.25234592239754439</v>
      </c>
      <c r="IC8" s="43">
        <f t="shared" si="86"/>
        <v>1.3130768187995596</v>
      </c>
      <c r="ID8" s="38">
        <f t="shared" si="87"/>
        <v>0.3448937991077568</v>
      </c>
      <c r="IE8" s="41">
        <f>$J$48</f>
        <v>0.41333794737584489</v>
      </c>
      <c r="IF8" s="43">
        <f t="shared" si="88"/>
        <v>2.4062574674822703</v>
      </c>
      <c r="IG8" s="38">
        <f t="shared" si="89"/>
        <v>0.63202949569247868</v>
      </c>
      <c r="IH8" s="41">
        <f>$J$49</f>
        <v>2.5755117856908979E-2</v>
      </c>
      <c r="II8" s="43">
        <f t="shared" si="152"/>
        <v>8.7857441132522862E-2</v>
      </c>
      <c r="IJ8" s="38">
        <f t="shared" si="90"/>
        <v>2.3076705199764413E-2</v>
      </c>
      <c r="IK8" s="49"/>
      <c r="IL8" s="47" t="s">
        <v>188</v>
      </c>
      <c r="IM8" s="41">
        <f>$J$50</f>
        <v>0.43179190472526657</v>
      </c>
      <c r="IN8" s="43">
        <f t="shared" si="91"/>
        <v>1.7688567271274669</v>
      </c>
      <c r="IO8" s="38">
        <f t="shared" si="92"/>
        <v>0.35377134542549343</v>
      </c>
      <c r="IP8" s="41">
        <f>$J$51</f>
        <v>0.55054815940585355</v>
      </c>
      <c r="IQ8" s="43">
        <f t="shared" si="93"/>
        <v>3.2032573521503775</v>
      </c>
      <c r="IR8" s="38">
        <f t="shared" si="94"/>
        <v>0.64065147043007564</v>
      </c>
      <c r="IS8" s="41">
        <f>$J$52</f>
        <v>1.7659935868879619E-2</v>
      </c>
      <c r="IT8" s="43">
        <f t="shared" si="153"/>
        <v>2.7885920722154817E-2</v>
      </c>
      <c r="IU8" s="38">
        <f t="shared" si="95"/>
        <v>5.5771841444309644E-3</v>
      </c>
      <c r="IV8" s="49"/>
      <c r="IW8" s="47" t="s">
        <v>188</v>
      </c>
      <c r="IX8" s="41">
        <f>$J$53</f>
        <v>0.29463693371565031</v>
      </c>
      <c r="IY8" s="43">
        <f t="shared" si="96"/>
        <v>2.2245066648856509</v>
      </c>
      <c r="IZ8" s="38">
        <f t="shared" si="97"/>
        <v>0.59030953508434281</v>
      </c>
      <c r="JA8" s="41">
        <f>$J$54</f>
        <v>0.30272238258887568</v>
      </c>
      <c r="JB8" s="43">
        <f t="shared" si="98"/>
        <v>1.4141202219792781</v>
      </c>
      <c r="JC8" s="38">
        <f t="shared" si="99"/>
        <v>0.37526012574696693</v>
      </c>
      <c r="JD8" s="41">
        <f>$J$55</f>
        <v>0</v>
      </c>
      <c r="JE8" s="43">
        <f t="shared" si="154"/>
        <v>0.12974636932483491</v>
      </c>
      <c r="JF8" s="38">
        <f t="shared" si="100"/>
        <v>3.4430339168690156E-2</v>
      </c>
      <c r="JG8" s="49"/>
      <c r="JH8" s="47" t="s">
        <v>188</v>
      </c>
      <c r="JI8" s="41">
        <f>$J$56</f>
        <v>0.69323814503714942</v>
      </c>
      <c r="JJ8" s="43">
        <f t="shared" si="101"/>
        <v>3.4570747336914907</v>
      </c>
      <c r="JK8" s="38">
        <f t="shared" si="102"/>
        <v>0.77708607674596253</v>
      </c>
      <c r="JL8" s="41">
        <f>$J$57</f>
        <v>0.30166684585974912</v>
      </c>
      <c r="JM8" s="43">
        <f t="shared" si="103"/>
        <v>0.97661115083767869</v>
      </c>
      <c r="JN8" s="38">
        <f t="shared" si="104"/>
        <v>0.21952401558309395</v>
      </c>
      <c r="JO8" s="41">
        <f>$J$58</f>
        <v>5.0950091031016723E-3</v>
      </c>
      <c r="JP8" s="43">
        <f t="shared" si="155"/>
        <v>1.5080908678533272E-2</v>
      </c>
      <c r="JQ8" s="38">
        <f t="shared" si="105"/>
        <v>3.3899076709434468E-3</v>
      </c>
      <c r="JR8" s="49"/>
      <c r="JS8" s="47" t="s">
        <v>188</v>
      </c>
      <c r="JT8" s="41">
        <f>$J$59</f>
        <v>0.3209416720544418</v>
      </c>
      <c r="JU8" s="43">
        <f t="shared" si="106"/>
        <v>2.4137088782686309</v>
      </c>
      <c r="JV8" s="38">
        <f t="shared" si="107"/>
        <v>0.58736321861546215</v>
      </c>
      <c r="JW8" s="41">
        <f>$J$60</f>
        <v>0.19867817793846396</v>
      </c>
      <c r="JX8" s="43">
        <f t="shared" si="108"/>
        <v>1.6067921154088323</v>
      </c>
      <c r="JY8" s="38">
        <f t="shared" si="109"/>
        <v>0.39100431582679168</v>
      </c>
      <c r="JZ8" s="41">
        <f>$J$61</f>
        <v>1.5282936764497228E-2</v>
      </c>
      <c r="KA8" s="43">
        <f t="shared" si="156"/>
        <v>8.8896397528352059E-2</v>
      </c>
      <c r="KB8" s="38">
        <f t="shared" si="110"/>
        <v>2.1632465557746245E-2</v>
      </c>
      <c r="KC8" s="49"/>
      <c r="KD8" s="47" t="s">
        <v>188</v>
      </c>
      <c r="KE8" s="41">
        <f>$J$62</f>
        <v>0.2744530999748131</v>
      </c>
      <c r="KF8" s="43">
        <f t="shared" si="111"/>
        <v>1.378490139898088</v>
      </c>
      <c r="KG8" s="38">
        <f t="shared" si="112"/>
        <v>0.31048129781841516</v>
      </c>
      <c r="KH8" s="41">
        <f>$J$63</f>
        <v>0.48998502738672856</v>
      </c>
      <c r="KI8" s="43">
        <f t="shared" si="113"/>
        <v>2.9386085848658858</v>
      </c>
      <c r="KJ8" s="38">
        <f t="shared" si="114"/>
        <v>0.66187126102835181</v>
      </c>
      <c r="KK8" s="41">
        <f>$J$64</f>
        <v>5.1381936978433476E-2</v>
      </c>
      <c r="KL8" s="43">
        <f t="shared" si="157"/>
        <v>0.12275046932274111</v>
      </c>
      <c r="KM8" s="38">
        <f t="shared" si="115"/>
        <v>2.7647441153232932E-2</v>
      </c>
      <c r="KN8" s="49"/>
      <c r="KO8" s="47" t="s">
        <v>188</v>
      </c>
      <c r="KP8" s="41">
        <f>$J$65</f>
        <v>0.39444036650804859</v>
      </c>
      <c r="KQ8" s="43">
        <f t="shared" si="116"/>
        <v>2.3766579657283482</v>
      </c>
      <c r="KR8" s="38">
        <f t="shared" si="117"/>
        <v>0.67704122753868801</v>
      </c>
      <c r="KS8" s="41">
        <f>$J$66</f>
        <v>0.23353161068644313</v>
      </c>
      <c r="KT8" s="43">
        <f t="shared" si="118"/>
        <v>1.1113779685933534</v>
      </c>
      <c r="KU8" s="38">
        <f t="shared" si="119"/>
        <v>0.31659949179321761</v>
      </c>
      <c r="KV8" s="41">
        <f>$J$67</f>
        <v>1.15073687607573E-2</v>
      </c>
      <c r="KW8" s="43">
        <f t="shared" si="158"/>
        <v>2.2323359998435269E-2</v>
      </c>
      <c r="KX8" s="38">
        <f t="shared" si="120"/>
        <v>6.3592806680943213E-3</v>
      </c>
      <c r="KY8" s="49"/>
      <c r="KZ8" s="47" t="s">
        <v>188</v>
      </c>
      <c r="LA8" s="41">
        <f>$J$68</f>
        <v>0.63496076997317963</v>
      </c>
      <c r="LB8" s="43">
        <f t="shared" si="121"/>
        <v>2.3631696210987174</v>
      </c>
      <c r="LC8" s="38">
        <f t="shared" si="122"/>
        <v>0.59365362047864945</v>
      </c>
      <c r="LD8" s="41">
        <f>$J$69</f>
        <v>0.36503923002682043</v>
      </c>
      <c r="LE8" s="43">
        <f t="shared" si="123"/>
        <v>1.6175516944612676</v>
      </c>
      <c r="LF8" s="38">
        <f t="shared" si="124"/>
        <v>0.40634637952135055</v>
      </c>
      <c r="LG8" s="41">
        <f>$J$70</f>
        <v>0</v>
      </c>
      <c r="LH8" s="43">
        <f t="shared" si="159"/>
        <v>0</v>
      </c>
      <c r="LI8" s="38">
        <f t="shared" si="125"/>
        <v>0</v>
      </c>
      <c r="LJ8" s="49"/>
      <c r="LK8" s="47" t="s">
        <v>188</v>
      </c>
      <c r="LL8" s="41">
        <f>$J$71</f>
        <v>0.61585165632338057</v>
      </c>
      <c r="LM8" s="43">
        <f t="shared" si="126"/>
        <v>2.8894547277879097</v>
      </c>
      <c r="LN8" s="38">
        <f t="shared" si="127"/>
        <v>0.64983873635652634</v>
      </c>
      <c r="LO8" s="41">
        <f>$J$72</f>
        <v>0.37494011526408477</v>
      </c>
      <c r="LP8" s="43">
        <f t="shared" si="128"/>
        <v>1.5383210618449843</v>
      </c>
      <c r="LQ8" s="38">
        <f t="shared" si="129"/>
        <v>0.34596860277000713</v>
      </c>
      <c r="LR8" s="41">
        <f>$J$73</f>
        <v>9.2082284125345852E-3</v>
      </c>
      <c r="LS8" s="43">
        <f t="shared" si="160"/>
        <v>1.8642323248952555E-2</v>
      </c>
      <c r="LT8" s="38">
        <f t="shared" si="130"/>
        <v>4.1926608734665196E-3</v>
      </c>
      <c r="LU8" s="49"/>
      <c r="LV8" s="47" t="s">
        <v>188</v>
      </c>
      <c r="LW8" s="41">
        <f>$J$74</f>
        <v>0.51474005646437504</v>
      </c>
      <c r="LX8" s="43">
        <f t="shared" si="131"/>
        <v>2.4775722950781973</v>
      </c>
      <c r="LY8" s="38">
        <f t="shared" si="132"/>
        <v>0.51348318796225456</v>
      </c>
      <c r="LZ8" s="41">
        <f>$J$75</f>
        <v>0.46464534697750021</v>
      </c>
      <c r="MA8" s="43">
        <f t="shared" si="133"/>
        <v>2.3245233321960135</v>
      </c>
      <c r="MB8" s="38">
        <f t="shared" si="134"/>
        <v>0.48176339938890833</v>
      </c>
      <c r="MC8" s="41">
        <f>$J$76</f>
        <v>0</v>
      </c>
      <c r="MD8" s="43">
        <f t="shared" si="161"/>
        <v>2.2935363341825526E-2</v>
      </c>
      <c r="ME8" s="38">
        <f t="shared" si="135"/>
        <v>4.7534126488371535E-3</v>
      </c>
    </row>
    <row r="9" spans="2:343" ht="14.25" customHeight="1" x14ac:dyDescent="0.2">
      <c r="B9" s="136">
        <f>E9/SUM($E$8:$E$10)</f>
        <v>0.34507589287938811</v>
      </c>
      <c r="C9" s="137" t="s">
        <v>1</v>
      </c>
      <c r="D9" s="138" t="s">
        <v>33</v>
      </c>
      <c r="E9" s="168">
        <f>CORE!E20</f>
        <v>0.34507589287938806</v>
      </c>
      <c r="F9" s="168">
        <f>CORE!F20</f>
        <v>0.37110950864263204</v>
      </c>
      <c r="G9" s="168">
        <f>CORE!G20</f>
        <v>0.22858933810423337</v>
      </c>
      <c r="H9" s="168">
        <f>CORE!H20</f>
        <v>0.2860991051744069</v>
      </c>
      <c r="I9" s="168">
        <f>CORE!I20</f>
        <v>0.38895790844264055</v>
      </c>
      <c r="J9" s="168">
        <f>CORE!J20</f>
        <v>0.37848800486627887</v>
      </c>
      <c r="K9" s="168">
        <f>CORE!K20</f>
        <v>0.33712301252095389</v>
      </c>
      <c r="L9" s="168">
        <f>CORE!L20</f>
        <v>0.29648758308067347</v>
      </c>
      <c r="M9" s="168">
        <f>CORE!M20</f>
        <v>0.25490862813749288</v>
      </c>
      <c r="N9" s="168">
        <f>CORE!N20</f>
        <v>0.15208622552908663</v>
      </c>
      <c r="O9" s="168">
        <f>CORE!O20</f>
        <v>2.9611464137301303E-2</v>
      </c>
      <c r="P9" s="168">
        <f>CORE!P20</f>
        <v>3.2901626819223671E-2</v>
      </c>
      <c r="Q9" s="168">
        <f>CORE!Q20</f>
        <v>0</v>
      </c>
      <c r="R9" s="168">
        <f>CORE!R20</f>
        <v>0</v>
      </c>
      <c r="S9" s="168">
        <f>CORE!S20</f>
        <v>0</v>
      </c>
      <c r="T9" s="168">
        <f>CORE!T20</f>
        <v>0</v>
      </c>
      <c r="U9" s="168">
        <f>CORE!U20</f>
        <v>0</v>
      </c>
      <c r="V9" s="168">
        <f>CORE!V20</f>
        <v>0</v>
      </c>
      <c r="W9" s="168">
        <f>CORE!W20</f>
        <v>0</v>
      </c>
      <c r="X9" s="168">
        <f>CORE!X20</f>
        <v>0</v>
      </c>
      <c r="Y9" s="169">
        <f>CORE!Y20</f>
        <v>0</v>
      </c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2"/>
      <c r="AQ9" s="33">
        <v>5.3530205331433178</v>
      </c>
      <c r="AR9" s="10">
        <f>AU9/SUM($AU8:$AU10)</f>
        <v>0.34507589287938806</v>
      </c>
      <c r="AS9" s="119" t="s">
        <v>1</v>
      </c>
      <c r="AT9" s="8" t="s">
        <v>33</v>
      </c>
      <c r="AU9" s="123">
        <f>IF((E8+E9+E10)=0,1,E9/(E8+E9+E10)*$AQ9)</f>
        <v>1.8471983400761285</v>
      </c>
      <c r="AV9" s="123">
        <f t="shared" ref="AV9:BO9" si="163">IF((F8+F9+F10)=0,0,F9/(F8+F9+F10)*$AQ9)</f>
        <v>1.9865568198087371</v>
      </c>
      <c r="AW9" s="123">
        <f t="shared" si="163"/>
        <v>1.4776427897341502</v>
      </c>
      <c r="AX9" s="123">
        <f t="shared" si="163"/>
        <v>1.6365541051513179</v>
      </c>
      <c r="AY9" s="123">
        <f t="shared" si="163"/>
        <v>2.0820996704219334</v>
      </c>
      <c r="AZ9" s="123">
        <f t="shared" si="163"/>
        <v>2.0260540615976392</v>
      </c>
      <c r="BA9" s="123">
        <f t="shared" si="163"/>
        <v>1.9284228440554401</v>
      </c>
      <c r="BB9" s="123">
        <f t="shared" si="163"/>
        <v>1.6529493917761695</v>
      </c>
      <c r="BC9" s="123">
        <f t="shared" si="163"/>
        <v>1.4581372477994838</v>
      </c>
      <c r="BD9" s="123">
        <f t="shared" si="163"/>
        <v>1.4405349059053909</v>
      </c>
      <c r="BE9" s="123">
        <f t="shared" si="163"/>
        <v>2.4088592399144928</v>
      </c>
      <c r="BF9" s="123">
        <f t="shared" si="163"/>
        <v>2.6765102665716589</v>
      </c>
      <c r="BG9" s="123">
        <f t="shared" si="163"/>
        <v>0</v>
      </c>
      <c r="BH9" s="123">
        <f t="shared" si="163"/>
        <v>0</v>
      </c>
      <c r="BI9" s="123">
        <f t="shared" si="163"/>
        <v>0</v>
      </c>
      <c r="BJ9" s="123">
        <f t="shared" si="163"/>
        <v>0</v>
      </c>
      <c r="BK9" s="123">
        <f t="shared" si="163"/>
        <v>0</v>
      </c>
      <c r="BL9" s="123">
        <f t="shared" si="163"/>
        <v>0</v>
      </c>
      <c r="BM9" s="123">
        <f t="shared" si="163"/>
        <v>0</v>
      </c>
      <c r="BN9" s="123">
        <f t="shared" si="163"/>
        <v>0</v>
      </c>
      <c r="BO9" s="124">
        <f t="shared" si="163"/>
        <v>0</v>
      </c>
      <c r="BP9" s="29">
        <v>6</v>
      </c>
      <c r="BQ9" s="47" t="s">
        <v>190</v>
      </c>
      <c r="BR9" s="47" t="s">
        <v>191</v>
      </c>
      <c r="BS9" s="41">
        <f>BA2</f>
        <v>48.511776118060041</v>
      </c>
      <c r="BT9" s="43">
        <f t="shared" si="10"/>
        <v>306.03936380525187</v>
      </c>
      <c r="BU9" s="38">
        <f t="shared" si="11"/>
        <v>0.51433996601648668</v>
      </c>
      <c r="BV9" s="41">
        <f>BA3</f>
        <v>50.048029950201382</v>
      </c>
      <c r="BW9" s="43">
        <f t="shared" si="12"/>
        <v>280.49569339447117</v>
      </c>
      <c r="BX9" s="38">
        <f t="shared" si="13"/>
        <v>0.47141042124270482</v>
      </c>
      <c r="BY9" s="41">
        <f>BA4</f>
        <v>1.4401939317385808</v>
      </c>
      <c r="BZ9" s="43">
        <f t="shared" si="14"/>
        <v>8.478715841281705</v>
      </c>
      <c r="CA9" s="38">
        <f t="shared" si="15"/>
        <v>1.4249612740808612E-2</v>
      </c>
      <c r="CB9" s="49"/>
      <c r="CC9" s="47" t="s">
        <v>189</v>
      </c>
      <c r="CD9" s="41">
        <f>$K$5</f>
        <v>1</v>
      </c>
      <c r="CE9" s="43">
        <f t="shared" si="16"/>
        <v>3.038637390440047</v>
      </c>
      <c r="CF9" s="38">
        <f t="shared" si="17"/>
        <v>0.60772747808800942</v>
      </c>
      <c r="CG9" s="41">
        <f>$K$6</f>
        <v>0</v>
      </c>
      <c r="CH9" s="43">
        <f t="shared" si="18"/>
        <v>1.9327911809885243</v>
      </c>
      <c r="CI9" s="38">
        <f t="shared" si="19"/>
        <v>0.38655823619770485</v>
      </c>
      <c r="CJ9" s="41">
        <f>$K$7</f>
        <v>0</v>
      </c>
      <c r="CK9" s="43">
        <f t="shared" si="138"/>
        <v>2.8571428571428571E-2</v>
      </c>
      <c r="CL9" s="38">
        <f t="shared" si="20"/>
        <v>5.7142857142857143E-3</v>
      </c>
      <c r="CM9" s="49"/>
      <c r="CN9" s="47" t="s">
        <v>189</v>
      </c>
      <c r="CO9" s="41">
        <f>$K$8</f>
        <v>0.59469779511186571</v>
      </c>
      <c r="CP9" s="43">
        <f t="shared" si="21"/>
        <v>3.6717794381098581</v>
      </c>
      <c r="CQ9" s="38">
        <f t="shared" si="22"/>
        <v>0.64420419459326539</v>
      </c>
      <c r="CR9" s="41">
        <f>$K$9</f>
        <v>0.33712301252095389</v>
      </c>
      <c r="CS9" s="43">
        <f t="shared" si="23"/>
        <v>1.9903668777511456</v>
      </c>
      <c r="CT9" s="38">
        <f t="shared" si="24"/>
        <v>0.34920471478178861</v>
      </c>
      <c r="CU9" s="41">
        <f>$K$10</f>
        <v>3.9835019783960399E-3</v>
      </c>
      <c r="CV9" s="43">
        <f t="shared" si="139"/>
        <v>3.7567329170644224E-2</v>
      </c>
      <c r="CW9" s="38">
        <f t="shared" si="25"/>
        <v>6.5910906249458832E-3</v>
      </c>
      <c r="CX9" s="49"/>
      <c r="CY9" s="47" t="s">
        <v>189</v>
      </c>
      <c r="CZ9" s="41">
        <f>$K$11</f>
        <v>0.62486802488840598</v>
      </c>
      <c r="DA9" s="43">
        <f t="shared" si="26"/>
        <v>3.4605835785795529</v>
      </c>
      <c r="DB9" s="38">
        <f t="shared" si="27"/>
        <v>0.60887700247811749</v>
      </c>
      <c r="DC9" s="41">
        <f>$K$12</f>
        <v>0.37513197511159402</v>
      </c>
      <c r="DD9" s="43">
        <f t="shared" si="28"/>
        <v>2.1186787783203007</v>
      </c>
      <c r="DE9" s="38">
        <f t="shared" si="29"/>
        <v>0.37277376906676829</v>
      </c>
      <c r="DF9" s="41">
        <f>$K$13</f>
        <v>0</v>
      </c>
      <c r="DG9" s="43">
        <f t="shared" si="140"/>
        <v>0.10428877821453758</v>
      </c>
      <c r="DH9" s="38">
        <f t="shared" si="30"/>
        <v>1.8349228455114198E-2</v>
      </c>
      <c r="DI9" s="49"/>
      <c r="DJ9" s="47" t="s">
        <v>189</v>
      </c>
      <c r="DK9" s="41">
        <f>$K$14</f>
        <v>0.40500782565079468</v>
      </c>
      <c r="DL9" s="43">
        <f t="shared" si="31"/>
        <v>2.8697360843003898</v>
      </c>
      <c r="DM9" s="38">
        <f t="shared" si="32"/>
        <v>0.51036996474808449</v>
      </c>
      <c r="DN9" s="41">
        <f>$K$15</f>
        <v>0.52876398006187353</v>
      </c>
      <c r="DO9" s="43">
        <f t="shared" si="33"/>
        <v>2.6597648086761256</v>
      </c>
      <c r="DP9" s="38">
        <f t="shared" si="34"/>
        <v>0.47302749513050252</v>
      </c>
      <c r="DQ9" s="41">
        <f>$K$16</f>
        <v>6.3852718838235973E-3</v>
      </c>
      <c r="DR9" s="43">
        <f t="shared" si="141"/>
        <v>9.3353668453003816E-2</v>
      </c>
      <c r="DS9" s="38">
        <f t="shared" si="35"/>
        <v>1.6602540121413021E-2</v>
      </c>
      <c r="DT9" s="49"/>
      <c r="DU9" s="47" t="s">
        <v>189</v>
      </c>
      <c r="DV9" s="41">
        <f>$K$17</f>
        <v>0.21530484270891914</v>
      </c>
      <c r="DW9" s="43">
        <f t="shared" si="36"/>
        <v>2.0140215382487168</v>
      </c>
      <c r="DX9" s="38">
        <f t="shared" si="37"/>
        <v>0.37893599184283522</v>
      </c>
      <c r="DY9" s="41">
        <f>$K$18</f>
        <v>0.54748260189385545</v>
      </c>
      <c r="DZ9" s="43">
        <f t="shared" si="38"/>
        <v>3.2628855332615503</v>
      </c>
      <c r="EA9" s="38">
        <f t="shared" si="39"/>
        <v>0.61390841276267161</v>
      </c>
      <c r="EB9" s="41">
        <f>$K$19</f>
        <v>2.0599270521485628E-2</v>
      </c>
      <c r="EC9" s="43">
        <f t="shared" si="142"/>
        <v>3.8031550324413993E-2</v>
      </c>
      <c r="ED9" s="38">
        <f t="shared" si="40"/>
        <v>7.1555953944931455E-3</v>
      </c>
      <c r="EE9" s="49"/>
      <c r="EF9" s="47" t="s">
        <v>189</v>
      </c>
      <c r="EG9" s="41">
        <f>$K$20</f>
        <v>0.58723367567524964</v>
      </c>
      <c r="EH9" s="43">
        <f t="shared" si="41"/>
        <v>3.2934157607660373</v>
      </c>
      <c r="EI9" s="38">
        <f t="shared" si="42"/>
        <v>0.56578421857584527</v>
      </c>
      <c r="EJ9" s="41">
        <f>$K$21</f>
        <v>0.40398053092064884</v>
      </c>
      <c r="EK9" s="43">
        <f t="shared" si="43"/>
        <v>2.4956776779080676</v>
      </c>
      <c r="EL9" s="38">
        <f t="shared" si="44"/>
        <v>0.42873877681449069</v>
      </c>
      <c r="EM9" s="41">
        <f>$K$22</f>
        <v>8.7857934041014572E-3</v>
      </c>
      <c r="EN9" s="43">
        <f t="shared" si="143"/>
        <v>3.1881506608049864E-2</v>
      </c>
      <c r="EO9" s="38">
        <f t="shared" si="45"/>
        <v>5.477004609664147E-3</v>
      </c>
      <c r="EP9" s="49"/>
      <c r="EQ9" s="47" t="s">
        <v>189</v>
      </c>
      <c r="ER9" s="41">
        <f>$K$23</f>
        <v>0.44463613132576241</v>
      </c>
      <c r="ES9" s="43">
        <f t="shared" si="46"/>
        <v>2.487907799443787</v>
      </c>
      <c r="ET9" s="38">
        <f t="shared" si="47"/>
        <v>0.53928762879396419</v>
      </c>
      <c r="EU9" s="41">
        <f>$K$24</f>
        <v>0.43973302393760522</v>
      </c>
      <c r="EV9" s="43">
        <f t="shared" si="48"/>
        <v>2.0308576182985396</v>
      </c>
      <c r="EW9" s="38">
        <f t="shared" si="49"/>
        <v>0.44021582698331135</v>
      </c>
      <c r="EX9" s="41">
        <f>$K$25</f>
        <v>2.2604698358526507E-2</v>
      </c>
      <c r="EY9" s="43">
        <f t="shared" si="144"/>
        <v>9.4557170442423066E-2</v>
      </c>
      <c r="EZ9" s="38">
        <f t="shared" si="50"/>
        <v>2.0496544222724612E-2</v>
      </c>
      <c r="FA9" s="49"/>
      <c r="FB9" s="47" t="s">
        <v>189</v>
      </c>
      <c r="FC9" s="41">
        <f>$K$26</f>
        <v>0.61836020015281123</v>
      </c>
      <c r="FD9" s="43">
        <f t="shared" si="51"/>
        <v>2.2918107255551821</v>
      </c>
      <c r="FE9" s="38">
        <f t="shared" si="52"/>
        <v>0.45330676516543189</v>
      </c>
      <c r="FF9" s="41">
        <f>$K$27</f>
        <v>0.38163979984718877</v>
      </c>
      <c r="FG9" s="43">
        <f t="shared" si="53"/>
        <v>2.7375563810681394</v>
      </c>
      <c r="FH9" s="38">
        <f t="shared" si="54"/>
        <v>0.5414726503033398</v>
      </c>
      <c r="FI9" s="41">
        <f>$K$28</f>
        <v>0</v>
      </c>
      <c r="FJ9" s="43">
        <f t="shared" si="145"/>
        <v>2.6394028374956951E-2</v>
      </c>
      <c r="FK9" s="38">
        <f t="shared" si="55"/>
        <v>5.2205845312282414E-3</v>
      </c>
      <c r="FL9" s="49"/>
      <c r="FM9" s="47" t="s">
        <v>189</v>
      </c>
      <c r="FN9" s="41">
        <f>$K$29</f>
        <v>0.5</v>
      </c>
      <c r="FO9" s="43">
        <f t="shared" si="56"/>
        <v>1.325</v>
      </c>
      <c r="FP9" s="38">
        <f t="shared" si="57"/>
        <v>0.44166666666666665</v>
      </c>
      <c r="FQ9" s="41">
        <f>$K$30</f>
        <v>0.5</v>
      </c>
      <c r="FR9" s="43">
        <f t="shared" si="58"/>
        <v>1.55</v>
      </c>
      <c r="FS9" s="38">
        <f t="shared" si="59"/>
        <v>0.51666666666666672</v>
      </c>
      <c r="FT9" s="41">
        <f>$K$31</f>
        <v>0</v>
      </c>
      <c r="FU9" s="43">
        <f t="shared" si="146"/>
        <v>0.125</v>
      </c>
      <c r="FV9" s="38">
        <f t="shared" si="60"/>
        <v>4.1666666666666664E-2</v>
      </c>
      <c r="FW9" s="49"/>
      <c r="FX9" s="47" t="s">
        <v>189</v>
      </c>
      <c r="FY9" s="41">
        <f>$K$32</f>
        <v>0.25290785423820994</v>
      </c>
      <c r="FZ9" s="43">
        <f t="shared" si="61"/>
        <v>1.8820157297669944</v>
      </c>
      <c r="GA9" s="38">
        <f t="shared" si="62"/>
        <v>0.4002503246216052</v>
      </c>
      <c r="GB9" s="41">
        <f>$K$33</f>
        <v>0.51977584026229695</v>
      </c>
      <c r="GC9" s="43">
        <f t="shared" si="63"/>
        <v>2.6539567403063833</v>
      </c>
      <c r="GD9" s="38">
        <f t="shared" si="64"/>
        <v>0.56441985581642307</v>
      </c>
      <c r="GE9" s="41">
        <f>$K$34</f>
        <v>1.9833184597894168E-2</v>
      </c>
      <c r="GF9" s="43">
        <f t="shared" si="147"/>
        <v>0.16612422790242876</v>
      </c>
      <c r="GG9" s="38">
        <f t="shared" si="65"/>
        <v>3.5329819561971822E-2</v>
      </c>
      <c r="GH9" s="49"/>
      <c r="GI9" s="47" t="s">
        <v>189</v>
      </c>
      <c r="GJ9" s="41">
        <f>$K$35</f>
        <v>0.60163762539115551</v>
      </c>
      <c r="GK9" s="43">
        <f t="shared" si="66"/>
        <v>3.8607712755444021</v>
      </c>
      <c r="GL9" s="38">
        <f t="shared" si="67"/>
        <v>0.73036031483250319</v>
      </c>
      <c r="GM9" s="41">
        <f>$K$36</f>
        <v>0.39836237460884544</v>
      </c>
      <c r="GN9" s="43">
        <f t="shared" si="68"/>
        <v>1.3966615220460585</v>
      </c>
      <c r="GO9" s="38">
        <f t="shared" si="69"/>
        <v>0.26421304867695489</v>
      </c>
      <c r="GP9" s="41">
        <f>$K$37</f>
        <v>0</v>
      </c>
      <c r="GQ9" s="43">
        <f t="shared" si="148"/>
        <v>2.8685844315500197E-2</v>
      </c>
      <c r="GR9" s="38">
        <f t="shared" si="70"/>
        <v>5.4266364905418089E-3</v>
      </c>
      <c r="GS9" s="49"/>
      <c r="GT9" s="47" t="s">
        <v>189</v>
      </c>
      <c r="GU9" s="41">
        <f>$K$38</f>
        <v>0.56524103013867999</v>
      </c>
      <c r="GV9" s="43">
        <f t="shared" si="71"/>
        <v>2.4945088452089248</v>
      </c>
      <c r="GW9" s="38">
        <f t="shared" si="72"/>
        <v>0.63676941677842047</v>
      </c>
      <c r="GX9" s="41">
        <f>$K$39</f>
        <v>0.43475896986131901</v>
      </c>
      <c r="GY9" s="43">
        <f t="shared" si="73"/>
        <v>1.4102476520694049</v>
      </c>
      <c r="GZ9" s="38">
        <f t="shared" si="74"/>
        <v>0.35999173811154023</v>
      </c>
      <c r="HA9" s="41">
        <f>$K$40</f>
        <v>0</v>
      </c>
      <c r="HB9" s="43">
        <f t="shared" si="149"/>
        <v>1.268799594071315E-2</v>
      </c>
      <c r="HC9" s="38">
        <f t="shared" si="75"/>
        <v>3.2388451100393689E-3</v>
      </c>
      <c r="HD9" s="49"/>
      <c r="HE9" s="47" t="s">
        <v>189</v>
      </c>
      <c r="HF9" s="41">
        <f>$K$41</f>
        <v>0.4402858582923197</v>
      </c>
      <c r="HG9" s="43">
        <f t="shared" si="76"/>
        <v>3.0164050065839687</v>
      </c>
      <c r="HH9" s="38">
        <f t="shared" si="77"/>
        <v>0.52200193278808416</v>
      </c>
      <c r="HI9" s="41">
        <f>$K$42</f>
        <v>0.53454931996687816</v>
      </c>
      <c r="HJ9" s="43">
        <f t="shared" si="78"/>
        <v>2.713223627037777</v>
      </c>
      <c r="HK9" s="38">
        <f t="shared" si="79"/>
        <v>0.46953508375321329</v>
      </c>
      <c r="HL9" s="41">
        <f>$K$43</f>
        <v>2.5164821740802409E-2</v>
      </c>
      <c r="HM9" s="43">
        <f t="shared" si="150"/>
        <v>4.8903622902544394E-2</v>
      </c>
      <c r="HN9" s="38">
        <f t="shared" si="80"/>
        <v>8.4629834587025866E-3</v>
      </c>
      <c r="HO9" s="49"/>
      <c r="HP9" s="47" t="s">
        <v>189</v>
      </c>
      <c r="HQ9" s="41">
        <f>$K$44</f>
        <v>0.5775264219860563</v>
      </c>
      <c r="HR9" s="43">
        <f t="shared" si="81"/>
        <v>3.261889282897938</v>
      </c>
      <c r="HS9" s="38">
        <f t="shared" si="82"/>
        <v>0.54364821381632233</v>
      </c>
      <c r="HT9" s="41">
        <f>$K$45</f>
        <v>0.42247357801394481</v>
      </c>
      <c r="HU9" s="43">
        <f t="shared" si="83"/>
        <v>2.6916678474854581</v>
      </c>
      <c r="HV9" s="38">
        <f t="shared" si="84"/>
        <v>0.44861130791424247</v>
      </c>
      <c r="HW9" s="41">
        <f>$K$46</f>
        <v>0</v>
      </c>
      <c r="HX9" s="43">
        <f t="shared" si="151"/>
        <v>4.6442869616610233E-2</v>
      </c>
      <c r="HY9" s="38">
        <f t="shared" si="85"/>
        <v>7.7404782694350293E-3</v>
      </c>
      <c r="HZ9" s="49"/>
      <c r="IA9" s="47" t="s">
        <v>189</v>
      </c>
      <c r="IB9" s="41">
        <f>$K$47</f>
        <v>0.19686224491228232</v>
      </c>
      <c r="IC9" s="43">
        <f t="shared" si="86"/>
        <v>1.5099390637118419</v>
      </c>
      <c r="ID9" s="38">
        <f t="shared" si="87"/>
        <v>0.33927815159260316</v>
      </c>
      <c r="IE9" s="41">
        <f>$K$48</f>
        <v>0.42876998453252246</v>
      </c>
      <c r="IF9" s="43">
        <f t="shared" si="88"/>
        <v>2.8350274520147929</v>
      </c>
      <c r="IG9" s="38">
        <f t="shared" si="89"/>
        <v>0.63702098763465664</v>
      </c>
      <c r="IH9" s="41">
        <f>$K$49</f>
        <v>1.7621957869060505E-2</v>
      </c>
      <c r="II9" s="43">
        <f t="shared" si="152"/>
        <v>0.10547939900158337</v>
      </c>
      <c r="IJ9" s="38">
        <f t="shared" si="90"/>
        <v>2.3700860772740077E-2</v>
      </c>
      <c r="IK9" s="49"/>
      <c r="IL9" s="47" t="s">
        <v>189</v>
      </c>
      <c r="IM9" s="41">
        <f>$K$50</f>
        <v>0.29807706403183715</v>
      </c>
      <c r="IN9" s="43">
        <f t="shared" si="91"/>
        <v>2.066933791159304</v>
      </c>
      <c r="IO9" s="38">
        <f t="shared" si="92"/>
        <v>0.34448896519321737</v>
      </c>
      <c r="IP9" s="41">
        <f>$K$51</f>
        <v>0.67361100931033979</v>
      </c>
      <c r="IQ9" s="43">
        <f t="shared" si="93"/>
        <v>3.8768683614607173</v>
      </c>
      <c r="IR9" s="38">
        <f t="shared" si="94"/>
        <v>0.6461447269101197</v>
      </c>
      <c r="IS9" s="41">
        <f>$K$52</f>
        <v>2.8311926657823002E-2</v>
      </c>
      <c r="IT9" s="43">
        <f t="shared" si="153"/>
        <v>5.6197847379977822E-2</v>
      </c>
      <c r="IU9" s="38">
        <f t="shared" si="95"/>
        <v>9.3663078966629721E-3</v>
      </c>
      <c r="IV9" s="49"/>
      <c r="IW9" s="47" t="s">
        <v>189</v>
      </c>
      <c r="IX9" s="41">
        <f>$K$53</f>
        <v>0.13196295177761655</v>
      </c>
      <c r="IY9" s="43">
        <f t="shared" si="96"/>
        <v>2.3564696166632673</v>
      </c>
      <c r="IZ9" s="38">
        <f t="shared" si="97"/>
        <v>0.59640982799209963</v>
      </c>
      <c r="JA9" s="41">
        <f>$K$54</f>
        <v>5.0754981452929442E-2</v>
      </c>
      <c r="JB9" s="43">
        <f t="shared" si="98"/>
        <v>1.4648752034322075</v>
      </c>
      <c r="JC9" s="38">
        <f t="shared" si="99"/>
        <v>0.37075206144435474</v>
      </c>
      <c r="JD9" s="41">
        <f>$K$55</f>
        <v>0</v>
      </c>
      <c r="JE9" s="43">
        <f t="shared" si="154"/>
        <v>0.12974636932483491</v>
      </c>
      <c r="JF9" s="38">
        <f t="shared" si="100"/>
        <v>3.2838110563545568E-2</v>
      </c>
      <c r="JG9" s="49"/>
      <c r="JH9" s="47" t="s">
        <v>189</v>
      </c>
      <c r="JI9" s="41">
        <f>$K$56</f>
        <v>0.75578844994413708</v>
      </c>
      <c r="JJ9" s="43">
        <f t="shared" si="101"/>
        <v>4.2128631836356281</v>
      </c>
      <c r="JK9" s="38">
        <f t="shared" si="102"/>
        <v>0.77317737086624416</v>
      </c>
      <c r="JL9" s="41">
        <f>$K$57</f>
        <v>0.23455715105000574</v>
      </c>
      <c r="JM9" s="43">
        <f t="shared" si="103"/>
        <v>1.2111683018876844</v>
      </c>
      <c r="JN9" s="38">
        <f t="shared" si="104"/>
        <v>0.22228301335955444</v>
      </c>
      <c r="JO9" s="41">
        <f>$K$58</f>
        <v>9.6543990058572549E-3</v>
      </c>
      <c r="JP9" s="43">
        <f t="shared" si="155"/>
        <v>2.4735307684390528E-2</v>
      </c>
      <c r="JQ9" s="38">
        <f t="shared" si="105"/>
        <v>4.5396157742014116E-3</v>
      </c>
      <c r="JR9" s="49"/>
      <c r="JS9" s="47" t="s">
        <v>189</v>
      </c>
      <c r="JT9" s="41">
        <f>$K$59</f>
        <v>0.12428846576385916</v>
      </c>
      <c r="JU9" s="43">
        <f t="shared" si="106"/>
        <v>2.5379973440324899</v>
      </c>
      <c r="JV9" s="38">
        <f t="shared" si="107"/>
        <v>0.58694539183440464</v>
      </c>
      <c r="JW9" s="41">
        <f>$K$60</f>
        <v>9.0391611464624849E-2</v>
      </c>
      <c r="JX9" s="43">
        <f t="shared" si="108"/>
        <v>1.6971837268734571</v>
      </c>
      <c r="JY9" s="38">
        <f t="shared" si="109"/>
        <v>0.39249614264843152</v>
      </c>
      <c r="JZ9" s="41">
        <f>$K$61</f>
        <v>0</v>
      </c>
      <c r="KA9" s="43">
        <f t="shared" si="156"/>
        <v>8.8896397528352059E-2</v>
      </c>
      <c r="KB9" s="38">
        <f t="shared" si="110"/>
        <v>2.0558465517163938E-2</v>
      </c>
      <c r="KC9" s="49"/>
      <c r="KD9" s="47" t="s">
        <v>189</v>
      </c>
      <c r="KE9" s="41">
        <f>$K$62</f>
        <v>2.3391864549173091E-2</v>
      </c>
      <c r="KF9" s="43">
        <f t="shared" si="111"/>
        <v>1.4018820044472611</v>
      </c>
      <c r="KG9" s="38">
        <f t="shared" si="112"/>
        <v>0.31051476798471683</v>
      </c>
      <c r="KH9" s="41">
        <f>$K$63</f>
        <v>5.1462102008180799E-2</v>
      </c>
      <c r="KI9" s="43">
        <f t="shared" si="113"/>
        <v>2.9900706868740667</v>
      </c>
      <c r="KJ9" s="38">
        <f t="shared" si="114"/>
        <v>0.66229618658860001</v>
      </c>
      <c r="KK9" s="41">
        <f>$K$64</f>
        <v>0</v>
      </c>
      <c r="KL9" s="43">
        <f t="shared" si="157"/>
        <v>0.12275046932274111</v>
      </c>
      <c r="KM9" s="38">
        <f t="shared" si="115"/>
        <v>2.7189045426683042E-2</v>
      </c>
      <c r="KN9" s="49"/>
      <c r="KO9" s="47" t="s">
        <v>189</v>
      </c>
      <c r="KP9" s="41">
        <f>$K$65</f>
        <v>0.49568669157148032</v>
      </c>
      <c r="KQ9" s="43">
        <f t="shared" si="116"/>
        <v>2.8723446572998284</v>
      </c>
      <c r="KR9" s="38">
        <f t="shared" si="117"/>
        <v>0.69215815512027168</v>
      </c>
      <c r="KS9" s="41">
        <f>$K$66</f>
        <v>0.1386782682678766</v>
      </c>
      <c r="KT9" s="43">
        <f t="shared" si="118"/>
        <v>1.25005623686123</v>
      </c>
      <c r="KU9" s="38">
        <f t="shared" si="119"/>
        <v>0.30123008271431856</v>
      </c>
      <c r="KV9" s="41">
        <f>$K$67</f>
        <v>5.114386115892133E-3</v>
      </c>
      <c r="KW9" s="43">
        <f t="shared" si="158"/>
        <v>2.7437746114327401E-2</v>
      </c>
      <c r="KX9" s="38">
        <f t="shared" si="120"/>
        <v>6.6117621654095474E-3</v>
      </c>
      <c r="KY9" s="49"/>
      <c r="KZ9" s="47" t="s">
        <v>189</v>
      </c>
      <c r="LA9" s="41">
        <f>$K$68</f>
        <v>0.57502108592958234</v>
      </c>
      <c r="LB9" s="43">
        <f t="shared" si="121"/>
        <v>2.9381907070282995</v>
      </c>
      <c r="LC9" s="38">
        <f t="shared" si="122"/>
        <v>0.58991268952335629</v>
      </c>
      <c r="LD9" s="41">
        <f>$K$69</f>
        <v>0.42497891407041777</v>
      </c>
      <c r="LE9" s="43">
        <f t="shared" si="123"/>
        <v>2.0425306085316852</v>
      </c>
      <c r="LF9" s="38">
        <f t="shared" si="124"/>
        <v>0.41008731047664382</v>
      </c>
      <c r="LG9" s="41">
        <f>$K$70</f>
        <v>0</v>
      </c>
      <c r="LH9" s="43">
        <f t="shared" si="159"/>
        <v>0</v>
      </c>
      <c r="LI9" s="38">
        <f t="shared" si="125"/>
        <v>0</v>
      </c>
      <c r="LJ9" s="49"/>
      <c r="LK9" s="47" t="s">
        <v>189</v>
      </c>
      <c r="LL9" s="41">
        <f>$K$71</f>
        <v>0.56177608943193469</v>
      </c>
      <c r="LM9" s="43">
        <f t="shared" si="126"/>
        <v>3.4512308172198445</v>
      </c>
      <c r="LN9" s="38">
        <f t="shared" si="127"/>
        <v>0.6336698258727157</v>
      </c>
      <c r="LO9" s="41">
        <f>$K$72</f>
        <v>0.4382239105680652</v>
      </c>
      <c r="LP9" s="43">
        <f t="shared" si="128"/>
        <v>1.9765449724130495</v>
      </c>
      <c r="LQ9" s="38">
        <f t="shared" si="129"/>
        <v>0.36290731476126176</v>
      </c>
      <c r="LR9" s="41">
        <f>$K$73</f>
        <v>0</v>
      </c>
      <c r="LS9" s="43">
        <f t="shared" si="160"/>
        <v>1.8642323248952555E-2</v>
      </c>
      <c r="LT9" s="38">
        <f t="shared" si="130"/>
        <v>3.422859366022562E-3</v>
      </c>
      <c r="LU9" s="49"/>
      <c r="LV9" s="47" t="s">
        <v>189</v>
      </c>
      <c r="LW9" s="41">
        <f>$K$74</f>
        <v>0.46999829696059137</v>
      </c>
      <c r="LX9" s="43">
        <f t="shared" si="131"/>
        <v>2.9475705920387885</v>
      </c>
      <c r="LY9" s="38">
        <f t="shared" si="132"/>
        <v>0.51252239649551856</v>
      </c>
      <c r="LZ9" s="41">
        <f>$K$75</f>
        <v>0.43685765833149737</v>
      </c>
      <c r="MA9" s="43">
        <f t="shared" si="133"/>
        <v>2.7613809905275106</v>
      </c>
      <c r="MB9" s="38">
        <f t="shared" si="134"/>
        <v>0.48014782299867115</v>
      </c>
      <c r="MC9" s="41">
        <f>$K$76</f>
        <v>1.9218980766363868E-2</v>
      </c>
      <c r="MD9" s="43">
        <f t="shared" si="161"/>
        <v>4.2154344108189398E-2</v>
      </c>
      <c r="ME9" s="38">
        <f t="shared" si="135"/>
        <v>7.3297805058104137E-3</v>
      </c>
    </row>
    <row r="10" spans="2:343" ht="14.25" customHeight="1" thickBot="1" x14ac:dyDescent="0.25">
      <c r="B10" s="139">
        <f>E10/SUM($E$8:$E$10)</f>
        <v>9.0499281312981933E-3</v>
      </c>
      <c r="C10" s="140" t="s">
        <v>2</v>
      </c>
      <c r="D10" s="141"/>
      <c r="E10" s="170">
        <f>CORE!E21</f>
        <v>9.0499281312981916E-3</v>
      </c>
      <c r="F10" s="170">
        <f>CORE!F21</f>
        <v>9.4063569560653218E-3</v>
      </c>
      <c r="G10" s="170">
        <f>CORE!G21</f>
        <v>3.3745258276126843E-3</v>
      </c>
      <c r="H10" s="170">
        <f>CORE!H21</f>
        <v>1.4383375369691746E-2</v>
      </c>
      <c r="I10" s="170">
        <f>CORE!I21</f>
        <v>0</v>
      </c>
      <c r="J10" s="170">
        <f>CORE!J21</f>
        <v>6.4195690388784326E-3</v>
      </c>
      <c r="K10" s="170">
        <f>CORE!K21</f>
        <v>3.9835019783960399E-3</v>
      </c>
      <c r="L10" s="170">
        <f>CORE!L21</f>
        <v>9.4639382239713049E-3</v>
      </c>
      <c r="M10" s="170">
        <f>CORE!M21</f>
        <v>2.4815785060175732E-2</v>
      </c>
      <c r="N10" s="170">
        <f>CORE!N21</f>
        <v>0</v>
      </c>
      <c r="O10" s="170">
        <f>CORE!O21</f>
        <v>0</v>
      </c>
      <c r="P10" s="170">
        <f>CORE!P21</f>
        <v>0</v>
      </c>
      <c r="Q10" s="170">
        <f>CORE!Q21</f>
        <v>0</v>
      </c>
      <c r="R10" s="170">
        <f>CORE!R21</f>
        <v>0</v>
      </c>
      <c r="S10" s="170">
        <f>CORE!S21</f>
        <v>0</v>
      </c>
      <c r="T10" s="170">
        <f>CORE!T21</f>
        <v>0</v>
      </c>
      <c r="U10" s="170">
        <f>CORE!U21</f>
        <v>0</v>
      </c>
      <c r="V10" s="170">
        <f>CORE!V21</f>
        <v>0</v>
      </c>
      <c r="W10" s="170">
        <f>CORE!W21</f>
        <v>0</v>
      </c>
      <c r="X10" s="170">
        <f>CORE!X21</f>
        <v>0</v>
      </c>
      <c r="Y10" s="171">
        <f>CORE!Y21</f>
        <v>0</v>
      </c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2"/>
      <c r="AQ10" s="33">
        <v>5.3530205331433178</v>
      </c>
      <c r="AR10" s="11">
        <f>AU10/SUM($AU8:$AU10)</f>
        <v>9.0499281312981916E-3</v>
      </c>
      <c r="AS10" s="120" t="s">
        <v>2</v>
      </c>
      <c r="AT10" s="31"/>
      <c r="AU10" s="125">
        <f>IF((E8+E9+E10)=0,1,E10/(E8+E9+E10)*$AQ10)</f>
        <v>4.8444451110310566E-2</v>
      </c>
      <c r="AV10" s="125">
        <f t="shared" ref="AV10:BO10" si="164">IF((F8+F9+F10)=0,0,F10/(F8+F9+F10)*$AQ10)</f>
        <v>5.0352421927893153E-2</v>
      </c>
      <c r="AW10" s="125">
        <f t="shared" si="164"/>
        <v>2.181354475802301E-2</v>
      </c>
      <c r="AX10" s="125">
        <f t="shared" si="164"/>
        <v>8.2276286718379749E-2</v>
      </c>
      <c r="AY10" s="125">
        <f t="shared" si="164"/>
        <v>0</v>
      </c>
      <c r="AZ10" s="125">
        <f t="shared" si="164"/>
        <v>3.4364084879047366E-2</v>
      </c>
      <c r="BA10" s="125">
        <f t="shared" si="164"/>
        <v>2.2786567303830961E-2</v>
      </c>
      <c r="BB10" s="125">
        <f t="shared" si="164"/>
        <v>5.2762448830324472E-2</v>
      </c>
      <c r="BC10" s="125">
        <f t="shared" si="164"/>
        <v>0.14195212140920854</v>
      </c>
      <c r="BD10" s="125">
        <f t="shared" si="164"/>
        <v>0</v>
      </c>
      <c r="BE10" s="125">
        <f t="shared" si="164"/>
        <v>0</v>
      </c>
      <c r="BF10" s="125">
        <f t="shared" si="164"/>
        <v>0</v>
      </c>
      <c r="BG10" s="125">
        <f t="shared" si="164"/>
        <v>0</v>
      </c>
      <c r="BH10" s="125">
        <f t="shared" si="164"/>
        <v>0</v>
      </c>
      <c r="BI10" s="125">
        <f t="shared" si="164"/>
        <v>0</v>
      </c>
      <c r="BJ10" s="125">
        <f t="shared" si="164"/>
        <v>0</v>
      </c>
      <c r="BK10" s="125">
        <f t="shared" si="164"/>
        <v>0</v>
      </c>
      <c r="BL10" s="125">
        <f t="shared" si="164"/>
        <v>0</v>
      </c>
      <c r="BM10" s="125">
        <f t="shared" si="164"/>
        <v>0</v>
      </c>
      <c r="BN10" s="125">
        <f t="shared" si="164"/>
        <v>0</v>
      </c>
      <c r="BO10" s="126">
        <f t="shared" si="164"/>
        <v>0</v>
      </c>
      <c r="BP10" s="29">
        <v>7</v>
      </c>
      <c r="BQ10" s="47" t="s">
        <v>191</v>
      </c>
      <c r="BR10" s="47" t="s">
        <v>192</v>
      </c>
      <c r="BS10" s="41">
        <f>BB2</f>
        <v>48.830889635897613</v>
      </c>
      <c r="BT10" s="43">
        <f t="shared" si="10"/>
        <v>354.87025344114949</v>
      </c>
      <c r="BU10" s="38">
        <f t="shared" si="11"/>
        <v>0.51163563858225292</v>
      </c>
      <c r="BV10" s="41">
        <f>BB3</f>
        <v>48.580940372334595</v>
      </c>
      <c r="BW10" s="43">
        <f t="shared" si="12"/>
        <v>329.0766337668058</v>
      </c>
      <c r="BX10" s="38">
        <f t="shared" si="13"/>
        <v>0.47444758197434928</v>
      </c>
      <c r="BY10" s="41">
        <f>BB4</f>
        <v>1.173956247488658</v>
      </c>
      <c r="BZ10" s="43">
        <f t="shared" si="14"/>
        <v>9.6526720887703625</v>
      </c>
      <c r="CA10" s="38">
        <f t="shared" si="15"/>
        <v>1.391677944339768E-2</v>
      </c>
      <c r="CB10" s="49"/>
      <c r="CC10" s="47" t="s">
        <v>190</v>
      </c>
      <c r="CD10" s="41">
        <f>$L$5</f>
        <v>0</v>
      </c>
      <c r="CE10" s="43">
        <f t="shared" si="16"/>
        <v>3.038637390440047</v>
      </c>
      <c r="CF10" s="38">
        <f t="shared" si="17"/>
        <v>0.5064395650733412</v>
      </c>
      <c r="CG10" s="41">
        <f>$L$6</f>
        <v>1</v>
      </c>
      <c r="CH10" s="43">
        <f t="shared" si="18"/>
        <v>2.9327911809885245</v>
      </c>
      <c r="CI10" s="38">
        <f t="shared" si="19"/>
        <v>0.48879853016475411</v>
      </c>
      <c r="CJ10" s="41">
        <f>$L$7</f>
        <v>0</v>
      </c>
      <c r="CK10" s="43">
        <f t="shared" si="138"/>
        <v>2.8571428571428571E-2</v>
      </c>
      <c r="CL10" s="38">
        <f t="shared" si="20"/>
        <v>4.7619047619047615E-3</v>
      </c>
      <c r="CM10" s="49"/>
      <c r="CN10" s="47" t="s">
        <v>190</v>
      </c>
      <c r="CO10" s="41">
        <f>$L$8</f>
        <v>0.65421345891139482</v>
      </c>
      <c r="CP10" s="43">
        <f t="shared" si="21"/>
        <v>4.3259928970212531</v>
      </c>
      <c r="CQ10" s="38">
        <f t="shared" si="22"/>
        <v>0.64956032090755489</v>
      </c>
      <c r="CR10" s="41">
        <f>$L$9</f>
        <v>0.29648758308067347</v>
      </c>
      <c r="CS10" s="43">
        <f t="shared" si="23"/>
        <v>2.2868544608318189</v>
      </c>
      <c r="CT10" s="38">
        <f t="shared" si="24"/>
        <v>0.34337779853259243</v>
      </c>
      <c r="CU10" s="41">
        <f>$L$10</f>
        <v>9.4639382239713049E-3</v>
      </c>
      <c r="CV10" s="43">
        <f t="shared" si="139"/>
        <v>4.7031267394615529E-2</v>
      </c>
      <c r="CW10" s="38">
        <f t="shared" si="25"/>
        <v>7.061880559852754E-3</v>
      </c>
      <c r="CX10" s="49"/>
      <c r="CY10" s="47" t="s">
        <v>190</v>
      </c>
      <c r="CZ10" s="41">
        <f>$L$11</f>
        <v>0.449105206007411</v>
      </c>
      <c r="DA10" s="43">
        <f t="shared" si="26"/>
        <v>3.9096887845869639</v>
      </c>
      <c r="DB10" s="38">
        <f t="shared" si="27"/>
        <v>0.59915602125886913</v>
      </c>
      <c r="DC10" s="41">
        <f>$L$12</f>
        <v>0.39267036154978452</v>
      </c>
      <c r="DD10" s="43">
        <f t="shared" si="28"/>
        <v>2.5113491398700853</v>
      </c>
      <c r="DE10" s="38">
        <f t="shared" si="29"/>
        <v>0.38486182444196909</v>
      </c>
      <c r="DF10" s="41">
        <f>$L$13</f>
        <v>0</v>
      </c>
      <c r="DG10" s="43">
        <f t="shared" si="140"/>
        <v>0.10428877821453758</v>
      </c>
      <c r="DH10" s="38">
        <f t="shared" si="30"/>
        <v>1.5982154299161735E-2</v>
      </c>
      <c r="DI10" s="49"/>
      <c r="DJ10" s="47" t="s">
        <v>190</v>
      </c>
      <c r="DK10" s="41">
        <f>$L$14</f>
        <v>0.39902102051783889</v>
      </c>
      <c r="DL10" s="43">
        <f t="shared" si="31"/>
        <v>3.2687571048182287</v>
      </c>
      <c r="DM10" s="38">
        <f t="shared" si="32"/>
        <v>0.50642181278019804</v>
      </c>
      <c r="DN10" s="41">
        <f>$L$15</f>
        <v>0.41931791169219534</v>
      </c>
      <c r="DO10" s="43">
        <f t="shared" si="33"/>
        <v>3.0790827203683211</v>
      </c>
      <c r="DP10" s="38">
        <f t="shared" si="34"/>
        <v>0.47703595065250959</v>
      </c>
      <c r="DQ10" s="41">
        <f>$L$16</f>
        <v>1.3420076169228523E-2</v>
      </c>
      <c r="DR10" s="43">
        <f t="shared" si="141"/>
        <v>0.10677374462223234</v>
      </c>
      <c r="DS10" s="38">
        <f t="shared" si="35"/>
        <v>1.6542236567292364E-2</v>
      </c>
      <c r="DT10" s="49"/>
      <c r="DU10" s="47" t="s">
        <v>190</v>
      </c>
      <c r="DV10" s="41">
        <f>$L$17</f>
        <v>0.20529442485819577</v>
      </c>
      <c r="DW10" s="43">
        <f t="shared" si="36"/>
        <v>2.2193159631069124</v>
      </c>
      <c r="DX10" s="38">
        <f t="shared" si="37"/>
        <v>0.37668399762386962</v>
      </c>
      <c r="DY10" s="41">
        <f>$L$18</f>
        <v>0.3714851497434018</v>
      </c>
      <c r="DZ10" s="43">
        <f t="shared" si="38"/>
        <v>3.6343706830049523</v>
      </c>
      <c r="EA10" s="38">
        <f t="shared" si="39"/>
        <v>0.61686091592148329</v>
      </c>
      <c r="EB10" s="41">
        <f>$L$19</f>
        <v>0</v>
      </c>
      <c r="EC10" s="43">
        <f t="shared" si="142"/>
        <v>3.8031550324413993E-2</v>
      </c>
      <c r="ED10" s="38">
        <f t="shared" si="40"/>
        <v>6.4550864546471564E-3</v>
      </c>
      <c r="EE10" s="49"/>
      <c r="EF10" s="47" t="s">
        <v>190</v>
      </c>
      <c r="EG10" s="41">
        <f>$L$20</f>
        <v>0.58624974683134934</v>
      </c>
      <c r="EH10" s="43">
        <f t="shared" si="41"/>
        <v>3.8796655075973865</v>
      </c>
      <c r="EI10" s="38">
        <f t="shared" si="42"/>
        <v>0.56878460025437039</v>
      </c>
      <c r="EJ10" s="41">
        <f>$L$21</f>
        <v>0.38496073801932995</v>
      </c>
      <c r="EK10" s="43">
        <f t="shared" si="43"/>
        <v>2.8806384159273977</v>
      </c>
      <c r="EL10" s="38">
        <f t="shared" si="44"/>
        <v>0.42232062704171652</v>
      </c>
      <c r="EM10" s="41">
        <f>$L$22</f>
        <v>2.8789515149320728E-2</v>
      </c>
      <c r="EN10" s="43">
        <f t="shared" si="143"/>
        <v>6.0671021757370588E-2</v>
      </c>
      <c r="EO10" s="38">
        <f t="shared" si="45"/>
        <v>8.8947727039130602E-3</v>
      </c>
      <c r="EP10" s="49"/>
      <c r="EQ10" s="47" t="s">
        <v>190</v>
      </c>
      <c r="ER10" s="41">
        <f>$L$23</f>
        <v>0.5504123657549167</v>
      </c>
      <c r="ES10" s="43">
        <f t="shared" si="46"/>
        <v>3.0383201651987037</v>
      </c>
      <c r="ET10" s="38">
        <f t="shared" si="47"/>
        <v>0.54126947408900716</v>
      </c>
      <c r="EU10" s="41">
        <f>$L$24</f>
        <v>0.42437894613255706</v>
      </c>
      <c r="EV10" s="43">
        <f t="shared" si="48"/>
        <v>2.4552365644310967</v>
      </c>
      <c r="EW10" s="38">
        <f t="shared" si="49"/>
        <v>0.43739452451904737</v>
      </c>
      <c r="EX10" s="41">
        <f>$L$25</f>
        <v>2.5208688112526235E-2</v>
      </c>
      <c r="EY10" s="43">
        <f t="shared" si="144"/>
        <v>0.1197658585549493</v>
      </c>
      <c r="EZ10" s="38">
        <f t="shared" si="50"/>
        <v>2.1336001391945567E-2</v>
      </c>
      <c r="FA10" s="49"/>
      <c r="FB10" s="47" t="s">
        <v>190</v>
      </c>
      <c r="FC10" s="41">
        <f>$L$26</f>
        <v>0.43834689971838281</v>
      </c>
      <c r="FD10" s="43">
        <f t="shared" si="51"/>
        <v>2.7301576252735646</v>
      </c>
      <c r="FE10" s="38">
        <f t="shared" si="52"/>
        <v>0.45083641253534029</v>
      </c>
      <c r="FF10" s="41">
        <f>$L$27</f>
        <v>0.56165310028161719</v>
      </c>
      <c r="FG10" s="43">
        <f t="shared" si="53"/>
        <v>3.2992094813497568</v>
      </c>
      <c r="FH10" s="38">
        <f t="shared" si="54"/>
        <v>0.54480508854329091</v>
      </c>
      <c r="FI10" s="41">
        <f>$L$28</f>
        <v>0</v>
      </c>
      <c r="FJ10" s="43">
        <f t="shared" si="145"/>
        <v>2.6394028374956951E-2</v>
      </c>
      <c r="FK10" s="38">
        <f t="shared" si="55"/>
        <v>4.3584989213687761E-3</v>
      </c>
      <c r="FL10" s="49"/>
      <c r="FM10" s="47" t="s">
        <v>190</v>
      </c>
      <c r="FN10" s="41">
        <f>$L$29</f>
        <v>0.7</v>
      </c>
      <c r="FO10" s="43">
        <f t="shared" si="56"/>
        <v>2.0249999999999999</v>
      </c>
      <c r="FP10" s="38">
        <f t="shared" si="57"/>
        <v>0.50624999999999998</v>
      </c>
      <c r="FQ10" s="41">
        <f>$L$30</f>
        <v>0.3</v>
      </c>
      <c r="FR10" s="43">
        <f t="shared" si="58"/>
        <v>1.85</v>
      </c>
      <c r="FS10" s="38">
        <f t="shared" si="59"/>
        <v>0.46250000000000002</v>
      </c>
      <c r="FT10" s="41">
        <f>$L$31</f>
        <v>0</v>
      </c>
      <c r="FU10" s="43">
        <f t="shared" si="146"/>
        <v>0.125</v>
      </c>
      <c r="FV10" s="38">
        <f t="shared" si="60"/>
        <v>3.125E-2</v>
      </c>
      <c r="FW10" s="49"/>
      <c r="FX10" s="47" t="s">
        <v>190</v>
      </c>
      <c r="FY10" s="41">
        <f>$L$32</f>
        <v>0.29487490774896896</v>
      </c>
      <c r="FZ10" s="43">
        <f t="shared" si="61"/>
        <v>2.1768906375159633</v>
      </c>
      <c r="GA10" s="38">
        <f t="shared" si="62"/>
        <v>0.39746385153704195</v>
      </c>
      <c r="GB10" s="41">
        <f>$L$33</f>
        <v>0.46472176372125751</v>
      </c>
      <c r="GC10" s="43">
        <f t="shared" si="63"/>
        <v>3.118678504027641</v>
      </c>
      <c r="GD10" s="38">
        <f t="shared" si="64"/>
        <v>0.56941857737560164</v>
      </c>
      <c r="GE10" s="41">
        <f>$L$34</f>
        <v>1.5259136040082763E-2</v>
      </c>
      <c r="GF10" s="43">
        <f t="shared" si="147"/>
        <v>0.18138336394251153</v>
      </c>
      <c r="GG10" s="38">
        <f t="shared" si="65"/>
        <v>3.3117571087356461E-2</v>
      </c>
      <c r="GH10" s="49"/>
      <c r="GI10" s="47" t="s">
        <v>190</v>
      </c>
      <c r="GJ10" s="41">
        <f>$L$35</f>
        <v>0.56153564552416335</v>
      </c>
      <c r="GK10" s="43">
        <f t="shared" si="66"/>
        <v>4.4223069210685653</v>
      </c>
      <c r="GL10" s="38">
        <f t="shared" si="67"/>
        <v>0.70350357239323669</v>
      </c>
      <c r="GM10" s="41">
        <f>$L$36</f>
        <v>0.43846435447583759</v>
      </c>
      <c r="GN10" s="43">
        <f t="shared" si="68"/>
        <v>1.8351258765218961</v>
      </c>
      <c r="GO10" s="38">
        <f t="shared" si="69"/>
        <v>0.29193306411497871</v>
      </c>
      <c r="GP10" s="41">
        <f>$L$37</f>
        <v>0</v>
      </c>
      <c r="GQ10" s="43">
        <f t="shared" si="148"/>
        <v>2.8685844315500197E-2</v>
      </c>
      <c r="GR10" s="38">
        <f t="shared" si="70"/>
        <v>4.5633634917845904E-3</v>
      </c>
      <c r="GS10" s="49"/>
      <c r="GT10" s="47" t="s">
        <v>190</v>
      </c>
      <c r="GU10" s="41">
        <f>$L$38</f>
        <v>0.66032077131511979</v>
      </c>
      <c r="GV10" s="43">
        <f t="shared" si="71"/>
        <v>3.1548296165240446</v>
      </c>
      <c r="GW10" s="38">
        <f t="shared" si="72"/>
        <v>0.64155876510135046</v>
      </c>
      <c r="GX10" s="41">
        <f>$L$39</f>
        <v>0.32939013081144591</v>
      </c>
      <c r="GY10" s="43">
        <f t="shared" si="73"/>
        <v>1.7396377828808509</v>
      </c>
      <c r="GZ10" s="38">
        <f t="shared" si="74"/>
        <v>0.35376866689186653</v>
      </c>
      <c r="HA10" s="41">
        <f>$L$40</f>
        <v>1.0289097873433324E-2</v>
      </c>
      <c r="HB10" s="43">
        <f t="shared" si="149"/>
        <v>2.2977093814146476E-2</v>
      </c>
      <c r="HC10" s="38">
        <f t="shared" si="75"/>
        <v>4.6725680067829876E-3</v>
      </c>
      <c r="HD10" s="49"/>
      <c r="HE10" s="47" t="s">
        <v>190</v>
      </c>
      <c r="HF10" s="41">
        <f>$L$41</f>
        <v>0.45158512953121899</v>
      </c>
      <c r="HG10" s="43">
        <f t="shared" si="76"/>
        <v>3.4679901361151879</v>
      </c>
      <c r="HH10" s="38">
        <f t="shared" si="77"/>
        <v>0.51161372475247446</v>
      </c>
      <c r="HI10" s="41">
        <f>$L$42</f>
        <v>0.54709828895097168</v>
      </c>
      <c r="HJ10" s="43">
        <f t="shared" si="78"/>
        <v>3.2603219159887487</v>
      </c>
      <c r="HK10" s="38">
        <f t="shared" si="79"/>
        <v>0.48097756160276606</v>
      </c>
      <c r="HL10" s="41">
        <f>$L$43</f>
        <v>1.31658151780964E-3</v>
      </c>
      <c r="HM10" s="43">
        <f t="shared" si="150"/>
        <v>5.0220204420354034E-2</v>
      </c>
      <c r="HN10" s="38">
        <f t="shared" si="80"/>
        <v>7.4087136447595183E-3</v>
      </c>
      <c r="HO10" s="49"/>
      <c r="HP10" s="47" t="s">
        <v>190</v>
      </c>
      <c r="HQ10" s="41">
        <f>$L$44</f>
        <v>0.58636737262552319</v>
      </c>
      <c r="HR10" s="43">
        <f t="shared" si="81"/>
        <v>3.8482566555234614</v>
      </c>
      <c r="HS10" s="38">
        <f t="shared" si="82"/>
        <v>0.54975095078906533</v>
      </c>
      <c r="HT10" s="41">
        <f>$L$45</f>
        <v>0.41363262737447776</v>
      </c>
      <c r="HU10" s="43">
        <f t="shared" si="83"/>
        <v>3.105300474859936</v>
      </c>
      <c r="HV10" s="38">
        <f t="shared" si="84"/>
        <v>0.44361435355141893</v>
      </c>
      <c r="HW10" s="41">
        <f>$L$46</f>
        <v>0</v>
      </c>
      <c r="HX10" s="43">
        <f t="shared" si="151"/>
        <v>4.6442869616610233E-2</v>
      </c>
      <c r="HY10" s="38">
        <f t="shared" si="85"/>
        <v>6.6346956595157401E-3</v>
      </c>
      <c r="HZ10" s="49"/>
      <c r="IA10" s="47" t="s">
        <v>190</v>
      </c>
      <c r="IB10" s="41">
        <f>$L$47</f>
        <v>0.39814105728615545</v>
      </c>
      <c r="IC10" s="43">
        <f t="shared" si="86"/>
        <v>1.9080801209979974</v>
      </c>
      <c r="ID10" s="38">
        <f t="shared" si="87"/>
        <v>0.35476067639312747</v>
      </c>
      <c r="IE10" s="41">
        <f>$L$48</f>
        <v>0.5156220687378853</v>
      </c>
      <c r="IF10" s="43">
        <f t="shared" si="88"/>
        <v>3.3506495207526781</v>
      </c>
      <c r="IG10" s="38">
        <f t="shared" si="89"/>
        <v>0.62297105727237756</v>
      </c>
      <c r="IH10" s="41">
        <f>$L$49</f>
        <v>1.4290460369340899E-2</v>
      </c>
      <c r="II10" s="43">
        <f t="shared" si="152"/>
        <v>0.11976985937092427</v>
      </c>
      <c r="IJ10" s="38">
        <f t="shared" si="90"/>
        <v>2.2268266334495E-2</v>
      </c>
      <c r="IK10" s="49"/>
      <c r="IL10" s="47" t="s">
        <v>190</v>
      </c>
      <c r="IM10" s="41">
        <f>$L$50</f>
        <v>0.45304703802246227</v>
      </c>
      <c r="IN10" s="43">
        <f t="shared" si="91"/>
        <v>2.5199808291817662</v>
      </c>
      <c r="IO10" s="38">
        <f t="shared" si="92"/>
        <v>0.35999726131168092</v>
      </c>
      <c r="IP10" s="41">
        <f>$L$51</f>
        <v>0.54695296197753762</v>
      </c>
      <c r="IQ10" s="43">
        <f t="shared" si="93"/>
        <v>4.4238213234382551</v>
      </c>
      <c r="IR10" s="38">
        <f t="shared" si="94"/>
        <v>0.63197447477689361</v>
      </c>
      <c r="IS10" s="41">
        <f>$L$52</f>
        <v>0</v>
      </c>
      <c r="IT10" s="43">
        <f t="shared" si="153"/>
        <v>5.6197847379977822E-2</v>
      </c>
      <c r="IU10" s="38">
        <f t="shared" si="95"/>
        <v>8.0282639114254047E-3</v>
      </c>
      <c r="IV10" s="49"/>
      <c r="IW10" s="47" t="s">
        <v>190</v>
      </c>
      <c r="IX10" s="41">
        <f>$L$53</f>
        <v>0.15548441354077697</v>
      </c>
      <c r="IY10" s="43">
        <f t="shared" si="96"/>
        <v>2.5119540302040444</v>
      </c>
      <c r="IZ10" s="38">
        <f t="shared" si="97"/>
        <v>0.57942169704911706</v>
      </c>
      <c r="JA10" s="41">
        <f>$L$54</f>
        <v>0.22870221455410505</v>
      </c>
      <c r="JB10" s="43">
        <f t="shared" si="98"/>
        <v>1.6935774179863126</v>
      </c>
      <c r="JC10" s="38">
        <f t="shared" si="99"/>
        <v>0.39065026262999769</v>
      </c>
      <c r="JD10" s="41">
        <f>$L$55</f>
        <v>0</v>
      </c>
      <c r="JE10" s="43">
        <f t="shared" si="154"/>
        <v>0.12974636932483491</v>
      </c>
      <c r="JF10" s="38">
        <f t="shared" si="100"/>
        <v>2.992804032088545E-2</v>
      </c>
      <c r="JG10" s="49"/>
      <c r="JH10" s="47" t="s">
        <v>190</v>
      </c>
      <c r="JI10" s="41">
        <f>$L$56</f>
        <v>0.6855970117107808</v>
      </c>
      <c r="JJ10" s="43">
        <f t="shared" si="101"/>
        <v>4.8984601953464093</v>
      </c>
      <c r="JK10" s="38">
        <f t="shared" si="102"/>
        <v>0.75959642400246397</v>
      </c>
      <c r="JL10" s="41">
        <f>$L$57</f>
        <v>0.31271908148587213</v>
      </c>
      <c r="JM10" s="43">
        <f t="shared" si="103"/>
        <v>1.5238873833735567</v>
      </c>
      <c r="JN10" s="38">
        <f t="shared" si="104"/>
        <v>0.23630679046707384</v>
      </c>
      <c r="JO10" s="41">
        <f>$L$58</f>
        <v>1.6839068033471954E-3</v>
      </c>
      <c r="JP10" s="43">
        <f t="shared" si="155"/>
        <v>2.6419214487737725E-2</v>
      </c>
      <c r="JQ10" s="38">
        <f t="shared" si="105"/>
        <v>4.0967855304620887E-3</v>
      </c>
      <c r="JR10" s="49"/>
      <c r="JS10" s="47" t="s">
        <v>190</v>
      </c>
      <c r="JT10" s="41">
        <f>$L$59</f>
        <v>0.46065813618370288</v>
      </c>
      <c r="JU10" s="43">
        <f t="shared" si="106"/>
        <v>2.9986554802161929</v>
      </c>
      <c r="JV10" s="38">
        <f t="shared" si="107"/>
        <v>0.57130865151568733</v>
      </c>
      <c r="JW10" s="41">
        <f>$L$60</f>
        <v>0.46401298733965746</v>
      </c>
      <c r="JX10" s="43">
        <f t="shared" si="108"/>
        <v>2.1611967142131148</v>
      </c>
      <c r="JY10" s="38">
        <f t="shared" si="109"/>
        <v>0.4117546642497959</v>
      </c>
      <c r="JZ10" s="41">
        <f>$L$61</f>
        <v>0</v>
      </c>
      <c r="KA10" s="43">
        <f t="shared" si="156"/>
        <v>8.8896397528352059E-2</v>
      </c>
      <c r="KB10" s="38">
        <f t="shared" si="110"/>
        <v>1.6936684234516899E-2</v>
      </c>
      <c r="KC10" s="49"/>
      <c r="KD10" s="47" t="s">
        <v>190</v>
      </c>
      <c r="KE10" s="41">
        <f>$L$62</f>
        <v>0.33787008174986488</v>
      </c>
      <c r="KF10" s="43">
        <f t="shared" si="111"/>
        <v>1.7397520861971261</v>
      </c>
      <c r="KG10" s="38">
        <f t="shared" si="112"/>
        <v>0.31547520066228513</v>
      </c>
      <c r="KH10" s="41">
        <f>$L$63</f>
        <v>0.65215062892563225</v>
      </c>
      <c r="KI10" s="43">
        <f t="shared" si="113"/>
        <v>3.642221315799699</v>
      </c>
      <c r="KJ10" s="38">
        <f t="shared" si="114"/>
        <v>0.6604564578910751</v>
      </c>
      <c r="KK10" s="41">
        <f>$L$64</f>
        <v>9.979289324503671E-3</v>
      </c>
      <c r="KL10" s="43">
        <f t="shared" si="157"/>
        <v>0.13272975864724479</v>
      </c>
      <c r="KM10" s="38">
        <f t="shared" si="115"/>
        <v>2.4068341446639729E-2</v>
      </c>
      <c r="KN10" s="49"/>
      <c r="KO10" s="47" t="s">
        <v>190</v>
      </c>
      <c r="KP10" s="41">
        <f>$L$65</f>
        <v>0.18153291738382127</v>
      </c>
      <c r="KQ10" s="43">
        <f t="shared" si="116"/>
        <v>3.0538775746836495</v>
      </c>
      <c r="KR10" s="38">
        <f t="shared" si="117"/>
        <v>0.67708077680848533</v>
      </c>
      <c r="KS10" s="41">
        <f>$L$66</f>
        <v>0.17898773666092971</v>
      </c>
      <c r="KT10" s="43">
        <f t="shared" si="118"/>
        <v>1.4290439735221598</v>
      </c>
      <c r="KU10" s="38">
        <f t="shared" si="119"/>
        <v>0.3168359503691302</v>
      </c>
      <c r="KV10" s="41">
        <f>$L$67</f>
        <v>0</v>
      </c>
      <c r="KW10" s="43">
        <f t="shared" si="158"/>
        <v>2.7437746114327401E-2</v>
      </c>
      <c r="KX10" s="38">
        <f t="shared" si="120"/>
        <v>6.0832728223845847E-3</v>
      </c>
      <c r="KY10" s="49"/>
      <c r="KZ10" s="47" t="s">
        <v>190</v>
      </c>
      <c r="LA10" s="41">
        <f>$L$68</f>
        <v>0</v>
      </c>
      <c r="LB10" s="43">
        <f t="shared" si="121"/>
        <v>2.9381907070282995</v>
      </c>
      <c r="LC10" s="38" t="e">
        <f t="shared" si="122"/>
        <v>#N/A</v>
      </c>
      <c r="LD10" s="41">
        <f>$L$69</f>
        <v>0</v>
      </c>
      <c r="LE10" s="43">
        <f t="shared" si="123"/>
        <v>2.0425306085316852</v>
      </c>
      <c r="LF10" s="38" t="e">
        <f t="shared" si="124"/>
        <v>#N/A</v>
      </c>
      <c r="LG10" s="41">
        <f>$L$70</f>
        <v>0</v>
      </c>
      <c r="LH10" s="43">
        <f t="shared" si="159"/>
        <v>0</v>
      </c>
      <c r="LI10" s="38" t="e">
        <f t="shared" si="125"/>
        <v>#N/A</v>
      </c>
      <c r="LJ10" s="49"/>
      <c r="LK10" s="47" t="s">
        <v>190</v>
      </c>
      <c r="LL10" s="41">
        <f>$L$71</f>
        <v>0.25674044162222698</v>
      </c>
      <c r="LM10" s="43">
        <f t="shared" si="126"/>
        <v>3.7079712588420715</v>
      </c>
      <c r="LN10" s="38">
        <f t="shared" si="127"/>
        <v>0.63270887840592704</v>
      </c>
      <c r="LO10" s="41">
        <f>$L$72</f>
        <v>0.15731122139679213</v>
      </c>
      <c r="LP10" s="43">
        <f t="shared" si="128"/>
        <v>2.1338561938098417</v>
      </c>
      <c r="LQ10" s="38">
        <f t="shared" si="129"/>
        <v>0.36411009277525497</v>
      </c>
      <c r="LR10" s="41">
        <f>$L$73</f>
        <v>0</v>
      </c>
      <c r="LS10" s="43">
        <f t="shared" si="160"/>
        <v>1.8642323248952555E-2</v>
      </c>
      <c r="LT10" s="38">
        <f t="shared" si="130"/>
        <v>3.1810288188180063E-3</v>
      </c>
      <c r="LU10" s="49"/>
      <c r="LV10" s="47" t="s">
        <v>190</v>
      </c>
      <c r="LW10" s="41">
        <f>$L$74</f>
        <v>0.47206805119109058</v>
      </c>
      <c r="LX10" s="43">
        <f t="shared" si="131"/>
        <v>3.4196386432298791</v>
      </c>
      <c r="LY10" s="38">
        <f t="shared" si="132"/>
        <v>0.50775024318688011</v>
      </c>
      <c r="LZ10" s="41">
        <f>$L$75</f>
        <v>0.49093784803896851</v>
      </c>
      <c r="MA10" s="43">
        <f t="shared" si="133"/>
        <v>3.2523188385664792</v>
      </c>
      <c r="MB10" s="38">
        <f t="shared" si="134"/>
        <v>0.48290648617880627</v>
      </c>
      <c r="MC10" s="41">
        <f>$L$76</f>
        <v>2.0771493434923217E-2</v>
      </c>
      <c r="MD10" s="43">
        <f t="shared" si="161"/>
        <v>6.2925837543112623E-2</v>
      </c>
      <c r="ME10" s="38">
        <f t="shared" si="135"/>
        <v>9.3432706343135469E-3</v>
      </c>
    </row>
    <row r="11" spans="2:343" ht="14.25" customHeight="1" x14ac:dyDescent="0.2">
      <c r="B11" s="133">
        <f>E11/SUM($E$11:$E$13)</f>
        <v>0.59928034842995637</v>
      </c>
      <c r="C11" s="134" t="s">
        <v>0</v>
      </c>
      <c r="D11" s="135"/>
      <c r="E11" s="166">
        <f>CORE!E74</f>
        <v>0.59928034842995637</v>
      </c>
      <c r="F11" s="166">
        <f>CORE!F74</f>
        <v>0.62246852374849815</v>
      </c>
      <c r="G11" s="166">
        <f>CORE!G74</f>
        <v>0.53585642306235071</v>
      </c>
      <c r="H11" s="166">
        <f>CORE!H74</f>
        <v>0.67821391204387882</v>
      </c>
      <c r="I11" s="166">
        <f>CORE!I74</f>
        <v>0.48689101263157852</v>
      </c>
      <c r="J11" s="166">
        <f>CORE!J74</f>
        <v>0.5122856822048405</v>
      </c>
      <c r="K11" s="166">
        <f>CORE!K74</f>
        <v>0.62486802488840598</v>
      </c>
      <c r="L11" s="166">
        <f>CORE!L74</f>
        <v>0.449105206007411</v>
      </c>
      <c r="M11" s="166">
        <f>CORE!M74</f>
        <v>0.54709751160501485</v>
      </c>
      <c r="N11" s="166">
        <f>CORE!N74</f>
        <v>0.32560633377440029</v>
      </c>
      <c r="O11" s="166">
        <f>CORE!O74</f>
        <v>6.5926846851168563E-2</v>
      </c>
      <c r="P11" s="166">
        <f>CORE!P74</f>
        <v>0.1054829549618697</v>
      </c>
      <c r="Q11" s="166">
        <f>CORE!Q74</f>
        <v>0</v>
      </c>
      <c r="R11" s="166">
        <f>CORE!R74</f>
        <v>0</v>
      </c>
      <c r="S11" s="166">
        <f>CORE!S74</f>
        <v>0</v>
      </c>
      <c r="T11" s="166">
        <f>CORE!T74</f>
        <v>0</v>
      </c>
      <c r="U11" s="166">
        <f>CORE!U74</f>
        <v>0</v>
      </c>
      <c r="V11" s="166">
        <f>CORE!V74</f>
        <v>0</v>
      </c>
      <c r="W11" s="166">
        <f>CORE!W74</f>
        <v>0</v>
      </c>
      <c r="X11" s="166">
        <f>CORE!X74</f>
        <v>0</v>
      </c>
      <c r="Y11" s="167">
        <f>CORE!Y74</f>
        <v>0</v>
      </c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2"/>
      <c r="AQ11" s="33">
        <v>1.6489516331560075</v>
      </c>
      <c r="AR11" s="9">
        <f>AU11/SUM($AU11:$AU13)</f>
        <v>0.59928034842995637</v>
      </c>
      <c r="AS11" s="121" t="s">
        <v>0</v>
      </c>
      <c r="AT11" s="30"/>
      <c r="AU11" s="105">
        <f>IF((E11+E12+E13)=0,1,E11/(E11+E12+E13)*$AQ11)</f>
        <v>0.98818430926187772</v>
      </c>
      <c r="AV11" s="105">
        <f t="shared" ref="AV11:BO11" si="165">IF((F11+F12+F13)=0,0,F11/(F11+F12+F13)*$AQ11)</f>
        <v>1.0264204888232951</v>
      </c>
      <c r="AW11" s="105">
        <f t="shared" si="165"/>
        <v>1.0496875390550728</v>
      </c>
      <c r="AX11" s="105">
        <f t="shared" si="165"/>
        <v>1.1183419378938788</v>
      </c>
      <c r="AY11" s="105">
        <f t="shared" si="165"/>
        <v>0.95376934350529519</v>
      </c>
      <c r="AZ11" s="105">
        <f t="shared" si="165"/>
        <v>0.84473431231411111</v>
      </c>
      <c r="BA11" s="105">
        <f t="shared" si="165"/>
        <v>1.0303771501467058</v>
      </c>
      <c r="BB11" s="105">
        <f t="shared" si="165"/>
        <v>0.87975084030277195</v>
      </c>
      <c r="BC11" s="105">
        <f t="shared" si="165"/>
        <v>1.0532212452304508</v>
      </c>
      <c r="BD11" s="105">
        <f t="shared" si="165"/>
        <v>1.2367137248670055</v>
      </c>
      <c r="BE11" s="105">
        <f t="shared" si="165"/>
        <v>0.68706318048166981</v>
      </c>
      <c r="BF11" s="105">
        <f t="shared" si="165"/>
        <v>1.0993010887706718</v>
      </c>
      <c r="BG11" s="105">
        <f t="shared" si="165"/>
        <v>0</v>
      </c>
      <c r="BH11" s="105">
        <f t="shared" si="165"/>
        <v>0</v>
      </c>
      <c r="BI11" s="105">
        <f t="shared" si="165"/>
        <v>0</v>
      </c>
      <c r="BJ11" s="105">
        <f t="shared" si="165"/>
        <v>0</v>
      </c>
      <c r="BK11" s="105">
        <f t="shared" si="165"/>
        <v>0</v>
      </c>
      <c r="BL11" s="105">
        <f t="shared" si="165"/>
        <v>0</v>
      </c>
      <c r="BM11" s="105">
        <f t="shared" si="165"/>
        <v>0</v>
      </c>
      <c r="BN11" s="105">
        <f t="shared" si="165"/>
        <v>0</v>
      </c>
      <c r="BO11" s="127">
        <f t="shared" si="165"/>
        <v>0</v>
      </c>
      <c r="BP11" s="29">
        <v>8</v>
      </c>
      <c r="BQ11" s="47" t="s">
        <v>192</v>
      </c>
      <c r="BR11" s="47" t="s">
        <v>193</v>
      </c>
      <c r="BS11" s="41">
        <f>BC2</f>
        <v>49.556412088816955</v>
      </c>
      <c r="BT11" s="43">
        <f t="shared" si="10"/>
        <v>404.42666552996644</v>
      </c>
      <c r="BU11" s="38">
        <f t="shared" si="11"/>
        <v>0.50961049661917968</v>
      </c>
      <c r="BV11" s="41">
        <f>BC3</f>
        <v>48.511425405577263</v>
      </c>
      <c r="BW11" s="43">
        <f t="shared" si="12"/>
        <v>377.58805917238305</v>
      </c>
      <c r="BX11" s="38">
        <f t="shared" si="13"/>
        <v>0.47579166942455858</v>
      </c>
      <c r="BY11" s="41">
        <f>BC4</f>
        <v>1.9321625056057898</v>
      </c>
      <c r="BZ11" s="43">
        <f t="shared" si="14"/>
        <v>11.584834594376153</v>
      </c>
      <c r="CA11" s="38">
        <f t="shared" si="15"/>
        <v>1.4597833956261816E-2</v>
      </c>
      <c r="CB11" s="49"/>
      <c r="CC11" s="47" t="s">
        <v>191</v>
      </c>
      <c r="CD11" s="41">
        <f>$M$5</f>
        <v>0.75</v>
      </c>
      <c r="CE11" s="43">
        <f t="shared" si="16"/>
        <v>3.788637390440047</v>
      </c>
      <c r="CF11" s="38">
        <f t="shared" si="17"/>
        <v>0.54123391292000667</v>
      </c>
      <c r="CG11" s="41">
        <f>$M$6</f>
        <v>0.25</v>
      </c>
      <c r="CH11" s="43">
        <f t="shared" si="18"/>
        <v>3.1827911809885245</v>
      </c>
      <c r="CI11" s="38">
        <f t="shared" si="19"/>
        <v>0.45468445442693206</v>
      </c>
      <c r="CJ11" s="41">
        <f>$M$7</f>
        <v>0</v>
      </c>
      <c r="CK11" s="43">
        <f t="shared" si="138"/>
        <v>2.8571428571428571E-2</v>
      </c>
      <c r="CL11" s="38">
        <f t="shared" si="20"/>
        <v>4.081632653061224E-3</v>
      </c>
      <c r="CM11" s="49"/>
      <c r="CN11" s="47" t="s">
        <v>191</v>
      </c>
      <c r="CO11" s="41">
        <f>$M$8</f>
        <v>0.65607989641354703</v>
      </c>
      <c r="CP11" s="43">
        <f t="shared" si="21"/>
        <v>4.9820727934348001</v>
      </c>
      <c r="CQ11" s="38">
        <f t="shared" si="22"/>
        <v>0.6559084727682023</v>
      </c>
      <c r="CR11" s="41">
        <f>$M$9</f>
        <v>0.25490862813749288</v>
      </c>
      <c r="CS11" s="43">
        <f t="shared" si="23"/>
        <v>2.5417630889693119</v>
      </c>
      <c r="CT11" s="38">
        <f t="shared" si="24"/>
        <v>0.33463259469459766</v>
      </c>
      <c r="CU11" s="41">
        <f>$M$10</f>
        <v>2.4815785060175732E-2</v>
      </c>
      <c r="CV11" s="43">
        <f t="shared" si="139"/>
        <v>7.1847052454791255E-2</v>
      </c>
      <c r="CW11" s="38">
        <f t="shared" si="25"/>
        <v>9.458932537199944E-3</v>
      </c>
      <c r="CX11" s="49"/>
      <c r="CY11" s="47" t="s">
        <v>191</v>
      </c>
      <c r="CZ11" s="41">
        <f>$M$11</f>
        <v>0.54709751160501485</v>
      </c>
      <c r="DA11" s="43">
        <f t="shared" si="26"/>
        <v>4.4567862961919786</v>
      </c>
      <c r="DB11" s="38">
        <f t="shared" si="27"/>
        <v>0.60374699920432517</v>
      </c>
      <c r="DC11" s="41">
        <f>$M$12</f>
        <v>0.30945313180636469</v>
      </c>
      <c r="DD11" s="43">
        <f t="shared" si="28"/>
        <v>2.8208022716764498</v>
      </c>
      <c r="DE11" s="38">
        <f t="shared" si="29"/>
        <v>0.38212532387486059</v>
      </c>
      <c r="DF11" s="41">
        <f>$M$13</f>
        <v>0</v>
      </c>
      <c r="DG11" s="43">
        <f t="shared" si="140"/>
        <v>0.10428877821453758</v>
      </c>
      <c r="DH11" s="38">
        <f t="shared" si="30"/>
        <v>1.4127676920814212E-2</v>
      </c>
      <c r="DI11" s="49"/>
      <c r="DJ11" s="47" t="s">
        <v>191</v>
      </c>
      <c r="DK11" s="41">
        <f>$M$14</f>
        <v>0.44779517894674703</v>
      </c>
      <c r="DL11" s="43">
        <f t="shared" si="31"/>
        <v>3.7165522837649756</v>
      </c>
      <c r="DM11" s="38">
        <f t="shared" si="32"/>
        <v>0.49855733620009884</v>
      </c>
      <c r="DN11" s="41">
        <f>$M$15</f>
        <v>0.53066322095382434</v>
      </c>
      <c r="DO11" s="43">
        <f t="shared" si="33"/>
        <v>3.6097459413221453</v>
      </c>
      <c r="DP11" s="38">
        <f t="shared" si="34"/>
        <v>0.48422978703304387</v>
      </c>
      <c r="DQ11" s="41">
        <f>$M$16</f>
        <v>2.1541600099428557E-2</v>
      </c>
      <c r="DR11" s="43">
        <f t="shared" si="141"/>
        <v>0.1283153447216609</v>
      </c>
      <c r="DS11" s="38">
        <f t="shared" si="35"/>
        <v>1.7212876766857323E-2</v>
      </c>
      <c r="DT11" s="49"/>
      <c r="DU11" s="47" t="s">
        <v>191</v>
      </c>
      <c r="DV11" s="41">
        <f>$M$17</f>
        <v>0.14007503954610229</v>
      </c>
      <c r="DW11" s="43">
        <f t="shared" si="36"/>
        <v>2.3593910026530147</v>
      </c>
      <c r="DX11" s="38">
        <f t="shared" si="37"/>
        <v>0.36475099569748298</v>
      </c>
      <c r="DY11" s="41">
        <f>$M$18</f>
        <v>0.30486920371798731</v>
      </c>
      <c r="DZ11" s="43">
        <f t="shared" si="38"/>
        <v>3.9392398867229397</v>
      </c>
      <c r="EA11" s="38">
        <f t="shared" si="39"/>
        <v>0.6089883657934515</v>
      </c>
      <c r="EB11" s="41">
        <f>$M$19</f>
        <v>0.13183533133750802</v>
      </c>
      <c r="EC11" s="43">
        <f t="shared" si="142"/>
        <v>0.16986688166192201</v>
      </c>
      <c r="ED11" s="38">
        <f t="shared" si="40"/>
        <v>2.6260638509065563E-2</v>
      </c>
      <c r="EE11" s="49"/>
      <c r="EF11" s="47" t="s">
        <v>191</v>
      </c>
      <c r="EG11" s="41">
        <f>$M$20</f>
        <v>0.21329227614644389</v>
      </c>
      <c r="EH11" s="43">
        <f t="shared" si="41"/>
        <v>4.09295778374383</v>
      </c>
      <c r="EI11" s="38">
        <f t="shared" si="42"/>
        <v>0.56930080133426508</v>
      </c>
      <c r="EJ11" s="41">
        <f>$M$21</f>
        <v>0.1551795071746328</v>
      </c>
      <c r="EK11" s="43">
        <f t="shared" si="43"/>
        <v>3.0358179231020306</v>
      </c>
      <c r="EL11" s="38">
        <f t="shared" si="44"/>
        <v>0.42226029869920612</v>
      </c>
      <c r="EM11" s="41">
        <f>$M$22</f>
        <v>0</v>
      </c>
      <c r="EN11" s="43">
        <f t="shared" si="143"/>
        <v>6.0671021757370588E-2</v>
      </c>
      <c r="EO11" s="38">
        <f t="shared" si="45"/>
        <v>8.4388999665288272E-3</v>
      </c>
      <c r="EP11" s="49"/>
      <c r="EQ11" s="47" t="s">
        <v>191</v>
      </c>
      <c r="ER11" s="41">
        <f>$M$23</f>
        <v>0.42081704082416022</v>
      </c>
      <c r="ES11" s="43">
        <f t="shared" si="46"/>
        <v>3.4591372060228638</v>
      </c>
      <c r="ET11" s="38">
        <f t="shared" si="47"/>
        <v>0.53387573117156883</v>
      </c>
      <c r="EU11" s="41">
        <f>$M$24</f>
        <v>0.43351212768154535</v>
      </c>
      <c r="EV11" s="43">
        <f t="shared" si="48"/>
        <v>2.888748692112642</v>
      </c>
      <c r="EW11" s="38">
        <f t="shared" si="49"/>
        <v>0.44584320549277345</v>
      </c>
      <c r="EX11" s="41">
        <f>$M$25</f>
        <v>1.1641090039862498E-2</v>
      </c>
      <c r="EY11" s="43">
        <f t="shared" si="144"/>
        <v>0.13140694859481181</v>
      </c>
      <c r="EZ11" s="38">
        <f t="shared" si="50"/>
        <v>2.0281063335657757E-2</v>
      </c>
      <c r="FA11" s="49"/>
      <c r="FB11" s="47" t="s">
        <v>191</v>
      </c>
      <c r="FC11" s="41">
        <f>$M$26</f>
        <v>0.56128730213177791</v>
      </c>
      <c r="FD11" s="43">
        <f t="shared" si="51"/>
        <v>3.2914449274053426</v>
      </c>
      <c r="FE11" s="38">
        <f t="shared" si="52"/>
        <v>0.46649041321410117</v>
      </c>
      <c r="FF11" s="41">
        <f>$M$27</f>
        <v>0.4387126978682222</v>
      </c>
      <c r="FG11" s="43">
        <f t="shared" si="53"/>
        <v>3.7379221792179789</v>
      </c>
      <c r="FH11" s="38">
        <f t="shared" si="54"/>
        <v>0.52976880987041675</v>
      </c>
      <c r="FI11" s="41">
        <f>$M$28</f>
        <v>0</v>
      </c>
      <c r="FJ11" s="43">
        <f t="shared" si="145"/>
        <v>2.6394028374956951E-2</v>
      </c>
      <c r="FK11" s="38">
        <f t="shared" si="55"/>
        <v>3.7407769154820447E-3</v>
      </c>
      <c r="FL11" s="49"/>
      <c r="FM11" s="47" t="s">
        <v>191</v>
      </c>
      <c r="FN11" s="41">
        <f>$M$29</f>
        <v>0.2</v>
      </c>
      <c r="FO11" s="43">
        <f t="shared" si="56"/>
        <v>2.2250000000000001</v>
      </c>
      <c r="FP11" s="38">
        <f t="shared" si="57"/>
        <v>0.44500000000000001</v>
      </c>
      <c r="FQ11" s="41">
        <f>$M$30</f>
        <v>0.8</v>
      </c>
      <c r="FR11" s="43">
        <f t="shared" si="58"/>
        <v>2.6500000000000004</v>
      </c>
      <c r="FS11" s="38">
        <f t="shared" si="59"/>
        <v>0.53</v>
      </c>
      <c r="FT11" s="41">
        <f>$M$31</f>
        <v>0</v>
      </c>
      <c r="FU11" s="43">
        <f t="shared" si="146"/>
        <v>0.125</v>
      </c>
      <c r="FV11" s="38">
        <f t="shared" si="60"/>
        <v>2.5000000000000001E-2</v>
      </c>
      <c r="FW11" s="49"/>
      <c r="FX11" s="47" t="s">
        <v>191</v>
      </c>
      <c r="FY11" s="41">
        <f>$M$32</f>
        <v>0.25729667530472111</v>
      </c>
      <c r="FZ11" s="43">
        <f t="shared" si="61"/>
        <v>2.4341873128206846</v>
      </c>
      <c r="GA11" s="38">
        <f t="shared" si="62"/>
        <v>0.39347452036173608</v>
      </c>
      <c r="GB11" s="41">
        <f>$M$33</f>
        <v>0.42770760355980603</v>
      </c>
      <c r="GC11" s="43">
        <f t="shared" si="63"/>
        <v>3.546386107587447</v>
      </c>
      <c r="GD11" s="38">
        <f t="shared" si="64"/>
        <v>0.57325603717962048</v>
      </c>
      <c r="GE11" s="41">
        <f>$M$34</f>
        <v>2.4434422334973751E-2</v>
      </c>
      <c r="GF11" s="43">
        <f t="shared" si="147"/>
        <v>0.20581778627748529</v>
      </c>
      <c r="GG11" s="38">
        <f t="shared" si="65"/>
        <v>3.3269442458643508E-2</v>
      </c>
      <c r="GH11" s="49"/>
      <c r="GI11" s="47" t="s">
        <v>191</v>
      </c>
      <c r="GJ11" s="41">
        <f>$M$35</f>
        <v>0.6135669488484724</v>
      </c>
      <c r="GK11" s="43">
        <f t="shared" si="66"/>
        <v>5.0358738699170376</v>
      </c>
      <c r="GL11" s="38">
        <f t="shared" si="67"/>
        <v>0.69116001501173918</v>
      </c>
      <c r="GM11" s="41">
        <f>$M$36</f>
        <v>0.3763120289274634</v>
      </c>
      <c r="GN11" s="43">
        <f t="shared" si="68"/>
        <v>2.2114379054493596</v>
      </c>
      <c r="GO11" s="38">
        <f t="shared" si="69"/>
        <v>0.30351384792587921</v>
      </c>
      <c r="GP11" s="41">
        <f>$M$37</f>
        <v>1.0121022224065093E-2</v>
      </c>
      <c r="GQ11" s="43">
        <f t="shared" si="148"/>
        <v>3.8806866539565291E-2</v>
      </c>
      <c r="GR11" s="38">
        <f t="shared" si="70"/>
        <v>5.3261370623816622E-3</v>
      </c>
      <c r="GS11" s="49"/>
      <c r="GT11" s="47" t="s">
        <v>191</v>
      </c>
      <c r="GU11" s="41">
        <f>$M$38</f>
        <v>0.5264816689808921</v>
      </c>
      <c r="GV11" s="43">
        <f t="shared" si="71"/>
        <v>3.6813112855049366</v>
      </c>
      <c r="GW11" s="38">
        <f t="shared" si="72"/>
        <v>0.62211167163856795</v>
      </c>
      <c r="GX11" s="41">
        <f>$M$39</f>
        <v>0.45353396976623378</v>
      </c>
      <c r="GY11" s="43">
        <f t="shared" si="73"/>
        <v>2.1931717526470846</v>
      </c>
      <c r="GZ11" s="38">
        <f t="shared" si="74"/>
        <v>0.37062819180818662</v>
      </c>
      <c r="HA11" s="41">
        <f>$M$40</f>
        <v>1.9984361252873107E-2</v>
      </c>
      <c r="HB11" s="43">
        <f t="shared" si="149"/>
        <v>4.296145506701958E-2</v>
      </c>
      <c r="HC11" s="38">
        <f t="shared" si="75"/>
        <v>7.2601365532452842E-3</v>
      </c>
      <c r="HD11" s="49"/>
      <c r="HE11" s="47" t="s">
        <v>191</v>
      </c>
      <c r="HF11" s="41">
        <f>$M$41</f>
        <v>0.42130419514484319</v>
      </c>
      <c r="HG11" s="43">
        <f t="shared" si="76"/>
        <v>3.889294331260031</v>
      </c>
      <c r="HH11" s="38">
        <f t="shared" si="77"/>
        <v>0.5000036257480146</v>
      </c>
      <c r="HI11" s="41">
        <f>$M$42</f>
        <v>0.56970747027892032</v>
      </c>
      <c r="HJ11" s="43">
        <f t="shared" si="78"/>
        <v>3.8300293862676691</v>
      </c>
      <c r="HK11" s="38">
        <f t="shared" si="79"/>
        <v>0.49238458618657893</v>
      </c>
      <c r="HL11" s="41">
        <f>$M$43</f>
        <v>8.9883345762366753E-3</v>
      </c>
      <c r="HM11" s="43">
        <f t="shared" si="150"/>
        <v>5.9208538996590711E-2</v>
      </c>
      <c r="HN11" s="38">
        <f t="shared" si="80"/>
        <v>7.6117880654064515E-3</v>
      </c>
      <c r="HO11" s="49"/>
      <c r="HP11" s="47" t="s">
        <v>191</v>
      </c>
      <c r="HQ11" s="41">
        <f>$M$44</f>
        <v>0.45621689672246313</v>
      </c>
      <c r="HR11" s="43">
        <f t="shared" si="81"/>
        <v>4.3044735522459243</v>
      </c>
      <c r="HS11" s="38">
        <f t="shared" si="82"/>
        <v>0.53805919403073998</v>
      </c>
      <c r="HT11" s="41">
        <f>$M$45</f>
        <v>0.50824566849176278</v>
      </c>
      <c r="HU11" s="43">
        <f t="shared" si="83"/>
        <v>3.6135461433516989</v>
      </c>
      <c r="HV11" s="38">
        <f t="shared" si="84"/>
        <v>0.45169326791896186</v>
      </c>
      <c r="HW11" s="41">
        <f>$M$46</f>
        <v>3.5537434785775111E-2</v>
      </c>
      <c r="HX11" s="43">
        <f t="shared" si="151"/>
        <v>8.1980304402385351E-2</v>
      </c>
      <c r="HY11" s="38">
        <f t="shared" si="85"/>
        <v>1.0247538050298157E-2</v>
      </c>
      <c r="HZ11" s="49"/>
      <c r="IA11" s="47" t="s">
        <v>191</v>
      </c>
      <c r="IB11" s="41">
        <f>$M$47</f>
        <v>0.46543939921619049</v>
      </c>
      <c r="IC11" s="43">
        <f t="shared" si="86"/>
        <v>2.3735195202141881</v>
      </c>
      <c r="ID11" s="38">
        <f t="shared" si="87"/>
        <v>0.37635765326593701</v>
      </c>
      <c r="IE11" s="41">
        <f>$M$48</f>
        <v>0.45176780144523249</v>
      </c>
      <c r="IF11" s="43">
        <f t="shared" si="88"/>
        <v>3.8024173221979107</v>
      </c>
      <c r="IG11" s="38">
        <f t="shared" si="89"/>
        <v>0.60293115263320574</v>
      </c>
      <c r="IH11" s="41">
        <f>$M$49</f>
        <v>1.0846385731958579E-2</v>
      </c>
      <c r="II11" s="43">
        <f t="shared" si="152"/>
        <v>0.13061624510288286</v>
      </c>
      <c r="IJ11" s="38">
        <f t="shared" si="90"/>
        <v>2.0711194100857169E-2</v>
      </c>
      <c r="IK11" s="49"/>
      <c r="IL11" s="47" t="s">
        <v>191</v>
      </c>
      <c r="IM11" s="41">
        <f>$M$50</f>
        <v>0.41244960463425445</v>
      </c>
      <c r="IN11" s="43">
        <f t="shared" si="91"/>
        <v>2.9324304338160205</v>
      </c>
      <c r="IO11" s="38">
        <f t="shared" si="92"/>
        <v>0.36655380422700262</v>
      </c>
      <c r="IP11" s="41">
        <f>$M$51</f>
        <v>0.58755039536574538</v>
      </c>
      <c r="IQ11" s="43">
        <f t="shared" si="93"/>
        <v>5.0113717188040008</v>
      </c>
      <c r="IR11" s="38">
        <f t="shared" si="94"/>
        <v>0.62642146485050021</v>
      </c>
      <c r="IS11" s="41">
        <f>$M$52</f>
        <v>0</v>
      </c>
      <c r="IT11" s="43">
        <f t="shared" si="153"/>
        <v>5.6197847379977822E-2</v>
      </c>
      <c r="IU11" s="38">
        <f t="shared" si="95"/>
        <v>7.0247309224972286E-3</v>
      </c>
      <c r="IV11" s="49"/>
      <c r="IW11" s="47" t="s">
        <v>191</v>
      </c>
      <c r="IX11" s="41">
        <f>$M$53</f>
        <v>0.26717278887776219</v>
      </c>
      <c r="IY11" s="43">
        <f t="shared" si="96"/>
        <v>2.7791268190818066</v>
      </c>
      <c r="IZ11" s="38">
        <f t="shared" si="97"/>
        <v>0.56341602750934905</v>
      </c>
      <c r="JA11" s="41">
        <f>$M$54</f>
        <v>0.3301865274267638</v>
      </c>
      <c r="JB11" s="43">
        <f t="shared" si="98"/>
        <v>2.0237639454130765</v>
      </c>
      <c r="JC11" s="38">
        <f t="shared" si="99"/>
        <v>0.41028032075124926</v>
      </c>
      <c r="JD11" s="41">
        <f>$M$55</f>
        <v>0</v>
      </c>
      <c r="JE11" s="43">
        <f t="shared" si="154"/>
        <v>0.12974636932483491</v>
      </c>
      <c r="JF11" s="38">
        <f t="shared" si="100"/>
        <v>2.6303651739401798E-2</v>
      </c>
      <c r="JG11" s="49"/>
      <c r="JH11" s="47" t="s">
        <v>191</v>
      </c>
      <c r="JI11" s="41">
        <f>$M$56</f>
        <v>0.72885078946341397</v>
      </c>
      <c r="JJ11" s="43">
        <f t="shared" si="101"/>
        <v>5.6273109848098235</v>
      </c>
      <c r="JK11" s="38">
        <f t="shared" si="102"/>
        <v>0.75546880994330379</v>
      </c>
      <c r="JL11" s="41">
        <f>$M$57</f>
        <v>0.27114921053658614</v>
      </c>
      <c r="JM11" s="43">
        <f t="shared" si="103"/>
        <v>1.7950365939101429</v>
      </c>
      <c r="JN11" s="38">
        <f t="shared" si="104"/>
        <v>0.24098439966559032</v>
      </c>
      <c r="JO11" s="41">
        <f>$M$58</f>
        <v>0</v>
      </c>
      <c r="JP11" s="43">
        <f t="shared" si="155"/>
        <v>2.6419214487737725E-2</v>
      </c>
      <c r="JQ11" s="38">
        <f t="shared" si="105"/>
        <v>3.5467903911058909E-3</v>
      </c>
      <c r="JR11" s="49"/>
      <c r="JS11" s="47" t="s">
        <v>191</v>
      </c>
      <c r="JT11" s="41">
        <f>$M$59</f>
        <v>0.52548645293144736</v>
      </c>
      <c r="JU11" s="43">
        <f t="shared" si="106"/>
        <v>3.5241419331476402</v>
      </c>
      <c r="JV11" s="38">
        <f t="shared" si="107"/>
        <v>0.57085733605803379</v>
      </c>
      <c r="JW11" s="41">
        <f>$M$60</f>
        <v>0.38889807853888592</v>
      </c>
      <c r="JX11" s="43">
        <f t="shared" si="108"/>
        <v>2.5500947927520006</v>
      </c>
      <c r="JY11" s="38">
        <f t="shared" si="109"/>
        <v>0.41307652974852083</v>
      </c>
      <c r="JZ11" s="41">
        <f>$M$61</f>
        <v>1.0286592053026981E-2</v>
      </c>
      <c r="KA11" s="43">
        <f t="shared" si="156"/>
        <v>9.9182989581379041E-2</v>
      </c>
      <c r="KB11" s="38">
        <f t="shared" si="110"/>
        <v>1.6066134193445311E-2</v>
      </c>
      <c r="KC11" s="49"/>
      <c r="KD11" s="47" t="s">
        <v>191</v>
      </c>
      <c r="KE11" s="41">
        <f>$M$62</f>
        <v>9.0689863514334335E-2</v>
      </c>
      <c r="KF11" s="43">
        <f t="shared" si="111"/>
        <v>1.8304419497114603</v>
      </c>
      <c r="KG11" s="38">
        <f t="shared" si="112"/>
        <v>0.31367530134524496</v>
      </c>
      <c r="KH11" s="41">
        <f>$M$63</f>
        <v>0.22633153254250288</v>
      </c>
      <c r="KI11" s="43">
        <f t="shared" si="113"/>
        <v>3.868552848342202</v>
      </c>
      <c r="KJ11" s="38">
        <f t="shared" si="114"/>
        <v>0.66293797553373923</v>
      </c>
      <c r="KK11" s="41">
        <f>$M$64</f>
        <v>3.7426983278676948E-3</v>
      </c>
      <c r="KL11" s="43">
        <f t="shared" si="157"/>
        <v>0.13647245697511248</v>
      </c>
      <c r="KM11" s="38">
        <f t="shared" si="115"/>
        <v>2.3386723121015876E-2</v>
      </c>
      <c r="KN11" s="49"/>
      <c r="KO11" s="47" t="s">
        <v>191</v>
      </c>
      <c r="KP11" s="41">
        <f>$M$65</f>
        <v>0.47194787683457212</v>
      </c>
      <c r="KQ11" s="43">
        <f t="shared" si="116"/>
        <v>3.5258254515182217</v>
      </c>
      <c r="KR11" s="38">
        <f t="shared" si="117"/>
        <v>0.68464775263903788</v>
      </c>
      <c r="KS11" s="41">
        <f>$M$66</f>
        <v>0.14195953854121621</v>
      </c>
      <c r="KT11" s="43">
        <f t="shared" si="118"/>
        <v>1.5710035120633761</v>
      </c>
      <c r="KU11" s="38">
        <f t="shared" si="119"/>
        <v>0.30505878374072065</v>
      </c>
      <c r="KV11" s="41">
        <f>$M$67</f>
        <v>2.5571930579460667E-2</v>
      </c>
      <c r="KW11" s="43">
        <f t="shared" si="158"/>
        <v>5.3009676693788067E-2</v>
      </c>
      <c r="KX11" s="38">
        <f t="shared" si="120"/>
        <v>1.0293463620241389E-2</v>
      </c>
      <c r="KY11" s="49"/>
      <c r="KZ11" s="47" t="s">
        <v>191</v>
      </c>
      <c r="LA11" s="41">
        <f>$M$68</f>
        <v>0.56419568834216782</v>
      </c>
      <c r="LB11" s="43">
        <f t="shared" si="121"/>
        <v>3.5023863953704675</v>
      </c>
      <c r="LC11" s="38">
        <f t="shared" si="122"/>
        <v>0.60938711497302023</v>
      </c>
      <c r="LD11" s="41">
        <f>$M$69</f>
        <v>0.20247461189453339</v>
      </c>
      <c r="LE11" s="43">
        <f t="shared" si="123"/>
        <v>2.2450052204262185</v>
      </c>
      <c r="LF11" s="38">
        <f t="shared" si="124"/>
        <v>0.39061288502697977</v>
      </c>
      <c r="LG11" s="41">
        <f>$M$70</f>
        <v>0</v>
      </c>
      <c r="LH11" s="43">
        <f t="shared" si="159"/>
        <v>0</v>
      </c>
      <c r="LI11" s="38">
        <f t="shared" si="125"/>
        <v>0</v>
      </c>
      <c r="LJ11" s="49"/>
      <c r="LK11" s="47" t="s">
        <v>191</v>
      </c>
      <c r="LL11" s="41">
        <f>$M$71</f>
        <v>0.5864336515752363</v>
      </c>
      <c r="LM11" s="43">
        <f t="shared" si="126"/>
        <v>4.2944049104173079</v>
      </c>
      <c r="LN11" s="38">
        <f t="shared" si="127"/>
        <v>0.62596368043227746</v>
      </c>
      <c r="LO11" s="41">
        <f>$M$72</f>
        <v>0.39988916865567853</v>
      </c>
      <c r="LP11" s="43">
        <f t="shared" si="128"/>
        <v>2.5337453624655204</v>
      </c>
      <c r="LQ11" s="38">
        <f t="shared" si="129"/>
        <v>0.36932534436139369</v>
      </c>
      <c r="LR11" s="41">
        <f>$M$73</f>
        <v>1.3677179769085075E-2</v>
      </c>
      <c r="LS11" s="43">
        <f t="shared" si="160"/>
        <v>3.2319503018037626E-2</v>
      </c>
      <c r="LT11" s="38">
        <f t="shared" si="130"/>
        <v>4.7109752063288803E-3</v>
      </c>
      <c r="LU11" s="49"/>
      <c r="LV11" s="47" t="s">
        <v>191</v>
      </c>
      <c r="LW11" s="41">
        <f>$M$74</f>
        <v>0.35236954936883758</v>
      </c>
      <c r="LX11" s="43">
        <f t="shared" si="131"/>
        <v>3.7720081925987166</v>
      </c>
      <c r="LY11" s="38">
        <f t="shared" si="132"/>
        <v>0.50319563923502908</v>
      </c>
      <c r="LZ11" s="41">
        <f>$M$75</f>
        <v>0.4077820817605684</v>
      </c>
      <c r="MA11" s="43">
        <f t="shared" si="133"/>
        <v>3.6601009203270474</v>
      </c>
      <c r="MB11" s="38">
        <f t="shared" si="134"/>
        <v>0.48826691996122618</v>
      </c>
      <c r="MC11" s="41">
        <f>$M$76</f>
        <v>1.0717294956401387E-3</v>
      </c>
      <c r="MD11" s="43">
        <f t="shared" si="161"/>
        <v>6.3997567038752756E-2</v>
      </c>
      <c r="ME11" s="38">
        <f t="shared" si="135"/>
        <v>8.5374408037447638E-3</v>
      </c>
    </row>
    <row r="12" spans="2:343" ht="14.25" customHeight="1" x14ac:dyDescent="0.2">
      <c r="B12" s="136">
        <f>E12/SUM($E$11:$E$13)</f>
        <v>0.39108212590742086</v>
      </c>
      <c r="C12" s="137" t="s">
        <v>1</v>
      </c>
      <c r="D12" s="138" t="s">
        <v>42</v>
      </c>
      <c r="E12" s="168">
        <f>CORE!E75</f>
        <v>0.39108212590742086</v>
      </c>
      <c r="F12" s="168">
        <f>CORE!F75</f>
        <v>0.33411729841491528</v>
      </c>
      <c r="G12" s="168">
        <f>CORE!G75</f>
        <v>0.27289609041950624</v>
      </c>
      <c r="H12" s="168">
        <f>CORE!H75</f>
        <v>0.31378049908937256</v>
      </c>
      <c r="I12" s="168">
        <f>CORE!I75</f>
        <v>0.34774443512554376</v>
      </c>
      <c r="J12" s="168">
        <f>CORE!J75</f>
        <v>0.47500848015936903</v>
      </c>
      <c r="K12" s="168">
        <f>CORE!K75</f>
        <v>0.37513197511159402</v>
      </c>
      <c r="L12" s="168">
        <f>CORE!L75</f>
        <v>0.39267036154978452</v>
      </c>
      <c r="M12" s="168">
        <f>CORE!M75</f>
        <v>0.30945313180636469</v>
      </c>
      <c r="N12" s="168">
        <f>CORE!N75</f>
        <v>0.10853544459146676</v>
      </c>
      <c r="O12" s="168">
        <f>CORE!O75</f>
        <v>9.2297585591635978E-2</v>
      </c>
      <c r="P12" s="168">
        <f>CORE!P75</f>
        <v>5.2741477480934849E-2</v>
      </c>
      <c r="Q12" s="168">
        <f>CORE!Q75</f>
        <v>0</v>
      </c>
      <c r="R12" s="168">
        <f>CORE!R75</f>
        <v>0</v>
      </c>
      <c r="S12" s="168">
        <f>CORE!S75</f>
        <v>0</v>
      </c>
      <c r="T12" s="168">
        <f>CORE!T75</f>
        <v>0</v>
      </c>
      <c r="U12" s="168">
        <f>CORE!U75</f>
        <v>0</v>
      </c>
      <c r="V12" s="168">
        <f>CORE!V75</f>
        <v>0</v>
      </c>
      <c r="W12" s="168">
        <f>CORE!W75</f>
        <v>0</v>
      </c>
      <c r="X12" s="168">
        <f>CORE!X75</f>
        <v>0</v>
      </c>
      <c r="Y12" s="169">
        <f>CORE!Y75</f>
        <v>0</v>
      </c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2"/>
      <c r="AQ12" s="33">
        <v>1.6489516331560075</v>
      </c>
      <c r="AR12" s="10">
        <f>AU12/SUM($AU11:$AU13)</f>
        <v>0.39108212590742081</v>
      </c>
      <c r="AS12" s="119" t="s">
        <v>1</v>
      </c>
      <c r="AT12" s="8" t="s">
        <v>42</v>
      </c>
      <c r="AU12" s="123">
        <f>IF((E11+E12+E13)=0,1,E12/(E11+E12+E13)*$AQ12)</f>
        <v>0.64487551021316492</v>
      </c>
      <c r="AV12" s="123">
        <f t="shared" ref="AV12:BO12" si="166">IF((F11+F12+F13)=0,0,F12/(F11+F12+F13)*$AQ12)</f>
        <v>0.55094326488694767</v>
      </c>
      <c r="AW12" s="123">
        <f t="shared" si="166"/>
        <v>0.53457533257349976</v>
      </c>
      <c r="AX12" s="123">
        <f t="shared" si="166"/>
        <v>0.51740886642592798</v>
      </c>
      <c r="AY12" s="123">
        <f t="shared" si="166"/>
        <v>0.68119553040153702</v>
      </c>
      <c r="AZ12" s="123">
        <f t="shared" si="166"/>
        <v>0.78326600912174449</v>
      </c>
      <c r="BA12" s="123">
        <f t="shared" si="166"/>
        <v>0.61857448300930173</v>
      </c>
      <c r="BB12" s="123">
        <f t="shared" si="166"/>
        <v>0.7692007928532355</v>
      </c>
      <c r="BC12" s="123">
        <f t="shared" si="166"/>
        <v>0.59573038792555666</v>
      </c>
      <c r="BD12" s="123">
        <f t="shared" si="166"/>
        <v>0.41223790828900186</v>
      </c>
      <c r="BE12" s="123">
        <f t="shared" si="166"/>
        <v>0.96188845267433754</v>
      </c>
      <c r="BF12" s="123">
        <f t="shared" si="166"/>
        <v>0.54965054438533589</v>
      </c>
      <c r="BG12" s="123">
        <f t="shared" si="166"/>
        <v>0</v>
      </c>
      <c r="BH12" s="123">
        <f t="shared" si="166"/>
        <v>0</v>
      </c>
      <c r="BI12" s="123">
        <f t="shared" si="166"/>
        <v>0</v>
      </c>
      <c r="BJ12" s="123">
        <f t="shared" si="166"/>
        <v>0</v>
      </c>
      <c r="BK12" s="123">
        <f t="shared" si="166"/>
        <v>0</v>
      </c>
      <c r="BL12" s="123">
        <f t="shared" si="166"/>
        <v>0</v>
      </c>
      <c r="BM12" s="123">
        <f t="shared" si="166"/>
        <v>0</v>
      </c>
      <c r="BN12" s="123">
        <f t="shared" si="166"/>
        <v>0</v>
      </c>
      <c r="BO12" s="124">
        <f t="shared" si="166"/>
        <v>0</v>
      </c>
      <c r="BP12" s="29">
        <v>9</v>
      </c>
      <c r="BQ12" s="47" t="s">
        <v>193</v>
      </c>
      <c r="BR12" s="47" t="s">
        <v>194</v>
      </c>
      <c r="BS12" s="41">
        <f>BD2</f>
        <v>48.037795490761511</v>
      </c>
      <c r="BT12" s="43">
        <f t="shared" si="10"/>
        <v>452.46446102072798</v>
      </c>
      <c r="BU12" s="38">
        <f t="shared" si="11"/>
        <v>0.51288183795538556</v>
      </c>
      <c r="BV12" s="41">
        <f>BD3</f>
        <v>38.619607899308079</v>
      </c>
      <c r="BW12" s="43">
        <f t="shared" si="12"/>
        <v>416.20766707169116</v>
      </c>
      <c r="BX12" s="38">
        <f t="shared" si="13"/>
        <v>0.47178369054066555</v>
      </c>
      <c r="BY12" s="41">
        <f>BD4</f>
        <v>1.9432392632040838</v>
      </c>
      <c r="BZ12" s="43">
        <f t="shared" si="14"/>
        <v>13.528073857580237</v>
      </c>
      <c r="CA12" s="38">
        <f t="shared" si="15"/>
        <v>1.5334471503948907E-2</v>
      </c>
      <c r="CB12" s="49"/>
      <c r="CC12" s="47" t="s">
        <v>192</v>
      </c>
      <c r="CD12" s="41">
        <f>$N$5</f>
        <v>0.88</v>
      </c>
      <c r="CE12" s="43">
        <f t="shared" si="16"/>
        <v>4.6686373904400469</v>
      </c>
      <c r="CF12" s="38">
        <f t="shared" si="17"/>
        <v>0.58357967380500586</v>
      </c>
      <c r="CG12" s="41">
        <f>$N$6</f>
        <v>0.12</v>
      </c>
      <c r="CH12" s="43">
        <f t="shared" si="18"/>
        <v>3.3027911809885246</v>
      </c>
      <c r="CI12" s="38">
        <f t="shared" si="19"/>
        <v>0.41284889762356558</v>
      </c>
      <c r="CJ12" s="41">
        <f>$N$7</f>
        <v>0</v>
      </c>
      <c r="CK12" s="43">
        <f t="shared" si="138"/>
        <v>2.8571428571428571E-2</v>
      </c>
      <c r="CL12" s="38">
        <f t="shared" si="20"/>
        <v>3.5714285714285713E-3</v>
      </c>
      <c r="CM12" s="49"/>
      <c r="CN12" s="47" t="s">
        <v>192</v>
      </c>
      <c r="CO12" s="41">
        <f>$N$8</f>
        <v>0.41306543079525848</v>
      </c>
      <c r="CP12" s="43">
        <f t="shared" si="21"/>
        <v>5.3951382242300587</v>
      </c>
      <c r="CQ12" s="38">
        <f t="shared" si="22"/>
        <v>0.6611012836920902</v>
      </c>
      <c r="CR12" s="41">
        <f>$N$9</f>
        <v>0.15208622552908663</v>
      </c>
      <c r="CS12" s="43">
        <f t="shared" si="23"/>
        <v>2.6938493144983986</v>
      </c>
      <c r="CT12" s="38">
        <f t="shared" si="24"/>
        <v>0.33009483091456882</v>
      </c>
      <c r="CU12" s="41">
        <f>$N$10</f>
        <v>0</v>
      </c>
      <c r="CV12" s="43">
        <f t="shared" si="139"/>
        <v>7.1847052454791255E-2</v>
      </c>
      <c r="CW12" s="38">
        <f t="shared" si="25"/>
        <v>8.8038853933411331E-3</v>
      </c>
      <c r="CX12" s="49"/>
      <c r="CY12" s="47" t="s">
        <v>192</v>
      </c>
      <c r="CZ12" s="41">
        <f>$N$11</f>
        <v>0.32560633377440029</v>
      </c>
      <c r="DA12" s="43">
        <f t="shared" si="26"/>
        <v>4.7823926299663793</v>
      </c>
      <c r="DB12" s="38">
        <f t="shared" si="27"/>
        <v>0.61187064077246889</v>
      </c>
      <c r="DC12" s="41">
        <f>$N$12</f>
        <v>0.10853544459146676</v>
      </c>
      <c r="DD12" s="43">
        <f t="shared" si="28"/>
        <v>2.9293377162679164</v>
      </c>
      <c r="DE12" s="38">
        <f t="shared" si="29"/>
        <v>0.3747864059217596</v>
      </c>
      <c r="DF12" s="41">
        <f>$N$13</f>
        <v>0</v>
      </c>
      <c r="DG12" s="43">
        <f t="shared" si="140"/>
        <v>0.10428877821453758</v>
      </c>
      <c r="DH12" s="38">
        <f t="shared" si="30"/>
        <v>1.3342953305771468E-2</v>
      </c>
      <c r="DI12" s="49"/>
      <c r="DJ12" s="47" t="s">
        <v>192</v>
      </c>
      <c r="DK12" s="41">
        <f>$N$14</f>
        <v>0.49449210568405849</v>
      </c>
      <c r="DL12" s="43">
        <f t="shared" si="31"/>
        <v>4.2110443894490341</v>
      </c>
      <c r="DM12" s="38">
        <f t="shared" si="32"/>
        <v>0.50162709218870905</v>
      </c>
      <c r="DN12" s="41">
        <f>$N$15</f>
        <v>0.37288555760367664</v>
      </c>
      <c r="DO12" s="43">
        <f t="shared" si="33"/>
        <v>3.982631498925822</v>
      </c>
      <c r="DP12" s="38">
        <f t="shared" si="34"/>
        <v>0.47441814269896787</v>
      </c>
      <c r="DQ12" s="41">
        <f>$N$16</f>
        <v>7.277941430875666E-2</v>
      </c>
      <c r="DR12" s="43">
        <f t="shared" si="141"/>
        <v>0.20109475903041757</v>
      </c>
      <c r="DS12" s="38">
        <f t="shared" si="35"/>
        <v>2.3954765112323067E-2</v>
      </c>
      <c r="DT12" s="49"/>
      <c r="DU12" s="47" t="s">
        <v>192</v>
      </c>
      <c r="DV12" s="41">
        <f>$N$17</f>
        <v>0.36596425887406797</v>
      </c>
      <c r="DW12" s="43">
        <f t="shared" si="36"/>
        <v>2.7253552615270826</v>
      </c>
      <c r="DX12" s="38">
        <f t="shared" si="37"/>
        <v>0.37581338571064349</v>
      </c>
      <c r="DY12" s="41">
        <f>$N$18</f>
        <v>0.4174224562501922</v>
      </c>
      <c r="DZ12" s="43">
        <f t="shared" si="38"/>
        <v>4.3566623429731317</v>
      </c>
      <c r="EA12" s="38">
        <f t="shared" si="39"/>
        <v>0.60076278811202877</v>
      </c>
      <c r="EB12" s="41">
        <f>$N$19</f>
        <v>0</v>
      </c>
      <c r="EC12" s="43">
        <f t="shared" si="142"/>
        <v>0.16986688166192201</v>
      </c>
      <c r="ED12" s="38">
        <f t="shared" si="40"/>
        <v>2.3423826177327804E-2</v>
      </c>
      <c r="EE12" s="49"/>
      <c r="EF12" s="47" t="s">
        <v>192</v>
      </c>
      <c r="EG12" s="41">
        <f>$N$20</f>
        <v>0.58443518474598188</v>
      </c>
      <c r="EH12" s="43">
        <f t="shared" si="41"/>
        <v>4.6773929684898121</v>
      </c>
      <c r="EI12" s="38">
        <f t="shared" si="42"/>
        <v>0.57114883623982926</v>
      </c>
      <c r="EJ12" s="41">
        <f>$N$21</f>
        <v>0.41212202574021345</v>
      </c>
      <c r="EK12" s="43">
        <f t="shared" si="43"/>
        <v>3.4479399488422442</v>
      </c>
      <c r="EL12" s="38">
        <f t="shared" si="44"/>
        <v>0.42102233070271344</v>
      </c>
      <c r="EM12" s="41">
        <f>$N$22</f>
        <v>3.4427895138047231E-3</v>
      </c>
      <c r="EN12" s="43">
        <f t="shared" si="143"/>
        <v>6.4113811271175311E-2</v>
      </c>
      <c r="EO12" s="38">
        <f t="shared" si="45"/>
        <v>7.8288330574573968E-3</v>
      </c>
      <c r="EP12" s="49"/>
      <c r="EQ12" s="47" t="s">
        <v>192</v>
      </c>
      <c r="ER12" s="41">
        <f>$N$23</f>
        <v>0.57576812740861394</v>
      </c>
      <c r="ES12" s="43">
        <f t="shared" si="46"/>
        <v>4.0349053334314782</v>
      </c>
      <c r="ET12" s="38">
        <f t="shared" si="47"/>
        <v>0.54137375377341301</v>
      </c>
      <c r="EU12" s="41">
        <f>$N$24</f>
        <v>0.35395524259474248</v>
      </c>
      <c r="EV12" s="43">
        <f t="shared" si="48"/>
        <v>3.2427039347073845</v>
      </c>
      <c r="EW12" s="38">
        <f t="shared" si="49"/>
        <v>0.43508202954922331</v>
      </c>
      <c r="EX12" s="41">
        <f>$N$25</f>
        <v>4.4070131298355825E-2</v>
      </c>
      <c r="EY12" s="43">
        <f t="shared" si="144"/>
        <v>0.17547707989316763</v>
      </c>
      <c r="EZ12" s="38">
        <f t="shared" si="50"/>
        <v>2.3544216677363727E-2</v>
      </c>
      <c r="FA12" s="49"/>
      <c r="FB12" s="47" t="s">
        <v>192</v>
      </c>
      <c r="FC12" s="41">
        <f>$N$26</f>
        <v>0.50942733800679219</v>
      </c>
      <c r="FD12" s="43">
        <f t="shared" si="51"/>
        <v>3.800872265412135</v>
      </c>
      <c r="FE12" s="38">
        <f t="shared" si="52"/>
        <v>0.47182037820104095</v>
      </c>
      <c r="FF12" s="41">
        <f>$N$27</f>
        <v>0.46417863361825085</v>
      </c>
      <c r="FG12" s="43">
        <f t="shared" si="53"/>
        <v>4.20210081283623</v>
      </c>
      <c r="FH12" s="38">
        <f t="shared" si="54"/>
        <v>0.52162678888034431</v>
      </c>
      <c r="FI12" s="41">
        <f>$N$28</f>
        <v>2.6394028374956951E-2</v>
      </c>
      <c r="FJ12" s="43">
        <f t="shared" si="145"/>
        <v>5.2788056749913902E-2</v>
      </c>
      <c r="FK12" s="38">
        <f t="shared" si="55"/>
        <v>6.5528329186147318E-3</v>
      </c>
      <c r="FL12" s="49"/>
      <c r="FM12" s="47" t="s">
        <v>192</v>
      </c>
      <c r="FN12" s="41">
        <f>$N$29</f>
        <v>0.7</v>
      </c>
      <c r="FO12" s="43">
        <f t="shared" si="56"/>
        <v>2.9249999999999998</v>
      </c>
      <c r="FP12" s="38">
        <f t="shared" si="57"/>
        <v>0.48749999999999999</v>
      </c>
      <c r="FQ12" s="41">
        <f>$N$30</f>
        <v>0.3</v>
      </c>
      <c r="FR12" s="43">
        <f t="shared" si="58"/>
        <v>2.95</v>
      </c>
      <c r="FS12" s="38">
        <f t="shared" si="59"/>
        <v>0.4916666666666667</v>
      </c>
      <c r="FT12" s="41">
        <f>$N$31</f>
        <v>0</v>
      </c>
      <c r="FU12" s="43">
        <f t="shared" si="146"/>
        <v>0.125</v>
      </c>
      <c r="FV12" s="38">
        <f t="shared" si="60"/>
        <v>2.0833333333333332E-2</v>
      </c>
      <c r="FW12" s="49"/>
      <c r="FX12" s="47" t="s">
        <v>192</v>
      </c>
      <c r="FY12" s="41">
        <f>$N$32</f>
        <v>0.1413174287571185</v>
      </c>
      <c r="FZ12" s="43">
        <f t="shared" si="61"/>
        <v>2.5755047415778032</v>
      </c>
      <c r="GA12" s="38">
        <f t="shared" si="62"/>
        <v>0.38825525043366976</v>
      </c>
      <c r="GB12" s="41">
        <f>$N$33</f>
        <v>0.27339545164658824</v>
      </c>
      <c r="GC12" s="43">
        <f t="shared" si="63"/>
        <v>3.8197815592340354</v>
      </c>
      <c r="GD12" s="38">
        <f t="shared" si="64"/>
        <v>0.5758289712849759</v>
      </c>
      <c r="GE12" s="41">
        <f>$N$34</f>
        <v>3.2430781276370849E-2</v>
      </c>
      <c r="GF12" s="43">
        <f t="shared" si="147"/>
        <v>0.23824856755385615</v>
      </c>
      <c r="GG12" s="38">
        <f t="shared" si="65"/>
        <v>3.5915778281354463E-2</v>
      </c>
      <c r="GH12" s="49"/>
      <c r="GI12" s="47" t="s">
        <v>192</v>
      </c>
      <c r="GJ12" s="41">
        <f>$N$35</f>
        <v>0.64334714574845209</v>
      </c>
      <c r="GK12" s="43">
        <f t="shared" si="66"/>
        <v>5.6792210156654894</v>
      </c>
      <c r="GL12" s="38">
        <f t="shared" si="67"/>
        <v>0.68538977790440636</v>
      </c>
      <c r="GM12" s="41">
        <f>$N$36</f>
        <v>0.35665285425154875</v>
      </c>
      <c r="GN12" s="43">
        <f t="shared" si="68"/>
        <v>2.5680907597009082</v>
      </c>
      <c r="GO12" s="38">
        <f t="shared" si="69"/>
        <v>0.30992686331005742</v>
      </c>
      <c r="GP12" s="41">
        <f>$N$37</f>
        <v>0</v>
      </c>
      <c r="GQ12" s="43">
        <f t="shared" si="148"/>
        <v>3.8806866539565291E-2</v>
      </c>
      <c r="GR12" s="38">
        <f t="shared" si="70"/>
        <v>4.6833587855361651E-3</v>
      </c>
      <c r="GS12" s="49"/>
      <c r="GT12" s="47" t="s">
        <v>192</v>
      </c>
      <c r="GU12" s="41">
        <f>$N$38</f>
        <v>0.50116526277431617</v>
      </c>
      <c r="GV12" s="43">
        <f t="shared" si="71"/>
        <v>4.1824765482792525</v>
      </c>
      <c r="GW12" s="38">
        <f t="shared" si="72"/>
        <v>0.60462741007596188</v>
      </c>
      <c r="GX12" s="41">
        <f>$N$39</f>
        <v>0.49883473722568278</v>
      </c>
      <c r="GY12" s="43">
        <f t="shared" si="73"/>
        <v>2.6920064898727674</v>
      </c>
      <c r="GZ12" s="38">
        <f t="shared" si="74"/>
        <v>0.38916199363965398</v>
      </c>
      <c r="HA12" s="41">
        <f>$N$40</f>
        <v>0</v>
      </c>
      <c r="HB12" s="43">
        <f t="shared" si="149"/>
        <v>4.296145506701958E-2</v>
      </c>
      <c r="HC12" s="38">
        <f t="shared" si="75"/>
        <v>6.2105962843841227E-3</v>
      </c>
      <c r="HD12" s="49"/>
      <c r="HE12" s="47" t="s">
        <v>192</v>
      </c>
      <c r="HF12" s="41">
        <f>$N$41</f>
        <v>9.2456226211751175E-2</v>
      </c>
      <c r="HG12" s="43">
        <f t="shared" si="76"/>
        <v>3.981750557471782</v>
      </c>
      <c r="HH12" s="38">
        <f t="shared" si="77"/>
        <v>0.50240111525042597</v>
      </c>
      <c r="HI12" s="41">
        <f>$N$42</f>
        <v>5.445283617314433E-2</v>
      </c>
      <c r="HJ12" s="43">
        <f t="shared" si="78"/>
        <v>3.8844822224408135</v>
      </c>
      <c r="HK12" s="38">
        <f t="shared" si="79"/>
        <v>0.49012819174787009</v>
      </c>
      <c r="HL12" s="41">
        <f>$N$43</f>
        <v>0</v>
      </c>
      <c r="HM12" s="43">
        <f t="shared" si="150"/>
        <v>5.9208538996590711E-2</v>
      </c>
      <c r="HN12" s="38">
        <f t="shared" si="80"/>
        <v>7.4706930017040176E-3</v>
      </c>
      <c r="HO12" s="49"/>
      <c r="HP12" s="47" t="s">
        <v>192</v>
      </c>
      <c r="HQ12" s="41">
        <f>$N$44</f>
        <v>0</v>
      </c>
      <c r="HR12" s="43">
        <f t="shared" si="81"/>
        <v>4.3044735522459243</v>
      </c>
      <c r="HS12" s="38" t="e">
        <f t="shared" si="82"/>
        <v>#N/A</v>
      </c>
      <c r="HT12" s="41">
        <f>$N$45</f>
        <v>0</v>
      </c>
      <c r="HU12" s="43">
        <f t="shared" si="83"/>
        <v>3.6135461433516989</v>
      </c>
      <c r="HV12" s="38" t="e">
        <f t="shared" si="84"/>
        <v>#N/A</v>
      </c>
      <c r="HW12" s="41">
        <f>$N$46</f>
        <v>0</v>
      </c>
      <c r="HX12" s="43">
        <f t="shared" si="151"/>
        <v>8.1980304402385351E-2</v>
      </c>
      <c r="HY12" s="38" t="e">
        <f t="shared" si="85"/>
        <v>#N/A</v>
      </c>
      <c r="HZ12" s="49"/>
      <c r="IA12" s="47" t="s">
        <v>192</v>
      </c>
      <c r="IB12" s="41">
        <f>$N$47</f>
        <v>0.34077763309711556</v>
      </c>
      <c r="IC12" s="43">
        <f t="shared" si="86"/>
        <v>2.7142971533113038</v>
      </c>
      <c r="ID12" s="38">
        <f t="shared" si="87"/>
        <v>0.38050660367419098</v>
      </c>
      <c r="IE12" s="41">
        <f>$N$48</f>
        <v>0.46615317998731393</v>
      </c>
      <c r="IF12" s="43">
        <f t="shared" si="88"/>
        <v>4.2685705021852245</v>
      </c>
      <c r="IG12" s="38">
        <f t="shared" si="89"/>
        <v>0.59839404921044514</v>
      </c>
      <c r="IH12" s="41">
        <f>$N$49</f>
        <v>1.9893357776431017E-2</v>
      </c>
      <c r="II12" s="43">
        <f t="shared" si="152"/>
        <v>0.15050960287931386</v>
      </c>
      <c r="IJ12" s="38">
        <f t="shared" si="90"/>
        <v>2.1099347115363772E-2</v>
      </c>
      <c r="IK12" s="49"/>
      <c r="IL12" s="47" t="s">
        <v>192</v>
      </c>
      <c r="IM12" s="41">
        <f>$N$50</f>
        <v>0.61166654197652937</v>
      </c>
      <c r="IN12" s="43">
        <f t="shared" si="91"/>
        <v>3.54409697579255</v>
      </c>
      <c r="IO12" s="38">
        <f t="shared" si="92"/>
        <v>0.39378855286583891</v>
      </c>
      <c r="IP12" s="41">
        <f>$N$51</f>
        <v>0.38833345802347058</v>
      </c>
      <c r="IQ12" s="43">
        <f t="shared" si="93"/>
        <v>5.3997051768274718</v>
      </c>
      <c r="IR12" s="38">
        <f t="shared" si="94"/>
        <v>0.59996724186971906</v>
      </c>
      <c r="IS12" s="41">
        <f>$N$52</f>
        <v>0</v>
      </c>
      <c r="IT12" s="43">
        <f t="shared" si="153"/>
        <v>5.6197847379977822E-2</v>
      </c>
      <c r="IU12" s="38">
        <f t="shared" si="95"/>
        <v>6.2442052644419805E-3</v>
      </c>
      <c r="IV12" s="49"/>
      <c r="IW12" s="47" t="s">
        <v>192</v>
      </c>
      <c r="IX12" s="41">
        <f>$N$53</f>
        <v>0.31039848679923049</v>
      </c>
      <c r="IY12" s="43">
        <f t="shared" si="96"/>
        <v>3.089525305881037</v>
      </c>
      <c r="IZ12" s="38">
        <f t="shared" si="97"/>
        <v>0.55868486241281834</v>
      </c>
      <c r="JA12" s="41">
        <f>$N$54</f>
        <v>0.2869608295052955</v>
      </c>
      <c r="JB12" s="43">
        <f t="shared" si="98"/>
        <v>2.3107247749183721</v>
      </c>
      <c r="JC12" s="38">
        <f t="shared" si="99"/>
        <v>0.41785284959205649</v>
      </c>
      <c r="JD12" s="41">
        <f>$N$55</f>
        <v>0</v>
      </c>
      <c r="JE12" s="43">
        <f t="shared" si="154"/>
        <v>0.12974636932483491</v>
      </c>
      <c r="JF12" s="38">
        <f t="shared" si="100"/>
        <v>2.3462287995125179E-2</v>
      </c>
      <c r="JG12" s="49"/>
      <c r="JH12" s="47" t="s">
        <v>192</v>
      </c>
      <c r="JI12" s="41">
        <f>$N$56</f>
        <v>0.31971994271555526</v>
      </c>
      <c r="JJ12" s="43">
        <f t="shared" si="101"/>
        <v>5.947030927525379</v>
      </c>
      <c r="JK12" s="38">
        <f t="shared" si="102"/>
        <v>0.75007744749637772</v>
      </c>
      <c r="JL12" s="41">
        <f>$N$57</f>
        <v>0.16006910504421371</v>
      </c>
      <c r="JM12" s="43">
        <f t="shared" si="103"/>
        <v>1.9551056989543567</v>
      </c>
      <c r="JN12" s="38">
        <f t="shared" si="104"/>
        <v>0.24659039277394898</v>
      </c>
      <c r="JO12" s="41">
        <f>$N$58</f>
        <v>0</v>
      </c>
      <c r="JP12" s="43">
        <f t="shared" si="155"/>
        <v>2.6419214487737725E-2</v>
      </c>
      <c r="JQ12" s="38">
        <f t="shared" si="105"/>
        <v>3.3321597296732852E-3</v>
      </c>
      <c r="JR12" s="49"/>
      <c r="JS12" s="47" t="s">
        <v>192</v>
      </c>
      <c r="JT12" s="41">
        <f>$N$59</f>
        <v>0.13010913771423271</v>
      </c>
      <c r="JU12" s="43">
        <f t="shared" si="106"/>
        <v>3.6542510708618732</v>
      </c>
      <c r="JV12" s="38">
        <f t="shared" si="107"/>
        <v>0.57204038594267603</v>
      </c>
      <c r="JW12" s="41">
        <f>$N$60</f>
        <v>8.4570939514251278E-2</v>
      </c>
      <c r="JX12" s="43">
        <f t="shared" si="108"/>
        <v>2.6346657322662517</v>
      </c>
      <c r="JY12" s="38">
        <f t="shared" si="109"/>
        <v>0.41243340238252002</v>
      </c>
      <c r="JZ12" s="41">
        <f>$N$61</f>
        <v>0</v>
      </c>
      <c r="KA12" s="43">
        <f t="shared" si="156"/>
        <v>9.9182989581379041E-2</v>
      </c>
      <c r="KB12" s="38">
        <f t="shared" si="110"/>
        <v>1.5526211674803957E-2</v>
      </c>
      <c r="KC12" s="49"/>
      <c r="KD12" s="47" t="s">
        <v>192</v>
      </c>
      <c r="KE12" s="41">
        <f>$N$62</f>
        <v>0</v>
      </c>
      <c r="KF12" s="43">
        <f t="shared" si="111"/>
        <v>1.8304419497114603</v>
      </c>
      <c r="KG12" s="38" t="e">
        <f t="shared" si="112"/>
        <v>#N/A</v>
      </c>
      <c r="KH12" s="41">
        <f>$N$63</f>
        <v>0</v>
      </c>
      <c r="KI12" s="43">
        <f t="shared" si="113"/>
        <v>3.868552848342202</v>
      </c>
      <c r="KJ12" s="38" t="e">
        <f t="shared" si="114"/>
        <v>#N/A</v>
      </c>
      <c r="KK12" s="41">
        <f>$N$64</f>
        <v>0</v>
      </c>
      <c r="KL12" s="43">
        <f t="shared" si="157"/>
        <v>0.13647245697511248</v>
      </c>
      <c r="KM12" s="38" t="e">
        <f t="shared" si="115"/>
        <v>#N/A</v>
      </c>
      <c r="KN12" s="49"/>
      <c r="KO12" s="47" t="s">
        <v>192</v>
      </c>
      <c r="KP12" s="41">
        <f>$N$65</f>
        <v>0</v>
      </c>
      <c r="KQ12" s="43">
        <f t="shared" si="116"/>
        <v>3.5258254515182217</v>
      </c>
      <c r="KR12" s="38" t="e">
        <f t="shared" si="117"/>
        <v>#N/A</v>
      </c>
      <c r="KS12" s="41">
        <f>$N$66</f>
        <v>0</v>
      </c>
      <c r="KT12" s="43">
        <f t="shared" si="118"/>
        <v>1.5710035120633761</v>
      </c>
      <c r="KU12" s="38" t="e">
        <f t="shared" si="119"/>
        <v>#N/A</v>
      </c>
      <c r="KV12" s="41">
        <f>$N$67</f>
        <v>0</v>
      </c>
      <c r="KW12" s="43">
        <f t="shared" si="158"/>
        <v>5.3009676693788067E-2</v>
      </c>
      <c r="KX12" s="38" t="e">
        <f t="shared" si="120"/>
        <v>#N/A</v>
      </c>
      <c r="KY12" s="49"/>
      <c r="KZ12" s="47" t="s">
        <v>192</v>
      </c>
      <c r="LA12" s="41">
        <f>$N$68</f>
        <v>0</v>
      </c>
      <c r="LB12" s="43">
        <f t="shared" si="121"/>
        <v>3.5023863953704675</v>
      </c>
      <c r="LC12" s="38" t="e">
        <f t="shared" si="122"/>
        <v>#N/A</v>
      </c>
      <c r="LD12" s="41">
        <f>$N$69</f>
        <v>0</v>
      </c>
      <c r="LE12" s="43">
        <f t="shared" si="123"/>
        <v>2.2450052204262185</v>
      </c>
      <c r="LF12" s="38" t="e">
        <f t="shared" si="124"/>
        <v>#N/A</v>
      </c>
      <c r="LG12" s="41">
        <f>$N$70</f>
        <v>0</v>
      </c>
      <c r="LH12" s="43">
        <f t="shared" si="159"/>
        <v>0</v>
      </c>
      <c r="LI12" s="38" t="e">
        <f t="shared" si="125"/>
        <v>#N/A</v>
      </c>
      <c r="LJ12" s="49"/>
      <c r="LK12" s="47" t="s">
        <v>192</v>
      </c>
      <c r="LL12" s="41">
        <f>$N$71</f>
        <v>0.38795148200665142</v>
      </c>
      <c r="LM12" s="43">
        <f t="shared" si="126"/>
        <v>4.6823563924239595</v>
      </c>
      <c r="LN12" s="38">
        <f t="shared" si="127"/>
        <v>0.6225949374885712</v>
      </c>
      <c r="LO12" s="41">
        <f>$N$72</f>
        <v>0.25250877804378774</v>
      </c>
      <c r="LP12" s="43">
        <f t="shared" si="128"/>
        <v>2.7862541405093082</v>
      </c>
      <c r="LQ12" s="38">
        <f t="shared" si="129"/>
        <v>0.37047750684770986</v>
      </c>
      <c r="LR12" s="41">
        <f>$N$73</f>
        <v>1.9780638812111333E-2</v>
      </c>
      <c r="LS12" s="43">
        <f t="shared" si="160"/>
        <v>5.2100141830148959E-2</v>
      </c>
      <c r="LT12" s="38">
        <f t="shared" si="130"/>
        <v>6.9275556637189619E-3</v>
      </c>
      <c r="LU12" s="49"/>
      <c r="LV12" s="47" t="s">
        <v>192</v>
      </c>
      <c r="LW12" s="41">
        <f>$N$74</f>
        <v>0.36947735950223676</v>
      </c>
      <c r="LX12" s="43">
        <f t="shared" si="131"/>
        <v>4.1414855521009537</v>
      </c>
      <c r="LY12" s="38">
        <f t="shared" si="132"/>
        <v>0.50478354306568851</v>
      </c>
      <c r="LZ12" s="41">
        <f>$N$75</f>
        <v>0.3323112758707456</v>
      </c>
      <c r="MA12" s="43">
        <f t="shared" si="133"/>
        <v>3.992412196197793</v>
      </c>
      <c r="MB12" s="38">
        <f t="shared" si="134"/>
        <v>0.48661378831879193</v>
      </c>
      <c r="MC12" s="41">
        <f>$N$76</f>
        <v>6.5828396922370481E-3</v>
      </c>
      <c r="MD12" s="43">
        <f t="shared" si="161"/>
        <v>7.0580406730989809E-2</v>
      </c>
      <c r="ME12" s="38">
        <f t="shared" si="135"/>
        <v>8.6026686155195198E-3</v>
      </c>
    </row>
    <row r="13" spans="2:343" ht="14.25" customHeight="1" thickBot="1" x14ac:dyDescent="0.25">
      <c r="B13" s="139">
        <f>E13/SUM($E$11:$E$13)</f>
        <v>9.6375256626227979E-3</v>
      </c>
      <c r="C13" s="140" t="s">
        <v>2</v>
      </c>
      <c r="D13" s="141"/>
      <c r="E13" s="170">
        <f>CORE!E76</f>
        <v>9.6375256626227979E-3</v>
      </c>
      <c r="F13" s="170">
        <f>CORE!F76</f>
        <v>4.3414177836586701E-2</v>
      </c>
      <c r="G13" s="170">
        <f>CORE!G76</f>
        <v>3.3023054075338495E-2</v>
      </c>
      <c r="H13" s="170">
        <f>CORE!H76</f>
        <v>8.0055888667487259E-3</v>
      </c>
      <c r="I13" s="170">
        <f>CORE!I76</f>
        <v>7.1401198000731886E-3</v>
      </c>
      <c r="J13" s="170">
        <f>CORE!J76</f>
        <v>1.270583763579047E-2</v>
      </c>
      <c r="K13" s="170">
        <f>CORE!K76</f>
        <v>0</v>
      </c>
      <c r="L13" s="170">
        <f>CORE!L76</f>
        <v>0</v>
      </c>
      <c r="M13" s="170">
        <f>CORE!M76</f>
        <v>0</v>
      </c>
      <c r="N13" s="170">
        <f>CORE!N76</f>
        <v>0</v>
      </c>
      <c r="O13" s="170">
        <f>CORE!O76</f>
        <v>0</v>
      </c>
      <c r="P13" s="170">
        <f>CORE!P76</f>
        <v>0</v>
      </c>
      <c r="Q13" s="170">
        <f>CORE!Q76</f>
        <v>0</v>
      </c>
      <c r="R13" s="170">
        <f>CORE!R76</f>
        <v>0</v>
      </c>
      <c r="S13" s="170">
        <f>CORE!S76</f>
        <v>0</v>
      </c>
      <c r="T13" s="170">
        <f>CORE!T76</f>
        <v>0</v>
      </c>
      <c r="U13" s="170">
        <f>CORE!U76</f>
        <v>0</v>
      </c>
      <c r="V13" s="170">
        <f>CORE!V76</f>
        <v>0</v>
      </c>
      <c r="W13" s="170">
        <f>CORE!W76</f>
        <v>0</v>
      </c>
      <c r="X13" s="170">
        <f>CORE!X76</f>
        <v>0</v>
      </c>
      <c r="Y13" s="171">
        <f>CORE!Y76</f>
        <v>0</v>
      </c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2"/>
      <c r="AQ13" s="33">
        <v>1.6489516331560075</v>
      </c>
      <c r="AR13" s="11">
        <f>AU13/SUM($AU11:$AU13)</f>
        <v>9.6375256626227979E-3</v>
      </c>
      <c r="AS13" s="120" t="s">
        <v>2</v>
      </c>
      <c r="AT13" s="31"/>
      <c r="AU13" s="125">
        <f>IF((E11+E12+E13)=0,1,E13/(E11+E12+E13)*$AQ13)</f>
        <v>1.5891813680964796E-2</v>
      </c>
      <c r="AV13" s="125">
        <f t="shared" ref="AV13:BO13" si="167">IF((F11+F12+F13)=0,0,F13/(F11+F12+F13)*$AQ13)</f>
        <v>7.1587879445764988E-2</v>
      </c>
      <c r="AW13" s="125">
        <f t="shared" si="167"/>
        <v>6.4688761527434871E-2</v>
      </c>
      <c r="AX13" s="125">
        <f t="shared" si="167"/>
        <v>1.3200828836200863E-2</v>
      </c>
      <c r="AY13" s="125">
        <f t="shared" si="167"/>
        <v>1.3986759249175109E-2</v>
      </c>
      <c r="AZ13" s="125">
        <f t="shared" si="167"/>
        <v>2.0951311720151761E-2</v>
      </c>
      <c r="BA13" s="125">
        <f t="shared" si="167"/>
        <v>0</v>
      </c>
      <c r="BB13" s="125">
        <f t="shared" si="167"/>
        <v>0</v>
      </c>
      <c r="BC13" s="125">
        <f t="shared" si="167"/>
        <v>0</v>
      </c>
      <c r="BD13" s="125">
        <f t="shared" si="167"/>
        <v>0</v>
      </c>
      <c r="BE13" s="125">
        <f t="shared" si="167"/>
        <v>0</v>
      </c>
      <c r="BF13" s="125">
        <f t="shared" si="167"/>
        <v>0</v>
      </c>
      <c r="BG13" s="125">
        <f t="shared" si="167"/>
        <v>0</v>
      </c>
      <c r="BH13" s="125">
        <f t="shared" si="167"/>
        <v>0</v>
      </c>
      <c r="BI13" s="125">
        <f t="shared" si="167"/>
        <v>0</v>
      </c>
      <c r="BJ13" s="125">
        <f t="shared" si="167"/>
        <v>0</v>
      </c>
      <c r="BK13" s="125">
        <f t="shared" si="167"/>
        <v>0</v>
      </c>
      <c r="BL13" s="125">
        <f t="shared" si="167"/>
        <v>0</v>
      </c>
      <c r="BM13" s="125">
        <f t="shared" si="167"/>
        <v>0</v>
      </c>
      <c r="BN13" s="125">
        <f t="shared" si="167"/>
        <v>0</v>
      </c>
      <c r="BO13" s="126">
        <f t="shared" si="167"/>
        <v>0</v>
      </c>
      <c r="BP13" s="29">
        <v>10</v>
      </c>
      <c r="BQ13" s="47" t="s">
        <v>194</v>
      </c>
      <c r="BR13" s="47" t="s">
        <v>195</v>
      </c>
      <c r="BS13" s="41">
        <f>BE2</f>
        <v>27.244950032710594</v>
      </c>
      <c r="BT13" s="43">
        <f t="shared" si="10"/>
        <v>479.7094110534386</v>
      </c>
      <c r="BU13" s="38">
        <f t="shared" si="11"/>
        <v>0.5134098720247261</v>
      </c>
      <c r="BV13" s="41">
        <f>BE3</f>
        <v>23.321536995227639</v>
      </c>
      <c r="BW13" s="43">
        <f t="shared" si="12"/>
        <v>439.52920406691879</v>
      </c>
      <c r="BX13" s="38">
        <f t="shared" si="13"/>
        <v>0.4704069322208661</v>
      </c>
      <c r="BY13" s="41">
        <f>BE4</f>
        <v>1.5928494579254275</v>
      </c>
      <c r="BZ13" s="43">
        <f t="shared" si="14"/>
        <v>15.120923315505664</v>
      </c>
      <c r="CA13" s="38">
        <f t="shared" si="15"/>
        <v>1.618319575440777E-2</v>
      </c>
      <c r="CB13" s="49"/>
      <c r="CC13" s="47" t="s">
        <v>193</v>
      </c>
      <c r="CD13" s="41">
        <f>$O$5</f>
        <v>0.39393939393939392</v>
      </c>
      <c r="CE13" s="43">
        <f t="shared" si="16"/>
        <v>5.0625767843794405</v>
      </c>
      <c r="CF13" s="38">
        <f t="shared" si="17"/>
        <v>0.56250853159771563</v>
      </c>
      <c r="CG13" s="41">
        <f>$O$6</f>
        <v>0.5757575757575758</v>
      </c>
      <c r="CH13" s="43">
        <f t="shared" si="18"/>
        <v>3.8785487567461003</v>
      </c>
      <c r="CI13" s="38">
        <f t="shared" si="19"/>
        <v>0.4309498618606778</v>
      </c>
      <c r="CJ13" s="41">
        <f>$O$7</f>
        <v>3.0303030303030304E-2</v>
      </c>
      <c r="CK13" s="43">
        <f t="shared" si="138"/>
        <v>5.8874458874458871E-2</v>
      </c>
      <c r="CL13" s="38">
        <f t="shared" si="20"/>
        <v>6.541606541606541E-3</v>
      </c>
      <c r="CM13" s="49"/>
      <c r="CN13" s="47" t="s">
        <v>193</v>
      </c>
      <c r="CO13" s="41">
        <f>$O$8</f>
        <v>3.6191789501146036E-2</v>
      </c>
      <c r="CP13" s="43">
        <f t="shared" si="21"/>
        <v>5.4313300137312046</v>
      </c>
      <c r="CQ13" s="38">
        <f t="shared" si="22"/>
        <v>0.66021260643556667</v>
      </c>
      <c r="CR13" s="41">
        <f>$O$9</f>
        <v>2.9611464137301303E-2</v>
      </c>
      <c r="CS13" s="43">
        <f t="shared" si="23"/>
        <v>2.7234607786356997</v>
      </c>
      <c r="CT13" s="38">
        <f t="shared" si="24"/>
        <v>0.33105392871402473</v>
      </c>
      <c r="CU13" s="41">
        <f>$O$10</f>
        <v>0</v>
      </c>
      <c r="CV13" s="43">
        <f t="shared" si="139"/>
        <v>7.1847052454791255E-2</v>
      </c>
      <c r="CW13" s="38">
        <f t="shared" si="25"/>
        <v>8.7334648504085784E-3</v>
      </c>
      <c r="CX13" s="49"/>
      <c r="CY13" s="47" t="s">
        <v>193</v>
      </c>
      <c r="CZ13" s="41">
        <f>$O$11</f>
        <v>6.5926846851168563E-2</v>
      </c>
      <c r="DA13" s="43">
        <f t="shared" si="26"/>
        <v>4.8483194768175482</v>
      </c>
      <c r="DB13" s="38">
        <f t="shared" si="27"/>
        <v>0.60799741595896584</v>
      </c>
      <c r="DC13" s="41">
        <f>$O$12</f>
        <v>9.2297585591635978E-2</v>
      </c>
      <c r="DD13" s="43">
        <f t="shared" si="28"/>
        <v>3.0216353018595523</v>
      </c>
      <c r="DE13" s="38">
        <f t="shared" si="29"/>
        <v>0.37892438076438517</v>
      </c>
      <c r="DF13" s="41">
        <f>$O$13</f>
        <v>0</v>
      </c>
      <c r="DG13" s="43">
        <f t="shared" si="140"/>
        <v>0.10428877821453758</v>
      </c>
      <c r="DH13" s="38">
        <f t="shared" si="30"/>
        <v>1.3078203276649023E-2</v>
      </c>
      <c r="DI13" s="49"/>
      <c r="DJ13" s="47" t="s">
        <v>193</v>
      </c>
      <c r="DK13" s="41">
        <f>$O$14</f>
        <v>0.10208700037761484</v>
      </c>
      <c r="DL13" s="43">
        <f t="shared" si="31"/>
        <v>4.3131313898266486</v>
      </c>
      <c r="DM13" s="38">
        <f t="shared" si="32"/>
        <v>0.49947571678875718</v>
      </c>
      <c r="DN13" s="41">
        <f>$O$15</f>
        <v>0.13845983583122892</v>
      </c>
      <c r="DO13" s="43">
        <f t="shared" si="33"/>
        <v>4.1210913347570512</v>
      </c>
      <c r="DP13" s="38">
        <f t="shared" si="34"/>
        <v>0.47723680600939078</v>
      </c>
      <c r="DQ13" s="41">
        <f>$O$16</f>
        <v>0</v>
      </c>
      <c r="DR13" s="43">
        <f t="shared" si="141"/>
        <v>0.20109475903041757</v>
      </c>
      <c r="DS13" s="38">
        <f t="shared" si="35"/>
        <v>2.3287477201851977E-2</v>
      </c>
      <c r="DT13" s="49"/>
      <c r="DU13" s="47" t="s">
        <v>193</v>
      </c>
      <c r="DV13" s="41">
        <f>$O$17</f>
        <v>0</v>
      </c>
      <c r="DW13" s="43">
        <f t="shared" si="36"/>
        <v>2.7253552615270826</v>
      </c>
      <c r="DX13" s="38" t="e">
        <f t="shared" si="37"/>
        <v>#N/A</v>
      </c>
      <c r="DY13" s="41">
        <f>$O$18</f>
        <v>0</v>
      </c>
      <c r="DZ13" s="43">
        <f t="shared" si="38"/>
        <v>4.3566623429731317</v>
      </c>
      <c r="EA13" s="38" t="e">
        <f t="shared" si="39"/>
        <v>#N/A</v>
      </c>
      <c r="EB13" s="41">
        <f>$O$19</f>
        <v>0</v>
      </c>
      <c r="EC13" s="43">
        <f t="shared" si="142"/>
        <v>0.16986688166192201</v>
      </c>
      <c r="ED13" s="38" t="e">
        <f t="shared" si="40"/>
        <v>#N/A</v>
      </c>
      <c r="EE13" s="49"/>
      <c r="EF13" s="47" t="s">
        <v>193</v>
      </c>
      <c r="EG13" s="41">
        <f>$O$20</f>
        <v>0.28620288257111104</v>
      </c>
      <c r="EH13" s="43">
        <f t="shared" si="41"/>
        <v>4.9635958510609228</v>
      </c>
      <c r="EI13" s="38">
        <f t="shared" si="42"/>
        <v>0.58000036389045062</v>
      </c>
      <c r="EJ13" s="41">
        <f>$O$21</f>
        <v>8.2268900749965651E-2</v>
      </c>
      <c r="EK13" s="43">
        <f t="shared" si="43"/>
        <v>3.5302088495922099</v>
      </c>
      <c r="EL13" s="38">
        <f t="shared" si="44"/>
        <v>0.41250788315795933</v>
      </c>
      <c r="EM13" s="41">
        <f>$O$22</f>
        <v>0</v>
      </c>
      <c r="EN13" s="43">
        <f t="shared" si="143"/>
        <v>6.4113811271175311E-2</v>
      </c>
      <c r="EO13" s="38">
        <f t="shared" si="45"/>
        <v>7.4917529515899622E-3</v>
      </c>
      <c r="EP13" s="49"/>
      <c r="EQ13" s="47" t="s">
        <v>193</v>
      </c>
      <c r="ER13" s="41">
        <f>$O$23</f>
        <v>0.49834566450060819</v>
      </c>
      <c r="ES13" s="43">
        <f t="shared" si="46"/>
        <v>4.5332509979320861</v>
      </c>
      <c r="ET13" s="38">
        <f t="shared" si="47"/>
        <v>0.55008106176845106</v>
      </c>
      <c r="EU13" s="41">
        <f>$O$24</f>
        <v>0.2896279202674007</v>
      </c>
      <c r="EV13" s="43">
        <f t="shared" si="48"/>
        <v>3.5323318549747853</v>
      </c>
      <c r="EW13" s="38">
        <f t="shared" si="49"/>
        <v>0.42862591508597558</v>
      </c>
      <c r="EX13" s="41">
        <f>$O$25</f>
        <v>0</v>
      </c>
      <c r="EY13" s="43">
        <f t="shared" si="144"/>
        <v>0.17547707989316763</v>
      </c>
      <c r="EZ13" s="38">
        <f t="shared" si="50"/>
        <v>2.1293023145573256E-2</v>
      </c>
      <c r="FA13" s="49"/>
      <c r="FB13" s="47" t="s">
        <v>193</v>
      </c>
      <c r="FC13" s="41">
        <f>$O$26</f>
        <v>0</v>
      </c>
      <c r="FD13" s="43">
        <f t="shared" si="51"/>
        <v>3.800872265412135</v>
      </c>
      <c r="FE13" s="38" t="e">
        <f t="shared" si="52"/>
        <v>#N/A</v>
      </c>
      <c r="FF13" s="41">
        <f>$O$27</f>
        <v>0</v>
      </c>
      <c r="FG13" s="43">
        <f t="shared" si="53"/>
        <v>4.20210081283623</v>
      </c>
      <c r="FH13" s="38" t="e">
        <f t="shared" si="54"/>
        <v>#N/A</v>
      </c>
      <c r="FI13" s="41">
        <f>$O$28</f>
        <v>0</v>
      </c>
      <c r="FJ13" s="43">
        <f t="shared" si="145"/>
        <v>5.2788056749913902E-2</v>
      </c>
      <c r="FK13" s="38" t="e">
        <f t="shared" si="55"/>
        <v>#N/A</v>
      </c>
      <c r="FL13" s="49"/>
      <c r="FM13" s="47" t="s">
        <v>193</v>
      </c>
      <c r="FN13" s="41">
        <f>$O$29</f>
        <v>0</v>
      </c>
      <c r="FO13" s="43">
        <f t="shared" si="56"/>
        <v>2.9249999999999998</v>
      </c>
      <c r="FP13" s="38" t="e">
        <f t="shared" si="57"/>
        <v>#N/A</v>
      </c>
      <c r="FQ13" s="41">
        <f>$O$30</f>
        <v>0</v>
      </c>
      <c r="FR13" s="43">
        <f t="shared" si="58"/>
        <v>2.95</v>
      </c>
      <c r="FS13" s="38" t="e">
        <f t="shared" si="59"/>
        <v>#N/A</v>
      </c>
      <c r="FT13" s="41">
        <f>$O$31</f>
        <v>0</v>
      </c>
      <c r="FU13" s="43">
        <f t="shared" si="146"/>
        <v>0.125</v>
      </c>
      <c r="FV13" s="38" t="e">
        <f t="shared" si="60"/>
        <v>#N/A</v>
      </c>
      <c r="FW13" s="49"/>
      <c r="FX13" s="47" t="s">
        <v>193</v>
      </c>
      <c r="FY13" s="41">
        <f>$O$32</f>
        <v>0.12301541474818461</v>
      </c>
      <c r="FZ13" s="43">
        <f t="shared" si="61"/>
        <v>2.698520156325988</v>
      </c>
      <c r="GA13" s="38">
        <f t="shared" si="62"/>
        <v>0.382263053509108</v>
      </c>
      <c r="GB13" s="41">
        <f>$O$33</f>
        <v>0.27706922811589435</v>
      </c>
      <c r="GC13" s="43">
        <f t="shared" si="63"/>
        <v>4.09685078734993</v>
      </c>
      <c r="GD13" s="38">
        <f t="shared" si="64"/>
        <v>0.58034574545323192</v>
      </c>
      <c r="GE13" s="41">
        <f>$O$34</f>
        <v>2.5708173080924449E-2</v>
      </c>
      <c r="GF13" s="43">
        <f t="shared" si="147"/>
        <v>0.26395674063478058</v>
      </c>
      <c r="GG13" s="38">
        <f t="shared" si="65"/>
        <v>3.7391201037660061E-2</v>
      </c>
      <c r="GH13" s="49"/>
      <c r="GI13" s="47" t="s">
        <v>193</v>
      </c>
      <c r="GJ13" s="41">
        <f>$O$35</f>
        <v>0.53415100125648984</v>
      </c>
      <c r="GK13" s="43">
        <f t="shared" si="66"/>
        <v>6.213372016921979</v>
      </c>
      <c r="GL13" s="38">
        <f t="shared" si="67"/>
        <v>0.66910323424929796</v>
      </c>
      <c r="GM13" s="41">
        <f>$O$36</f>
        <v>0.45496889985264116</v>
      </c>
      <c r="GN13" s="43">
        <f t="shared" si="68"/>
        <v>3.0230596595535495</v>
      </c>
      <c r="GO13" s="38">
        <f t="shared" si="69"/>
        <v>0.32554609478186358</v>
      </c>
      <c r="GP13" s="41">
        <f>$O$37</f>
        <v>1.0880098890869976E-2</v>
      </c>
      <c r="GQ13" s="43">
        <f t="shared" si="148"/>
        <v>4.968696543043527E-2</v>
      </c>
      <c r="GR13" s="38">
        <f t="shared" si="70"/>
        <v>5.350670968838395E-3</v>
      </c>
      <c r="GS13" s="49"/>
      <c r="GT13" s="47" t="s">
        <v>193</v>
      </c>
      <c r="GU13" s="41">
        <f>$O$38</f>
        <v>0</v>
      </c>
      <c r="GV13" s="43">
        <f t="shared" si="71"/>
        <v>4.1824765482792525</v>
      </c>
      <c r="GW13" s="38" t="e">
        <f t="shared" si="72"/>
        <v>#N/A</v>
      </c>
      <c r="GX13" s="41">
        <f>$O$39</f>
        <v>0</v>
      </c>
      <c r="GY13" s="43">
        <f t="shared" si="73"/>
        <v>2.6920064898727674</v>
      </c>
      <c r="GZ13" s="38" t="e">
        <f t="shared" si="74"/>
        <v>#N/A</v>
      </c>
      <c r="HA13" s="41">
        <f>$O$40</f>
        <v>0</v>
      </c>
      <c r="HB13" s="43">
        <f t="shared" si="149"/>
        <v>4.296145506701958E-2</v>
      </c>
      <c r="HC13" s="38" t="e">
        <f t="shared" si="75"/>
        <v>#N/A</v>
      </c>
      <c r="HD13" s="49"/>
      <c r="HE13" s="47" t="s">
        <v>193</v>
      </c>
      <c r="HF13" s="41">
        <f>$O$41</f>
        <v>0</v>
      </c>
      <c r="HG13" s="43">
        <f t="shared" si="76"/>
        <v>3.981750557471782</v>
      </c>
      <c r="HH13" s="38" t="e">
        <f t="shared" si="77"/>
        <v>#N/A</v>
      </c>
      <c r="HI13" s="41">
        <f>$O$42</f>
        <v>0</v>
      </c>
      <c r="HJ13" s="43">
        <f t="shared" si="78"/>
        <v>3.8844822224408135</v>
      </c>
      <c r="HK13" s="38" t="e">
        <f t="shared" si="79"/>
        <v>#N/A</v>
      </c>
      <c r="HL13" s="41">
        <f>$O$43</f>
        <v>0</v>
      </c>
      <c r="HM13" s="43">
        <f t="shared" si="150"/>
        <v>5.9208538996590711E-2</v>
      </c>
      <c r="HN13" s="38" t="e">
        <f t="shared" si="80"/>
        <v>#N/A</v>
      </c>
      <c r="HO13" s="49"/>
      <c r="HP13" s="47" t="s">
        <v>193</v>
      </c>
      <c r="HQ13" s="41">
        <f>$O$44</f>
        <v>0</v>
      </c>
      <c r="HR13" s="43">
        <f t="shared" si="81"/>
        <v>4.3044735522459243</v>
      </c>
      <c r="HS13" s="38" t="e">
        <f t="shared" si="82"/>
        <v>#N/A</v>
      </c>
      <c r="HT13" s="41">
        <f>$O$45</f>
        <v>0</v>
      </c>
      <c r="HU13" s="43">
        <f t="shared" si="83"/>
        <v>3.6135461433516989</v>
      </c>
      <c r="HV13" s="38" t="e">
        <f t="shared" si="84"/>
        <v>#N/A</v>
      </c>
      <c r="HW13" s="41">
        <f>$O$46</f>
        <v>0</v>
      </c>
      <c r="HX13" s="43">
        <f t="shared" si="151"/>
        <v>8.1980304402385351E-2</v>
      </c>
      <c r="HY13" s="38" t="e">
        <f t="shared" si="85"/>
        <v>#N/A</v>
      </c>
      <c r="HZ13" s="49"/>
      <c r="IA13" s="47" t="s">
        <v>193</v>
      </c>
      <c r="IB13" s="41">
        <f>$O$47</f>
        <v>0.21267097783410946</v>
      </c>
      <c r="IC13" s="43">
        <f t="shared" si="86"/>
        <v>2.9269681311454132</v>
      </c>
      <c r="ID13" s="38">
        <f t="shared" si="87"/>
        <v>0.38836073577747704</v>
      </c>
      <c r="IE13" s="41">
        <f>$O$48</f>
        <v>0.19067693062696495</v>
      </c>
      <c r="IF13" s="43">
        <f t="shared" si="88"/>
        <v>4.4592474328121892</v>
      </c>
      <c r="IG13" s="38">
        <f t="shared" si="89"/>
        <v>0.59166910483000779</v>
      </c>
      <c r="IH13" s="41">
        <f>$O$49</f>
        <v>0</v>
      </c>
      <c r="II13" s="43">
        <f t="shared" si="152"/>
        <v>0.15050960287931386</v>
      </c>
      <c r="IJ13" s="38">
        <f t="shared" si="90"/>
        <v>1.9970159392515192E-2</v>
      </c>
      <c r="IK13" s="49"/>
      <c r="IL13" s="47" t="s">
        <v>193</v>
      </c>
      <c r="IM13" s="41">
        <f>$O$50</f>
        <v>0</v>
      </c>
      <c r="IN13" s="43">
        <f t="shared" si="91"/>
        <v>3.54409697579255</v>
      </c>
      <c r="IO13" s="38" t="e">
        <f t="shared" si="92"/>
        <v>#N/A</v>
      </c>
      <c r="IP13" s="41">
        <f>$O$51</f>
        <v>0</v>
      </c>
      <c r="IQ13" s="43">
        <f t="shared" si="93"/>
        <v>5.3997051768274718</v>
      </c>
      <c r="IR13" s="38" t="e">
        <f t="shared" si="94"/>
        <v>#N/A</v>
      </c>
      <c r="IS13" s="41">
        <f>$O$52</f>
        <v>0</v>
      </c>
      <c r="IT13" s="43">
        <f t="shared" si="153"/>
        <v>5.6197847379977822E-2</v>
      </c>
      <c r="IU13" s="38" t="e">
        <f t="shared" si="95"/>
        <v>#N/A</v>
      </c>
      <c r="IV13" s="49"/>
      <c r="IW13" s="47" t="s">
        <v>193</v>
      </c>
      <c r="IX13" s="41">
        <f>$O$53</f>
        <v>0</v>
      </c>
      <c r="IY13" s="43">
        <f t="shared" si="96"/>
        <v>3.089525305881037</v>
      </c>
      <c r="IZ13" s="38" t="e">
        <f t="shared" si="97"/>
        <v>#N/A</v>
      </c>
      <c r="JA13" s="41">
        <f>$O$54</f>
        <v>0</v>
      </c>
      <c r="JB13" s="43">
        <f t="shared" si="98"/>
        <v>2.3107247749183721</v>
      </c>
      <c r="JC13" s="38" t="e">
        <f t="shared" si="99"/>
        <v>#N/A</v>
      </c>
      <c r="JD13" s="41">
        <f>$O$55</f>
        <v>0</v>
      </c>
      <c r="JE13" s="43">
        <f t="shared" si="154"/>
        <v>0.12974636932483491</v>
      </c>
      <c r="JF13" s="38" t="e">
        <f t="shared" si="100"/>
        <v>#N/A</v>
      </c>
      <c r="JG13" s="49"/>
      <c r="JH13" s="47" t="s">
        <v>193</v>
      </c>
      <c r="JI13" s="41">
        <f>$O$56</f>
        <v>0.18617444477279466</v>
      </c>
      <c r="JJ13" s="43">
        <f t="shared" si="101"/>
        <v>6.1332053722981739</v>
      </c>
      <c r="JK13" s="38">
        <f t="shared" si="102"/>
        <v>0.74723949042794979</v>
      </c>
      <c r="JL13" s="41">
        <f>$O$57</f>
        <v>0</v>
      </c>
      <c r="JM13" s="43">
        <f t="shared" si="103"/>
        <v>1.9551056989543567</v>
      </c>
      <c r="JN13" s="38">
        <f t="shared" si="104"/>
        <v>0.23820043477070266</v>
      </c>
      <c r="JO13" s="41">
        <f>$O$58</f>
        <v>9.3087222386397328E-2</v>
      </c>
      <c r="JP13" s="43">
        <f t="shared" si="155"/>
        <v>0.11950643687413505</v>
      </c>
      <c r="JQ13" s="38">
        <f t="shared" si="105"/>
        <v>1.4560074801347642E-2</v>
      </c>
      <c r="JR13" s="49"/>
      <c r="JS13" s="47" t="s">
        <v>193</v>
      </c>
      <c r="JT13" s="41">
        <f>$O$59</f>
        <v>0</v>
      </c>
      <c r="JU13" s="43">
        <f t="shared" si="106"/>
        <v>3.6542510708618732</v>
      </c>
      <c r="JV13" s="38" t="e">
        <f t="shared" si="107"/>
        <v>#N/A</v>
      </c>
      <c r="JW13" s="41">
        <f>$O$60</f>
        <v>0</v>
      </c>
      <c r="JX13" s="43">
        <f t="shared" si="108"/>
        <v>2.6346657322662517</v>
      </c>
      <c r="JY13" s="38" t="e">
        <f t="shared" si="109"/>
        <v>#N/A</v>
      </c>
      <c r="JZ13" s="41">
        <f>$O$61</f>
        <v>0</v>
      </c>
      <c r="KA13" s="43">
        <f t="shared" si="156"/>
        <v>9.9182989581379041E-2</v>
      </c>
      <c r="KB13" s="38" t="e">
        <f t="shared" si="110"/>
        <v>#N/A</v>
      </c>
      <c r="KC13" s="49"/>
      <c r="KD13" s="47" t="s">
        <v>193</v>
      </c>
      <c r="KE13" s="41">
        <f>$O$62</f>
        <v>0</v>
      </c>
      <c r="KF13" s="43">
        <f t="shared" si="111"/>
        <v>1.8304419497114603</v>
      </c>
      <c r="KG13" s="38" t="e">
        <f t="shared" si="112"/>
        <v>#N/A</v>
      </c>
      <c r="KH13" s="41">
        <f>$O$63</f>
        <v>0</v>
      </c>
      <c r="KI13" s="43">
        <f t="shared" si="113"/>
        <v>3.868552848342202</v>
      </c>
      <c r="KJ13" s="38" t="e">
        <f t="shared" si="114"/>
        <v>#N/A</v>
      </c>
      <c r="KK13" s="41">
        <f>$O$64</f>
        <v>0</v>
      </c>
      <c r="KL13" s="43">
        <f t="shared" si="157"/>
        <v>0.13647245697511248</v>
      </c>
      <c r="KM13" s="38" t="e">
        <f t="shared" si="115"/>
        <v>#N/A</v>
      </c>
      <c r="KN13" s="49"/>
      <c r="KO13" s="47" t="s">
        <v>193</v>
      </c>
      <c r="KP13" s="41">
        <f>$O$65</f>
        <v>0</v>
      </c>
      <c r="KQ13" s="43">
        <f t="shared" si="116"/>
        <v>3.5258254515182217</v>
      </c>
      <c r="KR13" s="38" t="e">
        <f t="shared" si="117"/>
        <v>#N/A</v>
      </c>
      <c r="KS13" s="41">
        <f>$O$66</f>
        <v>0</v>
      </c>
      <c r="KT13" s="43">
        <f t="shared" si="118"/>
        <v>1.5710035120633761</v>
      </c>
      <c r="KU13" s="38" t="e">
        <f t="shared" si="119"/>
        <v>#N/A</v>
      </c>
      <c r="KV13" s="41">
        <f>$O$67</f>
        <v>0</v>
      </c>
      <c r="KW13" s="43">
        <f t="shared" si="158"/>
        <v>5.3009676693788067E-2</v>
      </c>
      <c r="KX13" s="38" t="e">
        <f t="shared" si="120"/>
        <v>#N/A</v>
      </c>
      <c r="KY13" s="49"/>
      <c r="KZ13" s="47" t="s">
        <v>193</v>
      </c>
      <c r="LA13" s="41">
        <f>$O$68</f>
        <v>0</v>
      </c>
      <c r="LB13" s="43">
        <f t="shared" si="121"/>
        <v>3.5023863953704675</v>
      </c>
      <c r="LC13" s="38" t="e">
        <f t="shared" si="122"/>
        <v>#N/A</v>
      </c>
      <c r="LD13" s="41">
        <f>$O$69</f>
        <v>0</v>
      </c>
      <c r="LE13" s="43">
        <f t="shared" si="123"/>
        <v>2.2450052204262185</v>
      </c>
      <c r="LF13" s="38" t="e">
        <f t="shared" si="124"/>
        <v>#N/A</v>
      </c>
      <c r="LG13" s="41">
        <f>$O$70</f>
        <v>0</v>
      </c>
      <c r="LH13" s="43">
        <f t="shared" si="159"/>
        <v>0</v>
      </c>
      <c r="LI13" s="38" t="e">
        <f t="shared" si="125"/>
        <v>#N/A</v>
      </c>
      <c r="LJ13" s="49"/>
      <c r="LK13" s="47" t="s">
        <v>193</v>
      </c>
      <c r="LL13" s="41">
        <f>$O$71</f>
        <v>0</v>
      </c>
      <c r="LM13" s="43">
        <f t="shared" si="126"/>
        <v>4.6823563924239595</v>
      </c>
      <c r="LN13" s="38" t="e">
        <f t="shared" si="127"/>
        <v>#N/A</v>
      </c>
      <c r="LO13" s="41">
        <f>$O$72</f>
        <v>0</v>
      </c>
      <c r="LP13" s="43">
        <f t="shared" si="128"/>
        <v>2.7862541405093082</v>
      </c>
      <c r="LQ13" s="38" t="e">
        <f t="shared" si="129"/>
        <v>#N/A</v>
      </c>
      <c r="LR13" s="41">
        <f>$O$73</f>
        <v>0</v>
      </c>
      <c r="LS13" s="43">
        <f t="shared" si="160"/>
        <v>5.2100141830148959E-2</v>
      </c>
      <c r="LT13" s="38" t="e">
        <f t="shared" si="130"/>
        <v>#N/A</v>
      </c>
      <c r="LU13" s="49"/>
      <c r="LV13" s="47" t="s">
        <v>193</v>
      </c>
      <c r="LW13" s="41">
        <f>$O$74</f>
        <v>0</v>
      </c>
      <c r="LX13" s="43">
        <f t="shared" si="131"/>
        <v>4.1414855521009537</v>
      </c>
      <c r="LY13" s="38" t="e">
        <f t="shared" si="132"/>
        <v>#N/A</v>
      </c>
      <c r="LZ13" s="41">
        <f>$O$75</f>
        <v>0</v>
      </c>
      <c r="MA13" s="43">
        <f t="shared" si="133"/>
        <v>3.992412196197793</v>
      </c>
      <c r="MB13" s="38" t="e">
        <f t="shared" si="134"/>
        <v>#N/A</v>
      </c>
      <c r="MC13" s="41">
        <f>$O$76</f>
        <v>0</v>
      </c>
      <c r="MD13" s="43">
        <f t="shared" si="161"/>
        <v>7.0580406730989809E-2</v>
      </c>
      <c r="ME13" s="38" t="e">
        <f t="shared" si="135"/>
        <v>#N/A</v>
      </c>
    </row>
    <row r="14" spans="2:343" ht="14.25" customHeight="1" x14ac:dyDescent="0.2">
      <c r="B14" s="133">
        <f>E14/SUM($E$14:$E$16)</f>
        <v>0.50438854999136062</v>
      </c>
      <c r="C14" s="134" t="s">
        <v>0</v>
      </c>
      <c r="D14" s="135"/>
      <c r="E14" s="166">
        <f>CORE!E105</f>
        <v>0.50438854999136051</v>
      </c>
      <c r="F14" s="166">
        <f>CORE!F105</f>
        <v>0.44222325498486653</v>
      </c>
      <c r="G14" s="166">
        <f>CORE!G105</f>
        <v>0.56941577492240381</v>
      </c>
      <c r="H14" s="166">
        <f>CORE!H105</f>
        <v>0.38201456246995202</v>
      </c>
      <c r="I14" s="166">
        <f>CORE!I105</f>
        <v>0.55126925178308384</v>
      </c>
      <c r="J14" s="166">
        <f>CORE!J105</f>
        <v>0.51980541448928919</v>
      </c>
      <c r="K14" s="166">
        <f>CORE!K105</f>
        <v>0.40500782565079468</v>
      </c>
      <c r="L14" s="166">
        <f>CORE!L105</f>
        <v>0.39902102051783889</v>
      </c>
      <c r="M14" s="166">
        <f>CORE!M105</f>
        <v>0.44779517894674703</v>
      </c>
      <c r="N14" s="166">
        <f>CORE!N105</f>
        <v>0.49449210568405849</v>
      </c>
      <c r="O14" s="166">
        <f>CORE!O105</f>
        <v>0.10208700037761484</v>
      </c>
      <c r="P14" s="166">
        <f>CORE!P105</f>
        <v>0</v>
      </c>
      <c r="Q14" s="166">
        <f>CORE!Q105</f>
        <v>1.8556768734931305E-2</v>
      </c>
      <c r="R14" s="166">
        <f>CORE!R105</f>
        <v>0</v>
      </c>
      <c r="S14" s="166">
        <f>CORE!S105</f>
        <v>0</v>
      </c>
      <c r="T14" s="166">
        <f>CORE!T105</f>
        <v>0</v>
      </c>
      <c r="U14" s="166">
        <f>CORE!U105</f>
        <v>0</v>
      </c>
      <c r="V14" s="166">
        <f>CORE!V105</f>
        <v>0</v>
      </c>
      <c r="W14" s="166">
        <f>CORE!W105</f>
        <v>0</v>
      </c>
      <c r="X14" s="166">
        <f>CORE!X105</f>
        <v>0</v>
      </c>
      <c r="Y14" s="167">
        <f>CORE!Y105</f>
        <v>0</v>
      </c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2"/>
      <c r="AQ14" s="33">
        <v>6.1944114970030331</v>
      </c>
      <c r="AR14" s="9">
        <f>AU14/SUM($AU14:$AU16)</f>
        <v>0.50438854999136051</v>
      </c>
      <c r="AS14" s="121" t="s">
        <v>0</v>
      </c>
      <c r="AT14" s="30"/>
      <c r="AU14" s="105">
        <f>IF((E14+E15+E16)=0,1,E14/(E14+E15+E16)*$AQ14)</f>
        <v>3.1243902330231732</v>
      </c>
      <c r="AV14" s="105">
        <f t="shared" ref="AV14:BO14" si="168">IF((F14+F15+F16)=0,0,F14/(F14+F15+F16)*$AQ14)</f>
        <v>3.193345178996533</v>
      </c>
      <c r="AW14" s="105">
        <f t="shared" si="168"/>
        <v>3.5271956227542294</v>
      </c>
      <c r="AX14" s="105">
        <f t="shared" si="168"/>
        <v>2.6083699913054001</v>
      </c>
      <c r="AY14" s="105">
        <f t="shared" si="168"/>
        <v>3.4147885911893945</v>
      </c>
      <c r="AZ14" s="105">
        <f t="shared" si="168"/>
        <v>3.508795392283063</v>
      </c>
      <c r="BA14" s="105">
        <f t="shared" si="168"/>
        <v>2.6684744404639087</v>
      </c>
      <c r="BB14" s="105">
        <f t="shared" si="168"/>
        <v>2.9716544962438767</v>
      </c>
      <c r="BC14" s="105">
        <f t="shared" si="168"/>
        <v>2.7738276047702608</v>
      </c>
      <c r="BD14" s="105">
        <f t="shared" si="168"/>
        <v>3.2580593792447359</v>
      </c>
      <c r="BE14" s="105">
        <f t="shared" si="168"/>
        <v>2.6288805074310977</v>
      </c>
      <c r="BF14" s="105">
        <f t="shared" si="168"/>
        <v>0</v>
      </c>
      <c r="BG14" s="105">
        <f t="shared" si="168"/>
        <v>0.65639066610173624</v>
      </c>
      <c r="BH14" s="105">
        <f t="shared" si="168"/>
        <v>0</v>
      </c>
      <c r="BI14" s="105">
        <f t="shared" si="168"/>
        <v>0</v>
      </c>
      <c r="BJ14" s="105">
        <f t="shared" si="168"/>
        <v>0</v>
      </c>
      <c r="BK14" s="105">
        <f t="shared" si="168"/>
        <v>0</v>
      </c>
      <c r="BL14" s="105">
        <f t="shared" si="168"/>
        <v>0</v>
      </c>
      <c r="BM14" s="105">
        <f t="shared" si="168"/>
        <v>0</v>
      </c>
      <c r="BN14" s="105">
        <f t="shared" si="168"/>
        <v>0</v>
      </c>
      <c r="BO14" s="127">
        <f t="shared" si="168"/>
        <v>0</v>
      </c>
      <c r="BP14" s="29">
        <v>11</v>
      </c>
      <c r="BQ14" s="47" t="s">
        <v>195</v>
      </c>
      <c r="BR14" s="47" t="s">
        <v>196</v>
      </c>
      <c r="BS14" s="41">
        <f>BF2</f>
        <v>23.16057777478078</v>
      </c>
      <c r="BT14" s="43">
        <f t="shared" si="10"/>
        <v>502.86998882821939</v>
      </c>
      <c r="BU14" s="38">
        <f t="shared" si="11"/>
        <v>0.51220751973563605</v>
      </c>
      <c r="BV14" s="41">
        <f>BF3</f>
        <v>24.223431436143827</v>
      </c>
      <c r="BW14" s="43">
        <f t="shared" si="12"/>
        <v>463.75263550306261</v>
      </c>
      <c r="BX14" s="38">
        <f t="shared" si="13"/>
        <v>0.47236381665049232</v>
      </c>
      <c r="BY14" s="41">
        <f>BF4</f>
        <v>2.6476127490563283E-2</v>
      </c>
      <c r="BZ14" s="43">
        <f t="shared" si="14"/>
        <v>15.147399442996226</v>
      </c>
      <c r="CA14" s="38">
        <f t="shared" si="15"/>
        <v>1.542866361387177E-2</v>
      </c>
      <c r="CB14" s="49"/>
      <c r="CC14" s="47" t="s">
        <v>194</v>
      </c>
      <c r="CD14" s="41">
        <f>$P$5</f>
        <v>0.80645161290322576</v>
      </c>
      <c r="CE14" s="43">
        <f t="shared" si="16"/>
        <v>5.8690283972826665</v>
      </c>
      <c r="CF14" s="38">
        <f t="shared" si="17"/>
        <v>0.58690283972826662</v>
      </c>
      <c r="CG14" s="41">
        <f>$P$6</f>
        <v>0.19354838709677419</v>
      </c>
      <c r="CH14" s="43">
        <f t="shared" si="18"/>
        <v>4.0720971438428748</v>
      </c>
      <c r="CI14" s="38">
        <f t="shared" si="19"/>
        <v>0.40720971438428749</v>
      </c>
      <c r="CJ14" s="41">
        <f>$P$7</f>
        <v>0</v>
      </c>
      <c r="CK14" s="43">
        <f t="shared" si="138"/>
        <v>5.8874458874458871E-2</v>
      </c>
      <c r="CL14" s="38">
        <f t="shared" si="20"/>
        <v>5.8874458874458874E-3</v>
      </c>
      <c r="CM14" s="49"/>
      <c r="CN14" s="47" t="s">
        <v>194</v>
      </c>
      <c r="CO14" s="41">
        <f>$P$8</f>
        <v>3.2901626819223671E-2</v>
      </c>
      <c r="CP14" s="43">
        <f t="shared" si="21"/>
        <v>5.4642316405504285</v>
      </c>
      <c r="CQ14" s="38">
        <f t="shared" si="22"/>
        <v>0.65894126659098051</v>
      </c>
      <c r="CR14" s="41">
        <f>$P$9</f>
        <v>3.2901626819223671E-2</v>
      </c>
      <c r="CS14" s="43">
        <f t="shared" si="23"/>
        <v>2.7563624054549232</v>
      </c>
      <c r="CT14" s="38">
        <f t="shared" si="24"/>
        <v>0.33239457148110019</v>
      </c>
      <c r="CU14" s="41">
        <f>$P$10</f>
        <v>0</v>
      </c>
      <c r="CV14" s="43">
        <f t="shared" si="139"/>
        <v>7.1847052454791255E-2</v>
      </c>
      <c r="CW14" s="38">
        <f t="shared" si="25"/>
        <v>8.6641619279192502E-3</v>
      </c>
      <c r="CX14" s="49"/>
      <c r="CY14" s="47" t="s">
        <v>194</v>
      </c>
      <c r="CZ14" s="41">
        <f>$P$11</f>
        <v>0.1054829549618697</v>
      </c>
      <c r="DA14" s="43">
        <f t="shared" si="26"/>
        <v>4.953802431779418</v>
      </c>
      <c r="DB14" s="38">
        <f t="shared" si="27"/>
        <v>0.60913887866219996</v>
      </c>
      <c r="DC14" s="41">
        <f>$P$12</f>
        <v>5.2741477480934849E-2</v>
      </c>
      <c r="DD14" s="43">
        <f t="shared" si="28"/>
        <v>3.0743767793404873</v>
      </c>
      <c r="DE14" s="38">
        <f t="shared" si="29"/>
        <v>0.37803736619344419</v>
      </c>
      <c r="DF14" s="41">
        <f>$P$13</f>
        <v>0</v>
      </c>
      <c r="DG14" s="43">
        <f t="shared" si="140"/>
        <v>0.10428877821453758</v>
      </c>
      <c r="DH14" s="38">
        <f t="shared" si="30"/>
        <v>1.2823755144355943E-2</v>
      </c>
      <c r="DI14" s="49"/>
      <c r="DJ14" s="47" t="s">
        <v>194</v>
      </c>
      <c r="DK14" s="41">
        <f>$P$14</f>
        <v>0</v>
      </c>
      <c r="DL14" s="43">
        <f t="shared" si="31"/>
        <v>4.3131313898266486</v>
      </c>
      <c r="DM14" s="38" t="e">
        <f t="shared" si="32"/>
        <v>#N/A</v>
      </c>
      <c r="DN14" s="41">
        <f>$P$15</f>
        <v>0</v>
      </c>
      <c r="DO14" s="43">
        <f t="shared" si="33"/>
        <v>4.1210913347570512</v>
      </c>
      <c r="DP14" s="38" t="e">
        <f t="shared" si="34"/>
        <v>#N/A</v>
      </c>
      <c r="DQ14" s="41">
        <f>$P$16</f>
        <v>0</v>
      </c>
      <c r="DR14" s="43">
        <f t="shared" si="141"/>
        <v>0.20109475903041757</v>
      </c>
      <c r="DS14" s="38" t="e">
        <f t="shared" si="35"/>
        <v>#N/A</v>
      </c>
      <c r="DT14" s="49"/>
      <c r="DU14" s="47" t="s">
        <v>194</v>
      </c>
      <c r="DV14" s="41">
        <f>$P$17</f>
        <v>0</v>
      </c>
      <c r="DW14" s="43">
        <f t="shared" si="36"/>
        <v>2.7253552615270826</v>
      </c>
      <c r="DX14" s="38" t="e">
        <f t="shared" si="37"/>
        <v>#N/A</v>
      </c>
      <c r="DY14" s="41">
        <f>$P$18</f>
        <v>0</v>
      </c>
      <c r="DZ14" s="43">
        <f t="shared" si="38"/>
        <v>4.3566623429731317</v>
      </c>
      <c r="EA14" s="38" t="e">
        <f t="shared" si="39"/>
        <v>#N/A</v>
      </c>
      <c r="EB14" s="41">
        <f>$P$19</f>
        <v>0</v>
      </c>
      <c r="EC14" s="43">
        <f t="shared" si="142"/>
        <v>0.16986688166192201</v>
      </c>
      <c r="ED14" s="38" t="e">
        <f t="shared" si="40"/>
        <v>#N/A</v>
      </c>
      <c r="EE14" s="49"/>
      <c r="EF14" s="47" t="s">
        <v>194</v>
      </c>
      <c r="EG14" s="41">
        <f>$P$20</f>
        <v>1.9508269792378082E-2</v>
      </c>
      <c r="EH14" s="43">
        <f t="shared" si="41"/>
        <v>4.9831041208533007</v>
      </c>
      <c r="EI14" s="38">
        <f t="shared" si="42"/>
        <v>0.5785120597605522</v>
      </c>
      <c r="EJ14" s="41">
        <f>$P$21</f>
        <v>3.6229643900130719E-2</v>
      </c>
      <c r="EK14" s="43">
        <f t="shared" si="43"/>
        <v>3.5664384934923405</v>
      </c>
      <c r="EL14" s="38">
        <f t="shared" si="44"/>
        <v>0.41404466550184588</v>
      </c>
      <c r="EM14" s="41">
        <f>$P$22</f>
        <v>0</v>
      </c>
      <c r="EN14" s="43">
        <f t="shared" si="143"/>
        <v>6.4113811271175311E-2</v>
      </c>
      <c r="EO14" s="38">
        <f t="shared" si="45"/>
        <v>7.4432747376018274E-3</v>
      </c>
      <c r="EP14" s="49"/>
      <c r="EQ14" s="47" t="s">
        <v>194</v>
      </c>
      <c r="ER14" s="41">
        <f>$P$23</f>
        <v>4.8107637690200274E-2</v>
      </c>
      <c r="ES14" s="43">
        <f t="shared" si="46"/>
        <v>4.5813586356222862</v>
      </c>
      <c r="ET14" s="38">
        <f t="shared" si="47"/>
        <v>0.55154902683576823</v>
      </c>
      <c r="EU14" s="41">
        <f>$P$24</f>
        <v>1.7181299175071527E-2</v>
      </c>
      <c r="EV14" s="43">
        <f t="shared" si="48"/>
        <v>3.549513154149857</v>
      </c>
      <c r="EW14" s="38">
        <f t="shared" si="49"/>
        <v>0.42732531583312583</v>
      </c>
      <c r="EX14" s="41">
        <f>$P$25</f>
        <v>0</v>
      </c>
      <c r="EY14" s="43">
        <f t="shared" si="144"/>
        <v>0.17547707989316763</v>
      </c>
      <c r="EZ14" s="38">
        <f t="shared" si="50"/>
        <v>2.1125657331105829E-2</v>
      </c>
      <c r="FA14" s="49"/>
      <c r="FB14" s="47" t="s">
        <v>194</v>
      </c>
      <c r="FC14" s="41">
        <f>$P$26</f>
        <v>0</v>
      </c>
      <c r="FD14" s="43">
        <f t="shared" si="51"/>
        <v>3.800872265412135</v>
      </c>
      <c r="FE14" s="38" t="e">
        <f t="shared" si="52"/>
        <v>#N/A</v>
      </c>
      <c r="FF14" s="41">
        <f>$P$27</f>
        <v>0</v>
      </c>
      <c r="FG14" s="43">
        <f t="shared" si="53"/>
        <v>4.20210081283623</v>
      </c>
      <c r="FH14" s="38" t="e">
        <f t="shared" si="54"/>
        <v>#N/A</v>
      </c>
      <c r="FI14" s="41">
        <f>$P$28</f>
        <v>0</v>
      </c>
      <c r="FJ14" s="43">
        <f t="shared" si="145"/>
        <v>5.2788056749913902E-2</v>
      </c>
      <c r="FK14" s="38" t="e">
        <f t="shared" si="55"/>
        <v>#N/A</v>
      </c>
      <c r="FL14" s="49"/>
      <c r="FM14" s="47" t="s">
        <v>194</v>
      </c>
      <c r="FN14" s="41">
        <f>$P$29</f>
        <v>0</v>
      </c>
      <c r="FO14" s="43">
        <f t="shared" si="56"/>
        <v>2.9249999999999998</v>
      </c>
      <c r="FP14" s="38" t="e">
        <f t="shared" si="57"/>
        <v>#N/A</v>
      </c>
      <c r="FQ14" s="41">
        <f>$P$30</f>
        <v>0</v>
      </c>
      <c r="FR14" s="43">
        <f t="shared" si="58"/>
        <v>2.95</v>
      </c>
      <c r="FS14" s="38" t="e">
        <f t="shared" si="59"/>
        <v>#N/A</v>
      </c>
      <c r="FT14" s="41">
        <f>$P$31</f>
        <v>0</v>
      </c>
      <c r="FU14" s="43">
        <f t="shared" si="146"/>
        <v>0.125</v>
      </c>
      <c r="FV14" s="38" t="e">
        <f t="shared" si="60"/>
        <v>#N/A</v>
      </c>
      <c r="FW14" s="49"/>
      <c r="FX14" s="47" t="s">
        <v>194</v>
      </c>
      <c r="FY14" s="41">
        <f>$P$32</f>
        <v>8.4882186158815792E-2</v>
      </c>
      <c r="FZ14" s="43">
        <f t="shared" si="61"/>
        <v>2.7834023424848038</v>
      </c>
      <c r="GA14" s="38">
        <f t="shared" si="62"/>
        <v>0.38402589873420401</v>
      </c>
      <c r="GB14" s="41">
        <f>$P$33</f>
        <v>0.10374489419410819</v>
      </c>
      <c r="GC14" s="43">
        <f t="shared" si="63"/>
        <v>4.200595681544038</v>
      </c>
      <c r="GD14" s="38">
        <f t="shared" si="64"/>
        <v>0.57955600137344232</v>
      </c>
      <c r="GE14" s="41">
        <f>$P$34</f>
        <v>0</v>
      </c>
      <c r="GF14" s="43">
        <f t="shared" si="147"/>
        <v>0.26395674063478058</v>
      </c>
      <c r="GG14" s="38">
        <f t="shared" si="65"/>
        <v>3.6418099892353679E-2</v>
      </c>
      <c r="GH14" s="49"/>
      <c r="GI14" s="47" t="s">
        <v>194</v>
      </c>
      <c r="GJ14" s="41">
        <f>$P$35</f>
        <v>0</v>
      </c>
      <c r="GK14" s="43">
        <f t="shared" si="66"/>
        <v>6.213372016921979</v>
      </c>
      <c r="GL14" s="38" t="e">
        <f t="shared" si="67"/>
        <v>#N/A</v>
      </c>
      <c r="GM14" s="41">
        <f>$P$36</f>
        <v>0</v>
      </c>
      <c r="GN14" s="43">
        <f t="shared" si="68"/>
        <v>3.0230596595535495</v>
      </c>
      <c r="GO14" s="38" t="e">
        <f t="shared" si="69"/>
        <v>#N/A</v>
      </c>
      <c r="GP14" s="41">
        <f>$P$37</f>
        <v>0</v>
      </c>
      <c r="GQ14" s="43">
        <f t="shared" si="148"/>
        <v>4.968696543043527E-2</v>
      </c>
      <c r="GR14" s="38" t="e">
        <f t="shared" si="70"/>
        <v>#N/A</v>
      </c>
      <c r="GS14" s="49"/>
      <c r="GT14" s="47" t="s">
        <v>194</v>
      </c>
      <c r="GU14" s="41">
        <f>$P$38</f>
        <v>0</v>
      </c>
      <c r="GV14" s="43">
        <f t="shared" si="71"/>
        <v>4.1824765482792525</v>
      </c>
      <c r="GW14" s="38" t="e">
        <f t="shared" si="72"/>
        <v>#N/A</v>
      </c>
      <c r="GX14" s="41">
        <f>$P$39</f>
        <v>0</v>
      </c>
      <c r="GY14" s="43">
        <f t="shared" si="73"/>
        <v>2.6920064898727674</v>
      </c>
      <c r="GZ14" s="38" t="e">
        <f t="shared" si="74"/>
        <v>#N/A</v>
      </c>
      <c r="HA14" s="41">
        <f>$P$40</f>
        <v>0</v>
      </c>
      <c r="HB14" s="43">
        <f t="shared" si="149"/>
        <v>4.296145506701958E-2</v>
      </c>
      <c r="HC14" s="38" t="e">
        <f t="shared" si="75"/>
        <v>#N/A</v>
      </c>
      <c r="HD14" s="49"/>
      <c r="HE14" s="47" t="s">
        <v>194</v>
      </c>
      <c r="HF14" s="41">
        <f>$P$41</f>
        <v>0</v>
      </c>
      <c r="HG14" s="43">
        <f t="shared" si="76"/>
        <v>3.981750557471782</v>
      </c>
      <c r="HH14" s="38" t="e">
        <f t="shared" si="77"/>
        <v>#N/A</v>
      </c>
      <c r="HI14" s="41">
        <f>$P$42</f>
        <v>0</v>
      </c>
      <c r="HJ14" s="43">
        <f t="shared" si="78"/>
        <v>3.8844822224408135</v>
      </c>
      <c r="HK14" s="38" t="e">
        <f t="shared" si="79"/>
        <v>#N/A</v>
      </c>
      <c r="HL14" s="41">
        <f>$P$43</f>
        <v>0</v>
      </c>
      <c r="HM14" s="43">
        <f t="shared" si="150"/>
        <v>5.9208538996590711E-2</v>
      </c>
      <c r="HN14" s="38" t="e">
        <f t="shared" si="80"/>
        <v>#N/A</v>
      </c>
      <c r="HO14" s="49"/>
      <c r="HP14" s="47" t="s">
        <v>194</v>
      </c>
      <c r="HQ14" s="41">
        <f>$P$44</f>
        <v>0.20339270609688684</v>
      </c>
      <c r="HR14" s="43">
        <f t="shared" si="81"/>
        <v>4.5078662583428111</v>
      </c>
      <c r="HS14" s="38">
        <f t="shared" si="82"/>
        <v>0.53192779733309492</v>
      </c>
      <c r="HT14" s="41">
        <f>$P$45</f>
        <v>0.27119027479584912</v>
      </c>
      <c r="HU14" s="43">
        <f t="shared" si="83"/>
        <v>3.8847364181475479</v>
      </c>
      <c r="HV14" s="38">
        <f t="shared" si="84"/>
        <v>0.45839853440650541</v>
      </c>
      <c r="HW14" s="41">
        <f>$P$46</f>
        <v>0</v>
      </c>
      <c r="HX14" s="43">
        <f t="shared" si="151"/>
        <v>8.1980304402385351E-2</v>
      </c>
      <c r="HY14" s="38">
        <f t="shared" si="85"/>
        <v>9.6736682603996687E-3</v>
      </c>
      <c r="HZ14" s="49"/>
      <c r="IA14" s="47" t="s">
        <v>194</v>
      </c>
      <c r="IB14" s="41">
        <f>$P$47</f>
        <v>0.23850137901860113</v>
      </c>
      <c r="IC14" s="43">
        <f t="shared" si="86"/>
        <v>3.1654695101640145</v>
      </c>
      <c r="ID14" s="38">
        <f t="shared" si="87"/>
        <v>0.38840213254569067</v>
      </c>
      <c r="IE14" s="41">
        <f>$P$48</f>
        <v>0.37318812392719719</v>
      </c>
      <c r="IF14" s="43">
        <f t="shared" si="88"/>
        <v>4.8324355567393864</v>
      </c>
      <c r="IG14" s="38">
        <f t="shared" si="89"/>
        <v>0.59293835230463143</v>
      </c>
      <c r="IH14" s="41">
        <f>$P$49</f>
        <v>1.5650674980445158E-3</v>
      </c>
      <c r="II14" s="43">
        <f t="shared" si="152"/>
        <v>0.15207467037735839</v>
      </c>
      <c r="IJ14" s="38">
        <f t="shared" si="90"/>
        <v>1.8659515149677917E-2</v>
      </c>
      <c r="IK14" s="49"/>
      <c r="IL14" s="47" t="s">
        <v>194</v>
      </c>
      <c r="IM14" s="41">
        <f>$P$50</f>
        <v>0</v>
      </c>
      <c r="IN14" s="43">
        <f t="shared" si="91"/>
        <v>3.54409697579255</v>
      </c>
      <c r="IO14" s="38" t="e">
        <f t="shared" si="92"/>
        <v>#N/A</v>
      </c>
      <c r="IP14" s="41">
        <f>$P$51</f>
        <v>0</v>
      </c>
      <c r="IQ14" s="43">
        <f t="shared" si="93"/>
        <v>5.3997051768274718</v>
      </c>
      <c r="IR14" s="38" t="e">
        <f t="shared" si="94"/>
        <v>#N/A</v>
      </c>
      <c r="IS14" s="41">
        <f>$P$52</f>
        <v>0</v>
      </c>
      <c r="IT14" s="43">
        <f t="shared" si="153"/>
        <v>5.6197847379977822E-2</v>
      </c>
      <c r="IU14" s="38" t="e">
        <f t="shared" si="95"/>
        <v>#N/A</v>
      </c>
      <c r="IV14" s="49"/>
      <c r="IW14" s="47" t="s">
        <v>194</v>
      </c>
      <c r="IX14" s="41">
        <f>$P$53</f>
        <v>0</v>
      </c>
      <c r="IY14" s="43">
        <f t="shared" si="96"/>
        <v>3.089525305881037</v>
      </c>
      <c r="IZ14" s="38">
        <f t="shared" si="97"/>
        <v>0.53904633941330427</v>
      </c>
      <c r="JA14" s="41">
        <f>$P$54</f>
        <v>0.201468694864336</v>
      </c>
      <c r="JB14" s="43">
        <f t="shared" si="98"/>
        <v>2.5121934697827082</v>
      </c>
      <c r="JC14" s="38">
        <f t="shared" si="99"/>
        <v>0.43831610351487432</v>
      </c>
      <c r="JD14" s="41">
        <f>$P$55</f>
        <v>0</v>
      </c>
      <c r="JE14" s="43">
        <f t="shared" si="154"/>
        <v>0.12974636932483491</v>
      </c>
      <c r="JF14" s="38">
        <f t="shared" si="100"/>
        <v>2.2637557071821544E-2</v>
      </c>
      <c r="JG14" s="49"/>
      <c r="JH14" s="47" t="s">
        <v>194</v>
      </c>
      <c r="JI14" s="41">
        <f>$P$56</f>
        <v>0.28655228721026288</v>
      </c>
      <c r="JJ14" s="43">
        <f t="shared" si="101"/>
        <v>6.4197576595084369</v>
      </c>
      <c r="JK14" s="38">
        <f t="shared" si="102"/>
        <v>0.74374279350746364</v>
      </c>
      <c r="JL14" s="41">
        <f>$P$57</f>
        <v>0.13732077773483978</v>
      </c>
      <c r="JM14" s="43">
        <f t="shared" si="103"/>
        <v>2.0924264766891967</v>
      </c>
      <c r="JN14" s="38">
        <f t="shared" si="104"/>
        <v>0.24241212760996397</v>
      </c>
      <c r="JO14" s="41">
        <f>$P$58</f>
        <v>0</v>
      </c>
      <c r="JP14" s="43">
        <f t="shared" si="155"/>
        <v>0.11950643687413505</v>
      </c>
      <c r="JQ14" s="38">
        <f t="shared" si="105"/>
        <v>1.3845078882572382E-2</v>
      </c>
      <c r="JR14" s="49"/>
      <c r="JS14" s="47" t="s">
        <v>194</v>
      </c>
      <c r="JT14" s="41">
        <f>$P$59</f>
        <v>0</v>
      </c>
      <c r="JU14" s="43">
        <f t="shared" si="106"/>
        <v>3.6542510708618732</v>
      </c>
      <c r="JV14" s="38" t="e">
        <f t="shared" si="107"/>
        <v>#N/A</v>
      </c>
      <c r="JW14" s="41">
        <f>$P$60</f>
        <v>0</v>
      </c>
      <c r="JX14" s="43">
        <f t="shared" si="108"/>
        <v>2.6346657322662517</v>
      </c>
      <c r="JY14" s="38" t="e">
        <f t="shared" si="109"/>
        <v>#N/A</v>
      </c>
      <c r="JZ14" s="41">
        <f>$P$61</f>
        <v>0</v>
      </c>
      <c r="KA14" s="43">
        <f t="shared" si="156"/>
        <v>9.9182989581379041E-2</v>
      </c>
      <c r="KB14" s="38" t="e">
        <f t="shared" si="110"/>
        <v>#N/A</v>
      </c>
      <c r="KC14" s="49"/>
      <c r="KD14" s="47" t="s">
        <v>194</v>
      </c>
      <c r="KE14" s="41">
        <f>$P$62</f>
        <v>0</v>
      </c>
      <c r="KF14" s="43">
        <f t="shared" si="111"/>
        <v>1.8304419497114603</v>
      </c>
      <c r="KG14" s="38" t="e">
        <f t="shared" si="112"/>
        <v>#N/A</v>
      </c>
      <c r="KH14" s="41">
        <f>$P$63</f>
        <v>0</v>
      </c>
      <c r="KI14" s="43">
        <f t="shared" si="113"/>
        <v>3.868552848342202</v>
      </c>
      <c r="KJ14" s="38" t="e">
        <f t="shared" si="114"/>
        <v>#N/A</v>
      </c>
      <c r="KK14" s="41">
        <f>$P$64</f>
        <v>0</v>
      </c>
      <c r="KL14" s="43">
        <f t="shared" si="157"/>
        <v>0.13647245697511248</v>
      </c>
      <c r="KM14" s="38" t="e">
        <f t="shared" si="115"/>
        <v>#N/A</v>
      </c>
      <c r="KN14" s="49"/>
      <c r="KO14" s="47" t="s">
        <v>194</v>
      </c>
      <c r="KP14" s="41">
        <f>$P$65</f>
        <v>0</v>
      </c>
      <c r="KQ14" s="43">
        <f t="shared" si="116"/>
        <v>3.5258254515182217</v>
      </c>
      <c r="KR14" s="38" t="e">
        <f t="shared" si="117"/>
        <v>#N/A</v>
      </c>
      <c r="KS14" s="41">
        <f>$P$66</f>
        <v>0</v>
      </c>
      <c r="KT14" s="43">
        <f t="shared" si="118"/>
        <v>1.5710035120633761</v>
      </c>
      <c r="KU14" s="38" t="e">
        <f t="shared" si="119"/>
        <v>#N/A</v>
      </c>
      <c r="KV14" s="41">
        <f>$P$67</f>
        <v>0</v>
      </c>
      <c r="KW14" s="43">
        <f t="shared" si="158"/>
        <v>5.3009676693788067E-2</v>
      </c>
      <c r="KX14" s="38" t="e">
        <f t="shared" si="120"/>
        <v>#N/A</v>
      </c>
      <c r="KY14" s="49"/>
      <c r="KZ14" s="47" t="s">
        <v>194</v>
      </c>
      <c r="LA14" s="41">
        <f>$P$68</f>
        <v>0</v>
      </c>
      <c r="LB14" s="43">
        <f t="shared" si="121"/>
        <v>3.5023863953704675</v>
      </c>
      <c r="LC14" s="38" t="e">
        <f t="shared" si="122"/>
        <v>#N/A</v>
      </c>
      <c r="LD14" s="41">
        <f>$P$69</f>
        <v>0</v>
      </c>
      <c r="LE14" s="43">
        <f t="shared" si="123"/>
        <v>2.2450052204262185</v>
      </c>
      <c r="LF14" s="38" t="e">
        <f t="shared" si="124"/>
        <v>#N/A</v>
      </c>
      <c r="LG14" s="41">
        <f>$P$70</f>
        <v>0</v>
      </c>
      <c r="LH14" s="43">
        <f t="shared" si="159"/>
        <v>0</v>
      </c>
      <c r="LI14" s="38" t="e">
        <f t="shared" si="125"/>
        <v>#N/A</v>
      </c>
      <c r="LJ14" s="49"/>
      <c r="LK14" s="47" t="s">
        <v>194</v>
      </c>
      <c r="LL14" s="41">
        <f>$P$71</f>
        <v>0</v>
      </c>
      <c r="LM14" s="43">
        <f t="shared" si="126"/>
        <v>4.6823563924239595</v>
      </c>
      <c r="LN14" s="38" t="e">
        <f t="shared" si="127"/>
        <v>#N/A</v>
      </c>
      <c r="LO14" s="41">
        <f>$P$72</f>
        <v>0</v>
      </c>
      <c r="LP14" s="43">
        <f t="shared" si="128"/>
        <v>2.7862541405093082</v>
      </c>
      <c r="LQ14" s="38" t="e">
        <f t="shared" si="129"/>
        <v>#N/A</v>
      </c>
      <c r="LR14" s="41">
        <f>$P$73</f>
        <v>0</v>
      </c>
      <c r="LS14" s="43">
        <f t="shared" si="160"/>
        <v>5.2100141830148959E-2</v>
      </c>
      <c r="LT14" s="38" t="e">
        <f t="shared" si="130"/>
        <v>#N/A</v>
      </c>
      <c r="LU14" s="49"/>
      <c r="LV14" s="47" t="s">
        <v>194</v>
      </c>
      <c r="LW14" s="41">
        <f>$P$74</f>
        <v>0</v>
      </c>
      <c r="LX14" s="43">
        <f t="shared" si="131"/>
        <v>4.1414855521009537</v>
      </c>
      <c r="LY14" s="38" t="e">
        <f t="shared" si="132"/>
        <v>#N/A</v>
      </c>
      <c r="LZ14" s="41">
        <f>$P$75</f>
        <v>0</v>
      </c>
      <c r="MA14" s="43">
        <f t="shared" si="133"/>
        <v>3.992412196197793</v>
      </c>
      <c r="MB14" s="38" t="e">
        <f t="shared" si="134"/>
        <v>#N/A</v>
      </c>
      <c r="MC14" s="41">
        <f>$P$76</f>
        <v>0</v>
      </c>
      <c r="MD14" s="43">
        <f t="shared" si="161"/>
        <v>7.0580406730989809E-2</v>
      </c>
      <c r="ME14" s="38" t="e">
        <f t="shared" si="135"/>
        <v>#N/A</v>
      </c>
    </row>
    <row r="15" spans="2:343" ht="14.25" customHeight="1" x14ac:dyDescent="0.2">
      <c r="B15" s="136">
        <f>E15/SUM($E$14:$E$16)</f>
        <v>0.47572039373508229</v>
      </c>
      <c r="C15" s="137" t="s">
        <v>1</v>
      </c>
      <c r="D15" s="138" t="s">
        <v>47</v>
      </c>
      <c r="E15" s="168">
        <f>CORE!E106</f>
        <v>0.47572039373508224</v>
      </c>
      <c r="F15" s="168">
        <f>CORE!F106</f>
        <v>0.41060128187936568</v>
      </c>
      <c r="G15" s="168">
        <f>CORE!G106</f>
        <v>0.40268920180615836</v>
      </c>
      <c r="H15" s="168">
        <f>CORE!H106</f>
        <v>0.4889556466829631</v>
      </c>
      <c r="I15" s="168">
        <f>CORE!I106</f>
        <v>0.43771170837741918</v>
      </c>
      <c r="J15" s="168">
        <f>CORE!J106</f>
        <v>0.39104298986834563</v>
      </c>
      <c r="K15" s="168">
        <f>CORE!K106</f>
        <v>0.52876398006187353</v>
      </c>
      <c r="L15" s="168">
        <f>CORE!L106</f>
        <v>0.41931791169219534</v>
      </c>
      <c r="M15" s="168">
        <f>CORE!M106</f>
        <v>0.53066322095382434</v>
      </c>
      <c r="N15" s="168">
        <f>CORE!N106</f>
        <v>0.37288555760367664</v>
      </c>
      <c r="O15" s="168">
        <f>CORE!O106</f>
        <v>0.13845983583122892</v>
      </c>
      <c r="P15" s="168">
        <f>CORE!P106</f>
        <v>0</v>
      </c>
      <c r="Q15" s="168">
        <f>CORE!Q106</f>
        <v>0.15656494998412904</v>
      </c>
      <c r="R15" s="168">
        <f>CORE!R106</f>
        <v>0</v>
      </c>
      <c r="S15" s="168">
        <f>CORE!S106</f>
        <v>0</v>
      </c>
      <c r="T15" s="168">
        <f>CORE!T106</f>
        <v>0</v>
      </c>
      <c r="U15" s="168">
        <f>CORE!U106</f>
        <v>0</v>
      </c>
      <c r="V15" s="168">
        <f>CORE!V106</f>
        <v>0</v>
      </c>
      <c r="W15" s="168">
        <f>CORE!W106</f>
        <v>0</v>
      </c>
      <c r="X15" s="168">
        <f>CORE!X106</f>
        <v>0</v>
      </c>
      <c r="Y15" s="169">
        <f>CORE!Y106</f>
        <v>0</v>
      </c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2"/>
      <c r="AQ15" s="33">
        <v>6.1944114970030331</v>
      </c>
      <c r="AR15" s="10">
        <f>AU15/SUM($AU14:$AU16)</f>
        <v>0.47572039373508224</v>
      </c>
      <c r="AS15" s="119" t="s">
        <v>1</v>
      </c>
      <c r="AT15" s="8" t="s">
        <v>47</v>
      </c>
      <c r="AU15" s="123">
        <f>IF((E14+E15+E16)=0,1,E15/(E14+E15+E16)*$AQ15)</f>
        <v>2.9468078763114036</v>
      </c>
      <c r="AV15" s="123">
        <f t="shared" ref="AV15:BO15" si="169">IF((F14+F15+F16)=0,0,F15/(F14+F15+F16)*$AQ15)</f>
        <v>2.9649992604394804</v>
      </c>
      <c r="AW15" s="123">
        <f t="shared" si="169"/>
        <v>2.494422621387042</v>
      </c>
      <c r="AX15" s="123">
        <f t="shared" si="169"/>
        <v>3.3385565922960945</v>
      </c>
      <c r="AY15" s="123">
        <f t="shared" si="169"/>
        <v>2.7113664387459244</v>
      </c>
      <c r="AZ15" s="123">
        <f t="shared" si="169"/>
        <v>2.6396220639269927</v>
      </c>
      <c r="BA15" s="123">
        <f t="shared" si="169"/>
        <v>3.4838664254592997</v>
      </c>
      <c r="BB15" s="123">
        <f t="shared" si="169"/>
        <v>3.1228128182785739</v>
      </c>
      <c r="BC15" s="123">
        <f t="shared" si="169"/>
        <v>3.287146356913031</v>
      </c>
      <c r="BD15" s="123">
        <f t="shared" si="169"/>
        <v>2.4568305021875849</v>
      </c>
      <c r="BE15" s="123">
        <f t="shared" si="169"/>
        <v>3.5655309895719354</v>
      </c>
      <c r="BF15" s="123">
        <f t="shared" si="169"/>
        <v>0</v>
      </c>
      <c r="BG15" s="123">
        <f t="shared" si="169"/>
        <v>5.5380208309012966</v>
      </c>
      <c r="BH15" s="123">
        <f t="shared" si="169"/>
        <v>0</v>
      </c>
      <c r="BI15" s="123">
        <f t="shared" si="169"/>
        <v>0</v>
      </c>
      <c r="BJ15" s="123">
        <f t="shared" si="169"/>
        <v>0</v>
      </c>
      <c r="BK15" s="123">
        <f t="shared" si="169"/>
        <v>0</v>
      </c>
      <c r="BL15" s="123">
        <f t="shared" si="169"/>
        <v>0</v>
      </c>
      <c r="BM15" s="123">
        <f t="shared" si="169"/>
        <v>0</v>
      </c>
      <c r="BN15" s="123">
        <f t="shared" si="169"/>
        <v>0</v>
      </c>
      <c r="BO15" s="124">
        <f t="shared" si="169"/>
        <v>0</v>
      </c>
      <c r="BP15" s="29">
        <v>12</v>
      </c>
      <c r="BQ15" s="47" t="s">
        <v>196</v>
      </c>
      <c r="BR15" s="47" t="s">
        <v>197</v>
      </c>
      <c r="BS15" s="41">
        <f>BG2</f>
        <v>24.717970640293068</v>
      </c>
      <c r="BT15" s="43">
        <f t="shared" si="10"/>
        <v>527.58795946851251</v>
      </c>
      <c r="BU15" s="38">
        <f t="shared" si="11"/>
        <v>0.51474026803896222</v>
      </c>
      <c r="BV15" s="41">
        <f>BG3</f>
        <v>17.535328069749529</v>
      </c>
      <c r="BW15" s="43">
        <f t="shared" si="12"/>
        <v>481.28796357281215</v>
      </c>
      <c r="BX15" s="38">
        <f t="shared" si="13"/>
        <v>0.46956775818569663</v>
      </c>
      <c r="BY15" s="41">
        <f>BG4</f>
        <v>0.93623911845987817</v>
      </c>
      <c r="BZ15" s="43">
        <f t="shared" si="14"/>
        <v>16.083638561456105</v>
      </c>
      <c r="CA15" s="38">
        <f t="shared" si="15"/>
        <v>1.5691973775341254E-2</v>
      </c>
      <c r="CB15" s="49"/>
      <c r="CC15" s="47" t="s">
        <v>195</v>
      </c>
      <c r="CD15" s="41">
        <f>$Q$5</f>
        <v>0</v>
      </c>
      <c r="CE15" s="43">
        <f t="shared" si="16"/>
        <v>5.8690283972826665</v>
      </c>
      <c r="CF15" s="38" t="e">
        <f t="shared" si="17"/>
        <v>#N/A</v>
      </c>
      <c r="CG15" s="41">
        <f>$Q$6</f>
        <v>0</v>
      </c>
      <c r="CH15" s="43">
        <f t="shared" si="18"/>
        <v>4.0720971438428748</v>
      </c>
      <c r="CI15" s="38" t="e">
        <f t="shared" si="19"/>
        <v>#N/A</v>
      </c>
      <c r="CJ15" s="41">
        <f>$Q$7</f>
        <v>0</v>
      </c>
      <c r="CK15" s="43">
        <f t="shared" si="138"/>
        <v>5.8874458874458871E-2</v>
      </c>
      <c r="CL15" s="38" t="e">
        <f t="shared" si="20"/>
        <v>#N/A</v>
      </c>
      <c r="CM15" s="49"/>
      <c r="CN15" s="47" t="s">
        <v>195</v>
      </c>
      <c r="CO15" s="41">
        <f>$Q$8</f>
        <v>0</v>
      </c>
      <c r="CP15" s="43">
        <f t="shared" si="21"/>
        <v>5.4642316405504285</v>
      </c>
      <c r="CQ15" s="38" t="e">
        <f t="shared" si="22"/>
        <v>#N/A</v>
      </c>
      <c r="CR15" s="41">
        <f>$Q$9</f>
        <v>0</v>
      </c>
      <c r="CS15" s="43">
        <f t="shared" si="23"/>
        <v>2.7563624054549232</v>
      </c>
      <c r="CT15" s="38" t="e">
        <f t="shared" si="24"/>
        <v>#N/A</v>
      </c>
      <c r="CU15" s="41">
        <f>$Q$10</f>
        <v>0</v>
      </c>
      <c r="CV15" s="43">
        <f t="shared" si="139"/>
        <v>7.1847052454791255E-2</v>
      </c>
      <c r="CW15" s="38" t="e">
        <f t="shared" si="25"/>
        <v>#N/A</v>
      </c>
      <c r="CX15" s="49"/>
      <c r="CY15" s="47" t="s">
        <v>195</v>
      </c>
      <c r="CZ15" s="41">
        <f>$Q$11</f>
        <v>0</v>
      </c>
      <c r="DA15" s="43">
        <f t="shared" si="26"/>
        <v>4.953802431779418</v>
      </c>
      <c r="DB15" s="38" t="e">
        <f t="shared" si="27"/>
        <v>#N/A</v>
      </c>
      <c r="DC15" s="41">
        <f>$Q$12</f>
        <v>0</v>
      </c>
      <c r="DD15" s="43">
        <f t="shared" si="28"/>
        <v>3.0743767793404873</v>
      </c>
      <c r="DE15" s="38" t="e">
        <f t="shared" si="29"/>
        <v>#N/A</v>
      </c>
      <c r="DF15" s="41">
        <f>$Q$13</f>
        <v>0</v>
      </c>
      <c r="DG15" s="43">
        <f t="shared" si="140"/>
        <v>0.10428877821453758</v>
      </c>
      <c r="DH15" s="38" t="e">
        <f t="shared" si="30"/>
        <v>#N/A</v>
      </c>
      <c r="DI15" s="49"/>
      <c r="DJ15" s="47" t="s">
        <v>195</v>
      </c>
      <c r="DK15" s="41">
        <f>$Q$14</f>
        <v>1.8556768734931305E-2</v>
      </c>
      <c r="DL15" s="43">
        <f t="shared" si="31"/>
        <v>4.3316881585615796</v>
      </c>
      <c r="DM15" s="38">
        <f t="shared" si="32"/>
        <v>0.49165405481879532</v>
      </c>
      <c r="DN15" s="41">
        <f>$Q$15</f>
        <v>0.15656494998412904</v>
      </c>
      <c r="DO15" s="43">
        <f t="shared" si="33"/>
        <v>4.2776562847411803</v>
      </c>
      <c r="DP15" s="38">
        <f t="shared" si="34"/>
        <v>0.48552134422633236</v>
      </c>
      <c r="DQ15" s="41">
        <f>$Q$16</f>
        <v>0</v>
      </c>
      <c r="DR15" s="43">
        <f t="shared" si="141"/>
        <v>0.20109475903041757</v>
      </c>
      <c r="DS15" s="38">
        <f t="shared" si="35"/>
        <v>2.2824600954872227E-2</v>
      </c>
      <c r="DT15" s="49"/>
      <c r="DU15" s="47" t="s">
        <v>195</v>
      </c>
      <c r="DV15" s="41">
        <f>$Q$17</f>
        <v>0</v>
      </c>
      <c r="DW15" s="43">
        <f t="shared" si="36"/>
        <v>2.7253552615270826</v>
      </c>
      <c r="DX15" s="38" t="e">
        <f t="shared" si="37"/>
        <v>#N/A</v>
      </c>
      <c r="DY15" s="41">
        <f>$Q$18</f>
        <v>0</v>
      </c>
      <c r="DZ15" s="43">
        <f t="shared" si="38"/>
        <v>4.3566623429731317</v>
      </c>
      <c r="EA15" s="38" t="e">
        <f t="shared" si="39"/>
        <v>#N/A</v>
      </c>
      <c r="EB15" s="41">
        <f>$Q$19</f>
        <v>0</v>
      </c>
      <c r="EC15" s="43">
        <f t="shared" si="142"/>
        <v>0.16986688166192201</v>
      </c>
      <c r="ED15" s="38" t="e">
        <f t="shared" si="40"/>
        <v>#N/A</v>
      </c>
      <c r="EE15" s="49"/>
      <c r="EF15" s="47" t="s">
        <v>195</v>
      </c>
      <c r="EG15" s="41">
        <f>$Q$20</f>
        <v>0</v>
      </c>
      <c r="EH15" s="43">
        <f t="shared" si="41"/>
        <v>4.9831041208533007</v>
      </c>
      <c r="EI15" s="38" t="e">
        <f t="shared" si="42"/>
        <v>#N/A</v>
      </c>
      <c r="EJ15" s="41">
        <f>$Q$21</f>
        <v>0</v>
      </c>
      <c r="EK15" s="43">
        <f t="shared" si="43"/>
        <v>3.5664384934923405</v>
      </c>
      <c r="EL15" s="38" t="e">
        <f t="shared" si="44"/>
        <v>#N/A</v>
      </c>
      <c r="EM15" s="41">
        <f>$Q$22</f>
        <v>0</v>
      </c>
      <c r="EN15" s="43">
        <f t="shared" si="143"/>
        <v>6.4113811271175311E-2</v>
      </c>
      <c r="EO15" s="38" t="e">
        <f t="shared" si="45"/>
        <v>#N/A</v>
      </c>
      <c r="EP15" s="49"/>
      <c r="EQ15" s="47" t="s">
        <v>195</v>
      </c>
      <c r="ER15" s="41">
        <f>$Q$23</f>
        <v>0.35742122012987659</v>
      </c>
      <c r="ES15" s="43">
        <f t="shared" si="46"/>
        <v>4.9387798557521627</v>
      </c>
      <c r="ET15" s="38">
        <f t="shared" si="47"/>
        <v>0.55698708214051984</v>
      </c>
      <c r="EU15" s="41">
        <f>$Q$24</f>
        <v>0.20318574115921692</v>
      </c>
      <c r="EV15" s="43">
        <f t="shared" si="48"/>
        <v>3.7526988953090741</v>
      </c>
      <c r="EW15" s="38">
        <f t="shared" si="49"/>
        <v>0.42322291515296157</v>
      </c>
      <c r="EX15" s="41">
        <f>$Q$25</f>
        <v>0</v>
      </c>
      <c r="EY15" s="43">
        <f t="shared" si="144"/>
        <v>0.17547707989316763</v>
      </c>
      <c r="EZ15" s="38">
        <f t="shared" si="50"/>
        <v>1.9790002706518497E-2</v>
      </c>
      <c r="FA15" s="49"/>
      <c r="FB15" s="47" t="s">
        <v>195</v>
      </c>
      <c r="FC15" s="41">
        <f>$Q$26</f>
        <v>0</v>
      </c>
      <c r="FD15" s="43">
        <f t="shared" si="51"/>
        <v>3.800872265412135</v>
      </c>
      <c r="FE15" s="38" t="e">
        <f t="shared" si="52"/>
        <v>#N/A</v>
      </c>
      <c r="FF15" s="41">
        <f>$Q$27</f>
        <v>0</v>
      </c>
      <c r="FG15" s="43">
        <f t="shared" si="53"/>
        <v>4.20210081283623</v>
      </c>
      <c r="FH15" s="38" t="e">
        <f t="shared" si="54"/>
        <v>#N/A</v>
      </c>
      <c r="FI15" s="41">
        <f>$Q$28</f>
        <v>0</v>
      </c>
      <c r="FJ15" s="43">
        <f t="shared" si="145"/>
        <v>5.2788056749913902E-2</v>
      </c>
      <c r="FK15" s="38" t="e">
        <f t="shared" si="55"/>
        <v>#N/A</v>
      </c>
      <c r="FL15" s="49"/>
      <c r="FM15" s="47" t="s">
        <v>195</v>
      </c>
      <c r="FN15" s="41">
        <f>$Q$29</f>
        <v>0</v>
      </c>
      <c r="FO15" s="43">
        <f t="shared" si="56"/>
        <v>2.9249999999999998</v>
      </c>
      <c r="FP15" s="38" t="e">
        <f t="shared" si="57"/>
        <v>#N/A</v>
      </c>
      <c r="FQ15" s="41">
        <f>$Q$30</f>
        <v>0</v>
      </c>
      <c r="FR15" s="43">
        <f t="shared" si="58"/>
        <v>2.95</v>
      </c>
      <c r="FS15" s="38" t="e">
        <f t="shared" si="59"/>
        <v>#N/A</v>
      </c>
      <c r="FT15" s="41">
        <f>$Q$31</f>
        <v>0</v>
      </c>
      <c r="FU15" s="43">
        <f t="shared" si="146"/>
        <v>0.125</v>
      </c>
      <c r="FV15" s="38" t="e">
        <f t="shared" si="60"/>
        <v>#N/A</v>
      </c>
      <c r="FW15" s="49"/>
      <c r="FX15" s="47" t="s">
        <v>195</v>
      </c>
      <c r="FY15" s="41">
        <f>$Q$32</f>
        <v>0</v>
      </c>
      <c r="FZ15" s="43">
        <f t="shared" si="61"/>
        <v>2.7834023424848038</v>
      </c>
      <c r="GA15" s="38" t="e">
        <f t="shared" si="62"/>
        <v>#N/A</v>
      </c>
      <c r="GB15" s="41">
        <f>$Q$33</f>
        <v>0</v>
      </c>
      <c r="GC15" s="43">
        <f t="shared" si="63"/>
        <v>4.200595681544038</v>
      </c>
      <c r="GD15" s="38" t="e">
        <f t="shared" si="64"/>
        <v>#N/A</v>
      </c>
      <c r="GE15" s="41">
        <f>$Q$34</f>
        <v>0</v>
      </c>
      <c r="GF15" s="43">
        <f t="shared" si="147"/>
        <v>0.26395674063478058</v>
      </c>
      <c r="GG15" s="38" t="e">
        <f t="shared" si="65"/>
        <v>#N/A</v>
      </c>
      <c r="GH15" s="49"/>
      <c r="GI15" s="47" t="s">
        <v>195</v>
      </c>
      <c r="GJ15" s="41">
        <f>$Q$35</f>
        <v>0</v>
      </c>
      <c r="GK15" s="43">
        <f t="shared" si="66"/>
        <v>6.213372016921979</v>
      </c>
      <c r="GL15" s="38" t="e">
        <f t="shared" si="67"/>
        <v>#N/A</v>
      </c>
      <c r="GM15" s="41">
        <f>$Q$36</f>
        <v>0</v>
      </c>
      <c r="GN15" s="43">
        <f t="shared" si="68"/>
        <v>3.0230596595535495</v>
      </c>
      <c r="GO15" s="38" t="e">
        <f t="shared" si="69"/>
        <v>#N/A</v>
      </c>
      <c r="GP15" s="41">
        <f>$Q$37</f>
        <v>0</v>
      </c>
      <c r="GQ15" s="43">
        <f t="shared" si="148"/>
        <v>4.968696543043527E-2</v>
      </c>
      <c r="GR15" s="38" t="e">
        <f t="shared" si="70"/>
        <v>#N/A</v>
      </c>
      <c r="GS15" s="49"/>
      <c r="GT15" s="47" t="s">
        <v>195</v>
      </c>
      <c r="GU15" s="41">
        <f>$Q$38</f>
        <v>0</v>
      </c>
      <c r="GV15" s="43">
        <f t="shared" si="71"/>
        <v>4.1824765482792525</v>
      </c>
      <c r="GW15" s="38" t="e">
        <f t="shared" si="72"/>
        <v>#N/A</v>
      </c>
      <c r="GX15" s="41">
        <f>$Q$39</f>
        <v>0</v>
      </c>
      <c r="GY15" s="43">
        <f t="shared" si="73"/>
        <v>2.6920064898727674</v>
      </c>
      <c r="GZ15" s="38" t="e">
        <f t="shared" si="74"/>
        <v>#N/A</v>
      </c>
      <c r="HA15" s="41">
        <f>$Q$40</f>
        <v>0</v>
      </c>
      <c r="HB15" s="43">
        <f t="shared" si="149"/>
        <v>4.296145506701958E-2</v>
      </c>
      <c r="HC15" s="38" t="e">
        <f t="shared" si="75"/>
        <v>#N/A</v>
      </c>
      <c r="HD15" s="49"/>
      <c r="HE15" s="47" t="s">
        <v>195</v>
      </c>
      <c r="HF15" s="41">
        <f>$Q$41</f>
        <v>0.53155445561170733</v>
      </c>
      <c r="HG15" s="43">
        <f t="shared" si="76"/>
        <v>4.5133050130834889</v>
      </c>
      <c r="HH15" s="38">
        <f t="shared" si="77"/>
        <v>0.5088078624881297</v>
      </c>
      <c r="HI15" s="41">
        <f>$Q$42</f>
        <v>0.40645029862754639</v>
      </c>
      <c r="HJ15" s="43">
        <f t="shared" si="78"/>
        <v>4.2909325210683598</v>
      </c>
      <c r="HK15" s="38">
        <f t="shared" si="79"/>
        <v>0.48373867881665517</v>
      </c>
      <c r="HL15" s="41">
        <f>$Q$43</f>
        <v>6.9062657735699763E-3</v>
      </c>
      <c r="HM15" s="43">
        <f t="shared" si="150"/>
        <v>6.6114804770160684E-2</v>
      </c>
      <c r="HN15" s="38">
        <f t="shared" si="80"/>
        <v>7.4534586952151941E-3</v>
      </c>
      <c r="HO15" s="49"/>
      <c r="HP15" s="47" t="s">
        <v>195</v>
      </c>
      <c r="HQ15" s="41">
        <f>$Q$44</f>
        <v>0</v>
      </c>
      <c r="HR15" s="43">
        <f t="shared" si="81"/>
        <v>4.5078662583428111</v>
      </c>
      <c r="HS15" s="38" t="e">
        <f t="shared" si="82"/>
        <v>#N/A</v>
      </c>
      <c r="HT15" s="41">
        <f>$Q$45</f>
        <v>0</v>
      </c>
      <c r="HU15" s="43">
        <f t="shared" si="83"/>
        <v>3.8847364181475479</v>
      </c>
      <c r="HV15" s="38" t="e">
        <f t="shared" si="84"/>
        <v>#N/A</v>
      </c>
      <c r="HW15" s="41">
        <f>$Q$46</f>
        <v>0</v>
      </c>
      <c r="HX15" s="43">
        <f t="shared" si="151"/>
        <v>8.1980304402385351E-2</v>
      </c>
      <c r="HY15" s="38" t="e">
        <f t="shared" si="85"/>
        <v>#N/A</v>
      </c>
      <c r="HZ15" s="49"/>
      <c r="IA15" s="47" t="s">
        <v>195</v>
      </c>
      <c r="IB15" s="41">
        <f>$Q$47</f>
        <v>0</v>
      </c>
      <c r="IC15" s="43">
        <f t="shared" si="86"/>
        <v>3.1654695101640145</v>
      </c>
      <c r="ID15" s="38" t="e">
        <f t="shared" si="87"/>
        <v>#N/A</v>
      </c>
      <c r="IE15" s="41">
        <f>$Q$48</f>
        <v>0</v>
      </c>
      <c r="IF15" s="43">
        <f t="shared" si="88"/>
        <v>4.8324355567393864</v>
      </c>
      <c r="IG15" s="38" t="e">
        <f t="shared" si="89"/>
        <v>#N/A</v>
      </c>
      <c r="IH15" s="41">
        <f>$Q$49</f>
        <v>0</v>
      </c>
      <c r="II15" s="43">
        <f t="shared" si="152"/>
        <v>0.15207467037735839</v>
      </c>
      <c r="IJ15" s="38" t="e">
        <f t="shared" si="90"/>
        <v>#N/A</v>
      </c>
      <c r="IK15" s="49"/>
      <c r="IL15" s="47" t="s">
        <v>195</v>
      </c>
      <c r="IM15" s="41">
        <f>$Q$50</f>
        <v>0.38210434410401339</v>
      </c>
      <c r="IN15" s="43">
        <f t="shared" si="91"/>
        <v>3.9262013198965633</v>
      </c>
      <c r="IO15" s="38">
        <f t="shared" si="92"/>
        <v>0.39667654028223204</v>
      </c>
      <c r="IP15" s="41">
        <f>$Q$51</f>
        <v>0.51563580736323444</v>
      </c>
      <c r="IQ15" s="43">
        <f t="shared" si="93"/>
        <v>5.9153409841907063</v>
      </c>
      <c r="IR15" s="38">
        <f t="shared" si="94"/>
        <v>0.59764561340942168</v>
      </c>
      <c r="IS15" s="41">
        <f>$Q$52</f>
        <v>0</v>
      </c>
      <c r="IT15" s="43">
        <f t="shared" si="153"/>
        <v>5.6197847379977822E-2</v>
      </c>
      <c r="IU15" s="38">
        <f t="shared" si="95"/>
        <v>5.6778463083461544E-3</v>
      </c>
      <c r="IV15" s="49"/>
      <c r="IW15" s="47" t="s">
        <v>195</v>
      </c>
      <c r="IX15" s="41">
        <f>$Q$53</f>
        <v>0.25622588962439258</v>
      </c>
      <c r="IY15" s="43">
        <f t="shared" si="96"/>
        <v>3.3457511955054295</v>
      </c>
      <c r="IZ15" s="38">
        <f t="shared" si="97"/>
        <v>0.54543421469192221</v>
      </c>
      <c r="JA15" s="41">
        <f>$Q$54</f>
        <v>0.1098110955533111</v>
      </c>
      <c r="JB15" s="43">
        <f t="shared" si="98"/>
        <v>2.6220045653360193</v>
      </c>
      <c r="JC15" s="38">
        <f t="shared" si="99"/>
        <v>0.42744690726969681</v>
      </c>
      <c r="JD15" s="41">
        <f>$Q$55</f>
        <v>3.6603698517770365E-2</v>
      </c>
      <c r="JE15" s="43">
        <f t="shared" si="154"/>
        <v>0.16635006784260528</v>
      </c>
      <c r="JF15" s="38">
        <f t="shared" si="100"/>
        <v>2.7118878038381068E-2</v>
      </c>
      <c r="JG15" s="49"/>
      <c r="JH15" s="47" t="s">
        <v>195</v>
      </c>
      <c r="JI15" s="41">
        <f>$Q$56</f>
        <v>0.24920338819303914</v>
      </c>
      <c r="JJ15" s="43">
        <f t="shared" si="101"/>
        <v>6.668961047701476</v>
      </c>
      <c r="JK15" s="38">
        <f t="shared" si="102"/>
        <v>0.74903047817928148</v>
      </c>
      <c r="JL15" s="41">
        <f>$Q$57</f>
        <v>2.2563564138119156E-2</v>
      </c>
      <c r="JM15" s="43">
        <f t="shared" si="103"/>
        <v>2.1149900408273159</v>
      </c>
      <c r="JN15" s="38">
        <f t="shared" si="104"/>
        <v>0.23754704672796223</v>
      </c>
      <c r="JO15" s="41">
        <f>$Q$58</f>
        <v>0</v>
      </c>
      <c r="JP15" s="43">
        <f t="shared" si="155"/>
        <v>0.11950643687413505</v>
      </c>
      <c r="JQ15" s="38">
        <f t="shared" si="105"/>
        <v>1.3422475092756372E-2</v>
      </c>
      <c r="JR15" s="49"/>
      <c r="JS15" s="47" t="s">
        <v>195</v>
      </c>
      <c r="JT15" s="41">
        <f>$Q$59</f>
        <v>0</v>
      </c>
      <c r="JU15" s="43">
        <f t="shared" si="106"/>
        <v>3.6542510708618732</v>
      </c>
      <c r="JV15" s="38" t="e">
        <f t="shared" si="107"/>
        <v>#N/A</v>
      </c>
      <c r="JW15" s="41">
        <f>$Q$60</f>
        <v>0</v>
      </c>
      <c r="JX15" s="43">
        <f t="shared" si="108"/>
        <v>2.6346657322662517</v>
      </c>
      <c r="JY15" s="38" t="e">
        <f t="shared" si="109"/>
        <v>#N/A</v>
      </c>
      <c r="JZ15" s="41">
        <f>$Q$61</f>
        <v>0</v>
      </c>
      <c r="KA15" s="43">
        <f t="shared" si="156"/>
        <v>9.9182989581379041E-2</v>
      </c>
      <c r="KB15" s="38" t="e">
        <f t="shared" si="110"/>
        <v>#N/A</v>
      </c>
      <c r="KC15" s="49"/>
      <c r="KD15" s="47" t="s">
        <v>195</v>
      </c>
      <c r="KE15" s="41">
        <f>$Q$62</f>
        <v>0</v>
      </c>
      <c r="KF15" s="43">
        <f t="shared" si="111"/>
        <v>1.8304419497114603</v>
      </c>
      <c r="KG15" s="38" t="e">
        <f t="shared" si="112"/>
        <v>#N/A</v>
      </c>
      <c r="KH15" s="41">
        <f>$Q$63</f>
        <v>0</v>
      </c>
      <c r="KI15" s="43">
        <f t="shared" si="113"/>
        <v>3.868552848342202</v>
      </c>
      <c r="KJ15" s="38" t="e">
        <f t="shared" si="114"/>
        <v>#N/A</v>
      </c>
      <c r="KK15" s="41">
        <f>$Q$64</f>
        <v>0</v>
      </c>
      <c r="KL15" s="43">
        <f t="shared" si="157"/>
        <v>0.13647245697511248</v>
      </c>
      <c r="KM15" s="38" t="e">
        <f t="shared" si="115"/>
        <v>#N/A</v>
      </c>
      <c r="KN15" s="49"/>
      <c r="KO15" s="47" t="s">
        <v>195</v>
      </c>
      <c r="KP15" s="41">
        <f>$Q$65</f>
        <v>0</v>
      </c>
      <c r="KQ15" s="43">
        <f t="shared" si="116"/>
        <v>3.5258254515182217</v>
      </c>
      <c r="KR15" s="38" t="e">
        <f t="shared" si="117"/>
        <v>#N/A</v>
      </c>
      <c r="KS15" s="41">
        <f>$Q$66</f>
        <v>0</v>
      </c>
      <c r="KT15" s="43">
        <f t="shared" si="118"/>
        <v>1.5710035120633761</v>
      </c>
      <c r="KU15" s="38" t="e">
        <f t="shared" si="119"/>
        <v>#N/A</v>
      </c>
      <c r="KV15" s="41">
        <f>$Q$67</f>
        <v>0</v>
      </c>
      <c r="KW15" s="43">
        <f t="shared" si="158"/>
        <v>5.3009676693788067E-2</v>
      </c>
      <c r="KX15" s="38" t="e">
        <f t="shared" si="120"/>
        <v>#N/A</v>
      </c>
      <c r="KY15" s="49"/>
      <c r="KZ15" s="47" t="s">
        <v>195</v>
      </c>
      <c r="LA15" s="41">
        <f>$Q$68</f>
        <v>0</v>
      </c>
      <c r="LB15" s="43">
        <f t="shared" si="121"/>
        <v>3.5023863953704675</v>
      </c>
      <c r="LC15" s="38" t="e">
        <f t="shared" si="122"/>
        <v>#N/A</v>
      </c>
      <c r="LD15" s="41">
        <f>$Q$69</f>
        <v>0</v>
      </c>
      <c r="LE15" s="43">
        <f t="shared" si="123"/>
        <v>2.2450052204262185</v>
      </c>
      <c r="LF15" s="38" t="e">
        <f t="shared" si="124"/>
        <v>#N/A</v>
      </c>
      <c r="LG15" s="41">
        <f>$Q$70</f>
        <v>0</v>
      </c>
      <c r="LH15" s="43">
        <f t="shared" si="159"/>
        <v>0</v>
      </c>
      <c r="LI15" s="38" t="e">
        <f t="shared" si="125"/>
        <v>#N/A</v>
      </c>
      <c r="LJ15" s="49"/>
      <c r="LK15" s="47" t="s">
        <v>195</v>
      </c>
      <c r="LL15" s="41">
        <f>$Q$71</f>
        <v>0.14771354150611879</v>
      </c>
      <c r="LM15" s="43">
        <f t="shared" si="126"/>
        <v>4.8300699339300781</v>
      </c>
      <c r="LN15" s="38">
        <f t="shared" si="127"/>
        <v>0.62187874049127922</v>
      </c>
      <c r="LO15" s="41">
        <f>$Q$72</f>
        <v>9.8475694337412531E-2</v>
      </c>
      <c r="LP15" s="43">
        <f t="shared" si="128"/>
        <v>2.8847298348467207</v>
      </c>
      <c r="LQ15" s="38">
        <f t="shared" si="129"/>
        <v>0.37141328819071806</v>
      </c>
      <c r="LR15" s="41">
        <f>$Q$73</f>
        <v>0</v>
      </c>
      <c r="LS15" s="43">
        <f t="shared" si="160"/>
        <v>5.2100141830148959E-2</v>
      </c>
      <c r="LT15" s="38">
        <f t="shared" si="130"/>
        <v>6.7079713180026772E-3</v>
      </c>
      <c r="LU15" s="49"/>
      <c r="LV15" s="47" t="s">
        <v>195</v>
      </c>
      <c r="LW15" s="41">
        <f>$Q$74</f>
        <v>5.6782675749404397E-2</v>
      </c>
      <c r="LX15" s="43">
        <f t="shared" si="131"/>
        <v>4.1982682278503578</v>
      </c>
      <c r="LY15" s="38">
        <f t="shared" si="132"/>
        <v>0.50673610444843165</v>
      </c>
      <c r="LZ15" s="41">
        <f>$Q$75</f>
        <v>1.8927558583134801E-2</v>
      </c>
      <c r="MA15" s="43">
        <f t="shared" si="133"/>
        <v>4.011339754780928</v>
      </c>
      <c r="MB15" s="38">
        <f t="shared" si="134"/>
        <v>0.48417360936407211</v>
      </c>
      <c r="MC15" s="41">
        <f>$Q$76</f>
        <v>4.7318896457837004E-3</v>
      </c>
      <c r="MD15" s="43">
        <f t="shared" si="161"/>
        <v>7.5312296376773502E-2</v>
      </c>
      <c r="ME15" s="38">
        <f t="shared" si="135"/>
        <v>9.090286187496124E-3</v>
      </c>
    </row>
    <row r="16" spans="2:343" ht="14.25" customHeight="1" thickBot="1" x14ac:dyDescent="0.25">
      <c r="B16" s="139">
        <f>E16/SUM($E$14:$E$16)</f>
        <v>1.9891056273557178E-2</v>
      </c>
      <c r="C16" s="140" t="s">
        <v>2</v>
      </c>
      <c r="D16" s="141"/>
      <c r="E16" s="170">
        <f>CORE!E107</f>
        <v>1.9891056273557174E-2</v>
      </c>
      <c r="F16" s="170">
        <f>CORE!F107</f>
        <v>4.9946656878558484E-3</v>
      </c>
      <c r="G16" s="170">
        <f>CORE!G107</f>
        <v>2.7895023271437908E-2</v>
      </c>
      <c r="H16" s="170">
        <f>CORE!H107</f>
        <v>3.6245947172428253E-2</v>
      </c>
      <c r="I16" s="170">
        <f>CORE!I107</f>
        <v>1.1019039839496907E-2</v>
      </c>
      <c r="J16" s="170">
        <f>CORE!J107</f>
        <v>6.8137205979612947E-3</v>
      </c>
      <c r="K16" s="170">
        <f>CORE!K107</f>
        <v>6.3852718838235973E-3</v>
      </c>
      <c r="L16" s="170">
        <f>CORE!L107</f>
        <v>1.3420076169228523E-2</v>
      </c>
      <c r="M16" s="170">
        <f>CORE!M107</f>
        <v>2.1541600099428557E-2</v>
      </c>
      <c r="N16" s="170">
        <f>CORE!N107</f>
        <v>7.277941430875666E-2</v>
      </c>
      <c r="O16" s="170">
        <f>CORE!O107</f>
        <v>0</v>
      </c>
      <c r="P16" s="170">
        <f>CORE!P107</f>
        <v>0</v>
      </c>
      <c r="Q16" s="170">
        <f>CORE!Q107</f>
        <v>0</v>
      </c>
      <c r="R16" s="170">
        <f>CORE!R107</f>
        <v>0</v>
      </c>
      <c r="S16" s="170">
        <f>CORE!S107</f>
        <v>0</v>
      </c>
      <c r="T16" s="170">
        <f>CORE!T107</f>
        <v>0</v>
      </c>
      <c r="U16" s="170">
        <f>CORE!U107</f>
        <v>0</v>
      </c>
      <c r="V16" s="170">
        <f>CORE!V107</f>
        <v>0</v>
      </c>
      <c r="W16" s="170">
        <f>CORE!W107</f>
        <v>0</v>
      </c>
      <c r="X16" s="170">
        <f>CORE!X107</f>
        <v>0</v>
      </c>
      <c r="Y16" s="171">
        <f>CORE!Y107</f>
        <v>0</v>
      </c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2"/>
      <c r="AQ16" s="33">
        <v>6.1944114970030331</v>
      </c>
      <c r="AR16" s="11">
        <f>AU16/SUM($AU14:$AU16)</f>
        <v>1.9891056273557174E-2</v>
      </c>
      <c r="AS16" s="120" t="s">
        <v>2</v>
      </c>
      <c r="AT16" s="31"/>
      <c r="AU16" s="125">
        <f>IF((E14+E15+E16)=0,1,E16/(E14+E15+E16)*$AQ16)</f>
        <v>0.12321338766845689</v>
      </c>
      <c r="AV16" s="125">
        <f t="shared" ref="AV16:BO16" si="170">IF((F14+F15+F16)=0,0,F16/(F14+F15+F16)*$AQ16)</f>
        <v>3.6067057567019396E-2</v>
      </c>
      <c r="AW16" s="125">
        <f t="shared" si="170"/>
        <v>0.17279325286176214</v>
      </c>
      <c r="AX16" s="125">
        <f t="shared" si="170"/>
        <v>0.24748491340153841</v>
      </c>
      <c r="AY16" s="125">
        <f t="shared" si="170"/>
        <v>6.8256467067714099E-2</v>
      </c>
      <c r="AZ16" s="125">
        <f t="shared" si="170"/>
        <v>4.5994040792977198E-2</v>
      </c>
      <c r="BA16" s="125">
        <f t="shared" si="170"/>
        <v>4.2070631079823603E-2</v>
      </c>
      <c r="BB16" s="125">
        <f t="shared" si="170"/>
        <v>9.9944182480582733E-2</v>
      </c>
      <c r="BC16" s="125">
        <f t="shared" si="170"/>
        <v>0.13343753531974195</v>
      </c>
      <c r="BD16" s="125">
        <f t="shared" si="170"/>
        <v>0.47952161557071232</v>
      </c>
      <c r="BE16" s="125">
        <f t="shared" si="170"/>
        <v>0</v>
      </c>
      <c r="BF16" s="125">
        <f t="shared" si="170"/>
        <v>0</v>
      </c>
      <c r="BG16" s="125">
        <f t="shared" si="170"/>
        <v>0</v>
      </c>
      <c r="BH16" s="125">
        <f t="shared" si="170"/>
        <v>0</v>
      </c>
      <c r="BI16" s="125">
        <f t="shared" si="170"/>
        <v>0</v>
      </c>
      <c r="BJ16" s="125">
        <f t="shared" si="170"/>
        <v>0</v>
      </c>
      <c r="BK16" s="125">
        <f t="shared" si="170"/>
        <v>0</v>
      </c>
      <c r="BL16" s="125">
        <f t="shared" si="170"/>
        <v>0</v>
      </c>
      <c r="BM16" s="125">
        <f t="shared" si="170"/>
        <v>0</v>
      </c>
      <c r="BN16" s="125">
        <f t="shared" si="170"/>
        <v>0</v>
      </c>
      <c r="BO16" s="126">
        <f t="shared" si="170"/>
        <v>0</v>
      </c>
      <c r="BP16" s="29">
        <v>13</v>
      </c>
      <c r="BQ16" s="47" t="s">
        <v>197</v>
      </c>
      <c r="BR16" s="47" t="s">
        <v>198</v>
      </c>
      <c r="BS16" s="41">
        <f>BH2</f>
        <v>11.891969350945601</v>
      </c>
      <c r="BT16" s="43">
        <f t="shared" si="10"/>
        <v>539.47992881945811</v>
      </c>
      <c r="BU16" s="38">
        <f t="shared" si="11"/>
        <v>0.51432023399865967</v>
      </c>
      <c r="BV16" s="41">
        <f>BH3</f>
        <v>11.998207545783929</v>
      </c>
      <c r="BW16" s="43">
        <f t="shared" si="12"/>
        <v>493.28617111859609</v>
      </c>
      <c r="BX16" s="38">
        <f t="shared" si="13"/>
        <v>0.47028081195384858</v>
      </c>
      <c r="BY16" s="41">
        <f>BH4</f>
        <v>6.8606837966929471E-2</v>
      </c>
      <c r="BZ16" s="43">
        <f t="shared" si="14"/>
        <v>16.152245399423034</v>
      </c>
      <c r="CA16" s="38">
        <f t="shared" si="15"/>
        <v>1.5398954047491885E-2</v>
      </c>
      <c r="CB16" s="49"/>
      <c r="CC16" s="47" t="s">
        <v>196</v>
      </c>
      <c r="CD16" s="41">
        <f>$R$5</f>
        <v>0.83333333333333337</v>
      </c>
      <c r="CE16" s="43">
        <f t="shared" si="16"/>
        <v>6.7023617306159995</v>
      </c>
      <c r="CF16" s="38">
        <f t="shared" si="17"/>
        <v>0.60930561187418175</v>
      </c>
      <c r="CG16" s="41">
        <f>$R$6</f>
        <v>0.16666666666666666</v>
      </c>
      <c r="CH16" s="43">
        <f t="shared" si="18"/>
        <v>4.2387638105095418</v>
      </c>
      <c r="CI16" s="38">
        <f t="shared" si="19"/>
        <v>0.3853421645917765</v>
      </c>
      <c r="CJ16" s="41">
        <f>$R$7</f>
        <v>0</v>
      </c>
      <c r="CK16" s="43">
        <f t="shared" si="138"/>
        <v>5.8874458874458871E-2</v>
      </c>
      <c r="CL16" s="38">
        <f t="shared" si="20"/>
        <v>5.3522235340417159E-3</v>
      </c>
      <c r="CM16" s="49"/>
      <c r="CN16" s="47" t="s">
        <v>196</v>
      </c>
      <c r="CO16" s="41">
        <f>$R$8</f>
        <v>0</v>
      </c>
      <c r="CP16" s="43">
        <f t="shared" si="21"/>
        <v>5.4642316405504285</v>
      </c>
      <c r="CQ16" s="38" t="e">
        <f t="shared" si="22"/>
        <v>#N/A</v>
      </c>
      <c r="CR16" s="41">
        <f>$R$9</f>
        <v>0</v>
      </c>
      <c r="CS16" s="43">
        <f t="shared" si="23"/>
        <v>2.7563624054549232</v>
      </c>
      <c r="CT16" s="38" t="e">
        <f t="shared" si="24"/>
        <v>#N/A</v>
      </c>
      <c r="CU16" s="41">
        <f>$R$10</f>
        <v>0</v>
      </c>
      <c r="CV16" s="43">
        <f t="shared" si="139"/>
        <v>7.1847052454791255E-2</v>
      </c>
      <c r="CW16" s="38" t="e">
        <f t="shared" si="25"/>
        <v>#N/A</v>
      </c>
      <c r="CX16" s="49"/>
      <c r="CY16" s="47" t="s">
        <v>196</v>
      </c>
      <c r="CZ16" s="41">
        <f>$R$11</f>
        <v>0</v>
      </c>
      <c r="DA16" s="43">
        <f t="shared" si="26"/>
        <v>4.953802431779418</v>
      </c>
      <c r="DB16" s="38" t="e">
        <f t="shared" si="27"/>
        <v>#N/A</v>
      </c>
      <c r="DC16" s="41">
        <f>$R$12</f>
        <v>0</v>
      </c>
      <c r="DD16" s="43">
        <f t="shared" si="28"/>
        <v>3.0743767793404873</v>
      </c>
      <c r="DE16" s="38" t="e">
        <f t="shared" si="29"/>
        <v>#N/A</v>
      </c>
      <c r="DF16" s="41">
        <f>$R$13</f>
        <v>0</v>
      </c>
      <c r="DG16" s="43">
        <f t="shared" si="140"/>
        <v>0.10428877821453758</v>
      </c>
      <c r="DH16" s="38" t="e">
        <f t="shared" si="30"/>
        <v>#N/A</v>
      </c>
      <c r="DI16" s="49"/>
      <c r="DJ16" s="47" t="s">
        <v>196</v>
      </c>
      <c r="DK16" s="41">
        <f>$R$14</f>
        <v>0</v>
      </c>
      <c r="DL16" s="43">
        <f t="shared" si="31"/>
        <v>4.3316881585615796</v>
      </c>
      <c r="DM16" s="38" t="e">
        <f t="shared" si="32"/>
        <v>#N/A</v>
      </c>
      <c r="DN16" s="41">
        <f>$R$15</f>
        <v>0</v>
      </c>
      <c r="DO16" s="43">
        <f t="shared" si="33"/>
        <v>4.2776562847411803</v>
      </c>
      <c r="DP16" s="38" t="e">
        <f t="shared" si="34"/>
        <v>#N/A</v>
      </c>
      <c r="DQ16" s="41">
        <f>$R$16</f>
        <v>0</v>
      </c>
      <c r="DR16" s="43">
        <f t="shared" si="141"/>
        <v>0.20109475903041757</v>
      </c>
      <c r="DS16" s="38" t="e">
        <f t="shared" si="35"/>
        <v>#N/A</v>
      </c>
      <c r="DT16" s="49"/>
      <c r="DU16" s="47" t="s">
        <v>196</v>
      </c>
      <c r="DV16" s="41">
        <f>$R$17</f>
        <v>0</v>
      </c>
      <c r="DW16" s="43">
        <f t="shared" si="36"/>
        <v>2.7253552615270826</v>
      </c>
      <c r="DX16" s="38" t="e">
        <f t="shared" si="37"/>
        <v>#N/A</v>
      </c>
      <c r="DY16" s="41">
        <f>$R$18</f>
        <v>0</v>
      </c>
      <c r="DZ16" s="43">
        <f t="shared" si="38"/>
        <v>4.3566623429731317</v>
      </c>
      <c r="EA16" s="38" t="e">
        <f t="shared" si="39"/>
        <v>#N/A</v>
      </c>
      <c r="EB16" s="41">
        <f>$R$19</f>
        <v>0</v>
      </c>
      <c r="EC16" s="43">
        <f t="shared" si="142"/>
        <v>0.16986688166192201</v>
      </c>
      <c r="ED16" s="38" t="e">
        <f t="shared" si="40"/>
        <v>#N/A</v>
      </c>
      <c r="EE16" s="49"/>
      <c r="EF16" s="47" t="s">
        <v>196</v>
      </c>
      <c r="EG16" s="41">
        <f>$R$20</f>
        <v>0.23363399089876033</v>
      </c>
      <c r="EH16" s="43">
        <f t="shared" si="41"/>
        <v>5.2167381117520613</v>
      </c>
      <c r="EI16" s="38">
        <f t="shared" si="42"/>
        <v>0.58079087610450875</v>
      </c>
      <c r="EJ16" s="41">
        <f>$R$21</f>
        <v>0.13483779242231633</v>
      </c>
      <c r="EK16" s="43">
        <f t="shared" si="43"/>
        <v>3.7012762859146568</v>
      </c>
      <c r="EL16" s="38">
        <f t="shared" si="44"/>
        <v>0.41207119290855904</v>
      </c>
      <c r="EM16" s="41">
        <f>$R$22</f>
        <v>0</v>
      </c>
      <c r="EN16" s="43">
        <f t="shared" si="143"/>
        <v>6.4113811271175311E-2</v>
      </c>
      <c r="EO16" s="38">
        <f t="shared" si="45"/>
        <v>7.137930986932166E-3</v>
      </c>
      <c r="EP16" s="49"/>
      <c r="EQ16" s="47" t="s">
        <v>196</v>
      </c>
      <c r="ER16" s="41">
        <f>$R$23</f>
        <v>0.19398235940015807</v>
      </c>
      <c r="ES16" s="43">
        <f t="shared" si="46"/>
        <v>5.1327622151523205</v>
      </c>
      <c r="ET16" s="38">
        <f t="shared" si="47"/>
        <v>0.56014856108132927</v>
      </c>
      <c r="EU16" s="41">
        <f>$R$24</f>
        <v>0.10227773444200712</v>
      </c>
      <c r="EV16" s="43">
        <f t="shared" si="48"/>
        <v>3.8549766297510812</v>
      </c>
      <c r="EW16" s="38">
        <f t="shared" si="49"/>
        <v>0.42070127577362143</v>
      </c>
      <c r="EX16" s="41">
        <f>$R$25</f>
        <v>0</v>
      </c>
      <c r="EY16" s="43">
        <f t="shared" si="144"/>
        <v>0.17547707989316763</v>
      </c>
      <c r="EZ16" s="38">
        <f t="shared" si="50"/>
        <v>1.9150163145049248E-2</v>
      </c>
      <c r="FA16" s="49"/>
      <c r="FB16" s="47" t="s">
        <v>196</v>
      </c>
      <c r="FC16" s="41">
        <f>$R$26</f>
        <v>0</v>
      </c>
      <c r="FD16" s="43">
        <f t="shared" si="51"/>
        <v>3.800872265412135</v>
      </c>
      <c r="FE16" s="38" t="e">
        <f t="shared" si="52"/>
        <v>#N/A</v>
      </c>
      <c r="FF16" s="41">
        <f>$R$27</f>
        <v>0</v>
      </c>
      <c r="FG16" s="43">
        <f t="shared" si="53"/>
        <v>4.20210081283623</v>
      </c>
      <c r="FH16" s="38" t="e">
        <f t="shared" si="54"/>
        <v>#N/A</v>
      </c>
      <c r="FI16" s="41">
        <f>$R$28</f>
        <v>0</v>
      </c>
      <c r="FJ16" s="43">
        <f t="shared" si="145"/>
        <v>5.2788056749913902E-2</v>
      </c>
      <c r="FK16" s="38" t="e">
        <f t="shared" si="55"/>
        <v>#N/A</v>
      </c>
      <c r="FL16" s="49"/>
      <c r="FM16" s="47" t="s">
        <v>196</v>
      </c>
      <c r="FN16" s="41">
        <f>$R$29</f>
        <v>0</v>
      </c>
      <c r="FO16" s="43">
        <f t="shared" si="56"/>
        <v>2.9249999999999998</v>
      </c>
      <c r="FP16" s="38" t="e">
        <f t="shared" si="57"/>
        <v>#N/A</v>
      </c>
      <c r="FQ16" s="41">
        <f>$R$30</f>
        <v>0</v>
      </c>
      <c r="FR16" s="43">
        <f t="shared" si="58"/>
        <v>2.95</v>
      </c>
      <c r="FS16" s="38" t="e">
        <f t="shared" si="59"/>
        <v>#N/A</v>
      </c>
      <c r="FT16" s="41">
        <f>$R$31</f>
        <v>0</v>
      </c>
      <c r="FU16" s="43">
        <f t="shared" si="146"/>
        <v>0.125</v>
      </c>
      <c r="FV16" s="38" t="e">
        <f t="shared" si="60"/>
        <v>#N/A</v>
      </c>
      <c r="FW16" s="49"/>
      <c r="FX16" s="47" t="s">
        <v>196</v>
      </c>
      <c r="FY16" s="41">
        <f>$R$32</f>
        <v>0</v>
      </c>
      <c r="FZ16" s="43">
        <f t="shared" si="61"/>
        <v>2.7834023424848038</v>
      </c>
      <c r="GA16" s="38" t="e">
        <f t="shared" si="62"/>
        <v>#N/A</v>
      </c>
      <c r="GB16" s="41">
        <f>$R$33</f>
        <v>0</v>
      </c>
      <c r="GC16" s="43">
        <f t="shared" si="63"/>
        <v>4.200595681544038</v>
      </c>
      <c r="GD16" s="38" t="e">
        <f t="shared" si="64"/>
        <v>#N/A</v>
      </c>
      <c r="GE16" s="41">
        <f>$R$34</f>
        <v>0</v>
      </c>
      <c r="GF16" s="43">
        <f t="shared" si="147"/>
        <v>0.26395674063478058</v>
      </c>
      <c r="GG16" s="38" t="e">
        <f t="shared" si="65"/>
        <v>#N/A</v>
      </c>
      <c r="GH16" s="49"/>
      <c r="GI16" s="47" t="s">
        <v>196</v>
      </c>
      <c r="GJ16" s="41">
        <f>$R$35</f>
        <v>0</v>
      </c>
      <c r="GK16" s="43">
        <f t="shared" si="66"/>
        <v>6.213372016921979</v>
      </c>
      <c r="GL16" s="38" t="e">
        <f t="shared" si="67"/>
        <v>#N/A</v>
      </c>
      <c r="GM16" s="41">
        <f>$R$36</f>
        <v>0</v>
      </c>
      <c r="GN16" s="43">
        <f t="shared" si="68"/>
        <v>3.0230596595535495</v>
      </c>
      <c r="GO16" s="38" t="e">
        <f t="shared" si="69"/>
        <v>#N/A</v>
      </c>
      <c r="GP16" s="41">
        <f>$R$37</f>
        <v>0</v>
      </c>
      <c r="GQ16" s="43">
        <f t="shared" si="148"/>
        <v>4.968696543043527E-2</v>
      </c>
      <c r="GR16" s="38" t="e">
        <f t="shared" si="70"/>
        <v>#N/A</v>
      </c>
      <c r="GS16" s="49"/>
      <c r="GT16" s="47" t="s">
        <v>196</v>
      </c>
      <c r="GU16" s="41">
        <f>$R$38</f>
        <v>0</v>
      </c>
      <c r="GV16" s="43">
        <f t="shared" si="71"/>
        <v>4.1824765482792525</v>
      </c>
      <c r="GW16" s="38" t="e">
        <f t="shared" si="72"/>
        <v>#N/A</v>
      </c>
      <c r="GX16" s="41">
        <f>$R$39</f>
        <v>0</v>
      </c>
      <c r="GY16" s="43">
        <f t="shared" si="73"/>
        <v>2.6920064898727674</v>
      </c>
      <c r="GZ16" s="38" t="e">
        <f t="shared" si="74"/>
        <v>#N/A</v>
      </c>
      <c r="HA16" s="41">
        <f>$R$40</f>
        <v>0</v>
      </c>
      <c r="HB16" s="43">
        <f t="shared" si="149"/>
        <v>4.296145506701958E-2</v>
      </c>
      <c r="HC16" s="38" t="e">
        <f t="shared" si="75"/>
        <v>#N/A</v>
      </c>
      <c r="HD16" s="49"/>
      <c r="HE16" s="47" t="s">
        <v>196</v>
      </c>
      <c r="HF16" s="41">
        <f>$R$41</f>
        <v>0</v>
      </c>
      <c r="HG16" s="43">
        <f t="shared" si="76"/>
        <v>4.5133050130834889</v>
      </c>
      <c r="HH16" s="38" t="e">
        <f t="shared" si="77"/>
        <v>#N/A</v>
      </c>
      <c r="HI16" s="41">
        <f>$R$42</f>
        <v>0</v>
      </c>
      <c r="HJ16" s="43">
        <f t="shared" si="78"/>
        <v>4.2909325210683598</v>
      </c>
      <c r="HK16" s="38" t="e">
        <f t="shared" si="79"/>
        <v>#N/A</v>
      </c>
      <c r="HL16" s="41">
        <f>$R$43</f>
        <v>0</v>
      </c>
      <c r="HM16" s="43">
        <f t="shared" si="150"/>
        <v>6.6114804770160684E-2</v>
      </c>
      <c r="HN16" s="38" t="e">
        <f t="shared" si="80"/>
        <v>#N/A</v>
      </c>
      <c r="HO16" s="49"/>
      <c r="HP16" s="47" t="s">
        <v>196</v>
      </c>
      <c r="HQ16" s="41">
        <f>$R$44</f>
        <v>0</v>
      </c>
      <c r="HR16" s="43">
        <f t="shared" si="81"/>
        <v>4.5078662583428111</v>
      </c>
      <c r="HS16" s="38" t="e">
        <f t="shared" si="82"/>
        <v>#N/A</v>
      </c>
      <c r="HT16" s="41">
        <f>$R$45</f>
        <v>0</v>
      </c>
      <c r="HU16" s="43">
        <f t="shared" si="83"/>
        <v>3.8847364181475479</v>
      </c>
      <c r="HV16" s="38" t="e">
        <f t="shared" si="84"/>
        <v>#N/A</v>
      </c>
      <c r="HW16" s="41">
        <f>$R$46</f>
        <v>0</v>
      </c>
      <c r="HX16" s="43">
        <f t="shared" si="151"/>
        <v>8.1980304402385351E-2</v>
      </c>
      <c r="HY16" s="38" t="e">
        <f t="shared" si="85"/>
        <v>#N/A</v>
      </c>
      <c r="HZ16" s="49"/>
      <c r="IA16" s="47" t="s">
        <v>196</v>
      </c>
      <c r="IB16" s="41">
        <f>$R$47</f>
        <v>0.11388628099158871</v>
      </c>
      <c r="IC16" s="43">
        <f t="shared" si="86"/>
        <v>3.2793557911556031</v>
      </c>
      <c r="ID16" s="38">
        <f t="shared" si="87"/>
        <v>0.38388442838588321</v>
      </c>
      <c r="IE16" s="41">
        <f>$R$48</f>
        <v>0.27609788244029643</v>
      </c>
      <c r="IF16" s="43">
        <f t="shared" si="88"/>
        <v>5.1085334391796824</v>
      </c>
      <c r="IG16" s="38">
        <f t="shared" si="89"/>
        <v>0.59800965923816418</v>
      </c>
      <c r="IH16" s="41">
        <f>$R$49</f>
        <v>2.5961737980423824E-3</v>
      </c>
      <c r="II16" s="43">
        <f t="shared" si="152"/>
        <v>0.15467084417540078</v>
      </c>
      <c r="IJ16" s="38">
        <f t="shared" si="90"/>
        <v>1.81059123759525E-2</v>
      </c>
      <c r="IK16" s="49"/>
      <c r="IL16" s="47" t="s">
        <v>196</v>
      </c>
      <c r="IM16" s="41">
        <f>$R$50</f>
        <v>0</v>
      </c>
      <c r="IN16" s="43">
        <f t="shared" si="91"/>
        <v>3.9262013198965633</v>
      </c>
      <c r="IO16" s="38" t="e">
        <f t="shared" si="92"/>
        <v>#N/A</v>
      </c>
      <c r="IP16" s="41">
        <f>$R$51</f>
        <v>0</v>
      </c>
      <c r="IQ16" s="43">
        <f t="shared" si="93"/>
        <v>5.9153409841907063</v>
      </c>
      <c r="IR16" s="38" t="e">
        <f t="shared" si="94"/>
        <v>#N/A</v>
      </c>
      <c r="IS16" s="41">
        <f>$R$52</f>
        <v>0</v>
      </c>
      <c r="IT16" s="43">
        <f t="shared" si="153"/>
        <v>5.6197847379977822E-2</v>
      </c>
      <c r="IU16" s="38" t="e">
        <f t="shared" si="95"/>
        <v>#N/A</v>
      </c>
      <c r="IV16" s="49"/>
      <c r="IW16" s="47" t="s">
        <v>196</v>
      </c>
      <c r="IX16" s="41">
        <f>$R$53</f>
        <v>0</v>
      </c>
      <c r="IY16" s="43">
        <f t="shared" si="96"/>
        <v>3.3457511955054295</v>
      </c>
      <c r="IZ16" s="38" t="e">
        <f t="shared" si="97"/>
        <v>#N/A</v>
      </c>
      <c r="JA16" s="41">
        <f>$R$54</f>
        <v>0</v>
      </c>
      <c r="JB16" s="43">
        <f t="shared" si="98"/>
        <v>2.6220045653360193</v>
      </c>
      <c r="JC16" s="38" t="e">
        <f t="shared" si="99"/>
        <v>#N/A</v>
      </c>
      <c r="JD16" s="41">
        <f>$R$55</f>
        <v>0</v>
      </c>
      <c r="JE16" s="43">
        <f t="shared" si="154"/>
        <v>0.16635006784260528</v>
      </c>
      <c r="JF16" s="38" t="e">
        <f t="shared" si="100"/>
        <v>#N/A</v>
      </c>
      <c r="JG16" s="49"/>
      <c r="JH16" s="47" t="s">
        <v>196</v>
      </c>
      <c r="JI16" s="41">
        <f>$R$56</f>
        <v>0</v>
      </c>
      <c r="JJ16" s="43">
        <f t="shared" si="101"/>
        <v>6.668961047701476</v>
      </c>
      <c r="JK16" s="38" t="e">
        <f t="shared" si="102"/>
        <v>#N/A</v>
      </c>
      <c r="JL16" s="41">
        <f>$R$57</f>
        <v>0</v>
      </c>
      <c r="JM16" s="43">
        <f t="shared" si="103"/>
        <v>2.1149900408273159</v>
      </c>
      <c r="JN16" s="38" t="e">
        <f t="shared" si="104"/>
        <v>#N/A</v>
      </c>
      <c r="JO16" s="41">
        <f>$R$58</f>
        <v>0</v>
      </c>
      <c r="JP16" s="43">
        <f t="shared" si="155"/>
        <v>0.11950643687413505</v>
      </c>
      <c r="JQ16" s="38" t="e">
        <f t="shared" si="105"/>
        <v>#N/A</v>
      </c>
      <c r="JR16" s="49"/>
      <c r="JS16" s="47" t="s">
        <v>196</v>
      </c>
      <c r="JT16" s="41">
        <f>$R$59</f>
        <v>0</v>
      </c>
      <c r="JU16" s="43">
        <f t="shared" si="106"/>
        <v>3.6542510708618732</v>
      </c>
      <c r="JV16" s="38" t="e">
        <f t="shared" si="107"/>
        <v>#N/A</v>
      </c>
      <c r="JW16" s="41">
        <f>$R$60</f>
        <v>0</v>
      </c>
      <c r="JX16" s="43">
        <f t="shared" si="108"/>
        <v>2.6346657322662517</v>
      </c>
      <c r="JY16" s="38" t="e">
        <f t="shared" si="109"/>
        <v>#N/A</v>
      </c>
      <c r="JZ16" s="41">
        <f>$R$61</f>
        <v>0</v>
      </c>
      <c r="KA16" s="43">
        <f t="shared" si="156"/>
        <v>9.9182989581379041E-2</v>
      </c>
      <c r="KB16" s="38" t="e">
        <f t="shared" si="110"/>
        <v>#N/A</v>
      </c>
      <c r="KC16" s="49"/>
      <c r="KD16" s="47" t="s">
        <v>196</v>
      </c>
      <c r="KE16" s="41">
        <f>$R$62</f>
        <v>0</v>
      </c>
      <c r="KF16" s="43">
        <f t="shared" si="111"/>
        <v>1.8304419497114603</v>
      </c>
      <c r="KG16" s="38" t="e">
        <f t="shared" si="112"/>
        <v>#N/A</v>
      </c>
      <c r="KH16" s="41">
        <f>$R$63</f>
        <v>0</v>
      </c>
      <c r="KI16" s="43">
        <f t="shared" si="113"/>
        <v>3.868552848342202</v>
      </c>
      <c r="KJ16" s="38" t="e">
        <f t="shared" si="114"/>
        <v>#N/A</v>
      </c>
      <c r="KK16" s="41">
        <f>$R$64</f>
        <v>0</v>
      </c>
      <c r="KL16" s="43">
        <f t="shared" si="157"/>
        <v>0.13647245697511248</v>
      </c>
      <c r="KM16" s="38" t="e">
        <f t="shared" si="115"/>
        <v>#N/A</v>
      </c>
      <c r="KN16" s="49"/>
      <c r="KO16" s="47" t="s">
        <v>196</v>
      </c>
      <c r="KP16" s="41">
        <f>$R$65</f>
        <v>0</v>
      </c>
      <c r="KQ16" s="43">
        <f t="shared" si="116"/>
        <v>3.5258254515182217</v>
      </c>
      <c r="KR16" s="38" t="e">
        <f t="shared" si="117"/>
        <v>#N/A</v>
      </c>
      <c r="KS16" s="41">
        <f>$R$66</f>
        <v>0</v>
      </c>
      <c r="KT16" s="43">
        <f t="shared" si="118"/>
        <v>1.5710035120633761</v>
      </c>
      <c r="KU16" s="38" t="e">
        <f t="shared" si="119"/>
        <v>#N/A</v>
      </c>
      <c r="KV16" s="41">
        <f>$R$67</f>
        <v>0</v>
      </c>
      <c r="KW16" s="43">
        <f t="shared" si="158"/>
        <v>5.3009676693788067E-2</v>
      </c>
      <c r="KX16" s="38" t="e">
        <f t="shared" si="120"/>
        <v>#N/A</v>
      </c>
      <c r="KY16" s="49"/>
      <c r="KZ16" s="47" t="s">
        <v>196</v>
      </c>
      <c r="LA16" s="41">
        <f>$R$68</f>
        <v>0</v>
      </c>
      <c r="LB16" s="43">
        <f t="shared" si="121"/>
        <v>3.5023863953704675</v>
      </c>
      <c r="LC16" s="38" t="e">
        <f t="shared" si="122"/>
        <v>#N/A</v>
      </c>
      <c r="LD16" s="41">
        <f>$R$69</f>
        <v>0</v>
      </c>
      <c r="LE16" s="43">
        <f t="shared" si="123"/>
        <v>2.2450052204262185</v>
      </c>
      <c r="LF16" s="38" t="e">
        <f t="shared" si="124"/>
        <v>#N/A</v>
      </c>
      <c r="LG16" s="41">
        <f>$R$70</f>
        <v>0</v>
      </c>
      <c r="LH16" s="43">
        <f t="shared" si="159"/>
        <v>0</v>
      </c>
      <c r="LI16" s="38" t="e">
        <f t="shared" si="125"/>
        <v>#N/A</v>
      </c>
      <c r="LJ16" s="49"/>
      <c r="LK16" s="47" t="s">
        <v>196</v>
      </c>
      <c r="LL16" s="41">
        <f>$R$71</f>
        <v>0</v>
      </c>
      <c r="LM16" s="43">
        <f t="shared" si="126"/>
        <v>4.8300699339300781</v>
      </c>
      <c r="LN16" s="38" t="e">
        <f t="shared" si="127"/>
        <v>#N/A</v>
      </c>
      <c r="LO16" s="41">
        <f>$R$72</f>
        <v>0</v>
      </c>
      <c r="LP16" s="43">
        <f t="shared" si="128"/>
        <v>2.8847298348467207</v>
      </c>
      <c r="LQ16" s="38" t="e">
        <f t="shared" si="129"/>
        <v>#N/A</v>
      </c>
      <c r="LR16" s="41">
        <f>$R$73</f>
        <v>0</v>
      </c>
      <c r="LS16" s="43">
        <f t="shared" si="160"/>
        <v>5.2100141830148959E-2</v>
      </c>
      <c r="LT16" s="38" t="e">
        <f t="shared" si="130"/>
        <v>#N/A</v>
      </c>
      <c r="LU16" s="49"/>
      <c r="LV16" s="47" t="s">
        <v>196</v>
      </c>
      <c r="LW16" s="41">
        <f>$R$74</f>
        <v>0</v>
      </c>
      <c r="LX16" s="43">
        <f t="shared" si="131"/>
        <v>4.1982682278503578</v>
      </c>
      <c r="LY16" s="38" t="e">
        <f t="shared" si="132"/>
        <v>#N/A</v>
      </c>
      <c r="LZ16" s="41">
        <f>$R$75</f>
        <v>0</v>
      </c>
      <c r="MA16" s="43">
        <f t="shared" si="133"/>
        <v>4.011339754780928</v>
      </c>
      <c r="MB16" s="38" t="e">
        <f t="shared" si="134"/>
        <v>#N/A</v>
      </c>
      <c r="MC16" s="41">
        <f>$R$76</f>
        <v>0</v>
      </c>
      <c r="MD16" s="43">
        <f t="shared" si="161"/>
        <v>7.5312296376773502E-2</v>
      </c>
      <c r="ME16" s="38" t="e">
        <f t="shared" si="135"/>
        <v>#N/A</v>
      </c>
    </row>
    <row r="17" spans="2:343" ht="14.25" customHeight="1" x14ac:dyDescent="0.2">
      <c r="B17" s="133">
        <f>E17/SUM($E$17:$E$19)</f>
        <v>0.40729112588551908</v>
      </c>
      <c r="C17" s="134" t="s">
        <v>0</v>
      </c>
      <c r="D17" s="135"/>
      <c r="E17" s="166">
        <f>CORE!E166</f>
        <v>0.36913217561855161</v>
      </c>
      <c r="F17" s="166">
        <f>CORE!F166</f>
        <v>0.379878413388201</v>
      </c>
      <c r="G17" s="166">
        <f>CORE!G166</f>
        <v>0.34406487515109885</v>
      </c>
      <c r="H17" s="166">
        <f>CORE!H166</f>
        <v>0.32060384722322022</v>
      </c>
      <c r="I17" s="166">
        <f>CORE!I166</f>
        <v>0.39577461549983711</v>
      </c>
      <c r="J17" s="166">
        <f>CORE!J166</f>
        <v>0.35839494427744023</v>
      </c>
      <c r="K17" s="166">
        <f>CORE!K166</f>
        <v>0.21530484270891914</v>
      </c>
      <c r="L17" s="166">
        <f>CORE!L166</f>
        <v>0.20529442485819577</v>
      </c>
      <c r="M17" s="166">
        <f>CORE!M166</f>
        <v>0.14007503954610229</v>
      </c>
      <c r="N17" s="166">
        <f>CORE!N166</f>
        <v>0.36596425887406797</v>
      </c>
      <c r="O17" s="166">
        <f>CORE!O166</f>
        <v>0</v>
      </c>
      <c r="P17" s="166">
        <f>CORE!P166</f>
        <v>0</v>
      </c>
      <c r="Q17" s="166">
        <f>CORE!Q166</f>
        <v>0</v>
      </c>
      <c r="R17" s="166">
        <f>CORE!R166</f>
        <v>0</v>
      </c>
      <c r="S17" s="166">
        <f>CORE!S166</f>
        <v>0</v>
      </c>
      <c r="T17" s="166">
        <f>CORE!T166</f>
        <v>0</v>
      </c>
      <c r="U17" s="166">
        <f>CORE!U166</f>
        <v>0</v>
      </c>
      <c r="V17" s="166">
        <f>CORE!V166</f>
        <v>0</v>
      </c>
      <c r="W17" s="166">
        <f>CORE!W166</f>
        <v>0</v>
      </c>
      <c r="X17" s="166">
        <f>CORE!X166</f>
        <v>0</v>
      </c>
      <c r="Y17" s="167">
        <f>CORE!Y166</f>
        <v>0</v>
      </c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2"/>
      <c r="AQ17" s="33">
        <v>2.7929644475035835</v>
      </c>
      <c r="AR17" s="9">
        <f>AU17/SUM($AU17:$AU19)</f>
        <v>0.40729112588551908</v>
      </c>
      <c r="AS17" s="121" t="s">
        <v>0</v>
      </c>
      <c r="AT17" s="30"/>
      <c r="AU17" s="105">
        <f>IF((E17+E18+E19)=0,1,E17/(E17+E18+E19)*$AQ17)</f>
        <v>1.1375496343819613</v>
      </c>
      <c r="AV17" s="105">
        <f t="shared" ref="AV17:BO17" si="171">IF((F17+F18+F19)=0,0,F17/(F17+F18+F19)*$AQ17)</f>
        <v>1.1706661700114063</v>
      </c>
      <c r="AW17" s="105">
        <f t="shared" si="171"/>
        <v>1.0603000734789845</v>
      </c>
      <c r="AX17" s="105">
        <f t="shared" si="171"/>
        <v>0.98800054094199463</v>
      </c>
      <c r="AY17" s="105">
        <f t="shared" si="171"/>
        <v>1.2196532811182947</v>
      </c>
      <c r="AZ17" s="105">
        <f t="shared" si="171"/>
        <v>1.1044608537415614</v>
      </c>
      <c r="BA17" s="105">
        <f t="shared" si="171"/>
        <v>0.76761420566849714</v>
      </c>
      <c r="BB17" s="105">
        <f t="shared" si="171"/>
        <v>0.99410598978941123</v>
      </c>
      <c r="BC17" s="105">
        <f t="shared" si="171"/>
        <v>0.67829136582229888</v>
      </c>
      <c r="BD17" s="105">
        <f t="shared" si="171"/>
        <v>1.304751720138809</v>
      </c>
      <c r="BE17" s="105">
        <f t="shared" si="171"/>
        <v>0</v>
      </c>
      <c r="BF17" s="105">
        <f t="shared" si="171"/>
        <v>0</v>
      </c>
      <c r="BG17" s="105">
        <f t="shared" si="171"/>
        <v>0</v>
      </c>
      <c r="BH17" s="105">
        <f t="shared" si="171"/>
        <v>0</v>
      </c>
      <c r="BI17" s="105">
        <f t="shared" si="171"/>
        <v>0</v>
      </c>
      <c r="BJ17" s="105">
        <f t="shared" si="171"/>
        <v>0</v>
      </c>
      <c r="BK17" s="105">
        <f t="shared" si="171"/>
        <v>0</v>
      </c>
      <c r="BL17" s="105">
        <f t="shared" si="171"/>
        <v>0</v>
      </c>
      <c r="BM17" s="105">
        <f t="shared" si="171"/>
        <v>0</v>
      </c>
      <c r="BN17" s="105">
        <f t="shared" si="171"/>
        <v>0</v>
      </c>
      <c r="BO17" s="127">
        <f t="shared" si="171"/>
        <v>0</v>
      </c>
      <c r="BP17" s="29">
        <v>14</v>
      </c>
      <c r="BQ17" s="47" t="s">
        <v>198</v>
      </c>
      <c r="BR17" s="47" t="s">
        <v>199</v>
      </c>
      <c r="BS17" s="41">
        <f>BI2</f>
        <v>0</v>
      </c>
      <c r="BT17" s="43">
        <f t="shared" si="10"/>
        <v>539.47992881945811</v>
      </c>
      <c r="BU17" s="38" t="e">
        <f t="shared" si="11"/>
        <v>#N/A</v>
      </c>
      <c r="BV17" s="41">
        <f>BI3</f>
        <v>0</v>
      </c>
      <c r="BW17" s="43">
        <f t="shared" si="12"/>
        <v>493.28617111859609</v>
      </c>
      <c r="BX17" s="38" t="e">
        <f t="shared" si="13"/>
        <v>#N/A</v>
      </c>
      <c r="BY17" s="41">
        <f>BI4</f>
        <v>0</v>
      </c>
      <c r="BZ17" s="43">
        <f t="shared" si="14"/>
        <v>16.152245399423034</v>
      </c>
      <c r="CA17" s="38" t="e">
        <f t="shared" si="15"/>
        <v>#N/A</v>
      </c>
      <c r="CB17" s="49"/>
      <c r="CC17" s="47" t="s">
        <v>197</v>
      </c>
      <c r="CD17" s="41">
        <f>$S$5</f>
        <v>0</v>
      </c>
      <c r="CE17" s="43">
        <f t="shared" si="16"/>
        <v>6.7023617306159995</v>
      </c>
      <c r="CF17" s="38" t="e">
        <f t="shared" si="17"/>
        <v>#N/A</v>
      </c>
      <c r="CG17" s="41">
        <f>$S$6</f>
        <v>0</v>
      </c>
      <c r="CH17" s="43">
        <f t="shared" si="18"/>
        <v>4.2387638105095418</v>
      </c>
      <c r="CI17" s="38" t="e">
        <f t="shared" si="19"/>
        <v>#N/A</v>
      </c>
      <c r="CJ17" s="41">
        <f>$S$7</f>
        <v>0</v>
      </c>
      <c r="CK17" s="43">
        <f t="shared" si="138"/>
        <v>5.8874458874458871E-2</v>
      </c>
      <c r="CL17" s="38" t="e">
        <f t="shared" si="20"/>
        <v>#N/A</v>
      </c>
      <c r="CM17" s="49"/>
      <c r="CN17" s="47" t="s">
        <v>197</v>
      </c>
      <c r="CO17" s="41">
        <f>$S$8</f>
        <v>0</v>
      </c>
      <c r="CP17" s="43">
        <f t="shared" si="21"/>
        <v>5.4642316405504285</v>
      </c>
      <c r="CQ17" s="38" t="e">
        <f t="shared" si="22"/>
        <v>#N/A</v>
      </c>
      <c r="CR17" s="41">
        <f>$S$9</f>
        <v>0</v>
      </c>
      <c r="CS17" s="43">
        <f t="shared" si="23"/>
        <v>2.7563624054549232</v>
      </c>
      <c r="CT17" s="38" t="e">
        <f t="shared" si="24"/>
        <v>#N/A</v>
      </c>
      <c r="CU17" s="41">
        <f>$S$10</f>
        <v>0</v>
      </c>
      <c r="CV17" s="43">
        <f t="shared" si="139"/>
        <v>7.1847052454791255E-2</v>
      </c>
      <c r="CW17" s="38" t="e">
        <f t="shared" si="25"/>
        <v>#N/A</v>
      </c>
      <c r="CX17" s="49"/>
      <c r="CY17" s="47" t="s">
        <v>197</v>
      </c>
      <c r="CZ17" s="41">
        <f>$S$11</f>
        <v>0</v>
      </c>
      <c r="DA17" s="43">
        <f t="shared" si="26"/>
        <v>4.953802431779418</v>
      </c>
      <c r="DB17" s="38" t="e">
        <f t="shared" si="27"/>
        <v>#N/A</v>
      </c>
      <c r="DC17" s="41">
        <f>$S$12</f>
        <v>0</v>
      </c>
      <c r="DD17" s="43">
        <f t="shared" si="28"/>
        <v>3.0743767793404873</v>
      </c>
      <c r="DE17" s="38" t="e">
        <f t="shared" si="29"/>
        <v>#N/A</v>
      </c>
      <c r="DF17" s="41">
        <f>$S$13</f>
        <v>0</v>
      </c>
      <c r="DG17" s="43">
        <f t="shared" si="140"/>
        <v>0.10428877821453758</v>
      </c>
      <c r="DH17" s="38" t="e">
        <f t="shared" si="30"/>
        <v>#N/A</v>
      </c>
      <c r="DI17" s="49"/>
      <c r="DJ17" s="47" t="s">
        <v>197</v>
      </c>
      <c r="DK17" s="41">
        <f>$S$14</f>
        <v>0</v>
      </c>
      <c r="DL17" s="43">
        <f t="shared" si="31"/>
        <v>4.3316881585615796</v>
      </c>
      <c r="DM17" s="38" t="e">
        <f t="shared" si="32"/>
        <v>#N/A</v>
      </c>
      <c r="DN17" s="41">
        <f>$S$15</f>
        <v>0</v>
      </c>
      <c r="DO17" s="43">
        <f t="shared" si="33"/>
        <v>4.2776562847411803</v>
      </c>
      <c r="DP17" s="38" t="e">
        <f t="shared" si="34"/>
        <v>#N/A</v>
      </c>
      <c r="DQ17" s="41">
        <f>$S$16</f>
        <v>0</v>
      </c>
      <c r="DR17" s="43">
        <f t="shared" si="141"/>
        <v>0.20109475903041757</v>
      </c>
      <c r="DS17" s="38" t="e">
        <f t="shared" si="35"/>
        <v>#N/A</v>
      </c>
      <c r="DT17" s="49"/>
      <c r="DU17" s="47" t="s">
        <v>197</v>
      </c>
      <c r="DV17" s="41">
        <f>$S$17</f>
        <v>0</v>
      </c>
      <c r="DW17" s="43">
        <f t="shared" si="36"/>
        <v>2.7253552615270826</v>
      </c>
      <c r="DX17" s="38" t="e">
        <f t="shared" si="37"/>
        <v>#N/A</v>
      </c>
      <c r="DY17" s="41">
        <f>$S$18</f>
        <v>0</v>
      </c>
      <c r="DZ17" s="43">
        <f t="shared" si="38"/>
        <v>4.3566623429731317</v>
      </c>
      <c r="EA17" s="38" t="e">
        <f t="shared" si="39"/>
        <v>#N/A</v>
      </c>
      <c r="EB17" s="41">
        <f>$S$19</f>
        <v>0</v>
      </c>
      <c r="EC17" s="43">
        <f t="shared" si="142"/>
        <v>0.16986688166192201</v>
      </c>
      <c r="ED17" s="38" t="e">
        <f t="shared" si="40"/>
        <v>#N/A</v>
      </c>
      <c r="EE17" s="49"/>
      <c r="EF17" s="47" t="s">
        <v>197</v>
      </c>
      <c r="EG17" s="41">
        <f>$S$20</f>
        <v>0</v>
      </c>
      <c r="EH17" s="43">
        <f t="shared" si="41"/>
        <v>5.2167381117520613</v>
      </c>
      <c r="EI17" s="38" t="e">
        <f t="shared" si="42"/>
        <v>#N/A</v>
      </c>
      <c r="EJ17" s="41">
        <f>$S$21</f>
        <v>0</v>
      </c>
      <c r="EK17" s="43">
        <f t="shared" si="43"/>
        <v>3.7012762859146568</v>
      </c>
      <c r="EL17" s="38" t="e">
        <f t="shared" si="44"/>
        <v>#N/A</v>
      </c>
      <c r="EM17" s="41">
        <f>$S$22</f>
        <v>0</v>
      </c>
      <c r="EN17" s="43">
        <f t="shared" si="143"/>
        <v>6.4113811271175311E-2</v>
      </c>
      <c r="EO17" s="38" t="e">
        <f t="shared" si="45"/>
        <v>#N/A</v>
      </c>
      <c r="EP17" s="49"/>
      <c r="EQ17" s="47" t="s">
        <v>197</v>
      </c>
      <c r="ER17" s="41">
        <f>$S$23</f>
        <v>0</v>
      </c>
      <c r="ES17" s="43">
        <f t="shared" si="46"/>
        <v>5.1327622151523205</v>
      </c>
      <c r="ET17" s="38" t="e">
        <f t="shared" si="47"/>
        <v>#N/A</v>
      </c>
      <c r="EU17" s="41">
        <f>$S$24</f>
        <v>0</v>
      </c>
      <c r="EV17" s="43">
        <f t="shared" si="48"/>
        <v>3.8549766297510812</v>
      </c>
      <c r="EW17" s="38" t="e">
        <f t="shared" si="49"/>
        <v>#N/A</v>
      </c>
      <c r="EX17" s="41">
        <f>$S$25</f>
        <v>0</v>
      </c>
      <c r="EY17" s="43">
        <f t="shared" si="144"/>
        <v>0.17547707989316763</v>
      </c>
      <c r="EZ17" s="38" t="e">
        <f t="shared" si="50"/>
        <v>#N/A</v>
      </c>
      <c r="FA17" s="49"/>
      <c r="FB17" s="47" t="s">
        <v>197</v>
      </c>
      <c r="FC17" s="41">
        <f>$S$26</f>
        <v>0</v>
      </c>
      <c r="FD17" s="43">
        <f t="shared" si="51"/>
        <v>3.800872265412135</v>
      </c>
      <c r="FE17" s="38" t="e">
        <f t="shared" si="52"/>
        <v>#N/A</v>
      </c>
      <c r="FF17" s="41">
        <f>$S$27</f>
        <v>0</v>
      </c>
      <c r="FG17" s="43">
        <f t="shared" si="53"/>
        <v>4.20210081283623</v>
      </c>
      <c r="FH17" s="38" t="e">
        <f t="shared" si="54"/>
        <v>#N/A</v>
      </c>
      <c r="FI17" s="41">
        <f>$S$28</f>
        <v>0</v>
      </c>
      <c r="FJ17" s="43">
        <f t="shared" si="145"/>
        <v>5.2788056749913902E-2</v>
      </c>
      <c r="FK17" s="38" t="e">
        <f t="shared" si="55"/>
        <v>#N/A</v>
      </c>
      <c r="FL17" s="49"/>
      <c r="FM17" s="47" t="s">
        <v>197</v>
      </c>
      <c r="FN17" s="41">
        <f>$S$29</f>
        <v>0</v>
      </c>
      <c r="FO17" s="43">
        <f t="shared" si="56"/>
        <v>2.9249999999999998</v>
      </c>
      <c r="FP17" s="38" t="e">
        <f t="shared" si="57"/>
        <v>#N/A</v>
      </c>
      <c r="FQ17" s="41">
        <f>$S$30</f>
        <v>0</v>
      </c>
      <c r="FR17" s="43">
        <f t="shared" si="58"/>
        <v>2.95</v>
      </c>
      <c r="FS17" s="38" t="e">
        <f t="shared" si="59"/>
        <v>#N/A</v>
      </c>
      <c r="FT17" s="41">
        <f>$S$31</f>
        <v>0</v>
      </c>
      <c r="FU17" s="43">
        <f t="shared" si="146"/>
        <v>0.125</v>
      </c>
      <c r="FV17" s="38" t="e">
        <f t="shared" si="60"/>
        <v>#N/A</v>
      </c>
      <c r="FW17" s="49"/>
      <c r="FX17" s="47" t="s">
        <v>197</v>
      </c>
      <c r="FY17" s="41">
        <f>$S$32</f>
        <v>0</v>
      </c>
      <c r="FZ17" s="43">
        <f t="shared" si="61"/>
        <v>2.7834023424848038</v>
      </c>
      <c r="GA17" s="38" t="e">
        <f t="shared" si="62"/>
        <v>#N/A</v>
      </c>
      <c r="GB17" s="41">
        <f>$S$33</f>
        <v>0</v>
      </c>
      <c r="GC17" s="43">
        <f t="shared" si="63"/>
        <v>4.200595681544038</v>
      </c>
      <c r="GD17" s="38" t="e">
        <f t="shared" si="64"/>
        <v>#N/A</v>
      </c>
      <c r="GE17" s="41">
        <f>$S$34</f>
        <v>0</v>
      </c>
      <c r="GF17" s="43">
        <f t="shared" si="147"/>
        <v>0.26395674063478058</v>
      </c>
      <c r="GG17" s="38" t="e">
        <f t="shared" si="65"/>
        <v>#N/A</v>
      </c>
      <c r="GH17" s="49"/>
      <c r="GI17" s="47" t="s">
        <v>197</v>
      </c>
      <c r="GJ17" s="41">
        <f>$S$35</f>
        <v>0</v>
      </c>
      <c r="GK17" s="43">
        <f t="shared" si="66"/>
        <v>6.213372016921979</v>
      </c>
      <c r="GL17" s="38" t="e">
        <f t="shared" si="67"/>
        <v>#N/A</v>
      </c>
      <c r="GM17" s="41">
        <f>$S$36</f>
        <v>0</v>
      </c>
      <c r="GN17" s="43">
        <f t="shared" si="68"/>
        <v>3.0230596595535495</v>
      </c>
      <c r="GO17" s="38" t="e">
        <f t="shared" si="69"/>
        <v>#N/A</v>
      </c>
      <c r="GP17" s="41">
        <f>$S$37</f>
        <v>0</v>
      </c>
      <c r="GQ17" s="43">
        <f t="shared" si="148"/>
        <v>4.968696543043527E-2</v>
      </c>
      <c r="GR17" s="38" t="e">
        <f t="shared" si="70"/>
        <v>#N/A</v>
      </c>
      <c r="GS17" s="49"/>
      <c r="GT17" s="47" t="s">
        <v>197</v>
      </c>
      <c r="GU17" s="41">
        <f>$S$38</f>
        <v>0</v>
      </c>
      <c r="GV17" s="43">
        <f t="shared" si="71"/>
        <v>4.1824765482792525</v>
      </c>
      <c r="GW17" s="38" t="e">
        <f t="shared" si="72"/>
        <v>#N/A</v>
      </c>
      <c r="GX17" s="41">
        <f>$S$39</f>
        <v>0</v>
      </c>
      <c r="GY17" s="43">
        <f t="shared" si="73"/>
        <v>2.6920064898727674</v>
      </c>
      <c r="GZ17" s="38" t="e">
        <f t="shared" si="74"/>
        <v>#N/A</v>
      </c>
      <c r="HA17" s="41">
        <f>$S$40</f>
        <v>0</v>
      </c>
      <c r="HB17" s="43">
        <f t="shared" si="149"/>
        <v>4.296145506701958E-2</v>
      </c>
      <c r="HC17" s="38" t="e">
        <f t="shared" si="75"/>
        <v>#N/A</v>
      </c>
      <c r="HD17" s="49"/>
      <c r="HE17" s="47" t="s">
        <v>197</v>
      </c>
      <c r="HF17" s="41">
        <f>$S$41</f>
        <v>0</v>
      </c>
      <c r="HG17" s="43">
        <f t="shared" si="76"/>
        <v>4.5133050130834889</v>
      </c>
      <c r="HH17" s="38" t="e">
        <f t="shared" si="77"/>
        <v>#N/A</v>
      </c>
      <c r="HI17" s="41">
        <f>$S$42</f>
        <v>0</v>
      </c>
      <c r="HJ17" s="43">
        <f t="shared" si="78"/>
        <v>4.2909325210683598</v>
      </c>
      <c r="HK17" s="38" t="e">
        <f t="shared" si="79"/>
        <v>#N/A</v>
      </c>
      <c r="HL17" s="41">
        <f>$S$43</f>
        <v>0</v>
      </c>
      <c r="HM17" s="43">
        <f t="shared" si="150"/>
        <v>6.6114804770160684E-2</v>
      </c>
      <c r="HN17" s="38" t="e">
        <f t="shared" si="80"/>
        <v>#N/A</v>
      </c>
      <c r="HO17" s="49"/>
      <c r="HP17" s="47" t="s">
        <v>197</v>
      </c>
      <c r="HQ17" s="41">
        <f>$S$44</f>
        <v>0</v>
      </c>
      <c r="HR17" s="43">
        <f t="shared" si="81"/>
        <v>4.5078662583428111</v>
      </c>
      <c r="HS17" s="38" t="e">
        <f t="shared" si="82"/>
        <v>#N/A</v>
      </c>
      <c r="HT17" s="41">
        <f>$S$45</f>
        <v>0</v>
      </c>
      <c r="HU17" s="43">
        <f t="shared" si="83"/>
        <v>3.8847364181475479</v>
      </c>
      <c r="HV17" s="38" t="e">
        <f t="shared" si="84"/>
        <v>#N/A</v>
      </c>
      <c r="HW17" s="41">
        <f>$S$46</f>
        <v>0</v>
      </c>
      <c r="HX17" s="43">
        <f t="shared" si="151"/>
        <v>8.1980304402385351E-2</v>
      </c>
      <c r="HY17" s="38" t="e">
        <f t="shared" si="85"/>
        <v>#N/A</v>
      </c>
      <c r="HZ17" s="49"/>
      <c r="IA17" s="47" t="s">
        <v>197</v>
      </c>
      <c r="IB17" s="41">
        <f>$S$47</f>
        <v>0</v>
      </c>
      <c r="IC17" s="43">
        <f t="shared" si="86"/>
        <v>3.2793557911556031</v>
      </c>
      <c r="ID17" s="38" t="e">
        <f t="shared" si="87"/>
        <v>#N/A</v>
      </c>
      <c r="IE17" s="41">
        <f>$S$48</f>
        <v>0</v>
      </c>
      <c r="IF17" s="43">
        <f t="shared" si="88"/>
        <v>5.1085334391796824</v>
      </c>
      <c r="IG17" s="38" t="e">
        <f t="shared" si="89"/>
        <v>#N/A</v>
      </c>
      <c r="IH17" s="41">
        <f>$S$49</f>
        <v>0</v>
      </c>
      <c r="II17" s="43">
        <f t="shared" si="152"/>
        <v>0.15467084417540078</v>
      </c>
      <c r="IJ17" s="38" t="e">
        <f t="shared" si="90"/>
        <v>#N/A</v>
      </c>
      <c r="IK17" s="49"/>
      <c r="IL17" s="47" t="s">
        <v>197</v>
      </c>
      <c r="IM17" s="41">
        <f>$S$50</f>
        <v>0</v>
      </c>
      <c r="IN17" s="43">
        <f t="shared" si="91"/>
        <v>3.9262013198965633</v>
      </c>
      <c r="IO17" s="38" t="e">
        <f t="shared" si="92"/>
        <v>#N/A</v>
      </c>
      <c r="IP17" s="41">
        <f>$S$51</f>
        <v>0</v>
      </c>
      <c r="IQ17" s="43">
        <f t="shared" si="93"/>
        <v>5.9153409841907063</v>
      </c>
      <c r="IR17" s="38" t="e">
        <f t="shared" si="94"/>
        <v>#N/A</v>
      </c>
      <c r="IS17" s="41">
        <f>$S$52</f>
        <v>0</v>
      </c>
      <c r="IT17" s="43">
        <f t="shared" si="153"/>
        <v>5.6197847379977822E-2</v>
      </c>
      <c r="IU17" s="38" t="e">
        <f t="shared" si="95"/>
        <v>#N/A</v>
      </c>
      <c r="IV17" s="49"/>
      <c r="IW17" s="47" t="s">
        <v>197</v>
      </c>
      <c r="IX17" s="41">
        <f>$S$53</f>
        <v>0</v>
      </c>
      <c r="IY17" s="43">
        <f t="shared" si="96"/>
        <v>3.3457511955054295</v>
      </c>
      <c r="IZ17" s="38" t="e">
        <f t="shared" si="97"/>
        <v>#N/A</v>
      </c>
      <c r="JA17" s="41">
        <f>$S$54</f>
        <v>0</v>
      </c>
      <c r="JB17" s="43">
        <f t="shared" si="98"/>
        <v>2.6220045653360193</v>
      </c>
      <c r="JC17" s="38" t="e">
        <f t="shared" si="99"/>
        <v>#N/A</v>
      </c>
      <c r="JD17" s="41">
        <f>$S$55</f>
        <v>0</v>
      </c>
      <c r="JE17" s="43">
        <f t="shared" si="154"/>
        <v>0.16635006784260528</v>
      </c>
      <c r="JF17" s="38" t="e">
        <f t="shared" si="100"/>
        <v>#N/A</v>
      </c>
      <c r="JG17" s="49"/>
      <c r="JH17" s="47" t="s">
        <v>197</v>
      </c>
      <c r="JI17" s="41">
        <f>$S$56</f>
        <v>0</v>
      </c>
      <c r="JJ17" s="43">
        <f t="shared" si="101"/>
        <v>6.668961047701476</v>
      </c>
      <c r="JK17" s="38" t="e">
        <f t="shared" si="102"/>
        <v>#N/A</v>
      </c>
      <c r="JL17" s="41">
        <f>$S$57</f>
        <v>0</v>
      </c>
      <c r="JM17" s="43">
        <f t="shared" si="103"/>
        <v>2.1149900408273159</v>
      </c>
      <c r="JN17" s="38" t="e">
        <f t="shared" si="104"/>
        <v>#N/A</v>
      </c>
      <c r="JO17" s="41">
        <f>$S$58</f>
        <v>0</v>
      </c>
      <c r="JP17" s="43">
        <f t="shared" si="155"/>
        <v>0.11950643687413505</v>
      </c>
      <c r="JQ17" s="38" t="e">
        <f t="shared" si="105"/>
        <v>#N/A</v>
      </c>
      <c r="JR17" s="49"/>
      <c r="JS17" s="47" t="s">
        <v>197</v>
      </c>
      <c r="JT17" s="41">
        <f>$S$59</f>
        <v>0</v>
      </c>
      <c r="JU17" s="43">
        <f t="shared" si="106"/>
        <v>3.6542510708618732</v>
      </c>
      <c r="JV17" s="38" t="e">
        <f t="shared" si="107"/>
        <v>#N/A</v>
      </c>
      <c r="JW17" s="41">
        <f>$S$60</f>
        <v>0</v>
      </c>
      <c r="JX17" s="43">
        <f t="shared" si="108"/>
        <v>2.6346657322662517</v>
      </c>
      <c r="JY17" s="38" t="e">
        <f t="shared" si="109"/>
        <v>#N/A</v>
      </c>
      <c r="JZ17" s="41">
        <f>$S$61</f>
        <v>0</v>
      </c>
      <c r="KA17" s="43">
        <f t="shared" si="156"/>
        <v>9.9182989581379041E-2</v>
      </c>
      <c r="KB17" s="38" t="e">
        <f t="shared" si="110"/>
        <v>#N/A</v>
      </c>
      <c r="KC17" s="49"/>
      <c r="KD17" s="47" t="s">
        <v>197</v>
      </c>
      <c r="KE17" s="41">
        <f>$S$62</f>
        <v>0</v>
      </c>
      <c r="KF17" s="43">
        <f t="shared" si="111"/>
        <v>1.8304419497114603</v>
      </c>
      <c r="KG17" s="38" t="e">
        <f t="shared" si="112"/>
        <v>#N/A</v>
      </c>
      <c r="KH17" s="41">
        <f>$S$63</f>
        <v>0</v>
      </c>
      <c r="KI17" s="43">
        <f t="shared" si="113"/>
        <v>3.868552848342202</v>
      </c>
      <c r="KJ17" s="38" t="e">
        <f t="shared" si="114"/>
        <v>#N/A</v>
      </c>
      <c r="KK17" s="41">
        <f>$S$64</f>
        <v>0</v>
      </c>
      <c r="KL17" s="43">
        <f t="shared" si="157"/>
        <v>0.13647245697511248</v>
      </c>
      <c r="KM17" s="38" t="e">
        <f t="shared" si="115"/>
        <v>#N/A</v>
      </c>
      <c r="KN17" s="49"/>
      <c r="KO17" s="47" t="s">
        <v>197</v>
      </c>
      <c r="KP17" s="41">
        <f>$S$65</f>
        <v>0</v>
      </c>
      <c r="KQ17" s="43">
        <f t="shared" si="116"/>
        <v>3.5258254515182217</v>
      </c>
      <c r="KR17" s="38" t="e">
        <f t="shared" si="117"/>
        <v>#N/A</v>
      </c>
      <c r="KS17" s="41">
        <f>$S$66</f>
        <v>0</v>
      </c>
      <c r="KT17" s="43">
        <f t="shared" si="118"/>
        <v>1.5710035120633761</v>
      </c>
      <c r="KU17" s="38" t="e">
        <f t="shared" si="119"/>
        <v>#N/A</v>
      </c>
      <c r="KV17" s="41">
        <f>$S$67</f>
        <v>0</v>
      </c>
      <c r="KW17" s="43">
        <f t="shared" si="158"/>
        <v>5.3009676693788067E-2</v>
      </c>
      <c r="KX17" s="38" t="e">
        <f t="shared" si="120"/>
        <v>#N/A</v>
      </c>
      <c r="KY17" s="49"/>
      <c r="KZ17" s="47" t="s">
        <v>197</v>
      </c>
      <c r="LA17" s="41">
        <f>$S$68</f>
        <v>0</v>
      </c>
      <c r="LB17" s="43">
        <f t="shared" si="121"/>
        <v>3.5023863953704675</v>
      </c>
      <c r="LC17" s="38" t="e">
        <f t="shared" si="122"/>
        <v>#N/A</v>
      </c>
      <c r="LD17" s="41">
        <f>$S$69</f>
        <v>0</v>
      </c>
      <c r="LE17" s="43">
        <f t="shared" si="123"/>
        <v>2.2450052204262185</v>
      </c>
      <c r="LF17" s="38" t="e">
        <f t="shared" si="124"/>
        <v>#N/A</v>
      </c>
      <c r="LG17" s="41">
        <f>$S$70</f>
        <v>0</v>
      </c>
      <c r="LH17" s="43">
        <f t="shared" si="159"/>
        <v>0</v>
      </c>
      <c r="LI17" s="38" t="e">
        <f t="shared" si="125"/>
        <v>#N/A</v>
      </c>
      <c r="LJ17" s="49"/>
      <c r="LK17" s="47" t="s">
        <v>197</v>
      </c>
      <c r="LL17" s="41">
        <f>$S$71</f>
        <v>0</v>
      </c>
      <c r="LM17" s="43">
        <f t="shared" si="126"/>
        <v>4.8300699339300781</v>
      </c>
      <c r="LN17" s="38" t="e">
        <f t="shared" si="127"/>
        <v>#N/A</v>
      </c>
      <c r="LO17" s="41">
        <f>$S$72</f>
        <v>0</v>
      </c>
      <c r="LP17" s="43">
        <f t="shared" si="128"/>
        <v>2.8847298348467207</v>
      </c>
      <c r="LQ17" s="38" t="e">
        <f t="shared" si="129"/>
        <v>#N/A</v>
      </c>
      <c r="LR17" s="41">
        <f>$S$73</f>
        <v>0</v>
      </c>
      <c r="LS17" s="43">
        <f t="shared" si="160"/>
        <v>5.2100141830148959E-2</v>
      </c>
      <c r="LT17" s="38" t="e">
        <f t="shared" si="130"/>
        <v>#N/A</v>
      </c>
      <c r="LU17" s="49"/>
      <c r="LV17" s="47" t="s">
        <v>197</v>
      </c>
      <c r="LW17" s="41">
        <f>$S$74</f>
        <v>0</v>
      </c>
      <c r="LX17" s="43">
        <f t="shared" si="131"/>
        <v>4.1982682278503578</v>
      </c>
      <c r="LY17" s="38" t="e">
        <f t="shared" si="132"/>
        <v>#N/A</v>
      </c>
      <c r="LZ17" s="41">
        <f>$S$75</f>
        <v>0</v>
      </c>
      <c r="MA17" s="43">
        <f t="shared" si="133"/>
        <v>4.011339754780928</v>
      </c>
      <c r="MB17" s="38" t="e">
        <f t="shared" si="134"/>
        <v>#N/A</v>
      </c>
      <c r="MC17" s="41">
        <f>$S$76</f>
        <v>0</v>
      </c>
      <c r="MD17" s="43">
        <f t="shared" si="161"/>
        <v>7.5312296376773502E-2</v>
      </c>
      <c r="ME17" s="38" t="e">
        <f t="shared" si="135"/>
        <v>#N/A</v>
      </c>
    </row>
    <row r="18" spans="2:343" ht="14.25" customHeight="1" x14ac:dyDescent="0.2">
      <c r="B18" s="136">
        <f>E18/SUM($E$17:$E$19)</f>
        <v>0.57581586211551095</v>
      </c>
      <c r="C18" s="137" t="s">
        <v>1</v>
      </c>
      <c r="D18" s="138" t="s">
        <v>57</v>
      </c>
      <c r="E18" s="168">
        <f>CORE!E167</f>
        <v>0.52186789357672969</v>
      </c>
      <c r="F18" s="168">
        <f>CORE!F167</f>
        <v>0.52181773135707032</v>
      </c>
      <c r="G18" s="168">
        <f>CORE!G167</f>
        <v>0.56224550619098512</v>
      </c>
      <c r="H18" s="168">
        <f>CORE!H167</f>
        <v>0.57288849091274829</v>
      </c>
      <c r="I18" s="168">
        <f>CORE!I167</f>
        <v>0.51053576584224702</v>
      </c>
      <c r="J18" s="168">
        <f>CORE!J167</f>
        <v>0.54791543706464385</v>
      </c>
      <c r="K18" s="168">
        <f>CORE!K167</f>
        <v>0.54748260189385545</v>
      </c>
      <c r="L18" s="168">
        <f>CORE!L167</f>
        <v>0.3714851497434018</v>
      </c>
      <c r="M18" s="168">
        <f>CORE!M167</f>
        <v>0.30486920371798731</v>
      </c>
      <c r="N18" s="168">
        <f>CORE!N167</f>
        <v>0.4174224562501922</v>
      </c>
      <c r="O18" s="168">
        <f>CORE!O167</f>
        <v>0</v>
      </c>
      <c r="P18" s="168">
        <f>CORE!P167</f>
        <v>0</v>
      </c>
      <c r="Q18" s="168">
        <f>CORE!Q167</f>
        <v>0</v>
      </c>
      <c r="R18" s="168">
        <f>CORE!R167</f>
        <v>0</v>
      </c>
      <c r="S18" s="168">
        <f>CORE!S167</f>
        <v>0</v>
      </c>
      <c r="T18" s="168">
        <f>CORE!T167</f>
        <v>0</v>
      </c>
      <c r="U18" s="168">
        <f>CORE!U167</f>
        <v>0</v>
      </c>
      <c r="V18" s="168">
        <f>CORE!V167</f>
        <v>0</v>
      </c>
      <c r="W18" s="168">
        <f>CORE!W167</f>
        <v>0</v>
      </c>
      <c r="X18" s="168">
        <f>CORE!X167</f>
        <v>0</v>
      </c>
      <c r="Y18" s="169">
        <f>CORE!Y167</f>
        <v>0</v>
      </c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2"/>
      <c r="AQ18" s="33">
        <v>2.7929644475035835</v>
      </c>
      <c r="AR18" s="10">
        <f>AU18/SUM($AU17:$AU19)</f>
        <v>0.57581586211551095</v>
      </c>
      <c r="AS18" s="119" t="s">
        <v>1</v>
      </c>
      <c r="AT18" s="8" t="s">
        <v>57</v>
      </c>
      <c r="AU18" s="123">
        <f>IF((E17+E18+E19)=0,1,E18/(E17+E18+E19)*$AQ18)</f>
        <v>1.6082332311972476</v>
      </c>
      <c r="AV18" s="123">
        <f t="shared" ref="AV18:BO18" si="172">IF((F17+F18+F19)=0,0,F18/(F17+F18+F19)*$AQ18)</f>
        <v>1.608078646963192</v>
      </c>
      <c r="AW18" s="123">
        <f t="shared" si="172"/>
        <v>1.7326643740245991</v>
      </c>
      <c r="AX18" s="123">
        <f t="shared" si="172"/>
        <v>1.7654627161325089</v>
      </c>
      <c r="AY18" s="123">
        <f t="shared" si="172"/>
        <v>1.573311166385289</v>
      </c>
      <c r="AZ18" s="123">
        <f t="shared" si="172"/>
        <v>1.6885035937620221</v>
      </c>
      <c r="BA18" s="123">
        <f t="shared" si="172"/>
        <v>1.9519088250989192</v>
      </c>
      <c r="BB18" s="123">
        <f t="shared" si="172"/>
        <v>1.7988584577141722</v>
      </c>
      <c r="BC18" s="123">
        <f t="shared" si="172"/>
        <v>1.4762812079661798</v>
      </c>
      <c r="BD18" s="123">
        <f t="shared" si="172"/>
        <v>1.4882127273647745</v>
      </c>
      <c r="BE18" s="123">
        <f t="shared" si="172"/>
        <v>0</v>
      </c>
      <c r="BF18" s="123">
        <f t="shared" si="172"/>
        <v>0</v>
      </c>
      <c r="BG18" s="123">
        <f t="shared" si="172"/>
        <v>0</v>
      </c>
      <c r="BH18" s="123">
        <f t="shared" si="172"/>
        <v>0</v>
      </c>
      <c r="BI18" s="123">
        <f t="shared" si="172"/>
        <v>0</v>
      </c>
      <c r="BJ18" s="123">
        <f t="shared" si="172"/>
        <v>0</v>
      </c>
      <c r="BK18" s="123">
        <f t="shared" si="172"/>
        <v>0</v>
      </c>
      <c r="BL18" s="123">
        <f t="shared" si="172"/>
        <v>0</v>
      </c>
      <c r="BM18" s="123">
        <f t="shared" si="172"/>
        <v>0</v>
      </c>
      <c r="BN18" s="123">
        <f t="shared" si="172"/>
        <v>0</v>
      </c>
      <c r="BO18" s="124">
        <f t="shared" si="172"/>
        <v>0</v>
      </c>
      <c r="BP18" s="29">
        <v>15</v>
      </c>
      <c r="BQ18" s="47" t="s">
        <v>199</v>
      </c>
      <c r="BR18" s="47" t="s">
        <v>200</v>
      </c>
      <c r="BS18" s="41">
        <f>BJ2</f>
        <v>0</v>
      </c>
      <c r="BT18" s="43">
        <f t="shared" si="10"/>
        <v>539.47992881945811</v>
      </c>
      <c r="BU18" s="38" t="e">
        <f t="shared" si="11"/>
        <v>#N/A</v>
      </c>
      <c r="BV18" s="41">
        <f>BJ3</f>
        <v>0</v>
      </c>
      <c r="BW18" s="43">
        <f t="shared" si="12"/>
        <v>493.28617111859609</v>
      </c>
      <c r="BX18" s="38" t="e">
        <f t="shared" si="13"/>
        <v>#N/A</v>
      </c>
      <c r="BY18" s="41">
        <f>BJ4</f>
        <v>0</v>
      </c>
      <c r="BZ18" s="43">
        <f t="shared" si="14"/>
        <v>16.152245399423034</v>
      </c>
      <c r="CA18" s="38" t="e">
        <f t="shared" si="15"/>
        <v>#N/A</v>
      </c>
      <c r="CB18" s="49"/>
      <c r="CC18" s="47" t="s">
        <v>198</v>
      </c>
      <c r="CD18" s="41">
        <f>$T$5</f>
        <v>0</v>
      </c>
      <c r="CE18" s="43">
        <f t="shared" si="16"/>
        <v>6.7023617306159995</v>
      </c>
      <c r="CF18" s="38" t="e">
        <f t="shared" si="17"/>
        <v>#N/A</v>
      </c>
      <c r="CG18" s="41">
        <f>$T$6</f>
        <v>0</v>
      </c>
      <c r="CH18" s="43">
        <f t="shared" si="18"/>
        <v>4.2387638105095418</v>
      </c>
      <c r="CI18" s="38" t="e">
        <f t="shared" si="19"/>
        <v>#N/A</v>
      </c>
      <c r="CJ18" s="41">
        <f>$T$7</f>
        <v>0</v>
      </c>
      <c r="CK18" s="43">
        <f t="shared" si="138"/>
        <v>5.8874458874458871E-2</v>
      </c>
      <c r="CL18" s="38" t="e">
        <f t="shared" si="20"/>
        <v>#N/A</v>
      </c>
      <c r="CM18" s="49"/>
      <c r="CN18" s="47" t="s">
        <v>198</v>
      </c>
      <c r="CO18" s="41">
        <f>$T$8</f>
        <v>0</v>
      </c>
      <c r="CP18" s="43">
        <f t="shared" si="21"/>
        <v>5.4642316405504285</v>
      </c>
      <c r="CQ18" s="38" t="e">
        <f t="shared" si="22"/>
        <v>#N/A</v>
      </c>
      <c r="CR18" s="41">
        <f>$T$9</f>
        <v>0</v>
      </c>
      <c r="CS18" s="43">
        <f t="shared" si="23"/>
        <v>2.7563624054549232</v>
      </c>
      <c r="CT18" s="38" t="e">
        <f t="shared" si="24"/>
        <v>#N/A</v>
      </c>
      <c r="CU18" s="41">
        <f>$T$10</f>
        <v>0</v>
      </c>
      <c r="CV18" s="43">
        <f t="shared" si="139"/>
        <v>7.1847052454791255E-2</v>
      </c>
      <c r="CW18" s="38" t="e">
        <f t="shared" si="25"/>
        <v>#N/A</v>
      </c>
      <c r="CX18" s="49"/>
      <c r="CY18" s="47" t="s">
        <v>198</v>
      </c>
      <c r="CZ18" s="41">
        <f>$T$11</f>
        <v>0</v>
      </c>
      <c r="DA18" s="43">
        <f t="shared" si="26"/>
        <v>4.953802431779418</v>
      </c>
      <c r="DB18" s="38" t="e">
        <f t="shared" si="27"/>
        <v>#N/A</v>
      </c>
      <c r="DC18" s="41">
        <f>$T$12</f>
        <v>0</v>
      </c>
      <c r="DD18" s="43">
        <f t="shared" si="28"/>
        <v>3.0743767793404873</v>
      </c>
      <c r="DE18" s="38" t="e">
        <f t="shared" si="29"/>
        <v>#N/A</v>
      </c>
      <c r="DF18" s="41">
        <f>$T$13</f>
        <v>0</v>
      </c>
      <c r="DG18" s="43">
        <f t="shared" si="140"/>
        <v>0.10428877821453758</v>
      </c>
      <c r="DH18" s="38" t="e">
        <f t="shared" si="30"/>
        <v>#N/A</v>
      </c>
      <c r="DI18" s="49"/>
      <c r="DJ18" s="47" t="s">
        <v>198</v>
      </c>
      <c r="DK18" s="41">
        <f>$T$14</f>
        <v>0</v>
      </c>
      <c r="DL18" s="43">
        <f t="shared" si="31"/>
        <v>4.3316881585615796</v>
      </c>
      <c r="DM18" s="38" t="e">
        <f t="shared" si="32"/>
        <v>#N/A</v>
      </c>
      <c r="DN18" s="41">
        <f>$T$15</f>
        <v>0</v>
      </c>
      <c r="DO18" s="43">
        <f t="shared" si="33"/>
        <v>4.2776562847411803</v>
      </c>
      <c r="DP18" s="38" t="e">
        <f t="shared" si="34"/>
        <v>#N/A</v>
      </c>
      <c r="DQ18" s="41">
        <f>$T$16</f>
        <v>0</v>
      </c>
      <c r="DR18" s="43">
        <f t="shared" si="141"/>
        <v>0.20109475903041757</v>
      </c>
      <c r="DS18" s="38" t="e">
        <f t="shared" si="35"/>
        <v>#N/A</v>
      </c>
      <c r="DT18" s="49"/>
      <c r="DU18" s="47" t="s">
        <v>198</v>
      </c>
      <c r="DV18" s="41">
        <f>$T$17</f>
        <v>0</v>
      </c>
      <c r="DW18" s="43">
        <f t="shared" si="36"/>
        <v>2.7253552615270826</v>
      </c>
      <c r="DX18" s="38" t="e">
        <f t="shared" si="37"/>
        <v>#N/A</v>
      </c>
      <c r="DY18" s="41">
        <f>$T$18</f>
        <v>0</v>
      </c>
      <c r="DZ18" s="43">
        <f t="shared" si="38"/>
        <v>4.3566623429731317</v>
      </c>
      <c r="EA18" s="38" t="e">
        <f t="shared" si="39"/>
        <v>#N/A</v>
      </c>
      <c r="EB18" s="41">
        <f>$T$19</f>
        <v>0</v>
      </c>
      <c r="EC18" s="43">
        <f t="shared" si="142"/>
        <v>0.16986688166192201</v>
      </c>
      <c r="ED18" s="38" t="e">
        <f t="shared" si="40"/>
        <v>#N/A</v>
      </c>
      <c r="EE18" s="49"/>
      <c r="EF18" s="47" t="s">
        <v>198</v>
      </c>
      <c r="EG18" s="41">
        <f>$T$20</f>
        <v>0</v>
      </c>
      <c r="EH18" s="43">
        <f t="shared" si="41"/>
        <v>5.2167381117520613</v>
      </c>
      <c r="EI18" s="38" t="e">
        <f t="shared" si="42"/>
        <v>#N/A</v>
      </c>
      <c r="EJ18" s="41">
        <f>$T$21</f>
        <v>0</v>
      </c>
      <c r="EK18" s="43">
        <f t="shared" si="43"/>
        <v>3.7012762859146568</v>
      </c>
      <c r="EL18" s="38" t="e">
        <f t="shared" si="44"/>
        <v>#N/A</v>
      </c>
      <c r="EM18" s="41">
        <f>$T$22</f>
        <v>0</v>
      </c>
      <c r="EN18" s="43">
        <f t="shared" si="143"/>
        <v>6.4113811271175311E-2</v>
      </c>
      <c r="EO18" s="38" t="e">
        <f t="shared" si="45"/>
        <v>#N/A</v>
      </c>
      <c r="EP18" s="49"/>
      <c r="EQ18" s="47" t="s">
        <v>198</v>
      </c>
      <c r="ER18" s="41">
        <f>$T$23</f>
        <v>0</v>
      </c>
      <c r="ES18" s="43">
        <f t="shared" si="46"/>
        <v>5.1327622151523205</v>
      </c>
      <c r="ET18" s="38" t="e">
        <f t="shared" si="47"/>
        <v>#N/A</v>
      </c>
      <c r="EU18" s="41">
        <f>$T$24</f>
        <v>0</v>
      </c>
      <c r="EV18" s="43">
        <f t="shared" si="48"/>
        <v>3.8549766297510812</v>
      </c>
      <c r="EW18" s="38" t="e">
        <f t="shared" si="49"/>
        <v>#N/A</v>
      </c>
      <c r="EX18" s="41">
        <f>$T$25</f>
        <v>0</v>
      </c>
      <c r="EY18" s="43">
        <f t="shared" si="144"/>
        <v>0.17547707989316763</v>
      </c>
      <c r="EZ18" s="38" t="e">
        <f t="shared" si="50"/>
        <v>#N/A</v>
      </c>
      <c r="FA18" s="49"/>
      <c r="FB18" s="47" t="s">
        <v>198</v>
      </c>
      <c r="FC18" s="41">
        <f>$T$26</f>
        <v>0</v>
      </c>
      <c r="FD18" s="43">
        <f t="shared" si="51"/>
        <v>3.800872265412135</v>
      </c>
      <c r="FE18" s="38" t="e">
        <f t="shared" si="52"/>
        <v>#N/A</v>
      </c>
      <c r="FF18" s="41">
        <f>$T$27</f>
        <v>0</v>
      </c>
      <c r="FG18" s="43">
        <f t="shared" si="53"/>
        <v>4.20210081283623</v>
      </c>
      <c r="FH18" s="38" t="e">
        <f t="shared" si="54"/>
        <v>#N/A</v>
      </c>
      <c r="FI18" s="41">
        <f>$T$28</f>
        <v>0</v>
      </c>
      <c r="FJ18" s="43">
        <f t="shared" si="145"/>
        <v>5.2788056749913902E-2</v>
      </c>
      <c r="FK18" s="38" t="e">
        <f t="shared" si="55"/>
        <v>#N/A</v>
      </c>
      <c r="FL18" s="49"/>
      <c r="FM18" s="47" t="s">
        <v>198</v>
      </c>
      <c r="FN18" s="41">
        <f>$T$29</f>
        <v>0</v>
      </c>
      <c r="FO18" s="43">
        <f t="shared" si="56"/>
        <v>2.9249999999999998</v>
      </c>
      <c r="FP18" s="38" t="e">
        <f t="shared" si="57"/>
        <v>#N/A</v>
      </c>
      <c r="FQ18" s="41">
        <f>$T$30</f>
        <v>0</v>
      </c>
      <c r="FR18" s="43">
        <f t="shared" si="58"/>
        <v>2.95</v>
      </c>
      <c r="FS18" s="38" t="e">
        <f t="shared" si="59"/>
        <v>#N/A</v>
      </c>
      <c r="FT18" s="41">
        <f>$T$31</f>
        <v>0</v>
      </c>
      <c r="FU18" s="43">
        <f t="shared" si="146"/>
        <v>0.125</v>
      </c>
      <c r="FV18" s="38" t="e">
        <f t="shared" si="60"/>
        <v>#N/A</v>
      </c>
      <c r="FW18" s="49"/>
      <c r="FX18" s="47" t="s">
        <v>198</v>
      </c>
      <c r="FY18" s="41">
        <f>$T$32</f>
        <v>0</v>
      </c>
      <c r="FZ18" s="43">
        <f t="shared" si="61"/>
        <v>2.7834023424848038</v>
      </c>
      <c r="GA18" s="38" t="e">
        <f t="shared" si="62"/>
        <v>#N/A</v>
      </c>
      <c r="GB18" s="41">
        <f>$T$33</f>
        <v>0</v>
      </c>
      <c r="GC18" s="43">
        <f t="shared" si="63"/>
        <v>4.200595681544038</v>
      </c>
      <c r="GD18" s="38" t="e">
        <f t="shared" si="64"/>
        <v>#N/A</v>
      </c>
      <c r="GE18" s="41">
        <f>$T$34</f>
        <v>0</v>
      </c>
      <c r="GF18" s="43">
        <f t="shared" si="147"/>
        <v>0.26395674063478058</v>
      </c>
      <c r="GG18" s="38" t="e">
        <f t="shared" si="65"/>
        <v>#N/A</v>
      </c>
      <c r="GH18" s="49"/>
      <c r="GI18" s="47" t="s">
        <v>198</v>
      </c>
      <c r="GJ18" s="41">
        <f>$T$35</f>
        <v>0</v>
      </c>
      <c r="GK18" s="43">
        <f t="shared" si="66"/>
        <v>6.213372016921979</v>
      </c>
      <c r="GL18" s="38" t="e">
        <f t="shared" si="67"/>
        <v>#N/A</v>
      </c>
      <c r="GM18" s="41">
        <f>$T$36</f>
        <v>0</v>
      </c>
      <c r="GN18" s="43">
        <f t="shared" si="68"/>
        <v>3.0230596595535495</v>
      </c>
      <c r="GO18" s="38" t="e">
        <f t="shared" si="69"/>
        <v>#N/A</v>
      </c>
      <c r="GP18" s="41">
        <f>$T$37</f>
        <v>0</v>
      </c>
      <c r="GQ18" s="43">
        <f t="shared" si="148"/>
        <v>4.968696543043527E-2</v>
      </c>
      <c r="GR18" s="38" t="e">
        <f t="shared" si="70"/>
        <v>#N/A</v>
      </c>
      <c r="GS18" s="49"/>
      <c r="GT18" s="47" t="s">
        <v>198</v>
      </c>
      <c r="GU18" s="41">
        <f>$T$38</f>
        <v>0</v>
      </c>
      <c r="GV18" s="43">
        <f t="shared" si="71"/>
        <v>4.1824765482792525</v>
      </c>
      <c r="GW18" s="38" t="e">
        <f t="shared" si="72"/>
        <v>#N/A</v>
      </c>
      <c r="GX18" s="41">
        <f>$T$39</f>
        <v>0</v>
      </c>
      <c r="GY18" s="43">
        <f t="shared" si="73"/>
        <v>2.6920064898727674</v>
      </c>
      <c r="GZ18" s="38" t="e">
        <f t="shared" si="74"/>
        <v>#N/A</v>
      </c>
      <c r="HA18" s="41">
        <f>$T$40</f>
        <v>0</v>
      </c>
      <c r="HB18" s="43">
        <f t="shared" si="149"/>
        <v>4.296145506701958E-2</v>
      </c>
      <c r="HC18" s="38" t="e">
        <f t="shared" si="75"/>
        <v>#N/A</v>
      </c>
      <c r="HD18" s="49"/>
      <c r="HE18" s="47" t="s">
        <v>198</v>
      </c>
      <c r="HF18" s="41">
        <f>$T$41</f>
        <v>0</v>
      </c>
      <c r="HG18" s="43">
        <f t="shared" si="76"/>
        <v>4.5133050130834889</v>
      </c>
      <c r="HH18" s="38" t="e">
        <f t="shared" si="77"/>
        <v>#N/A</v>
      </c>
      <c r="HI18" s="41">
        <f>$T$42</f>
        <v>0</v>
      </c>
      <c r="HJ18" s="43">
        <f t="shared" si="78"/>
        <v>4.2909325210683598</v>
      </c>
      <c r="HK18" s="38" t="e">
        <f t="shared" si="79"/>
        <v>#N/A</v>
      </c>
      <c r="HL18" s="41">
        <f>$T$43</f>
        <v>0</v>
      </c>
      <c r="HM18" s="43">
        <f t="shared" si="150"/>
        <v>6.6114804770160684E-2</v>
      </c>
      <c r="HN18" s="38" t="e">
        <f t="shared" si="80"/>
        <v>#N/A</v>
      </c>
      <c r="HO18" s="49"/>
      <c r="HP18" s="47" t="s">
        <v>198</v>
      </c>
      <c r="HQ18" s="41">
        <f>$T$44</f>
        <v>0</v>
      </c>
      <c r="HR18" s="43">
        <f t="shared" si="81"/>
        <v>4.5078662583428111</v>
      </c>
      <c r="HS18" s="38" t="e">
        <f t="shared" si="82"/>
        <v>#N/A</v>
      </c>
      <c r="HT18" s="41">
        <f>$T$45</f>
        <v>0</v>
      </c>
      <c r="HU18" s="43">
        <f t="shared" si="83"/>
        <v>3.8847364181475479</v>
      </c>
      <c r="HV18" s="38" t="e">
        <f t="shared" si="84"/>
        <v>#N/A</v>
      </c>
      <c r="HW18" s="41">
        <f>$T$46</f>
        <v>0</v>
      </c>
      <c r="HX18" s="43">
        <f t="shared" si="151"/>
        <v>8.1980304402385351E-2</v>
      </c>
      <c r="HY18" s="38" t="e">
        <f t="shared" si="85"/>
        <v>#N/A</v>
      </c>
      <c r="HZ18" s="49"/>
      <c r="IA18" s="47" t="s">
        <v>198</v>
      </c>
      <c r="IB18" s="41">
        <f>$T$47</f>
        <v>0</v>
      </c>
      <c r="IC18" s="43">
        <f t="shared" si="86"/>
        <v>3.2793557911556031</v>
      </c>
      <c r="ID18" s="38" t="e">
        <f t="shared" si="87"/>
        <v>#N/A</v>
      </c>
      <c r="IE18" s="41">
        <f>$T$48</f>
        <v>0</v>
      </c>
      <c r="IF18" s="43">
        <f t="shared" si="88"/>
        <v>5.1085334391796824</v>
      </c>
      <c r="IG18" s="38" t="e">
        <f t="shared" si="89"/>
        <v>#N/A</v>
      </c>
      <c r="IH18" s="41">
        <f>$T$49</f>
        <v>0</v>
      </c>
      <c r="II18" s="43">
        <f t="shared" si="152"/>
        <v>0.15467084417540078</v>
      </c>
      <c r="IJ18" s="38" t="e">
        <f t="shared" si="90"/>
        <v>#N/A</v>
      </c>
      <c r="IK18" s="49"/>
      <c r="IL18" s="47" t="s">
        <v>198</v>
      </c>
      <c r="IM18" s="41">
        <f>$T$50</f>
        <v>0</v>
      </c>
      <c r="IN18" s="43">
        <f t="shared" si="91"/>
        <v>3.9262013198965633</v>
      </c>
      <c r="IO18" s="38" t="e">
        <f t="shared" si="92"/>
        <v>#N/A</v>
      </c>
      <c r="IP18" s="41">
        <f>$T$51</f>
        <v>0</v>
      </c>
      <c r="IQ18" s="43">
        <f t="shared" si="93"/>
        <v>5.9153409841907063</v>
      </c>
      <c r="IR18" s="38" t="e">
        <f t="shared" si="94"/>
        <v>#N/A</v>
      </c>
      <c r="IS18" s="41">
        <f>$T$52</f>
        <v>0</v>
      </c>
      <c r="IT18" s="43">
        <f t="shared" si="153"/>
        <v>5.6197847379977822E-2</v>
      </c>
      <c r="IU18" s="38" t="e">
        <f t="shared" si="95"/>
        <v>#N/A</v>
      </c>
      <c r="IV18" s="49"/>
      <c r="IW18" s="47" t="s">
        <v>198</v>
      </c>
      <c r="IX18" s="41">
        <f>$T$53</f>
        <v>0</v>
      </c>
      <c r="IY18" s="43">
        <f t="shared" si="96"/>
        <v>3.3457511955054295</v>
      </c>
      <c r="IZ18" s="38" t="e">
        <f t="shared" si="97"/>
        <v>#N/A</v>
      </c>
      <c r="JA18" s="41">
        <f>$T$54</f>
        <v>0</v>
      </c>
      <c r="JB18" s="43">
        <f t="shared" si="98"/>
        <v>2.6220045653360193</v>
      </c>
      <c r="JC18" s="38" t="e">
        <f t="shared" si="99"/>
        <v>#N/A</v>
      </c>
      <c r="JD18" s="41">
        <f>$T$55</f>
        <v>0</v>
      </c>
      <c r="JE18" s="43">
        <f t="shared" si="154"/>
        <v>0.16635006784260528</v>
      </c>
      <c r="JF18" s="38" t="e">
        <f t="shared" si="100"/>
        <v>#N/A</v>
      </c>
      <c r="JG18" s="49"/>
      <c r="JH18" s="47" t="s">
        <v>198</v>
      </c>
      <c r="JI18" s="41">
        <f>$T$56</f>
        <v>0</v>
      </c>
      <c r="JJ18" s="43">
        <f t="shared" si="101"/>
        <v>6.668961047701476</v>
      </c>
      <c r="JK18" s="38" t="e">
        <f t="shared" si="102"/>
        <v>#N/A</v>
      </c>
      <c r="JL18" s="41">
        <f>$T$57</f>
        <v>0</v>
      </c>
      <c r="JM18" s="43">
        <f t="shared" si="103"/>
        <v>2.1149900408273159</v>
      </c>
      <c r="JN18" s="38" t="e">
        <f t="shared" si="104"/>
        <v>#N/A</v>
      </c>
      <c r="JO18" s="41">
        <f>$T$58</f>
        <v>0</v>
      </c>
      <c r="JP18" s="43">
        <f t="shared" si="155"/>
        <v>0.11950643687413505</v>
      </c>
      <c r="JQ18" s="38" t="e">
        <f t="shared" si="105"/>
        <v>#N/A</v>
      </c>
      <c r="JR18" s="49"/>
      <c r="JS18" s="47" t="s">
        <v>198</v>
      </c>
      <c r="JT18" s="41">
        <f>$T$59</f>
        <v>0</v>
      </c>
      <c r="JU18" s="43">
        <f t="shared" si="106"/>
        <v>3.6542510708618732</v>
      </c>
      <c r="JV18" s="38" t="e">
        <f t="shared" si="107"/>
        <v>#N/A</v>
      </c>
      <c r="JW18" s="41">
        <f>$T$60</f>
        <v>0</v>
      </c>
      <c r="JX18" s="43">
        <f t="shared" si="108"/>
        <v>2.6346657322662517</v>
      </c>
      <c r="JY18" s="38" t="e">
        <f t="shared" si="109"/>
        <v>#N/A</v>
      </c>
      <c r="JZ18" s="41">
        <f>$T$61</f>
        <v>0</v>
      </c>
      <c r="KA18" s="43">
        <f t="shared" si="156"/>
        <v>9.9182989581379041E-2</v>
      </c>
      <c r="KB18" s="38" t="e">
        <f t="shared" si="110"/>
        <v>#N/A</v>
      </c>
      <c r="KC18" s="49"/>
      <c r="KD18" s="47" t="s">
        <v>198</v>
      </c>
      <c r="KE18" s="41">
        <f>$T$62</f>
        <v>0</v>
      </c>
      <c r="KF18" s="43">
        <f t="shared" si="111"/>
        <v>1.8304419497114603</v>
      </c>
      <c r="KG18" s="38" t="e">
        <f t="shared" si="112"/>
        <v>#N/A</v>
      </c>
      <c r="KH18" s="41">
        <f>$T$63</f>
        <v>0</v>
      </c>
      <c r="KI18" s="43">
        <f t="shared" si="113"/>
        <v>3.868552848342202</v>
      </c>
      <c r="KJ18" s="38" t="e">
        <f t="shared" si="114"/>
        <v>#N/A</v>
      </c>
      <c r="KK18" s="41">
        <f>$T$64</f>
        <v>0</v>
      </c>
      <c r="KL18" s="43">
        <f t="shared" si="157"/>
        <v>0.13647245697511248</v>
      </c>
      <c r="KM18" s="38" t="e">
        <f t="shared" si="115"/>
        <v>#N/A</v>
      </c>
      <c r="KN18" s="49"/>
      <c r="KO18" s="47" t="s">
        <v>198</v>
      </c>
      <c r="KP18" s="41">
        <f>$T$65</f>
        <v>0</v>
      </c>
      <c r="KQ18" s="43">
        <f t="shared" si="116"/>
        <v>3.5258254515182217</v>
      </c>
      <c r="KR18" s="38" t="e">
        <f t="shared" si="117"/>
        <v>#N/A</v>
      </c>
      <c r="KS18" s="41">
        <f>$T$66</f>
        <v>0</v>
      </c>
      <c r="KT18" s="43">
        <f t="shared" si="118"/>
        <v>1.5710035120633761</v>
      </c>
      <c r="KU18" s="38" t="e">
        <f t="shared" si="119"/>
        <v>#N/A</v>
      </c>
      <c r="KV18" s="41">
        <f>$T$67</f>
        <v>0</v>
      </c>
      <c r="KW18" s="43">
        <f t="shared" si="158"/>
        <v>5.3009676693788067E-2</v>
      </c>
      <c r="KX18" s="38" t="e">
        <f t="shared" si="120"/>
        <v>#N/A</v>
      </c>
      <c r="KY18" s="49"/>
      <c r="KZ18" s="47" t="s">
        <v>198</v>
      </c>
      <c r="LA18" s="41">
        <f>$T$68</f>
        <v>0</v>
      </c>
      <c r="LB18" s="43">
        <f t="shared" si="121"/>
        <v>3.5023863953704675</v>
      </c>
      <c r="LC18" s="38" t="e">
        <f t="shared" si="122"/>
        <v>#N/A</v>
      </c>
      <c r="LD18" s="41">
        <f>$T$69</f>
        <v>0</v>
      </c>
      <c r="LE18" s="43">
        <f t="shared" si="123"/>
        <v>2.2450052204262185</v>
      </c>
      <c r="LF18" s="38" t="e">
        <f t="shared" si="124"/>
        <v>#N/A</v>
      </c>
      <c r="LG18" s="41">
        <f>$T$70</f>
        <v>0</v>
      </c>
      <c r="LH18" s="43">
        <f t="shared" si="159"/>
        <v>0</v>
      </c>
      <c r="LI18" s="38" t="e">
        <f t="shared" si="125"/>
        <v>#N/A</v>
      </c>
      <c r="LJ18" s="49"/>
      <c r="LK18" s="47" t="s">
        <v>198</v>
      </c>
      <c r="LL18" s="41">
        <f>$T$71</f>
        <v>0</v>
      </c>
      <c r="LM18" s="43">
        <f t="shared" si="126"/>
        <v>4.8300699339300781</v>
      </c>
      <c r="LN18" s="38" t="e">
        <f t="shared" si="127"/>
        <v>#N/A</v>
      </c>
      <c r="LO18" s="41">
        <f>$T$72</f>
        <v>0</v>
      </c>
      <c r="LP18" s="43">
        <f t="shared" si="128"/>
        <v>2.8847298348467207</v>
      </c>
      <c r="LQ18" s="38" t="e">
        <f t="shared" si="129"/>
        <v>#N/A</v>
      </c>
      <c r="LR18" s="41">
        <f>$T$73</f>
        <v>0</v>
      </c>
      <c r="LS18" s="43">
        <f t="shared" si="160"/>
        <v>5.2100141830148959E-2</v>
      </c>
      <c r="LT18" s="38" t="e">
        <f t="shared" si="130"/>
        <v>#N/A</v>
      </c>
      <c r="LU18" s="49"/>
      <c r="LV18" s="47" t="s">
        <v>198</v>
      </c>
      <c r="LW18" s="41">
        <f>$T$74</f>
        <v>0</v>
      </c>
      <c r="LX18" s="43">
        <f t="shared" si="131"/>
        <v>4.1982682278503578</v>
      </c>
      <c r="LY18" s="38" t="e">
        <f t="shared" si="132"/>
        <v>#N/A</v>
      </c>
      <c r="LZ18" s="41">
        <f>$T$75</f>
        <v>0</v>
      </c>
      <c r="MA18" s="43">
        <f t="shared" si="133"/>
        <v>4.011339754780928</v>
      </c>
      <c r="MB18" s="38" t="e">
        <f t="shared" si="134"/>
        <v>#N/A</v>
      </c>
      <c r="MC18" s="41">
        <f>$T$76</f>
        <v>0</v>
      </c>
      <c r="MD18" s="43">
        <f t="shared" si="161"/>
        <v>7.5312296376773502E-2</v>
      </c>
      <c r="ME18" s="38" t="e">
        <f t="shared" si="135"/>
        <v>#N/A</v>
      </c>
    </row>
    <row r="19" spans="2:343" ht="14.25" customHeight="1" thickBot="1" x14ac:dyDescent="0.25">
      <c r="B19" s="139">
        <f>E19/SUM($E$17:$E$19)</f>
        <v>1.6893011998969955E-2</v>
      </c>
      <c r="C19" s="140" t="s">
        <v>2</v>
      </c>
      <c r="D19" s="141"/>
      <c r="E19" s="170">
        <f>CORE!E168</f>
        <v>1.5310312146802863E-2</v>
      </c>
      <c r="F19" s="170">
        <f>CORE!F168</f>
        <v>4.6142365968127805E-3</v>
      </c>
      <c r="G19" s="170">
        <f>CORE!G168</f>
        <v>0</v>
      </c>
      <c r="H19" s="170">
        <f>CORE!H168</f>
        <v>1.2818043206115581E-2</v>
      </c>
      <c r="I19" s="170">
        <f>CORE!I168</f>
        <v>0</v>
      </c>
      <c r="J19" s="170">
        <f>CORE!J168</f>
        <v>0</v>
      </c>
      <c r="K19" s="170">
        <f>CORE!K168</f>
        <v>2.0599270521485628E-2</v>
      </c>
      <c r="L19" s="170">
        <f>CORE!L168</f>
        <v>0</v>
      </c>
      <c r="M19" s="170">
        <f>CORE!M168</f>
        <v>0.13183533133750802</v>
      </c>
      <c r="N19" s="170">
        <f>CORE!N168</f>
        <v>0</v>
      </c>
      <c r="O19" s="170">
        <f>CORE!O168</f>
        <v>0</v>
      </c>
      <c r="P19" s="170">
        <f>CORE!P168</f>
        <v>0</v>
      </c>
      <c r="Q19" s="170">
        <f>CORE!Q168</f>
        <v>0</v>
      </c>
      <c r="R19" s="170">
        <f>CORE!R168</f>
        <v>0</v>
      </c>
      <c r="S19" s="170">
        <f>CORE!S168</f>
        <v>0</v>
      </c>
      <c r="T19" s="170">
        <f>CORE!T168</f>
        <v>0</v>
      </c>
      <c r="U19" s="170">
        <f>CORE!U168</f>
        <v>0</v>
      </c>
      <c r="V19" s="170">
        <f>CORE!V168</f>
        <v>0</v>
      </c>
      <c r="W19" s="170">
        <f>CORE!W168</f>
        <v>0</v>
      </c>
      <c r="X19" s="170">
        <f>CORE!X168</f>
        <v>0</v>
      </c>
      <c r="Y19" s="171">
        <f>CORE!Y168</f>
        <v>0</v>
      </c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2"/>
      <c r="AQ19" s="33">
        <v>2.7929644475035835</v>
      </c>
      <c r="AR19" s="11">
        <f>AU19/SUM($AU17:$AU19)</f>
        <v>1.6893011998969955E-2</v>
      </c>
      <c r="AS19" s="120" t="s">
        <v>2</v>
      </c>
      <c r="AT19" s="31"/>
      <c r="AU19" s="125">
        <f>IF((E17+E18+E19)=0,1,E19/(E17+E18+E19)*$AQ19)</f>
        <v>4.7181581924374529E-2</v>
      </c>
      <c r="AV19" s="125">
        <f t="shared" ref="AV19:BO19" si="173">IF((F17+F18+F19)=0,0,F19/(F17+F18+F19)*$AQ19)</f>
        <v>1.4219630528985094E-2</v>
      </c>
      <c r="AW19" s="125">
        <f t="shared" si="173"/>
        <v>0</v>
      </c>
      <c r="AX19" s="125">
        <f t="shared" si="173"/>
        <v>3.9501190429079874E-2</v>
      </c>
      <c r="AY19" s="125">
        <f t="shared" si="173"/>
        <v>0</v>
      </c>
      <c r="AZ19" s="125">
        <f t="shared" si="173"/>
        <v>0</v>
      </c>
      <c r="BA19" s="125">
        <f t="shared" si="173"/>
        <v>7.3441416736167289E-2</v>
      </c>
      <c r="BB19" s="125">
        <f t="shared" si="173"/>
        <v>0</v>
      </c>
      <c r="BC19" s="125">
        <f t="shared" si="173"/>
        <v>0.63839187371510486</v>
      </c>
      <c r="BD19" s="125">
        <f t="shared" si="173"/>
        <v>0</v>
      </c>
      <c r="BE19" s="125">
        <f t="shared" si="173"/>
        <v>0</v>
      </c>
      <c r="BF19" s="125">
        <f t="shared" si="173"/>
        <v>0</v>
      </c>
      <c r="BG19" s="125">
        <f t="shared" si="173"/>
        <v>0</v>
      </c>
      <c r="BH19" s="125">
        <f t="shared" si="173"/>
        <v>0</v>
      </c>
      <c r="BI19" s="125">
        <f t="shared" si="173"/>
        <v>0</v>
      </c>
      <c r="BJ19" s="125">
        <f t="shared" si="173"/>
        <v>0</v>
      </c>
      <c r="BK19" s="125">
        <f t="shared" si="173"/>
        <v>0</v>
      </c>
      <c r="BL19" s="125">
        <f t="shared" si="173"/>
        <v>0</v>
      </c>
      <c r="BM19" s="125">
        <f t="shared" si="173"/>
        <v>0</v>
      </c>
      <c r="BN19" s="125">
        <f t="shared" si="173"/>
        <v>0</v>
      </c>
      <c r="BO19" s="126">
        <f t="shared" si="173"/>
        <v>0</v>
      </c>
      <c r="BP19" s="29">
        <v>16</v>
      </c>
      <c r="BQ19" s="47" t="s">
        <v>200</v>
      </c>
      <c r="BR19" s="47" t="s">
        <v>201</v>
      </c>
      <c r="BS19" s="41">
        <f>BK2</f>
        <v>0</v>
      </c>
      <c r="BT19" s="43">
        <f t="shared" si="10"/>
        <v>539.47992881945811</v>
      </c>
      <c r="BU19" s="38" t="e">
        <f t="shared" si="11"/>
        <v>#N/A</v>
      </c>
      <c r="BV19" s="41">
        <f>BK3</f>
        <v>0</v>
      </c>
      <c r="BW19" s="43">
        <f t="shared" si="12"/>
        <v>493.28617111859609</v>
      </c>
      <c r="BX19" s="38" t="e">
        <f t="shared" si="13"/>
        <v>#N/A</v>
      </c>
      <c r="BY19" s="41">
        <f>BK4</f>
        <v>0</v>
      </c>
      <c r="BZ19" s="43">
        <f t="shared" si="14"/>
        <v>16.152245399423034</v>
      </c>
      <c r="CA19" s="38" t="e">
        <f t="shared" si="15"/>
        <v>#N/A</v>
      </c>
      <c r="CB19" s="49"/>
      <c r="CC19" s="47" t="s">
        <v>199</v>
      </c>
      <c r="CD19" s="41">
        <f>$U$5</f>
        <v>0</v>
      </c>
      <c r="CE19" s="43">
        <f t="shared" si="16"/>
        <v>6.7023617306159995</v>
      </c>
      <c r="CF19" s="38" t="e">
        <f t="shared" si="17"/>
        <v>#N/A</v>
      </c>
      <c r="CG19" s="41">
        <f>$U$6</f>
        <v>0</v>
      </c>
      <c r="CH19" s="43">
        <f t="shared" si="18"/>
        <v>4.2387638105095418</v>
      </c>
      <c r="CI19" s="38" t="e">
        <f t="shared" si="19"/>
        <v>#N/A</v>
      </c>
      <c r="CJ19" s="41">
        <f>$U$7</f>
        <v>0</v>
      </c>
      <c r="CK19" s="43">
        <f t="shared" si="138"/>
        <v>5.8874458874458871E-2</v>
      </c>
      <c r="CL19" s="38" t="e">
        <f t="shared" si="20"/>
        <v>#N/A</v>
      </c>
      <c r="CM19" s="49"/>
      <c r="CN19" s="47" t="s">
        <v>199</v>
      </c>
      <c r="CO19" s="41">
        <f>$U$8</f>
        <v>0</v>
      </c>
      <c r="CP19" s="43">
        <f t="shared" si="21"/>
        <v>5.4642316405504285</v>
      </c>
      <c r="CQ19" s="38" t="e">
        <f t="shared" si="22"/>
        <v>#N/A</v>
      </c>
      <c r="CR19" s="41">
        <f>$U$9</f>
        <v>0</v>
      </c>
      <c r="CS19" s="43">
        <f t="shared" si="23"/>
        <v>2.7563624054549232</v>
      </c>
      <c r="CT19" s="38" t="e">
        <f t="shared" si="24"/>
        <v>#N/A</v>
      </c>
      <c r="CU19" s="41">
        <f>$U$10</f>
        <v>0</v>
      </c>
      <c r="CV19" s="43">
        <f t="shared" si="139"/>
        <v>7.1847052454791255E-2</v>
      </c>
      <c r="CW19" s="38" t="e">
        <f t="shared" si="25"/>
        <v>#N/A</v>
      </c>
      <c r="CX19" s="49"/>
      <c r="CY19" s="47" t="s">
        <v>199</v>
      </c>
      <c r="CZ19" s="41">
        <f>$U$11</f>
        <v>0</v>
      </c>
      <c r="DA19" s="43">
        <f t="shared" si="26"/>
        <v>4.953802431779418</v>
      </c>
      <c r="DB19" s="38" t="e">
        <f t="shared" si="27"/>
        <v>#N/A</v>
      </c>
      <c r="DC19" s="41">
        <f>$U$12</f>
        <v>0</v>
      </c>
      <c r="DD19" s="43">
        <f t="shared" si="28"/>
        <v>3.0743767793404873</v>
      </c>
      <c r="DE19" s="38" t="e">
        <f t="shared" si="29"/>
        <v>#N/A</v>
      </c>
      <c r="DF19" s="41">
        <f>$U$13</f>
        <v>0</v>
      </c>
      <c r="DG19" s="43">
        <f t="shared" si="140"/>
        <v>0.10428877821453758</v>
      </c>
      <c r="DH19" s="38" t="e">
        <f t="shared" si="30"/>
        <v>#N/A</v>
      </c>
      <c r="DI19" s="49"/>
      <c r="DJ19" s="47" t="s">
        <v>199</v>
      </c>
      <c r="DK19" s="41">
        <f>$U$14</f>
        <v>0</v>
      </c>
      <c r="DL19" s="43">
        <f t="shared" si="31"/>
        <v>4.3316881585615796</v>
      </c>
      <c r="DM19" s="38" t="e">
        <f t="shared" si="32"/>
        <v>#N/A</v>
      </c>
      <c r="DN19" s="41">
        <f>$U$15</f>
        <v>0</v>
      </c>
      <c r="DO19" s="43">
        <f t="shared" si="33"/>
        <v>4.2776562847411803</v>
      </c>
      <c r="DP19" s="38" t="e">
        <f t="shared" si="34"/>
        <v>#N/A</v>
      </c>
      <c r="DQ19" s="41">
        <f>$U$16</f>
        <v>0</v>
      </c>
      <c r="DR19" s="43">
        <f t="shared" si="141"/>
        <v>0.20109475903041757</v>
      </c>
      <c r="DS19" s="38" t="e">
        <f t="shared" si="35"/>
        <v>#N/A</v>
      </c>
      <c r="DT19" s="49"/>
      <c r="DU19" s="47" t="s">
        <v>199</v>
      </c>
      <c r="DV19" s="41">
        <f>$U$17</f>
        <v>0</v>
      </c>
      <c r="DW19" s="43">
        <f t="shared" si="36"/>
        <v>2.7253552615270826</v>
      </c>
      <c r="DX19" s="38" t="e">
        <f t="shared" si="37"/>
        <v>#N/A</v>
      </c>
      <c r="DY19" s="41">
        <f>$U$18</f>
        <v>0</v>
      </c>
      <c r="DZ19" s="43">
        <f t="shared" si="38"/>
        <v>4.3566623429731317</v>
      </c>
      <c r="EA19" s="38" t="e">
        <f t="shared" si="39"/>
        <v>#N/A</v>
      </c>
      <c r="EB19" s="41">
        <f>$U$19</f>
        <v>0</v>
      </c>
      <c r="EC19" s="43">
        <f t="shared" si="142"/>
        <v>0.16986688166192201</v>
      </c>
      <c r="ED19" s="38" t="e">
        <f t="shared" si="40"/>
        <v>#N/A</v>
      </c>
      <c r="EE19" s="49"/>
      <c r="EF19" s="47" t="s">
        <v>199</v>
      </c>
      <c r="EG19" s="41">
        <f>$U$20</f>
        <v>0</v>
      </c>
      <c r="EH19" s="43">
        <f t="shared" si="41"/>
        <v>5.2167381117520613</v>
      </c>
      <c r="EI19" s="38" t="e">
        <f t="shared" si="42"/>
        <v>#N/A</v>
      </c>
      <c r="EJ19" s="41">
        <f>$U$21</f>
        <v>0</v>
      </c>
      <c r="EK19" s="43">
        <f t="shared" si="43"/>
        <v>3.7012762859146568</v>
      </c>
      <c r="EL19" s="38" t="e">
        <f t="shared" si="44"/>
        <v>#N/A</v>
      </c>
      <c r="EM19" s="41">
        <f>$U$22</f>
        <v>0</v>
      </c>
      <c r="EN19" s="43">
        <f t="shared" si="143"/>
        <v>6.4113811271175311E-2</v>
      </c>
      <c r="EO19" s="38" t="e">
        <f t="shared" si="45"/>
        <v>#N/A</v>
      </c>
      <c r="EP19" s="49"/>
      <c r="EQ19" s="47" t="s">
        <v>199</v>
      </c>
      <c r="ER19" s="41">
        <f>$U$23</f>
        <v>0</v>
      </c>
      <c r="ES19" s="43">
        <f t="shared" si="46"/>
        <v>5.1327622151523205</v>
      </c>
      <c r="ET19" s="38" t="e">
        <f t="shared" si="47"/>
        <v>#N/A</v>
      </c>
      <c r="EU19" s="41">
        <f>$U$24</f>
        <v>0</v>
      </c>
      <c r="EV19" s="43">
        <f t="shared" si="48"/>
        <v>3.8549766297510812</v>
      </c>
      <c r="EW19" s="38" t="e">
        <f t="shared" si="49"/>
        <v>#N/A</v>
      </c>
      <c r="EX19" s="41">
        <f>$U$25</f>
        <v>0</v>
      </c>
      <c r="EY19" s="43">
        <f t="shared" si="144"/>
        <v>0.17547707989316763</v>
      </c>
      <c r="EZ19" s="38" t="e">
        <f t="shared" si="50"/>
        <v>#N/A</v>
      </c>
      <c r="FA19" s="49"/>
      <c r="FB19" s="47" t="s">
        <v>199</v>
      </c>
      <c r="FC19" s="41">
        <f>$U$26</f>
        <v>0</v>
      </c>
      <c r="FD19" s="43">
        <f t="shared" si="51"/>
        <v>3.800872265412135</v>
      </c>
      <c r="FE19" s="38" t="e">
        <f t="shared" si="52"/>
        <v>#N/A</v>
      </c>
      <c r="FF19" s="41">
        <f>$U$27</f>
        <v>0</v>
      </c>
      <c r="FG19" s="43">
        <f t="shared" si="53"/>
        <v>4.20210081283623</v>
      </c>
      <c r="FH19" s="38" t="e">
        <f t="shared" si="54"/>
        <v>#N/A</v>
      </c>
      <c r="FI19" s="41">
        <f>$U$28</f>
        <v>0</v>
      </c>
      <c r="FJ19" s="43">
        <f t="shared" si="145"/>
        <v>5.2788056749913902E-2</v>
      </c>
      <c r="FK19" s="38" t="e">
        <f t="shared" si="55"/>
        <v>#N/A</v>
      </c>
      <c r="FL19" s="49"/>
      <c r="FM19" s="47" t="s">
        <v>199</v>
      </c>
      <c r="FN19" s="41">
        <f>$U$29</f>
        <v>0</v>
      </c>
      <c r="FO19" s="43">
        <f t="shared" si="56"/>
        <v>2.9249999999999998</v>
      </c>
      <c r="FP19" s="38" t="e">
        <f t="shared" si="57"/>
        <v>#N/A</v>
      </c>
      <c r="FQ19" s="41">
        <f>$U$30</f>
        <v>0</v>
      </c>
      <c r="FR19" s="43">
        <f t="shared" si="58"/>
        <v>2.95</v>
      </c>
      <c r="FS19" s="38" t="e">
        <f t="shared" si="59"/>
        <v>#N/A</v>
      </c>
      <c r="FT19" s="41">
        <f>$U$31</f>
        <v>0</v>
      </c>
      <c r="FU19" s="43">
        <f t="shared" si="146"/>
        <v>0.125</v>
      </c>
      <c r="FV19" s="38" t="e">
        <f t="shared" si="60"/>
        <v>#N/A</v>
      </c>
      <c r="FW19" s="49"/>
      <c r="FX19" s="47" t="s">
        <v>199</v>
      </c>
      <c r="FY19" s="41">
        <f>$U$32</f>
        <v>0</v>
      </c>
      <c r="FZ19" s="43">
        <f t="shared" si="61"/>
        <v>2.7834023424848038</v>
      </c>
      <c r="GA19" s="38" t="e">
        <f t="shared" si="62"/>
        <v>#N/A</v>
      </c>
      <c r="GB19" s="41">
        <f>$U$33</f>
        <v>0</v>
      </c>
      <c r="GC19" s="43">
        <f t="shared" si="63"/>
        <v>4.200595681544038</v>
      </c>
      <c r="GD19" s="38" t="e">
        <f t="shared" si="64"/>
        <v>#N/A</v>
      </c>
      <c r="GE19" s="41">
        <f>$U$34</f>
        <v>0</v>
      </c>
      <c r="GF19" s="43">
        <f t="shared" si="147"/>
        <v>0.26395674063478058</v>
      </c>
      <c r="GG19" s="38" t="e">
        <f t="shared" si="65"/>
        <v>#N/A</v>
      </c>
      <c r="GH19" s="49"/>
      <c r="GI19" s="47" t="s">
        <v>199</v>
      </c>
      <c r="GJ19" s="41">
        <f>$U$35</f>
        <v>0</v>
      </c>
      <c r="GK19" s="43">
        <f t="shared" si="66"/>
        <v>6.213372016921979</v>
      </c>
      <c r="GL19" s="38" t="e">
        <f t="shared" si="67"/>
        <v>#N/A</v>
      </c>
      <c r="GM19" s="41">
        <f>$U$36</f>
        <v>0</v>
      </c>
      <c r="GN19" s="43">
        <f t="shared" si="68"/>
        <v>3.0230596595535495</v>
      </c>
      <c r="GO19" s="38" t="e">
        <f t="shared" si="69"/>
        <v>#N/A</v>
      </c>
      <c r="GP19" s="41">
        <f>$U$37</f>
        <v>0</v>
      </c>
      <c r="GQ19" s="43">
        <f t="shared" si="148"/>
        <v>4.968696543043527E-2</v>
      </c>
      <c r="GR19" s="38" t="e">
        <f t="shared" si="70"/>
        <v>#N/A</v>
      </c>
      <c r="GS19" s="49"/>
      <c r="GT19" s="47" t="s">
        <v>199</v>
      </c>
      <c r="GU19" s="41">
        <f>$U$38</f>
        <v>0</v>
      </c>
      <c r="GV19" s="43">
        <f t="shared" si="71"/>
        <v>4.1824765482792525</v>
      </c>
      <c r="GW19" s="38" t="e">
        <f t="shared" si="72"/>
        <v>#N/A</v>
      </c>
      <c r="GX19" s="41">
        <f>$U$39</f>
        <v>0</v>
      </c>
      <c r="GY19" s="43">
        <f t="shared" si="73"/>
        <v>2.6920064898727674</v>
      </c>
      <c r="GZ19" s="38" t="e">
        <f t="shared" si="74"/>
        <v>#N/A</v>
      </c>
      <c r="HA19" s="41">
        <f>$U$40</f>
        <v>0</v>
      </c>
      <c r="HB19" s="43">
        <f t="shared" si="149"/>
        <v>4.296145506701958E-2</v>
      </c>
      <c r="HC19" s="38" t="e">
        <f t="shared" si="75"/>
        <v>#N/A</v>
      </c>
      <c r="HD19" s="49"/>
      <c r="HE19" s="47" t="s">
        <v>199</v>
      </c>
      <c r="HF19" s="41">
        <f>$U$41</f>
        <v>0</v>
      </c>
      <c r="HG19" s="43">
        <f t="shared" si="76"/>
        <v>4.5133050130834889</v>
      </c>
      <c r="HH19" s="38" t="e">
        <f t="shared" si="77"/>
        <v>#N/A</v>
      </c>
      <c r="HI19" s="41">
        <f>$U$42</f>
        <v>0</v>
      </c>
      <c r="HJ19" s="43">
        <f t="shared" si="78"/>
        <v>4.2909325210683598</v>
      </c>
      <c r="HK19" s="38" t="e">
        <f t="shared" si="79"/>
        <v>#N/A</v>
      </c>
      <c r="HL19" s="41">
        <f>$U$43</f>
        <v>0</v>
      </c>
      <c r="HM19" s="43">
        <f t="shared" si="150"/>
        <v>6.6114804770160684E-2</v>
      </c>
      <c r="HN19" s="38" t="e">
        <f t="shared" si="80"/>
        <v>#N/A</v>
      </c>
      <c r="HO19" s="49"/>
      <c r="HP19" s="47" t="s">
        <v>199</v>
      </c>
      <c r="HQ19" s="41">
        <f>$U$44</f>
        <v>0</v>
      </c>
      <c r="HR19" s="43">
        <f t="shared" si="81"/>
        <v>4.5078662583428111</v>
      </c>
      <c r="HS19" s="38" t="e">
        <f t="shared" si="82"/>
        <v>#N/A</v>
      </c>
      <c r="HT19" s="41">
        <f>$U$45</f>
        <v>0</v>
      </c>
      <c r="HU19" s="43">
        <f t="shared" si="83"/>
        <v>3.8847364181475479</v>
      </c>
      <c r="HV19" s="38" t="e">
        <f t="shared" si="84"/>
        <v>#N/A</v>
      </c>
      <c r="HW19" s="41">
        <f>$U$46</f>
        <v>0</v>
      </c>
      <c r="HX19" s="43">
        <f t="shared" si="151"/>
        <v>8.1980304402385351E-2</v>
      </c>
      <c r="HY19" s="38" t="e">
        <f t="shared" si="85"/>
        <v>#N/A</v>
      </c>
      <c r="HZ19" s="49"/>
      <c r="IA19" s="47" t="s">
        <v>199</v>
      </c>
      <c r="IB19" s="41">
        <f>$U$47</f>
        <v>0</v>
      </c>
      <c r="IC19" s="43">
        <f t="shared" si="86"/>
        <v>3.2793557911556031</v>
      </c>
      <c r="ID19" s="38" t="e">
        <f t="shared" si="87"/>
        <v>#N/A</v>
      </c>
      <c r="IE19" s="41">
        <f>$U$48</f>
        <v>0</v>
      </c>
      <c r="IF19" s="43">
        <f t="shared" si="88"/>
        <v>5.1085334391796824</v>
      </c>
      <c r="IG19" s="38" t="e">
        <f t="shared" si="89"/>
        <v>#N/A</v>
      </c>
      <c r="IH19" s="41">
        <f>$U$49</f>
        <v>0</v>
      </c>
      <c r="II19" s="43">
        <f t="shared" si="152"/>
        <v>0.15467084417540078</v>
      </c>
      <c r="IJ19" s="38" t="e">
        <f t="shared" si="90"/>
        <v>#N/A</v>
      </c>
      <c r="IK19" s="49"/>
      <c r="IL19" s="47" t="s">
        <v>199</v>
      </c>
      <c r="IM19" s="41">
        <f>$U$50</f>
        <v>0</v>
      </c>
      <c r="IN19" s="43">
        <f t="shared" si="91"/>
        <v>3.9262013198965633</v>
      </c>
      <c r="IO19" s="38" t="e">
        <f t="shared" si="92"/>
        <v>#N/A</v>
      </c>
      <c r="IP19" s="41">
        <f>$U$51</f>
        <v>0</v>
      </c>
      <c r="IQ19" s="43">
        <f t="shared" si="93"/>
        <v>5.9153409841907063</v>
      </c>
      <c r="IR19" s="38" t="e">
        <f t="shared" si="94"/>
        <v>#N/A</v>
      </c>
      <c r="IS19" s="41">
        <f>$U$52</f>
        <v>0</v>
      </c>
      <c r="IT19" s="43">
        <f t="shared" si="153"/>
        <v>5.6197847379977822E-2</v>
      </c>
      <c r="IU19" s="38" t="e">
        <f t="shared" si="95"/>
        <v>#N/A</v>
      </c>
      <c r="IV19" s="49"/>
      <c r="IW19" s="47" t="s">
        <v>199</v>
      </c>
      <c r="IX19" s="41">
        <f>$U$53</f>
        <v>0</v>
      </c>
      <c r="IY19" s="43">
        <f t="shared" si="96"/>
        <v>3.3457511955054295</v>
      </c>
      <c r="IZ19" s="38" t="e">
        <f t="shared" si="97"/>
        <v>#N/A</v>
      </c>
      <c r="JA19" s="41">
        <f>$U$54</f>
        <v>0</v>
      </c>
      <c r="JB19" s="43">
        <f t="shared" si="98"/>
        <v>2.6220045653360193</v>
      </c>
      <c r="JC19" s="38" t="e">
        <f t="shared" si="99"/>
        <v>#N/A</v>
      </c>
      <c r="JD19" s="41">
        <f>$U$55</f>
        <v>0</v>
      </c>
      <c r="JE19" s="43">
        <f t="shared" si="154"/>
        <v>0.16635006784260528</v>
      </c>
      <c r="JF19" s="38" t="e">
        <f t="shared" si="100"/>
        <v>#N/A</v>
      </c>
      <c r="JG19" s="49"/>
      <c r="JH19" s="47" t="s">
        <v>199</v>
      </c>
      <c r="JI19" s="41">
        <f>$U$56</f>
        <v>0</v>
      </c>
      <c r="JJ19" s="43">
        <f t="shared" si="101"/>
        <v>6.668961047701476</v>
      </c>
      <c r="JK19" s="38" t="e">
        <f t="shared" si="102"/>
        <v>#N/A</v>
      </c>
      <c r="JL19" s="41">
        <f>$U$57</f>
        <v>0</v>
      </c>
      <c r="JM19" s="43">
        <f t="shared" si="103"/>
        <v>2.1149900408273159</v>
      </c>
      <c r="JN19" s="38" t="e">
        <f t="shared" si="104"/>
        <v>#N/A</v>
      </c>
      <c r="JO19" s="41">
        <f>$U$58</f>
        <v>0</v>
      </c>
      <c r="JP19" s="43">
        <f t="shared" si="155"/>
        <v>0.11950643687413505</v>
      </c>
      <c r="JQ19" s="38" t="e">
        <f t="shared" si="105"/>
        <v>#N/A</v>
      </c>
      <c r="JR19" s="49"/>
      <c r="JS19" s="47" t="s">
        <v>199</v>
      </c>
      <c r="JT19" s="41">
        <f>$U$59</f>
        <v>0</v>
      </c>
      <c r="JU19" s="43">
        <f t="shared" si="106"/>
        <v>3.6542510708618732</v>
      </c>
      <c r="JV19" s="38" t="e">
        <f t="shared" si="107"/>
        <v>#N/A</v>
      </c>
      <c r="JW19" s="41">
        <f>$U$60</f>
        <v>0</v>
      </c>
      <c r="JX19" s="43">
        <f t="shared" si="108"/>
        <v>2.6346657322662517</v>
      </c>
      <c r="JY19" s="38" t="e">
        <f t="shared" si="109"/>
        <v>#N/A</v>
      </c>
      <c r="JZ19" s="41">
        <f>$U$61</f>
        <v>0</v>
      </c>
      <c r="KA19" s="43">
        <f t="shared" si="156"/>
        <v>9.9182989581379041E-2</v>
      </c>
      <c r="KB19" s="38" t="e">
        <f t="shared" si="110"/>
        <v>#N/A</v>
      </c>
      <c r="KC19" s="49"/>
      <c r="KD19" s="47" t="s">
        <v>199</v>
      </c>
      <c r="KE19" s="41">
        <f>$U$62</f>
        <v>0</v>
      </c>
      <c r="KF19" s="43">
        <f t="shared" si="111"/>
        <v>1.8304419497114603</v>
      </c>
      <c r="KG19" s="38" t="e">
        <f t="shared" si="112"/>
        <v>#N/A</v>
      </c>
      <c r="KH19" s="41">
        <f>$U$63</f>
        <v>0</v>
      </c>
      <c r="KI19" s="43">
        <f t="shared" si="113"/>
        <v>3.868552848342202</v>
      </c>
      <c r="KJ19" s="38" t="e">
        <f t="shared" si="114"/>
        <v>#N/A</v>
      </c>
      <c r="KK19" s="41">
        <f>$U$64</f>
        <v>0</v>
      </c>
      <c r="KL19" s="43">
        <f t="shared" si="157"/>
        <v>0.13647245697511248</v>
      </c>
      <c r="KM19" s="38" t="e">
        <f t="shared" si="115"/>
        <v>#N/A</v>
      </c>
      <c r="KN19" s="49"/>
      <c r="KO19" s="47" t="s">
        <v>199</v>
      </c>
      <c r="KP19" s="41">
        <f>$U$65</f>
        <v>0</v>
      </c>
      <c r="KQ19" s="43">
        <f t="shared" si="116"/>
        <v>3.5258254515182217</v>
      </c>
      <c r="KR19" s="38" t="e">
        <f t="shared" si="117"/>
        <v>#N/A</v>
      </c>
      <c r="KS19" s="41">
        <f>$U$66</f>
        <v>0</v>
      </c>
      <c r="KT19" s="43">
        <f t="shared" si="118"/>
        <v>1.5710035120633761</v>
      </c>
      <c r="KU19" s="38" t="e">
        <f t="shared" si="119"/>
        <v>#N/A</v>
      </c>
      <c r="KV19" s="41">
        <f>$U$67</f>
        <v>0</v>
      </c>
      <c r="KW19" s="43">
        <f t="shared" si="158"/>
        <v>5.3009676693788067E-2</v>
      </c>
      <c r="KX19" s="38" t="e">
        <f t="shared" si="120"/>
        <v>#N/A</v>
      </c>
      <c r="KY19" s="49"/>
      <c r="KZ19" s="47" t="s">
        <v>199</v>
      </c>
      <c r="LA19" s="41">
        <f>$U$68</f>
        <v>0</v>
      </c>
      <c r="LB19" s="43">
        <f t="shared" si="121"/>
        <v>3.5023863953704675</v>
      </c>
      <c r="LC19" s="38" t="e">
        <f t="shared" si="122"/>
        <v>#N/A</v>
      </c>
      <c r="LD19" s="41">
        <f>$U$69</f>
        <v>0</v>
      </c>
      <c r="LE19" s="43">
        <f t="shared" si="123"/>
        <v>2.2450052204262185</v>
      </c>
      <c r="LF19" s="38" t="e">
        <f t="shared" si="124"/>
        <v>#N/A</v>
      </c>
      <c r="LG19" s="41">
        <f>$U$70</f>
        <v>0</v>
      </c>
      <c r="LH19" s="43">
        <f t="shared" si="159"/>
        <v>0</v>
      </c>
      <c r="LI19" s="38" t="e">
        <f t="shared" si="125"/>
        <v>#N/A</v>
      </c>
      <c r="LJ19" s="49"/>
      <c r="LK19" s="47" t="s">
        <v>199</v>
      </c>
      <c r="LL19" s="41">
        <f>$U$71</f>
        <v>0</v>
      </c>
      <c r="LM19" s="43">
        <f t="shared" si="126"/>
        <v>4.8300699339300781</v>
      </c>
      <c r="LN19" s="38" t="e">
        <f t="shared" si="127"/>
        <v>#N/A</v>
      </c>
      <c r="LO19" s="41">
        <f>$U$72</f>
        <v>0</v>
      </c>
      <c r="LP19" s="43">
        <f t="shared" si="128"/>
        <v>2.8847298348467207</v>
      </c>
      <c r="LQ19" s="38" t="e">
        <f t="shared" si="129"/>
        <v>#N/A</v>
      </c>
      <c r="LR19" s="41">
        <f>$U$73</f>
        <v>0</v>
      </c>
      <c r="LS19" s="43">
        <f t="shared" si="160"/>
        <v>5.2100141830148959E-2</v>
      </c>
      <c r="LT19" s="38" t="e">
        <f t="shared" si="130"/>
        <v>#N/A</v>
      </c>
      <c r="LU19" s="49"/>
      <c r="LV19" s="47" t="s">
        <v>199</v>
      </c>
      <c r="LW19" s="41">
        <f>$U$74</f>
        <v>0</v>
      </c>
      <c r="LX19" s="43">
        <f t="shared" si="131"/>
        <v>4.1982682278503578</v>
      </c>
      <c r="LY19" s="38" t="e">
        <f t="shared" si="132"/>
        <v>#N/A</v>
      </c>
      <c r="LZ19" s="41">
        <f>$U$75</f>
        <v>0</v>
      </c>
      <c r="MA19" s="43">
        <f t="shared" si="133"/>
        <v>4.011339754780928</v>
      </c>
      <c r="MB19" s="38" t="e">
        <f t="shared" si="134"/>
        <v>#N/A</v>
      </c>
      <c r="MC19" s="41">
        <f>$U$76</f>
        <v>0</v>
      </c>
      <c r="MD19" s="43">
        <f t="shared" si="161"/>
        <v>7.5312296376773502E-2</v>
      </c>
      <c r="ME19" s="38" t="e">
        <f t="shared" si="135"/>
        <v>#N/A</v>
      </c>
    </row>
    <row r="20" spans="2:343" ht="14.25" customHeight="1" x14ac:dyDescent="0.2">
      <c r="B20" s="133">
        <f>E20/SUM($E$20:$E$22)</f>
        <v>0.56873238931497072</v>
      </c>
      <c r="C20" s="134" t="s">
        <v>0</v>
      </c>
      <c r="D20" s="135"/>
      <c r="E20" s="166">
        <f>CORE!E203</f>
        <v>0.56873238931497072</v>
      </c>
      <c r="F20" s="166">
        <f>CORE!F203</f>
        <v>0.65011673337423748</v>
      </c>
      <c r="G20" s="166">
        <f>CORE!G203</f>
        <v>0.48896584509282304</v>
      </c>
      <c r="H20" s="166">
        <f>CORE!H203</f>
        <v>0.51824461072721861</v>
      </c>
      <c r="I20" s="166">
        <f>CORE!I203</f>
        <v>0.54596946201069718</v>
      </c>
      <c r="J20" s="166">
        <f>CORE!J203</f>
        <v>0.50288543388581142</v>
      </c>
      <c r="K20" s="166">
        <f>CORE!K203</f>
        <v>0.58723367567524964</v>
      </c>
      <c r="L20" s="166">
        <f>CORE!L203</f>
        <v>0.58624974683134934</v>
      </c>
      <c r="M20" s="166">
        <f>CORE!M203</f>
        <v>0.21329227614644389</v>
      </c>
      <c r="N20" s="166">
        <f>CORE!N203</f>
        <v>0.58443518474598188</v>
      </c>
      <c r="O20" s="166">
        <f>CORE!O203</f>
        <v>0.28620288257111104</v>
      </c>
      <c r="P20" s="166">
        <f>CORE!P203</f>
        <v>1.9508269792378082E-2</v>
      </c>
      <c r="Q20" s="166">
        <f>CORE!Q203</f>
        <v>0</v>
      </c>
      <c r="R20" s="166">
        <f>CORE!R203</f>
        <v>0.23363399089876033</v>
      </c>
      <c r="S20" s="166">
        <f>CORE!S203</f>
        <v>0</v>
      </c>
      <c r="T20" s="166">
        <f>CORE!T203</f>
        <v>0</v>
      </c>
      <c r="U20" s="166">
        <f>CORE!U203</f>
        <v>0</v>
      </c>
      <c r="V20" s="166">
        <f>CORE!V203</f>
        <v>0</v>
      </c>
      <c r="W20" s="166">
        <f>CORE!W203</f>
        <v>0</v>
      </c>
      <c r="X20" s="166">
        <f>CORE!X203</f>
        <v>0</v>
      </c>
      <c r="Y20" s="167">
        <f>CORE!Y203</f>
        <v>0</v>
      </c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2"/>
      <c r="AQ20" s="33">
        <v>5.0083195613560072</v>
      </c>
      <c r="AR20" s="9">
        <f>AU20/SUM($AU20:$AU22)</f>
        <v>0.56873238931497083</v>
      </c>
      <c r="AS20" s="121" t="s">
        <v>0</v>
      </c>
      <c r="AT20" s="30"/>
      <c r="AU20" s="105">
        <f>IF((E20+E21+E22)=0,1,E20/(E20+E21+E22)*$AQ20)</f>
        <v>2.8483935505829079</v>
      </c>
      <c r="AV20" s="105">
        <f t="shared" ref="AV20:BO20" si="174">IF((F20+F21+F22)=0,0,F20/(F20+F21+F22)*$AQ20)</f>
        <v>3.2559923529230606</v>
      </c>
      <c r="AW20" s="105">
        <f t="shared" si="174"/>
        <v>2.4488972068133568</v>
      </c>
      <c r="AX20" s="105">
        <f t="shared" si="174"/>
        <v>2.8507087680663155</v>
      </c>
      <c r="AY20" s="105">
        <f t="shared" si="174"/>
        <v>2.7343895364911903</v>
      </c>
      <c r="AZ20" s="105">
        <f t="shared" si="174"/>
        <v>2.7662225251111967</v>
      </c>
      <c r="BA20" s="105">
        <f t="shared" si="174"/>
        <v>2.9410539049713424</v>
      </c>
      <c r="BB20" s="105">
        <f t="shared" si="174"/>
        <v>2.9361260748954536</v>
      </c>
      <c r="BC20" s="105">
        <f t="shared" si="174"/>
        <v>2.8990981867926351</v>
      </c>
      <c r="BD20" s="105">
        <f t="shared" si="174"/>
        <v>2.9270381681080129</v>
      </c>
      <c r="BE20" s="105">
        <f t="shared" si="174"/>
        <v>3.8901092571540232</v>
      </c>
      <c r="BF20" s="105">
        <f t="shared" si="174"/>
        <v>1.7529118464746027</v>
      </c>
      <c r="BG20" s="105">
        <f t="shared" si="174"/>
        <v>0</v>
      </c>
      <c r="BH20" s="105">
        <f t="shared" si="174"/>
        <v>3.1755855937449797</v>
      </c>
      <c r="BI20" s="105">
        <f t="shared" si="174"/>
        <v>0</v>
      </c>
      <c r="BJ20" s="105">
        <f t="shared" si="174"/>
        <v>0</v>
      </c>
      <c r="BK20" s="105">
        <f t="shared" si="174"/>
        <v>0</v>
      </c>
      <c r="BL20" s="105">
        <f t="shared" si="174"/>
        <v>0</v>
      </c>
      <c r="BM20" s="105">
        <f t="shared" si="174"/>
        <v>0</v>
      </c>
      <c r="BN20" s="105">
        <f t="shared" si="174"/>
        <v>0</v>
      </c>
      <c r="BO20" s="127">
        <f t="shared" si="174"/>
        <v>0</v>
      </c>
      <c r="BP20" s="29">
        <v>17</v>
      </c>
      <c r="BQ20" s="47" t="s">
        <v>201</v>
      </c>
      <c r="BR20" s="47" t="s">
        <v>202</v>
      </c>
      <c r="BS20" s="41">
        <f>BL2</f>
        <v>0</v>
      </c>
      <c r="BT20" s="43">
        <f t="shared" si="10"/>
        <v>539.47992881945811</v>
      </c>
      <c r="BU20" s="38" t="e">
        <f t="shared" si="11"/>
        <v>#N/A</v>
      </c>
      <c r="BV20" s="41">
        <f>BL3</f>
        <v>0</v>
      </c>
      <c r="BW20" s="43">
        <f t="shared" si="12"/>
        <v>493.28617111859609</v>
      </c>
      <c r="BX20" s="38" t="e">
        <f t="shared" si="13"/>
        <v>#N/A</v>
      </c>
      <c r="BY20" s="41">
        <f>BL4</f>
        <v>0</v>
      </c>
      <c r="BZ20" s="43">
        <f t="shared" si="14"/>
        <v>16.152245399423034</v>
      </c>
      <c r="CA20" s="38" t="e">
        <f t="shared" si="15"/>
        <v>#N/A</v>
      </c>
      <c r="CB20" s="49"/>
      <c r="CC20" s="47" t="s">
        <v>200</v>
      </c>
      <c r="CD20" s="41">
        <f>$V$5</f>
        <v>0</v>
      </c>
      <c r="CE20" s="43">
        <f t="shared" si="16"/>
        <v>6.7023617306159995</v>
      </c>
      <c r="CF20" s="38" t="e">
        <f t="shared" si="17"/>
        <v>#N/A</v>
      </c>
      <c r="CG20" s="41">
        <f>$V$6</f>
        <v>0</v>
      </c>
      <c r="CH20" s="43">
        <f t="shared" si="18"/>
        <v>4.2387638105095418</v>
      </c>
      <c r="CI20" s="38" t="e">
        <f t="shared" si="19"/>
        <v>#N/A</v>
      </c>
      <c r="CJ20" s="41">
        <f>$V$7</f>
        <v>0</v>
      </c>
      <c r="CK20" s="43">
        <f t="shared" si="138"/>
        <v>5.8874458874458871E-2</v>
      </c>
      <c r="CL20" s="38" t="e">
        <f t="shared" si="20"/>
        <v>#N/A</v>
      </c>
      <c r="CM20" s="49"/>
      <c r="CN20" s="47" t="s">
        <v>200</v>
      </c>
      <c r="CO20" s="41">
        <f>$V$8</f>
        <v>0</v>
      </c>
      <c r="CP20" s="43">
        <f t="shared" si="21"/>
        <v>5.4642316405504285</v>
      </c>
      <c r="CQ20" s="38" t="e">
        <f t="shared" si="22"/>
        <v>#N/A</v>
      </c>
      <c r="CR20" s="41">
        <f>$V$9</f>
        <v>0</v>
      </c>
      <c r="CS20" s="43">
        <f t="shared" si="23"/>
        <v>2.7563624054549232</v>
      </c>
      <c r="CT20" s="38" t="e">
        <f t="shared" si="24"/>
        <v>#N/A</v>
      </c>
      <c r="CU20" s="41">
        <f>$V$10</f>
        <v>0</v>
      </c>
      <c r="CV20" s="43">
        <f t="shared" si="139"/>
        <v>7.1847052454791255E-2</v>
      </c>
      <c r="CW20" s="38" t="e">
        <f t="shared" si="25"/>
        <v>#N/A</v>
      </c>
      <c r="CX20" s="49"/>
      <c r="CY20" s="47" t="s">
        <v>200</v>
      </c>
      <c r="CZ20" s="41">
        <f>$V$11</f>
        <v>0</v>
      </c>
      <c r="DA20" s="43">
        <f t="shared" si="26"/>
        <v>4.953802431779418</v>
      </c>
      <c r="DB20" s="38" t="e">
        <f t="shared" si="27"/>
        <v>#N/A</v>
      </c>
      <c r="DC20" s="41">
        <f>$V$12</f>
        <v>0</v>
      </c>
      <c r="DD20" s="43">
        <f t="shared" si="28"/>
        <v>3.0743767793404873</v>
      </c>
      <c r="DE20" s="38" t="e">
        <f t="shared" si="29"/>
        <v>#N/A</v>
      </c>
      <c r="DF20" s="41">
        <f>$V$13</f>
        <v>0</v>
      </c>
      <c r="DG20" s="43">
        <f t="shared" si="140"/>
        <v>0.10428877821453758</v>
      </c>
      <c r="DH20" s="38" t="e">
        <f t="shared" si="30"/>
        <v>#N/A</v>
      </c>
      <c r="DI20" s="49"/>
      <c r="DJ20" s="47" t="s">
        <v>200</v>
      </c>
      <c r="DK20" s="41">
        <f>$V$14</f>
        <v>0</v>
      </c>
      <c r="DL20" s="43">
        <f t="shared" si="31"/>
        <v>4.3316881585615796</v>
      </c>
      <c r="DM20" s="38" t="e">
        <f t="shared" si="32"/>
        <v>#N/A</v>
      </c>
      <c r="DN20" s="41">
        <f>$V$15</f>
        <v>0</v>
      </c>
      <c r="DO20" s="43">
        <f t="shared" si="33"/>
        <v>4.2776562847411803</v>
      </c>
      <c r="DP20" s="38" t="e">
        <f t="shared" si="34"/>
        <v>#N/A</v>
      </c>
      <c r="DQ20" s="41">
        <f>$V$16</f>
        <v>0</v>
      </c>
      <c r="DR20" s="43">
        <f t="shared" si="141"/>
        <v>0.20109475903041757</v>
      </c>
      <c r="DS20" s="38" t="e">
        <f t="shared" si="35"/>
        <v>#N/A</v>
      </c>
      <c r="DT20" s="49"/>
      <c r="DU20" s="47" t="s">
        <v>200</v>
      </c>
      <c r="DV20" s="41">
        <f>$V$17</f>
        <v>0</v>
      </c>
      <c r="DW20" s="43">
        <f t="shared" si="36"/>
        <v>2.7253552615270826</v>
      </c>
      <c r="DX20" s="38" t="e">
        <f t="shared" si="37"/>
        <v>#N/A</v>
      </c>
      <c r="DY20" s="41">
        <f>$V$18</f>
        <v>0</v>
      </c>
      <c r="DZ20" s="43">
        <f t="shared" si="38"/>
        <v>4.3566623429731317</v>
      </c>
      <c r="EA20" s="38" t="e">
        <f t="shared" si="39"/>
        <v>#N/A</v>
      </c>
      <c r="EB20" s="41">
        <f>$V$19</f>
        <v>0</v>
      </c>
      <c r="EC20" s="43">
        <f t="shared" si="142"/>
        <v>0.16986688166192201</v>
      </c>
      <c r="ED20" s="38" t="e">
        <f t="shared" si="40"/>
        <v>#N/A</v>
      </c>
      <c r="EE20" s="49"/>
      <c r="EF20" s="47" t="s">
        <v>200</v>
      </c>
      <c r="EG20" s="41">
        <f>$V$20</f>
        <v>0</v>
      </c>
      <c r="EH20" s="43">
        <f t="shared" si="41"/>
        <v>5.2167381117520613</v>
      </c>
      <c r="EI20" s="38" t="e">
        <f t="shared" si="42"/>
        <v>#N/A</v>
      </c>
      <c r="EJ20" s="41">
        <f>$V$21</f>
        <v>0</v>
      </c>
      <c r="EK20" s="43">
        <f t="shared" si="43"/>
        <v>3.7012762859146568</v>
      </c>
      <c r="EL20" s="38" t="e">
        <f t="shared" si="44"/>
        <v>#N/A</v>
      </c>
      <c r="EM20" s="41">
        <f>$V$22</f>
        <v>0</v>
      </c>
      <c r="EN20" s="43">
        <f t="shared" si="143"/>
        <v>6.4113811271175311E-2</v>
      </c>
      <c r="EO20" s="38" t="e">
        <f t="shared" si="45"/>
        <v>#N/A</v>
      </c>
      <c r="EP20" s="49"/>
      <c r="EQ20" s="47" t="s">
        <v>200</v>
      </c>
      <c r="ER20" s="41">
        <f>$V$23</f>
        <v>0</v>
      </c>
      <c r="ES20" s="43">
        <f t="shared" si="46"/>
        <v>5.1327622151523205</v>
      </c>
      <c r="ET20" s="38" t="e">
        <f t="shared" si="47"/>
        <v>#N/A</v>
      </c>
      <c r="EU20" s="41">
        <f>$V$24</f>
        <v>0</v>
      </c>
      <c r="EV20" s="43">
        <f t="shared" si="48"/>
        <v>3.8549766297510812</v>
      </c>
      <c r="EW20" s="38" t="e">
        <f t="shared" si="49"/>
        <v>#N/A</v>
      </c>
      <c r="EX20" s="41">
        <f>$V$25</f>
        <v>0</v>
      </c>
      <c r="EY20" s="43">
        <f t="shared" si="144"/>
        <v>0.17547707989316763</v>
      </c>
      <c r="EZ20" s="38" t="e">
        <f t="shared" si="50"/>
        <v>#N/A</v>
      </c>
      <c r="FA20" s="49"/>
      <c r="FB20" s="47" t="s">
        <v>200</v>
      </c>
      <c r="FC20" s="41">
        <f>$V$26</f>
        <v>0</v>
      </c>
      <c r="FD20" s="43">
        <f t="shared" si="51"/>
        <v>3.800872265412135</v>
      </c>
      <c r="FE20" s="38" t="e">
        <f t="shared" si="52"/>
        <v>#N/A</v>
      </c>
      <c r="FF20" s="41">
        <f>$V$27</f>
        <v>0</v>
      </c>
      <c r="FG20" s="43">
        <f t="shared" si="53"/>
        <v>4.20210081283623</v>
      </c>
      <c r="FH20" s="38" t="e">
        <f t="shared" si="54"/>
        <v>#N/A</v>
      </c>
      <c r="FI20" s="41">
        <f>$V$28</f>
        <v>0</v>
      </c>
      <c r="FJ20" s="43">
        <f t="shared" si="145"/>
        <v>5.2788056749913902E-2</v>
      </c>
      <c r="FK20" s="38" t="e">
        <f t="shared" si="55"/>
        <v>#N/A</v>
      </c>
      <c r="FL20" s="49"/>
      <c r="FM20" s="47" t="s">
        <v>200</v>
      </c>
      <c r="FN20" s="41">
        <f>$V$29</f>
        <v>0</v>
      </c>
      <c r="FO20" s="43">
        <f t="shared" si="56"/>
        <v>2.9249999999999998</v>
      </c>
      <c r="FP20" s="38" t="e">
        <f t="shared" si="57"/>
        <v>#N/A</v>
      </c>
      <c r="FQ20" s="41">
        <f>$V$30</f>
        <v>0</v>
      </c>
      <c r="FR20" s="43">
        <f t="shared" si="58"/>
        <v>2.95</v>
      </c>
      <c r="FS20" s="38" t="e">
        <f t="shared" si="59"/>
        <v>#N/A</v>
      </c>
      <c r="FT20" s="41">
        <f>$V$31</f>
        <v>0</v>
      </c>
      <c r="FU20" s="43">
        <f t="shared" si="146"/>
        <v>0.125</v>
      </c>
      <c r="FV20" s="38" t="e">
        <f t="shared" si="60"/>
        <v>#N/A</v>
      </c>
      <c r="FW20" s="49"/>
      <c r="FX20" s="47" t="s">
        <v>200</v>
      </c>
      <c r="FY20" s="41">
        <f>$V$32</f>
        <v>0</v>
      </c>
      <c r="FZ20" s="43">
        <f t="shared" si="61"/>
        <v>2.7834023424848038</v>
      </c>
      <c r="GA20" s="38" t="e">
        <f t="shared" si="62"/>
        <v>#N/A</v>
      </c>
      <c r="GB20" s="41">
        <f>$V$33</f>
        <v>0</v>
      </c>
      <c r="GC20" s="43">
        <f t="shared" si="63"/>
        <v>4.200595681544038</v>
      </c>
      <c r="GD20" s="38" t="e">
        <f t="shared" si="64"/>
        <v>#N/A</v>
      </c>
      <c r="GE20" s="41">
        <f>$V$34</f>
        <v>0</v>
      </c>
      <c r="GF20" s="43">
        <f t="shared" si="147"/>
        <v>0.26395674063478058</v>
      </c>
      <c r="GG20" s="38" t="e">
        <f t="shared" si="65"/>
        <v>#N/A</v>
      </c>
      <c r="GH20" s="49"/>
      <c r="GI20" s="47" t="s">
        <v>200</v>
      </c>
      <c r="GJ20" s="41">
        <f>$V$35</f>
        <v>0</v>
      </c>
      <c r="GK20" s="43">
        <f t="shared" si="66"/>
        <v>6.213372016921979</v>
      </c>
      <c r="GL20" s="38" t="e">
        <f t="shared" si="67"/>
        <v>#N/A</v>
      </c>
      <c r="GM20" s="41">
        <f>$V$36</f>
        <v>0</v>
      </c>
      <c r="GN20" s="43">
        <f t="shared" si="68"/>
        <v>3.0230596595535495</v>
      </c>
      <c r="GO20" s="38" t="e">
        <f t="shared" si="69"/>
        <v>#N/A</v>
      </c>
      <c r="GP20" s="41">
        <f>$V$37</f>
        <v>0</v>
      </c>
      <c r="GQ20" s="43">
        <f t="shared" si="148"/>
        <v>4.968696543043527E-2</v>
      </c>
      <c r="GR20" s="38" t="e">
        <f t="shared" si="70"/>
        <v>#N/A</v>
      </c>
      <c r="GS20" s="49"/>
      <c r="GT20" s="47" t="s">
        <v>200</v>
      </c>
      <c r="GU20" s="41">
        <f>$V$38</f>
        <v>0</v>
      </c>
      <c r="GV20" s="43">
        <f t="shared" si="71"/>
        <v>4.1824765482792525</v>
      </c>
      <c r="GW20" s="38" t="e">
        <f t="shared" si="72"/>
        <v>#N/A</v>
      </c>
      <c r="GX20" s="41">
        <f>$V$39</f>
        <v>0</v>
      </c>
      <c r="GY20" s="43">
        <f t="shared" si="73"/>
        <v>2.6920064898727674</v>
      </c>
      <c r="GZ20" s="38" t="e">
        <f t="shared" si="74"/>
        <v>#N/A</v>
      </c>
      <c r="HA20" s="41">
        <f>$V$40</f>
        <v>0</v>
      </c>
      <c r="HB20" s="43">
        <f t="shared" si="149"/>
        <v>4.296145506701958E-2</v>
      </c>
      <c r="HC20" s="38" t="e">
        <f t="shared" si="75"/>
        <v>#N/A</v>
      </c>
      <c r="HD20" s="49"/>
      <c r="HE20" s="47" t="s">
        <v>200</v>
      </c>
      <c r="HF20" s="41">
        <f>$V$41</f>
        <v>0</v>
      </c>
      <c r="HG20" s="43">
        <f t="shared" si="76"/>
        <v>4.5133050130834889</v>
      </c>
      <c r="HH20" s="38" t="e">
        <f t="shared" si="77"/>
        <v>#N/A</v>
      </c>
      <c r="HI20" s="41">
        <f>$V$42</f>
        <v>0</v>
      </c>
      <c r="HJ20" s="43">
        <f t="shared" si="78"/>
        <v>4.2909325210683598</v>
      </c>
      <c r="HK20" s="38" t="e">
        <f t="shared" si="79"/>
        <v>#N/A</v>
      </c>
      <c r="HL20" s="41">
        <f>$V$43</f>
        <v>0</v>
      </c>
      <c r="HM20" s="43">
        <f t="shared" si="150"/>
        <v>6.6114804770160684E-2</v>
      </c>
      <c r="HN20" s="38" t="e">
        <f t="shared" si="80"/>
        <v>#N/A</v>
      </c>
      <c r="HO20" s="49"/>
      <c r="HP20" s="47" t="s">
        <v>200</v>
      </c>
      <c r="HQ20" s="41">
        <f>$V$44</f>
        <v>0</v>
      </c>
      <c r="HR20" s="43">
        <f t="shared" si="81"/>
        <v>4.5078662583428111</v>
      </c>
      <c r="HS20" s="38" t="e">
        <f t="shared" si="82"/>
        <v>#N/A</v>
      </c>
      <c r="HT20" s="41">
        <f>$V$45</f>
        <v>0</v>
      </c>
      <c r="HU20" s="43">
        <f t="shared" si="83"/>
        <v>3.8847364181475479</v>
      </c>
      <c r="HV20" s="38" t="e">
        <f t="shared" si="84"/>
        <v>#N/A</v>
      </c>
      <c r="HW20" s="41">
        <f>$V$46</f>
        <v>0</v>
      </c>
      <c r="HX20" s="43">
        <f t="shared" si="151"/>
        <v>8.1980304402385351E-2</v>
      </c>
      <c r="HY20" s="38" t="e">
        <f t="shared" si="85"/>
        <v>#N/A</v>
      </c>
      <c r="HZ20" s="49"/>
      <c r="IA20" s="47" t="s">
        <v>200</v>
      </c>
      <c r="IB20" s="41">
        <f>$V$47</f>
        <v>0</v>
      </c>
      <c r="IC20" s="43">
        <f t="shared" si="86"/>
        <v>3.2793557911556031</v>
      </c>
      <c r="ID20" s="38" t="e">
        <f t="shared" si="87"/>
        <v>#N/A</v>
      </c>
      <c r="IE20" s="41">
        <f>$V$48</f>
        <v>0</v>
      </c>
      <c r="IF20" s="43">
        <f t="shared" si="88"/>
        <v>5.1085334391796824</v>
      </c>
      <c r="IG20" s="38" t="e">
        <f t="shared" si="89"/>
        <v>#N/A</v>
      </c>
      <c r="IH20" s="41">
        <f>$V$49</f>
        <v>0</v>
      </c>
      <c r="II20" s="43">
        <f t="shared" si="152"/>
        <v>0.15467084417540078</v>
      </c>
      <c r="IJ20" s="38" t="e">
        <f t="shared" si="90"/>
        <v>#N/A</v>
      </c>
      <c r="IK20" s="49"/>
      <c r="IL20" s="47" t="s">
        <v>200</v>
      </c>
      <c r="IM20" s="41">
        <f>$V$50</f>
        <v>0</v>
      </c>
      <c r="IN20" s="43">
        <f t="shared" si="91"/>
        <v>3.9262013198965633</v>
      </c>
      <c r="IO20" s="38" t="e">
        <f t="shared" si="92"/>
        <v>#N/A</v>
      </c>
      <c r="IP20" s="41">
        <f>$V$51</f>
        <v>0</v>
      </c>
      <c r="IQ20" s="43">
        <f t="shared" si="93"/>
        <v>5.9153409841907063</v>
      </c>
      <c r="IR20" s="38" t="e">
        <f t="shared" si="94"/>
        <v>#N/A</v>
      </c>
      <c r="IS20" s="41">
        <f>$V$52</f>
        <v>0</v>
      </c>
      <c r="IT20" s="43">
        <f t="shared" si="153"/>
        <v>5.6197847379977822E-2</v>
      </c>
      <c r="IU20" s="38" t="e">
        <f t="shared" si="95"/>
        <v>#N/A</v>
      </c>
      <c r="IV20" s="49"/>
      <c r="IW20" s="47" t="s">
        <v>200</v>
      </c>
      <c r="IX20" s="41">
        <f>$V$53</f>
        <v>0</v>
      </c>
      <c r="IY20" s="43">
        <f t="shared" si="96"/>
        <v>3.3457511955054295</v>
      </c>
      <c r="IZ20" s="38" t="e">
        <f t="shared" si="97"/>
        <v>#N/A</v>
      </c>
      <c r="JA20" s="41">
        <f>$V$54</f>
        <v>0</v>
      </c>
      <c r="JB20" s="43">
        <f t="shared" si="98"/>
        <v>2.6220045653360193</v>
      </c>
      <c r="JC20" s="38" t="e">
        <f t="shared" si="99"/>
        <v>#N/A</v>
      </c>
      <c r="JD20" s="41">
        <f>$V$55</f>
        <v>0</v>
      </c>
      <c r="JE20" s="43">
        <f t="shared" si="154"/>
        <v>0.16635006784260528</v>
      </c>
      <c r="JF20" s="38" t="e">
        <f t="shared" si="100"/>
        <v>#N/A</v>
      </c>
      <c r="JG20" s="49"/>
      <c r="JH20" s="47" t="s">
        <v>200</v>
      </c>
      <c r="JI20" s="41">
        <f>$V$56</f>
        <v>0</v>
      </c>
      <c r="JJ20" s="43">
        <f t="shared" si="101"/>
        <v>6.668961047701476</v>
      </c>
      <c r="JK20" s="38" t="e">
        <f t="shared" si="102"/>
        <v>#N/A</v>
      </c>
      <c r="JL20" s="41">
        <f>$V$57</f>
        <v>0</v>
      </c>
      <c r="JM20" s="43">
        <f t="shared" si="103"/>
        <v>2.1149900408273159</v>
      </c>
      <c r="JN20" s="38" t="e">
        <f t="shared" si="104"/>
        <v>#N/A</v>
      </c>
      <c r="JO20" s="41">
        <f>$V$58</f>
        <v>0</v>
      </c>
      <c r="JP20" s="43">
        <f t="shared" si="155"/>
        <v>0.11950643687413505</v>
      </c>
      <c r="JQ20" s="38" t="e">
        <f t="shared" si="105"/>
        <v>#N/A</v>
      </c>
      <c r="JR20" s="49"/>
      <c r="JS20" s="47" t="s">
        <v>200</v>
      </c>
      <c r="JT20" s="41">
        <f>$V$59</f>
        <v>0</v>
      </c>
      <c r="JU20" s="43">
        <f t="shared" si="106"/>
        <v>3.6542510708618732</v>
      </c>
      <c r="JV20" s="38" t="e">
        <f t="shared" si="107"/>
        <v>#N/A</v>
      </c>
      <c r="JW20" s="41">
        <f>$V$60</f>
        <v>0</v>
      </c>
      <c r="JX20" s="43">
        <f t="shared" si="108"/>
        <v>2.6346657322662517</v>
      </c>
      <c r="JY20" s="38" t="e">
        <f t="shared" si="109"/>
        <v>#N/A</v>
      </c>
      <c r="JZ20" s="41">
        <f>$V$61</f>
        <v>0</v>
      </c>
      <c r="KA20" s="43">
        <f t="shared" si="156"/>
        <v>9.9182989581379041E-2</v>
      </c>
      <c r="KB20" s="38" t="e">
        <f t="shared" si="110"/>
        <v>#N/A</v>
      </c>
      <c r="KC20" s="49"/>
      <c r="KD20" s="47" t="s">
        <v>200</v>
      </c>
      <c r="KE20" s="41">
        <f>$V$62</f>
        <v>0</v>
      </c>
      <c r="KF20" s="43">
        <f t="shared" si="111"/>
        <v>1.8304419497114603</v>
      </c>
      <c r="KG20" s="38" t="e">
        <f t="shared" si="112"/>
        <v>#N/A</v>
      </c>
      <c r="KH20" s="41">
        <f>$V$63</f>
        <v>0</v>
      </c>
      <c r="KI20" s="43">
        <f t="shared" si="113"/>
        <v>3.868552848342202</v>
      </c>
      <c r="KJ20" s="38" t="e">
        <f t="shared" si="114"/>
        <v>#N/A</v>
      </c>
      <c r="KK20" s="41">
        <f>$V$64</f>
        <v>0</v>
      </c>
      <c r="KL20" s="43">
        <f t="shared" si="157"/>
        <v>0.13647245697511248</v>
      </c>
      <c r="KM20" s="38" t="e">
        <f t="shared" si="115"/>
        <v>#N/A</v>
      </c>
      <c r="KN20" s="49"/>
      <c r="KO20" s="47" t="s">
        <v>200</v>
      </c>
      <c r="KP20" s="41">
        <f>$V$65</f>
        <v>0</v>
      </c>
      <c r="KQ20" s="43">
        <f t="shared" si="116"/>
        <v>3.5258254515182217</v>
      </c>
      <c r="KR20" s="38" t="e">
        <f t="shared" si="117"/>
        <v>#N/A</v>
      </c>
      <c r="KS20" s="41">
        <f>$V$66</f>
        <v>0</v>
      </c>
      <c r="KT20" s="43">
        <f t="shared" si="118"/>
        <v>1.5710035120633761</v>
      </c>
      <c r="KU20" s="38" t="e">
        <f t="shared" si="119"/>
        <v>#N/A</v>
      </c>
      <c r="KV20" s="41">
        <f>$V$67</f>
        <v>0</v>
      </c>
      <c r="KW20" s="43">
        <f t="shared" si="158"/>
        <v>5.3009676693788067E-2</v>
      </c>
      <c r="KX20" s="38" t="e">
        <f t="shared" si="120"/>
        <v>#N/A</v>
      </c>
      <c r="KY20" s="49"/>
      <c r="KZ20" s="47" t="s">
        <v>200</v>
      </c>
      <c r="LA20" s="41">
        <f>$V$68</f>
        <v>0</v>
      </c>
      <c r="LB20" s="43">
        <f t="shared" si="121"/>
        <v>3.5023863953704675</v>
      </c>
      <c r="LC20" s="38" t="e">
        <f t="shared" si="122"/>
        <v>#N/A</v>
      </c>
      <c r="LD20" s="41">
        <f>$V$69</f>
        <v>0</v>
      </c>
      <c r="LE20" s="43">
        <f t="shared" si="123"/>
        <v>2.2450052204262185</v>
      </c>
      <c r="LF20" s="38" t="e">
        <f t="shared" si="124"/>
        <v>#N/A</v>
      </c>
      <c r="LG20" s="41">
        <f>$V$70</f>
        <v>0</v>
      </c>
      <c r="LH20" s="43">
        <f t="shared" si="159"/>
        <v>0</v>
      </c>
      <c r="LI20" s="38" t="e">
        <f t="shared" si="125"/>
        <v>#N/A</v>
      </c>
      <c r="LJ20" s="49"/>
      <c r="LK20" s="47" t="s">
        <v>200</v>
      </c>
      <c r="LL20" s="41">
        <f>$V$71</f>
        <v>0</v>
      </c>
      <c r="LM20" s="43">
        <f t="shared" si="126"/>
        <v>4.8300699339300781</v>
      </c>
      <c r="LN20" s="38" t="e">
        <f t="shared" si="127"/>
        <v>#N/A</v>
      </c>
      <c r="LO20" s="41">
        <f>$V$72</f>
        <v>0</v>
      </c>
      <c r="LP20" s="43">
        <f t="shared" si="128"/>
        <v>2.8847298348467207</v>
      </c>
      <c r="LQ20" s="38" t="e">
        <f t="shared" si="129"/>
        <v>#N/A</v>
      </c>
      <c r="LR20" s="41">
        <f>$V$73</f>
        <v>0</v>
      </c>
      <c r="LS20" s="43">
        <f t="shared" si="160"/>
        <v>5.2100141830148959E-2</v>
      </c>
      <c r="LT20" s="38" t="e">
        <f t="shared" si="130"/>
        <v>#N/A</v>
      </c>
      <c r="LU20" s="49"/>
      <c r="LV20" s="47" t="s">
        <v>200</v>
      </c>
      <c r="LW20" s="41">
        <f>$V$74</f>
        <v>0</v>
      </c>
      <c r="LX20" s="43">
        <f t="shared" si="131"/>
        <v>4.1982682278503578</v>
      </c>
      <c r="LY20" s="38" t="e">
        <f t="shared" si="132"/>
        <v>#N/A</v>
      </c>
      <c r="LZ20" s="41">
        <f>$V$75</f>
        <v>0</v>
      </c>
      <c r="MA20" s="43">
        <f t="shared" si="133"/>
        <v>4.011339754780928</v>
      </c>
      <c r="MB20" s="38" t="e">
        <f t="shared" si="134"/>
        <v>#N/A</v>
      </c>
      <c r="MC20" s="41">
        <f>$V$76</f>
        <v>0</v>
      </c>
      <c r="MD20" s="43">
        <f t="shared" si="161"/>
        <v>7.5312296376773502E-2</v>
      </c>
      <c r="ME20" s="38" t="e">
        <f t="shared" si="135"/>
        <v>#N/A</v>
      </c>
    </row>
    <row r="21" spans="2:343" ht="14.25" customHeight="1" x14ac:dyDescent="0.2">
      <c r="B21" s="136">
        <f>E21/SUM($E$20:$E$22)</f>
        <v>0.4244518972693575</v>
      </c>
      <c r="C21" s="137" t="s">
        <v>1</v>
      </c>
      <c r="D21" s="138" t="s">
        <v>35</v>
      </c>
      <c r="E21" s="168">
        <f>CORE!E204</f>
        <v>0.4244518972693575</v>
      </c>
      <c r="F21" s="168">
        <f>CORE!F204</f>
        <v>0.34988326662576269</v>
      </c>
      <c r="G21" s="168">
        <f>CORE!G204</f>
        <v>0.49812942051714737</v>
      </c>
      <c r="H21" s="168">
        <f>CORE!H204</f>
        <v>0.3922428619138586</v>
      </c>
      <c r="I21" s="168">
        <f>CORE!I204</f>
        <v>0.45403053798930282</v>
      </c>
      <c r="J21" s="168">
        <f>CORE!J204</f>
        <v>0.39741105994134701</v>
      </c>
      <c r="K21" s="168">
        <f>CORE!K204</f>
        <v>0.40398053092064884</v>
      </c>
      <c r="L21" s="168">
        <f>CORE!L204</f>
        <v>0.38496073801932995</v>
      </c>
      <c r="M21" s="168">
        <f>CORE!M204</f>
        <v>0.1551795071746328</v>
      </c>
      <c r="N21" s="168">
        <f>CORE!N204</f>
        <v>0.41212202574021345</v>
      </c>
      <c r="O21" s="168">
        <f>CORE!O204</f>
        <v>8.2268900749965651E-2</v>
      </c>
      <c r="P21" s="168">
        <f>CORE!P204</f>
        <v>3.6229643900130719E-2</v>
      </c>
      <c r="Q21" s="168">
        <f>CORE!Q204</f>
        <v>0</v>
      </c>
      <c r="R21" s="168">
        <f>CORE!R204</f>
        <v>0.13483779242231633</v>
      </c>
      <c r="S21" s="168">
        <f>CORE!S204</f>
        <v>0</v>
      </c>
      <c r="T21" s="168">
        <f>CORE!T204</f>
        <v>0</v>
      </c>
      <c r="U21" s="168">
        <f>CORE!U204</f>
        <v>0</v>
      </c>
      <c r="V21" s="168">
        <f>CORE!V204</f>
        <v>0</v>
      </c>
      <c r="W21" s="168">
        <f>CORE!W204</f>
        <v>0</v>
      </c>
      <c r="X21" s="168">
        <f>CORE!X204</f>
        <v>0</v>
      </c>
      <c r="Y21" s="169">
        <f>CORE!Y204</f>
        <v>0</v>
      </c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2"/>
      <c r="AQ21" s="33">
        <v>5.0083195613560072</v>
      </c>
      <c r="AR21" s="10">
        <f>AU21/SUM($AU20:$AU22)</f>
        <v>0.42445189726935756</v>
      </c>
      <c r="AS21" s="119" t="s">
        <v>1</v>
      </c>
      <c r="AT21" s="8" t="s">
        <v>35</v>
      </c>
      <c r="AU21" s="123">
        <f>IF((E20+E21+E22)=0,1,E21/(E20+E21+E22)*$AQ21)</f>
        <v>2.1257907399487936</v>
      </c>
      <c r="AV21" s="123">
        <f t="shared" ref="AV21:BO21" si="175">IF((F20+F21+F22)=0,0,F21/(F20+F21+F22)*$AQ21)</f>
        <v>1.7523272084329464</v>
      </c>
      <c r="AW21" s="123">
        <f t="shared" si="175"/>
        <v>2.4947913208629617</v>
      </c>
      <c r="AX21" s="123">
        <f t="shared" si="175"/>
        <v>2.1576107932896917</v>
      </c>
      <c r="AY21" s="123">
        <f t="shared" si="175"/>
        <v>2.2739300248648169</v>
      </c>
      <c r="AZ21" s="123">
        <f t="shared" si="175"/>
        <v>2.186039506540352</v>
      </c>
      <c r="BA21" s="123">
        <f t="shared" si="175"/>
        <v>2.0232635954168714</v>
      </c>
      <c r="BB21" s="123">
        <f t="shared" si="175"/>
        <v>1.9280063945762553</v>
      </c>
      <c r="BC21" s="123">
        <f t="shared" si="175"/>
        <v>2.1092213745633721</v>
      </c>
      <c r="BD21" s="123">
        <f t="shared" si="175"/>
        <v>2.0640388031803751</v>
      </c>
      <c r="BE21" s="123">
        <f t="shared" si="175"/>
        <v>1.1182103042019844</v>
      </c>
      <c r="BF21" s="123">
        <f t="shared" si="175"/>
        <v>3.2554077148814047</v>
      </c>
      <c r="BG21" s="123">
        <f t="shared" si="175"/>
        <v>0</v>
      </c>
      <c r="BH21" s="123">
        <f t="shared" si="175"/>
        <v>1.8327339676110275</v>
      </c>
      <c r="BI21" s="123">
        <f t="shared" si="175"/>
        <v>0</v>
      </c>
      <c r="BJ21" s="123">
        <f t="shared" si="175"/>
        <v>0</v>
      </c>
      <c r="BK21" s="123">
        <f t="shared" si="175"/>
        <v>0</v>
      </c>
      <c r="BL21" s="123">
        <f t="shared" si="175"/>
        <v>0</v>
      </c>
      <c r="BM21" s="123">
        <f t="shared" si="175"/>
        <v>0</v>
      </c>
      <c r="BN21" s="123">
        <f t="shared" si="175"/>
        <v>0</v>
      </c>
      <c r="BO21" s="124">
        <f t="shared" si="175"/>
        <v>0</v>
      </c>
      <c r="BP21" s="29">
        <v>18</v>
      </c>
      <c r="BQ21" s="47" t="s">
        <v>202</v>
      </c>
      <c r="BR21" s="47" t="s">
        <v>203</v>
      </c>
      <c r="BS21" s="41">
        <f>BM2</f>
        <v>0</v>
      </c>
      <c r="BT21" s="43">
        <f t="shared" si="10"/>
        <v>539.47992881945811</v>
      </c>
      <c r="BU21" s="38" t="e">
        <f t="shared" si="11"/>
        <v>#N/A</v>
      </c>
      <c r="BV21" s="41">
        <f>BM3</f>
        <v>0</v>
      </c>
      <c r="BW21" s="43">
        <f t="shared" si="12"/>
        <v>493.28617111859609</v>
      </c>
      <c r="BX21" s="38" t="e">
        <f t="shared" si="13"/>
        <v>#N/A</v>
      </c>
      <c r="BY21" s="41">
        <f>BM4</f>
        <v>0</v>
      </c>
      <c r="BZ21" s="43">
        <f t="shared" si="14"/>
        <v>16.152245399423034</v>
      </c>
      <c r="CA21" s="38" t="e">
        <f t="shared" si="15"/>
        <v>#N/A</v>
      </c>
      <c r="CB21" s="49"/>
      <c r="CC21" s="47" t="s">
        <v>201</v>
      </c>
      <c r="CD21" s="41">
        <f>$X$5</f>
        <v>0</v>
      </c>
      <c r="CE21" s="43">
        <f t="shared" si="16"/>
        <v>6.7023617306159995</v>
      </c>
      <c r="CF21" s="38" t="e">
        <f t="shared" si="17"/>
        <v>#N/A</v>
      </c>
      <c r="CG21" s="41">
        <f>$X$6</f>
        <v>0</v>
      </c>
      <c r="CH21" s="43">
        <f t="shared" si="18"/>
        <v>4.2387638105095418</v>
      </c>
      <c r="CI21" s="38" t="e">
        <f t="shared" si="19"/>
        <v>#N/A</v>
      </c>
      <c r="CJ21" s="41">
        <f>$X$7</f>
        <v>0</v>
      </c>
      <c r="CK21" s="43">
        <f t="shared" si="138"/>
        <v>5.8874458874458871E-2</v>
      </c>
      <c r="CL21" s="38" t="e">
        <f t="shared" si="20"/>
        <v>#N/A</v>
      </c>
      <c r="CM21" s="49"/>
      <c r="CN21" s="47" t="s">
        <v>201</v>
      </c>
      <c r="CO21" s="41">
        <f>$X$8</f>
        <v>0</v>
      </c>
      <c r="CP21" s="43">
        <f t="shared" si="21"/>
        <v>5.4642316405504285</v>
      </c>
      <c r="CQ21" s="38" t="e">
        <f t="shared" si="22"/>
        <v>#N/A</v>
      </c>
      <c r="CR21" s="41">
        <f>$X$9</f>
        <v>0</v>
      </c>
      <c r="CS21" s="43">
        <f t="shared" si="23"/>
        <v>2.7563624054549232</v>
      </c>
      <c r="CT21" s="38" t="e">
        <f t="shared" si="24"/>
        <v>#N/A</v>
      </c>
      <c r="CU21" s="41">
        <f>$X$10</f>
        <v>0</v>
      </c>
      <c r="CV21" s="43">
        <f t="shared" si="139"/>
        <v>7.1847052454791255E-2</v>
      </c>
      <c r="CW21" s="38" t="e">
        <f t="shared" si="25"/>
        <v>#N/A</v>
      </c>
      <c r="CX21" s="49"/>
      <c r="CY21" s="47" t="s">
        <v>201</v>
      </c>
      <c r="CZ21" s="41">
        <f>$X$11</f>
        <v>0</v>
      </c>
      <c r="DA21" s="43">
        <f t="shared" si="26"/>
        <v>4.953802431779418</v>
      </c>
      <c r="DB21" s="38" t="e">
        <f t="shared" si="27"/>
        <v>#N/A</v>
      </c>
      <c r="DC21" s="41">
        <f>$X$12</f>
        <v>0</v>
      </c>
      <c r="DD21" s="43">
        <f t="shared" si="28"/>
        <v>3.0743767793404873</v>
      </c>
      <c r="DE21" s="38" t="e">
        <f t="shared" si="29"/>
        <v>#N/A</v>
      </c>
      <c r="DF21" s="41">
        <f>$X$13</f>
        <v>0</v>
      </c>
      <c r="DG21" s="43">
        <f t="shared" si="140"/>
        <v>0.10428877821453758</v>
      </c>
      <c r="DH21" s="38" t="e">
        <f t="shared" si="30"/>
        <v>#N/A</v>
      </c>
      <c r="DI21" s="49"/>
      <c r="DJ21" s="47" t="s">
        <v>201</v>
      </c>
      <c r="DK21" s="41">
        <f>$X$14</f>
        <v>0</v>
      </c>
      <c r="DL21" s="43">
        <f t="shared" si="31"/>
        <v>4.3316881585615796</v>
      </c>
      <c r="DM21" s="38" t="e">
        <f t="shared" si="32"/>
        <v>#N/A</v>
      </c>
      <c r="DN21" s="41">
        <f>$X$15</f>
        <v>0</v>
      </c>
      <c r="DO21" s="43">
        <f t="shared" si="33"/>
        <v>4.2776562847411803</v>
      </c>
      <c r="DP21" s="38" t="e">
        <f t="shared" si="34"/>
        <v>#N/A</v>
      </c>
      <c r="DQ21" s="41">
        <f>$X$16</f>
        <v>0</v>
      </c>
      <c r="DR21" s="43">
        <f t="shared" si="141"/>
        <v>0.20109475903041757</v>
      </c>
      <c r="DS21" s="38" t="e">
        <f t="shared" si="35"/>
        <v>#N/A</v>
      </c>
      <c r="DT21" s="49"/>
      <c r="DU21" s="47" t="s">
        <v>201</v>
      </c>
      <c r="DV21" s="41">
        <f>$X$17</f>
        <v>0</v>
      </c>
      <c r="DW21" s="43">
        <f t="shared" si="36"/>
        <v>2.7253552615270826</v>
      </c>
      <c r="DX21" s="38" t="e">
        <f t="shared" si="37"/>
        <v>#N/A</v>
      </c>
      <c r="DY21" s="41">
        <f>$X$18</f>
        <v>0</v>
      </c>
      <c r="DZ21" s="43">
        <f t="shared" si="38"/>
        <v>4.3566623429731317</v>
      </c>
      <c r="EA21" s="38" t="e">
        <f t="shared" si="39"/>
        <v>#N/A</v>
      </c>
      <c r="EB21" s="41">
        <f>$X$19</f>
        <v>0</v>
      </c>
      <c r="EC21" s="43">
        <f t="shared" si="142"/>
        <v>0.16986688166192201</v>
      </c>
      <c r="ED21" s="38" t="e">
        <f t="shared" si="40"/>
        <v>#N/A</v>
      </c>
      <c r="EE21" s="49"/>
      <c r="EF21" s="47" t="s">
        <v>201</v>
      </c>
      <c r="EG21" s="41">
        <f>$X$20</f>
        <v>0</v>
      </c>
      <c r="EH21" s="43">
        <f t="shared" si="41"/>
        <v>5.2167381117520613</v>
      </c>
      <c r="EI21" s="38" t="e">
        <f t="shared" si="42"/>
        <v>#N/A</v>
      </c>
      <c r="EJ21" s="41">
        <f>$X$21</f>
        <v>0</v>
      </c>
      <c r="EK21" s="43">
        <f t="shared" si="43"/>
        <v>3.7012762859146568</v>
      </c>
      <c r="EL21" s="38" t="e">
        <f t="shared" si="44"/>
        <v>#N/A</v>
      </c>
      <c r="EM21" s="41">
        <f>$X$22</f>
        <v>0</v>
      </c>
      <c r="EN21" s="43">
        <f t="shared" si="143"/>
        <v>6.4113811271175311E-2</v>
      </c>
      <c r="EO21" s="38" t="e">
        <f t="shared" si="45"/>
        <v>#N/A</v>
      </c>
      <c r="EP21" s="49"/>
      <c r="EQ21" s="47" t="s">
        <v>201</v>
      </c>
      <c r="ER21" s="41">
        <f>$X$23</f>
        <v>0</v>
      </c>
      <c r="ES21" s="43">
        <f t="shared" si="46"/>
        <v>5.1327622151523205</v>
      </c>
      <c r="ET21" s="38" t="e">
        <f t="shared" si="47"/>
        <v>#N/A</v>
      </c>
      <c r="EU21" s="41">
        <f>$X$24</f>
        <v>0</v>
      </c>
      <c r="EV21" s="43">
        <f t="shared" si="48"/>
        <v>3.8549766297510812</v>
      </c>
      <c r="EW21" s="38" t="e">
        <f t="shared" si="49"/>
        <v>#N/A</v>
      </c>
      <c r="EX21" s="41">
        <f>$X$25</f>
        <v>0</v>
      </c>
      <c r="EY21" s="43">
        <f t="shared" si="144"/>
        <v>0.17547707989316763</v>
      </c>
      <c r="EZ21" s="38" t="e">
        <f t="shared" si="50"/>
        <v>#N/A</v>
      </c>
      <c r="FA21" s="49"/>
      <c r="FB21" s="47" t="s">
        <v>201</v>
      </c>
      <c r="FC21" s="41">
        <f>$X$26</f>
        <v>0</v>
      </c>
      <c r="FD21" s="43">
        <f t="shared" si="51"/>
        <v>3.800872265412135</v>
      </c>
      <c r="FE21" s="38" t="e">
        <f t="shared" si="52"/>
        <v>#N/A</v>
      </c>
      <c r="FF21" s="41">
        <f>$X$27</f>
        <v>0</v>
      </c>
      <c r="FG21" s="43">
        <f t="shared" si="53"/>
        <v>4.20210081283623</v>
      </c>
      <c r="FH21" s="38" t="e">
        <f t="shared" si="54"/>
        <v>#N/A</v>
      </c>
      <c r="FI21" s="41">
        <f>$X$28</f>
        <v>0</v>
      </c>
      <c r="FJ21" s="43">
        <f t="shared" si="145"/>
        <v>5.2788056749913902E-2</v>
      </c>
      <c r="FK21" s="38" t="e">
        <f t="shared" si="55"/>
        <v>#N/A</v>
      </c>
      <c r="FL21" s="49"/>
      <c r="FM21" s="47" t="s">
        <v>201</v>
      </c>
      <c r="FN21" s="41">
        <f>$X$29</f>
        <v>0</v>
      </c>
      <c r="FO21" s="43">
        <f t="shared" si="56"/>
        <v>2.9249999999999998</v>
      </c>
      <c r="FP21" s="38" t="e">
        <f t="shared" si="57"/>
        <v>#N/A</v>
      </c>
      <c r="FQ21" s="41">
        <f>$X$30</f>
        <v>0</v>
      </c>
      <c r="FR21" s="43">
        <f t="shared" si="58"/>
        <v>2.95</v>
      </c>
      <c r="FS21" s="38" t="e">
        <f t="shared" si="59"/>
        <v>#N/A</v>
      </c>
      <c r="FT21" s="41">
        <f>$X$31</f>
        <v>0</v>
      </c>
      <c r="FU21" s="43">
        <f t="shared" si="146"/>
        <v>0.125</v>
      </c>
      <c r="FV21" s="38" t="e">
        <f t="shared" si="60"/>
        <v>#N/A</v>
      </c>
      <c r="FW21" s="49"/>
      <c r="FX21" s="47" t="s">
        <v>201</v>
      </c>
      <c r="FY21" s="41">
        <f>$X$32</f>
        <v>0</v>
      </c>
      <c r="FZ21" s="43">
        <f t="shared" si="61"/>
        <v>2.7834023424848038</v>
      </c>
      <c r="GA21" s="38" t="e">
        <f t="shared" si="62"/>
        <v>#N/A</v>
      </c>
      <c r="GB21" s="41">
        <f>$X$33</f>
        <v>0</v>
      </c>
      <c r="GC21" s="43">
        <f t="shared" si="63"/>
        <v>4.200595681544038</v>
      </c>
      <c r="GD21" s="38" t="e">
        <f t="shared" si="64"/>
        <v>#N/A</v>
      </c>
      <c r="GE21" s="41">
        <f>$X$34</f>
        <v>0</v>
      </c>
      <c r="GF21" s="43">
        <f t="shared" si="147"/>
        <v>0.26395674063478058</v>
      </c>
      <c r="GG21" s="38" t="e">
        <f t="shared" si="65"/>
        <v>#N/A</v>
      </c>
      <c r="GH21" s="49"/>
      <c r="GI21" s="47" t="s">
        <v>201</v>
      </c>
      <c r="GJ21" s="41">
        <f>$X$35</f>
        <v>0</v>
      </c>
      <c r="GK21" s="43">
        <f t="shared" si="66"/>
        <v>6.213372016921979</v>
      </c>
      <c r="GL21" s="38" t="e">
        <f t="shared" si="67"/>
        <v>#N/A</v>
      </c>
      <c r="GM21" s="41">
        <f>$X$36</f>
        <v>0</v>
      </c>
      <c r="GN21" s="43">
        <f t="shared" si="68"/>
        <v>3.0230596595535495</v>
      </c>
      <c r="GO21" s="38" t="e">
        <f t="shared" si="69"/>
        <v>#N/A</v>
      </c>
      <c r="GP21" s="41">
        <f>$X$37</f>
        <v>0</v>
      </c>
      <c r="GQ21" s="43">
        <f t="shared" si="148"/>
        <v>4.968696543043527E-2</v>
      </c>
      <c r="GR21" s="38" t="e">
        <f t="shared" si="70"/>
        <v>#N/A</v>
      </c>
      <c r="GS21" s="49"/>
      <c r="GT21" s="47" t="s">
        <v>201</v>
      </c>
      <c r="GU21" s="41">
        <f>$X$38</f>
        <v>0</v>
      </c>
      <c r="GV21" s="43">
        <f t="shared" si="71"/>
        <v>4.1824765482792525</v>
      </c>
      <c r="GW21" s="38" t="e">
        <f t="shared" si="72"/>
        <v>#N/A</v>
      </c>
      <c r="GX21" s="41">
        <f>$X$39</f>
        <v>0</v>
      </c>
      <c r="GY21" s="43">
        <f t="shared" si="73"/>
        <v>2.6920064898727674</v>
      </c>
      <c r="GZ21" s="38" t="e">
        <f t="shared" si="74"/>
        <v>#N/A</v>
      </c>
      <c r="HA21" s="41">
        <f>$X$40</f>
        <v>0</v>
      </c>
      <c r="HB21" s="43">
        <f t="shared" si="149"/>
        <v>4.296145506701958E-2</v>
      </c>
      <c r="HC21" s="38" t="e">
        <f t="shared" si="75"/>
        <v>#N/A</v>
      </c>
      <c r="HD21" s="49"/>
      <c r="HE21" s="47" t="s">
        <v>201</v>
      </c>
      <c r="HF21" s="41">
        <f>$X$41</f>
        <v>0</v>
      </c>
      <c r="HG21" s="43">
        <f t="shared" si="76"/>
        <v>4.5133050130834889</v>
      </c>
      <c r="HH21" s="38" t="e">
        <f t="shared" si="77"/>
        <v>#N/A</v>
      </c>
      <c r="HI21" s="41">
        <f>$X$42</f>
        <v>0</v>
      </c>
      <c r="HJ21" s="43">
        <f t="shared" si="78"/>
        <v>4.2909325210683598</v>
      </c>
      <c r="HK21" s="38" t="e">
        <f t="shared" si="79"/>
        <v>#N/A</v>
      </c>
      <c r="HL21" s="41">
        <f>$X$43</f>
        <v>0</v>
      </c>
      <c r="HM21" s="43">
        <f t="shared" si="150"/>
        <v>6.6114804770160684E-2</v>
      </c>
      <c r="HN21" s="38" t="e">
        <f t="shared" si="80"/>
        <v>#N/A</v>
      </c>
      <c r="HO21" s="49"/>
      <c r="HP21" s="47" t="s">
        <v>201</v>
      </c>
      <c r="HQ21" s="41">
        <f>$X$44</f>
        <v>0</v>
      </c>
      <c r="HR21" s="43">
        <f t="shared" si="81"/>
        <v>4.5078662583428111</v>
      </c>
      <c r="HS21" s="38" t="e">
        <f t="shared" si="82"/>
        <v>#N/A</v>
      </c>
      <c r="HT21" s="41">
        <f>$X$45</f>
        <v>0</v>
      </c>
      <c r="HU21" s="43">
        <f t="shared" si="83"/>
        <v>3.8847364181475479</v>
      </c>
      <c r="HV21" s="38" t="e">
        <f t="shared" si="84"/>
        <v>#N/A</v>
      </c>
      <c r="HW21" s="41">
        <f>$X$46</f>
        <v>0</v>
      </c>
      <c r="HX21" s="43">
        <f t="shared" si="151"/>
        <v>8.1980304402385351E-2</v>
      </c>
      <c r="HY21" s="38" t="e">
        <f t="shared" si="85"/>
        <v>#N/A</v>
      </c>
      <c r="HZ21" s="49"/>
      <c r="IA21" s="47" t="s">
        <v>201</v>
      </c>
      <c r="IB21" s="41">
        <f>$X$47</f>
        <v>0</v>
      </c>
      <c r="IC21" s="43">
        <f t="shared" si="86"/>
        <v>3.2793557911556031</v>
      </c>
      <c r="ID21" s="38" t="e">
        <f t="shared" si="87"/>
        <v>#N/A</v>
      </c>
      <c r="IE21" s="41">
        <f>$X$48</f>
        <v>0</v>
      </c>
      <c r="IF21" s="43">
        <f t="shared" si="88"/>
        <v>5.1085334391796824</v>
      </c>
      <c r="IG21" s="38" t="e">
        <f t="shared" si="89"/>
        <v>#N/A</v>
      </c>
      <c r="IH21" s="41">
        <f>$X$49</f>
        <v>0</v>
      </c>
      <c r="II21" s="43">
        <f t="shared" si="152"/>
        <v>0.15467084417540078</v>
      </c>
      <c r="IJ21" s="38" t="e">
        <f t="shared" si="90"/>
        <v>#N/A</v>
      </c>
      <c r="IK21" s="49"/>
      <c r="IL21" s="47" t="s">
        <v>201</v>
      </c>
      <c r="IM21" s="41">
        <f>$X$50</f>
        <v>0</v>
      </c>
      <c r="IN21" s="43">
        <f t="shared" si="91"/>
        <v>3.9262013198965633</v>
      </c>
      <c r="IO21" s="38" t="e">
        <f t="shared" si="92"/>
        <v>#N/A</v>
      </c>
      <c r="IP21" s="41">
        <f>$X$51</f>
        <v>0</v>
      </c>
      <c r="IQ21" s="43">
        <f t="shared" si="93"/>
        <v>5.9153409841907063</v>
      </c>
      <c r="IR21" s="38" t="e">
        <f t="shared" si="94"/>
        <v>#N/A</v>
      </c>
      <c r="IS21" s="41">
        <f>$X$52</f>
        <v>0</v>
      </c>
      <c r="IT21" s="43">
        <f t="shared" si="153"/>
        <v>5.6197847379977822E-2</v>
      </c>
      <c r="IU21" s="38" t="e">
        <f t="shared" si="95"/>
        <v>#N/A</v>
      </c>
      <c r="IV21" s="49"/>
      <c r="IW21" s="47" t="s">
        <v>201</v>
      </c>
      <c r="IX21" s="41">
        <f>$X$53</f>
        <v>0</v>
      </c>
      <c r="IY21" s="43">
        <f t="shared" si="96"/>
        <v>3.3457511955054295</v>
      </c>
      <c r="IZ21" s="38" t="e">
        <f t="shared" si="97"/>
        <v>#N/A</v>
      </c>
      <c r="JA21" s="41">
        <f>$X$54</f>
        <v>0</v>
      </c>
      <c r="JB21" s="43">
        <f t="shared" si="98"/>
        <v>2.6220045653360193</v>
      </c>
      <c r="JC21" s="38" t="e">
        <f t="shared" si="99"/>
        <v>#N/A</v>
      </c>
      <c r="JD21" s="41">
        <f>$X$55</f>
        <v>0</v>
      </c>
      <c r="JE21" s="43">
        <f t="shared" si="154"/>
        <v>0.16635006784260528</v>
      </c>
      <c r="JF21" s="38" t="e">
        <f t="shared" si="100"/>
        <v>#N/A</v>
      </c>
      <c r="JG21" s="49"/>
      <c r="JH21" s="47" t="s">
        <v>201</v>
      </c>
      <c r="JI21" s="41">
        <f>$X$56</f>
        <v>0</v>
      </c>
      <c r="JJ21" s="43">
        <f t="shared" si="101"/>
        <v>6.668961047701476</v>
      </c>
      <c r="JK21" s="38" t="e">
        <f t="shared" si="102"/>
        <v>#N/A</v>
      </c>
      <c r="JL21" s="41">
        <f>$X$57</f>
        <v>0</v>
      </c>
      <c r="JM21" s="43">
        <f t="shared" si="103"/>
        <v>2.1149900408273159</v>
      </c>
      <c r="JN21" s="38" t="e">
        <f t="shared" si="104"/>
        <v>#N/A</v>
      </c>
      <c r="JO21" s="41">
        <f>$X$58</f>
        <v>0</v>
      </c>
      <c r="JP21" s="43">
        <f t="shared" si="155"/>
        <v>0.11950643687413505</v>
      </c>
      <c r="JQ21" s="38" t="e">
        <f t="shared" si="105"/>
        <v>#N/A</v>
      </c>
      <c r="JR21" s="49"/>
      <c r="JS21" s="47" t="s">
        <v>201</v>
      </c>
      <c r="JT21" s="41">
        <f>$X$59</f>
        <v>0</v>
      </c>
      <c r="JU21" s="43">
        <f t="shared" si="106"/>
        <v>3.6542510708618732</v>
      </c>
      <c r="JV21" s="38" t="e">
        <f t="shared" si="107"/>
        <v>#N/A</v>
      </c>
      <c r="JW21" s="41">
        <f>$X$60</f>
        <v>0</v>
      </c>
      <c r="JX21" s="43">
        <f t="shared" si="108"/>
        <v>2.6346657322662517</v>
      </c>
      <c r="JY21" s="38" t="e">
        <f t="shared" si="109"/>
        <v>#N/A</v>
      </c>
      <c r="JZ21" s="41">
        <f>$X$61</f>
        <v>0</v>
      </c>
      <c r="KA21" s="43">
        <f t="shared" si="156"/>
        <v>9.9182989581379041E-2</v>
      </c>
      <c r="KB21" s="38" t="e">
        <f t="shared" si="110"/>
        <v>#N/A</v>
      </c>
      <c r="KC21" s="49"/>
      <c r="KD21" s="47" t="s">
        <v>201</v>
      </c>
      <c r="KE21" s="41">
        <f>$X$62</f>
        <v>0</v>
      </c>
      <c r="KF21" s="43">
        <f t="shared" si="111"/>
        <v>1.8304419497114603</v>
      </c>
      <c r="KG21" s="38" t="e">
        <f t="shared" si="112"/>
        <v>#N/A</v>
      </c>
      <c r="KH21" s="41">
        <f>$X$63</f>
        <v>0</v>
      </c>
      <c r="KI21" s="43">
        <f t="shared" si="113"/>
        <v>3.868552848342202</v>
      </c>
      <c r="KJ21" s="38" t="e">
        <f t="shared" si="114"/>
        <v>#N/A</v>
      </c>
      <c r="KK21" s="41">
        <f>$X$64</f>
        <v>0</v>
      </c>
      <c r="KL21" s="43">
        <f t="shared" si="157"/>
        <v>0.13647245697511248</v>
      </c>
      <c r="KM21" s="38" t="e">
        <f t="shared" si="115"/>
        <v>#N/A</v>
      </c>
      <c r="KN21" s="49"/>
      <c r="KO21" s="47" t="s">
        <v>201</v>
      </c>
      <c r="KP21" s="41">
        <f>$X$65</f>
        <v>0</v>
      </c>
      <c r="KQ21" s="43">
        <f t="shared" si="116"/>
        <v>3.5258254515182217</v>
      </c>
      <c r="KR21" s="38" t="e">
        <f t="shared" si="117"/>
        <v>#N/A</v>
      </c>
      <c r="KS21" s="41">
        <f>$X$66</f>
        <v>0</v>
      </c>
      <c r="KT21" s="43">
        <f t="shared" si="118"/>
        <v>1.5710035120633761</v>
      </c>
      <c r="KU21" s="38" t="e">
        <f t="shared" si="119"/>
        <v>#N/A</v>
      </c>
      <c r="KV21" s="41">
        <f>$X$67</f>
        <v>0</v>
      </c>
      <c r="KW21" s="43">
        <f t="shared" si="158"/>
        <v>5.3009676693788067E-2</v>
      </c>
      <c r="KX21" s="38" t="e">
        <f t="shared" si="120"/>
        <v>#N/A</v>
      </c>
      <c r="KY21" s="49"/>
      <c r="KZ21" s="47" t="s">
        <v>201</v>
      </c>
      <c r="LA21" s="41">
        <f>$X$68</f>
        <v>0</v>
      </c>
      <c r="LB21" s="43">
        <f t="shared" si="121"/>
        <v>3.5023863953704675</v>
      </c>
      <c r="LC21" s="38" t="e">
        <f t="shared" si="122"/>
        <v>#N/A</v>
      </c>
      <c r="LD21" s="41">
        <f>$X$69</f>
        <v>0</v>
      </c>
      <c r="LE21" s="43">
        <f t="shared" si="123"/>
        <v>2.2450052204262185</v>
      </c>
      <c r="LF21" s="38" t="e">
        <f t="shared" si="124"/>
        <v>#N/A</v>
      </c>
      <c r="LG21" s="41">
        <f>$X$70</f>
        <v>0</v>
      </c>
      <c r="LH21" s="43">
        <f t="shared" si="159"/>
        <v>0</v>
      </c>
      <c r="LI21" s="38" t="e">
        <f t="shared" si="125"/>
        <v>#N/A</v>
      </c>
      <c r="LJ21" s="49"/>
      <c r="LK21" s="47" t="s">
        <v>201</v>
      </c>
      <c r="LL21" s="41">
        <f>$X$71</f>
        <v>0</v>
      </c>
      <c r="LM21" s="43">
        <f t="shared" si="126"/>
        <v>4.8300699339300781</v>
      </c>
      <c r="LN21" s="38" t="e">
        <f t="shared" si="127"/>
        <v>#N/A</v>
      </c>
      <c r="LO21" s="41">
        <f>$X$72</f>
        <v>0</v>
      </c>
      <c r="LP21" s="43">
        <f t="shared" si="128"/>
        <v>2.8847298348467207</v>
      </c>
      <c r="LQ21" s="38" t="e">
        <f t="shared" si="129"/>
        <v>#N/A</v>
      </c>
      <c r="LR21" s="41">
        <f>$X$73</f>
        <v>0</v>
      </c>
      <c r="LS21" s="43">
        <f t="shared" si="160"/>
        <v>5.2100141830148959E-2</v>
      </c>
      <c r="LT21" s="38" t="e">
        <f t="shared" si="130"/>
        <v>#N/A</v>
      </c>
      <c r="LU21" s="49"/>
      <c r="LV21" s="47" t="s">
        <v>201</v>
      </c>
      <c r="LW21" s="41">
        <f>$X$74</f>
        <v>0</v>
      </c>
      <c r="LX21" s="43">
        <f t="shared" si="131"/>
        <v>4.1982682278503578</v>
      </c>
      <c r="LY21" s="38" t="e">
        <f t="shared" si="132"/>
        <v>#N/A</v>
      </c>
      <c r="LZ21" s="41">
        <f>$X$75</f>
        <v>0</v>
      </c>
      <c r="MA21" s="43">
        <f t="shared" si="133"/>
        <v>4.011339754780928</v>
      </c>
      <c r="MB21" s="38" t="e">
        <f t="shared" si="134"/>
        <v>#N/A</v>
      </c>
      <c r="MC21" s="41">
        <f>$X$76</f>
        <v>0</v>
      </c>
      <c r="MD21" s="43">
        <f t="shared" si="161"/>
        <v>7.5312296376773502E-2</v>
      </c>
      <c r="ME21" s="38" t="e">
        <f t="shared" si="135"/>
        <v>#N/A</v>
      </c>
    </row>
    <row r="22" spans="2:343" ht="14.25" customHeight="1" thickBot="1" x14ac:dyDescent="0.25">
      <c r="B22" s="139">
        <f>E22/SUM($E$20:$E$22)</f>
        <v>6.8157134156717298E-3</v>
      </c>
      <c r="C22" s="140" t="s">
        <v>2</v>
      </c>
      <c r="D22" s="141"/>
      <c r="E22" s="170">
        <f>CORE!E205</f>
        <v>6.8157134156717298E-3</v>
      </c>
      <c r="F22" s="170">
        <f>CORE!F205</f>
        <v>0</v>
      </c>
      <c r="G22" s="170">
        <f>CORE!G205</f>
        <v>1.2904734390029567E-2</v>
      </c>
      <c r="H22" s="170">
        <f>CORE!H205</f>
        <v>0</v>
      </c>
      <c r="I22" s="170">
        <f>CORE!I205</f>
        <v>0</v>
      </c>
      <c r="J22" s="170">
        <f>CORE!J205</f>
        <v>1.0190978813918842E-2</v>
      </c>
      <c r="K22" s="170">
        <f>CORE!K205</f>
        <v>8.7857934041014572E-3</v>
      </c>
      <c r="L22" s="170">
        <f>CORE!L205</f>
        <v>2.8789515149320728E-2</v>
      </c>
      <c r="M22" s="170">
        <f>CORE!M205</f>
        <v>0</v>
      </c>
      <c r="N22" s="170">
        <f>CORE!N205</f>
        <v>3.4427895138047231E-3</v>
      </c>
      <c r="O22" s="170">
        <f>CORE!O205</f>
        <v>0</v>
      </c>
      <c r="P22" s="170">
        <f>CORE!P205</f>
        <v>0</v>
      </c>
      <c r="Q22" s="170">
        <f>CORE!Q205</f>
        <v>0</v>
      </c>
      <c r="R22" s="170">
        <f>CORE!R205</f>
        <v>0</v>
      </c>
      <c r="S22" s="170">
        <f>CORE!S205</f>
        <v>0</v>
      </c>
      <c r="T22" s="170">
        <f>CORE!T205</f>
        <v>0</v>
      </c>
      <c r="U22" s="170">
        <f>CORE!U205</f>
        <v>0</v>
      </c>
      <c r="V22" s="170">
        <f>CORE!V205</f>
        <v>0</v>
      </c>
      <c r="W22" s="170">
        <f>CORE!W205</f>
        <v>0</v>
      </c>
      <c r="X22" s="170">
        <f>CORE!X205</f>
        <v>0</v>
      </c>
      <c r="Y22" s="171">
        <f>CORE!Y205</f>
        <v>0</v>
      </c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4"/>
      <c r="AQ22" s="33">
        <v>5.0083195613560072</v>
      </c>
      <c r="AR22" s="11">
        <f>AU22/SUM($AU20:$AU22)</f>
        <v>6.8157134156717316E-3</v>
      </c>
      <c r="AS22" s="120" t="s">
        <v>2</v>
      </c>
      <c r="AT22" s="31"/>
      <c r="AU22" s="125">
        <f>IF((E20+E21+E22)=0,1,E22/(E20+E21+E22)*$AQ22)</f>
        <v>3.4135270824305293E-2</v>
      </c>
      <c r="AV22" s="125">
        <f t="shared" ref="AV22:BO22" si="176">IF((F20+F21+F22)=0,0,F22/(F20+F21+F22)*$AQ22)</f>
        <v>0</v>
      </c>
      <c r="AW22" s="125">
        <f t="shared" si="176"/>
        <v>6.4631033679688657E-2</v>
      </c>
      <c r="AX22" s="125">
        <f t="shared" si="176"/>
        <v>0</v>
      </c>
      <c r="AY22" s="125">
        <f t="shared" si="176"/>
        <v>0</v>
      </c>
      <c r="AZ22" s="125">
        <f t="shared" si="176"/>
        <v>5.605752970445832E-2</v>
      </c>
      <c r="BA22" s="125">
        <f t="shared" si="176"/>
        <v>4.4002060967793917E-2</v>
      </c>
      <c r="BB22" s="125">
        <f t="shared" si="176"/>
        <v>0.14418709188429812</v>
      </c>
      <c r="BC22" s="125">
        <f t="shared" si="176"/>
        <v>0</v>
      </c>
      <c r="BD22" s="125">
        <f t="shared" si="176"/>
        <v>1.7242590067619534E-2</v>
      </c>
      <c r="BE22" s="125">
        <f t="shared" si="176"/>
        <v>0</v>
      </c>
      <c r="BF22" s="125">
        <f t="shared" si="176"/>
        <v>0</v>
      </c>
      <c r="BG22" s="125">
        <f t="shared" si="176"/>
        <v>0</v>
      </c>
      <c r="BH22" s="125">
        <f t="shared" si="176"/>
        <v>0</v>
      </c>
      <c r="BI22" s="125">
        <f t="shared" si="176"/>
        <v>0</v>
      </c>
      <c r="BJ22" s="125">
        <f t="shared" si="176"/>
        <v>0</v>
      </c>
      <c r="BK22" s="125">
        <f t="shared" si="176"/>
        <v>0</v>
      </c>
      <c r="BL22" s="125">
        <f t="shared" si="176"/>
        <v>0</v>
      </c>
      <c r="BM22" s="125">
        <f t="shared" si="176"/>
        <v>0</v>
      </c>
      <c r="BN22" s="125">
        <f t="shared" si="176"/>
        <v>0</v>
      </c>
      <c r="BO22" s="126">
        <f t="shared" si="176"/>
        <v>0</v>
      </c>
      <c r="BQ22" s="47"/>
      <c r="BS22" s="41">
        <f>BN2</f>
        <v>0</v>
      </c>
      <c r="BT22" s="43">
        <f t="shared" si="10"/>
        <v>539.47992881945811</v>
      </c>
      <c r="BU22" s="38" t="e">
        <f t="shared" si="11"/>
        <v>#N/A</v>
      </c>
      <c r="BV22" s="41">
        <f>BN3</f>
        <v>0</v>
      </c>
      <c r="BW22" s="43">
        <f t="shared" si="12"/>
        <v>493.28617111859609</v>
      </c>
      <c r="BX22" s="38" t="e">
        <f t="shared" si="13"/>
        <v>#N/A</v>
      </c>
      <c r="BY22" s="41">
        <f>BN4</f>
        <v>0</v>
      </c>
      <c r="BZ22" s="43">
        <f t="shared" si="14"/>
        <v>16.152245399423034</v>
      </c>
      <c r="CA22" s="38" t="e">
        <f t="shared" si="15"/>
        <v>#N/A</v>
      </c>
      <c r="CB22" s="49"/>
      <c r="CC22" s="47" t="s">
        <v>202</v>
      </c>
      <c r="CD22" s="41">
        <f>$Y$5</f>
        <v>0</v>
      </c>
      <c r="CE22" s="43">
        <f t="shared" si="16"/>
        <v>6.7023617306159995</v>
      </c>
      <c r="CF22" s="38" t="e">
        <f t="shared" si="17"/>
        <v>#N/A</v>
      </c>
      <c r="CG22" s="41">
        <f>$Y$6</f>
        <v>0</v>
      </c>
      <c r="CH22" s="43">
        <f t="shared" si="18"/>
        <v>4.2387638105095418</v>
      </c>
      <c r="CI22" s="38" t="e">
        <f t="shared" si="19"/>
        <v>#N/A</v>
      </c>
      <c r="CJ22" s="41">
        <f>$Y$7</f>
        <v>0</v>
      </c>
      <c r="CK22" s="43">
        <f t="shared" si="138"/>
        <v>5.8874458874458871E-2</v>
      </c>
      <c r="CL22" s="38" t="e">
        <f t="shared" si="20"/>
        <v>#N/A</v>
      </c>
      <c r="CM22" s="49"/>
      <c r="CN22" s="47" t="s">
        <v>202</v>
      </c>
      <c r="CO22" s="41">
        <f>$Y$8</f>
        <v>0</v>
      </c>
      <c r="CP22" s="43">
        <f t="shared" si="21"/>
        <v>5.4642316405504285</v>
      </c>
      <c r="CQ22" s="38" t="e">
        <f t="shared" si="22"/>
        <v>#N/A</v>
      </c>
      <c r="CR22" s="41">
        <f>$Y$9</f>
        <v>0</v>
      </c>
      <c r="CS22" s="43">
        <f t="shared" si="23"/>
        <v>2.7563624054549232</v>
      </c>
      <c r="CT22" s="38" t="e">
        <f t="shared" si="24"/>
        <v>#N/A</v>
      </c>
      <c r="CU22" s="41">
        <f>$Y$10</f>
        <v>0</v>
      </c>
      <c r="CV22" s="43">
        <f t="shared" si="139"/>
        <v>7.1847052454791255E-2</v>
      </c>
      <c r="CW22" s="38" t="e">
        <f t="shared" si="25"/>
        <v>#N/A</v>
      </c>
      <c r="CX22" s="49"/>
      <c r="CY22" s="47" t="s">
        <v>202</v>
      </c>
      <c r="CZ22" s="41">
        <f>$Y$11</f>
        <v>0</v>
      </c>
      <c r="DA22" s="43">
        <f t="shared" si="26"/>
        <v>4.953802431779418</v>
      </c>
      <c r="DB22" s="38" t="e">
        <f t="shared" si="27"/>
        <v>#N/A</v>
      </c>
      <c r="DC22" s="41">
        <f>$Y$12</f>
        <v>0</v>
      </c>
      <c r="DD22" s="43">
        <f t="shared" si="28"/>
        <v>3.0743767793404873</v>
      </c>
      <c r="DE22" s="38" t="e">
        <f t="shared" si="29"/>
        <v>#N/A</v>
      </c>
      <c r="DF22" s="41">
        <f>$Y$13</f>
        <v>0</v>
      </c>
      <c r="DG22" s="43">
        <f t="shared" si="140"/>
        <v>0.10428877821453758</v>
      </c>
      <c r="DH22" s="38" t="e">
        <f t="shared" si="30"/>
        <v>#N/A</v>
      </c>
      <c r="DI22" s="49"/>
      <c r="DJ22" s="47" t="s">
        <v>202</v>
      </c>
      <c r="DK22" s="41">
        <f>$Y$14</f>
        <v>0</v>
      </c>
      <c r="DL22" s="43">
        <f t="shared" si="31"/>
        <v>4.3316881585615796</v>
      </c>
      <c r="DM22" s="38" t="e">
        <f t="shared" si="32"/>
        <v>#N/A</v>
      </c>
      <c r="DN22" s="41">
        <f>$Y$15</f>
        <v>0</v>
      </c>
      <c r="DO22" s="43">
        <f t="shared" si="33"/>
        <v>4.2776562847411803</v>
      </c>
      <c r="DP22" s="38" t="e">
        <f t="shared" si="34"/>
        <v>#N/A</v>
      </c>
      <c r="DQ22" s="41">
        <f>$Y$16</f>
        <v>0</v>
      </c>
      <c r="DR22" s="43">
        <f t="shared" si="141"/>
        <v>0.20109475903041757</v>
      </c>
      <c r="DS22" s="38" t="e">
        <f t="shared" si="35"/>
        <v>#N/A</v>
      </c>
      <c r="DT22" s="49"/>
      <c r="DU22" s="47" t="s">
        <v>202</v>
      </c>
      <c r="DV22" s="41">
        <f>$Y$17</f>
        <v>0</v>
      </c>
      <c r="DW22" s="43">
        <f t="shared" si="36"/>
        <v>2.7253552615270826</v>
      </c>
      <c r="DX22" s="38" t="e">
        <f t="shared" si="37"/>
        <v>#N/A</v>
      </c>
      <c r="DY22" s="41">
        <f>$Y$18</f>
        <v>0</v>
      </c>
      <c r="DZ22" s="43">
        <f t="shared" si="38"/>
        <v>4.3566623429731317</v>
      </c>
      <c r="EA22" s="38" t="e">
        <f t="shared" si="39"/>
        <v>#N/A</v>
      </c>
      <c r="EB22" s="41">
        <f>$Y$19</f>
        <v>0</v>
      </c>
      <c r="EC22" s="43">
        <f t="shared" si="142"/>
        <v>0.16986688166192201</v>
      </c>
      <c r="ED22" s="38" t="e">
        <f t="shared" si="40"/>
        <v>#N/A</v>
      </c>
      <c r="EE22" s="49"/>
      <c r="EF22" s="47" t="s">
        <v>202</v>
      </c>
      <c r="EG22" s="41">
        <f>$Y$20</f>
        <v>0</v>
      </c>
      <c r="EH22" s="43">
        <f t="shared" si="41"/>
        <v>5.2167381117520613</v>
      </c>
      <c r="EI22" s="38" t="e">
        <f t="shared" si="42"/>
        <v>#N/A</v>
      </c>
      <c r="EJ22" s="41">
        <f>$Y$21</f>
        <v>0</v>
      </c>
      <c r="EK22" s="43">
        <f t="shared" si="43"/>
        <v>3.7012762859146568</v>
      </c>
      <c r="EL22" s="38" t="e">
        <f t="shared" si="44"/>
        <v>#N/A</v>
      </c>
      <c r="EM22" s="41">
        <f>$Y$22</f>
        <v>0</v>
      </c>
      <c r="EN22" s="43">
        <f t="shared" si="143"/>
        <v>6.4113811271175311E-2</v>
      </c>
      <c r="EO22" s="38" t="e">
        <f t="shared" si="45"/>
        <v>#N/A</v>
      </c>
      <c r="EP22" s="49"/>
      <c r="EQ22" s="47" t="s">
        <v>202</v>
      </c>
      <c r="ER22" s="41">
        <f>$Y$23</f>
        <v>0</v>
      </c>
      <c r="ES22" s="43">
        <f t="shared" si="46"/>
        <v>5.1327622151523205</v>
      </c>
      <c r="ET22" s="38" t="e">
        <f t="shared" si="47"/>
        <v>#N/A</v>
      </c>
      <c r="EU22" s="41">
        <f>$Y$24</f>
        <v>0</v>
      </c>
      <c r="EV22" s="43">
        <f t="shared" si="48"/>
        <v>3.8549766297510812</v>
      </c>
      <c r="EW22" s="38" t="e">
        <f t="shared" si="49"/>
        <v>#N/A</v>
      </c>
      <c r="EX22" s="41">
        <f>$Y$25</f>
        <v>0</v>
      </c>
      <c r="EY22" s="43">
        <f t="shared" si="144"/>
        <v>0.17547707989316763</v>
      </c>
      <c r="EZ22" s="38" t="e">
        <f t="shared" si="50"/>
        <v>#N/A</v>
      </c>
      <c r="FA22" s="49"/>
      <c r="FB22" s="47" t="s">
        <v>202</v>
      </c>
      <c r="FC22" s="41">
        <f>$Y$26</f>
        <v>0</v>
      </c>
      <c r="FD22" s="43">
        <f t="shared" si="51"/>
        <v>3.800872265412135</v>
      </c>
      <c r="FE22" s="38" t="e">
        <f t="shared" si="52"/>
        <v>#N/A</v>
      </c>
      <c r="FF22" s="41">
        <f>$Y$27</f>
        <v>0</v>
      </c>
      <c r="FG22" s="43">
        <f t="shared" si="53"/>
        <v>4.20210081283623</v>
      </c>
      <c r="FH22" s="38" t="e">
        <f t="shared" si="54"/>
        <v>#N/A</v>
      </c>
      <c r="FI22" s="41">
        <f>$Y$28</f>
        <v>0</v>
      </c>
      <c r="FJ22" s="43">
        <f t="shared" si="145"/>
        <v>5.2788056749913902E-2</v>
      </c>
      <c r="FK22" s="38" t="e">
        <f t="shared" si="55"/>
        <v>#N/A</v>
      </c>
      <c r="FL22" s="49"/>
      <c r="FM22" s="47" t="s">
        <v>202</v>
      </c>
      <c r="FN22" s="41">
        <f>$Y$29</f>
        <v>0</v>
      </c>
      <c r="FO22" s="43">
        <f t="shared" si="56"/>
        <v>2.9249999999999998</v>
      </c>
      <c r="FP22" s="38" t="e">
        <f t="shared" si="57"/>
        <v>#N/A</v>
      </c>
      <c r="FQ22" s="41">
        <f>$Y$30</f>
        <v>0</v>
      </c>
      <c r="FR22" s="43">
        <f t="shared" si="58"/>
        <v>2.95</v>
      </c>
      <c r="FS22" s="38" t="e">
        <f t="shared" si="59"/>
        <v>#N/A</v>
      </c>
      <c r="FT22" s="41">
        <f>$Y$31</f>
        <v>0</v>
      </c>
      <c r="FU22" s="43">
        <f t="shared" si="146"/>
        <v>0.125</v>
      </c>
      <c r="FV22" s="38" t="e">
        <f t="shared" si="60"/>
        <v>#N/A</v>
      </c>
      <c r="FW22" s="49"/>
      <c r="FX22" s="47" t="s">
        <v>202</v>
      </c>
      <c r="FY22" s="41">
        <f>$Y$32</f>
        <v>0</v>
      </c>
      <c r="FZ22" s="43">
        <f t="shared" si="61"/>
        <v>2.7834023424848038</v>
      </c>
      <c r="GA22" s="38" t="e">
        <f t="shared" si="62"/>
        <v>#N/A</v>
      </c>
      <c r="GB22" s="41">
        <f>$Y$33</f>
        <v>0</v>
      </c>
      <c r="GC22" s="43">
        <f t="shared" si="63"/>
        <v>4.200595681544038</v>
      </c>
      <c r="GD22" s="38" t="e">
        <f t="shared" si="64"/>
        <v>#N/A</v>
      </c>
      <c r="GE22" s="41">
        <f>$Y$34</f>
        <v>0</v>
      </c>
      <c r="GF22" s="43">
        <f t="shared" si="147"/>
        <v>0.26395674063478058</v>
      </c>
      <c r="GG22" s="38" t="e">
        <f t="shared" si="65"/>
        <v>#N/A</v>
      </c>
      <c r="GH22" s="49"/>
      <c r="GI22" s="47" t="s">
        <v>202</v>
      </c>
      <c r="GJ22" s="41">
        <f>$Y$35</f>
        <v>0</v>
      </c>
      <c r="GK22" s="43">
        <f t="shared" si="66"/>
        <v>6.213372016921979</v>
      </c>
      <c r="GL22" s="38" t="e">
        <f t="shared" si="67"/>
        <v>#N/A</v>
      </c>
      <c r="GM22" s="41">
        <f>$Y$36</f>
        <v>0</v>
      </c>
      <c r="GN22" s="43">
        <f t="shared" si="68"/>
        <v>3.0230596595535495</v>
      </c>
      <c r="GO22" s="38" t="e">
        <f t="shared" si="69"/>
        <v>#N/A</v>
      </c>
      <c r="GP22" s="41">
        <f>$Y$37</f>
        <v>0</v>
      </c>
      <c r="GQ22" s="43">
        <f t="shared" si="148"/>
        <v>4.968696543043527E-2</v>
      </c>
      <c r="GR22" s="38" t="e">
        <f t="shared" si="70"/>
        <v>#N/A</v>
      </c>
      <c r="GS22" s="49"/>
      <c r="GT22" s="47" t="s">
        <v>202</v>
      </c>
      <c r="GU22" s="41">
        <f>$Y$38</f>
        <v>0</v>
      </c>
      <c r="GV22" s="43">
        <f t="shared" si="71"/>
        <v>4.1824765482792525</v>
      </c>
      <c r="GW22" s="38" t="e">
        <f t="shared" si="72"/>
        <v>#N/A</v>
      </c>
      <c r="GX22" s="41">
        <f>$Y$39</f>
        <v>0</v>
      </c>
      <c r="GY22" s="43">
        <f t="shared" si="73"/>
        <v>2.6920064898727674</v>
      </c>
      <c r="GZ22" s="38" t="e">
        <f t="shared" si="74"/>
        <v>#N/A</v>
      </c>
      <c r="HA22" s="41">
        <f>$Y$40</f>
        <v>0</v>
      </c>
      <c r="HB22" s="43">
        <f t="shared" si="149"/>
        <v>4.296145506701958E-2</v>
      </c>
      <c r="HC22" s="38" t="e">
        <f t="shared" si="75"/>
        <v>#N/A</v>
      </c>
      <c r="HD22" s="49"/>
      <c r="HE22" s="47" t="s">
        <v>202</v>
      </c>
      <c r="HF22" s="41">
        <f>$Y$41</f>
        <v>0</v>
      </c>
      <c r="HG22" s="43">
        <f t="shared" si="76"/>
        <v>4.5133050130834889</v>
      </c>
      <c r="HH22" s="38" t="e">
        <f t="shared" si="77"/>
        <v>#N/A</v>
      </c>
      <c r="HI22" s="41">
        <f>$Y$42</f>
        <v>0</v>
      </c>
      <c r="HJ22" s="43">
        <f t="shared" si="78"/>
        <v>4.2909325210683598</v>
      </c>
      <c r="HK22" s="38" t="e">
        <f t="shared" si="79"/>
        <v>#N/A</v>
      </c>
      <c r="HL22" s="41">
        <f>$Y$43</f>
        <v>0</v>
      </c>
      <c r="HM22" s="43">
        <f t="shared" si="150"/>
        <v>6.6114804770160684E-2</v>
      </c>
      <c r="HN22" s="38" t="e">
        <f t="shared" si="80"/>
        <v>#N/A</v>
      </c>
      <c r="HO22" s="49"/>
      <c r="HP22" s="47" t="s">
        <v>202</v>
      </c>
      <c r="HQ22" s="41">
        <f>$Y$44</f>
        <v>0</v>
      </c>
      <c r="HR22" s="43">
        <f t="shared" si="81"/>
        <v>4.5078662583428111</v>
      </c>
      <c r="HS22" s="38" t="e">
        <f t="shared" si="82"/>
        <v>#N/A</v>
      </c>
      <c r="HT22" s="41">
        <f>$Y$45</f>
        <v>0</v>
      </c>
      <c r="HU22" s="43">
        <f t="shared" si="83"/>
        <v>3.8847364181475479</v>
      </c>
      <c r="HV22" s="38" t="e">
        <f t="shared" si="84"/>
        <v>#N/A</v>
      </c>
      <c r="HW22" s="41">
        <f>$Y$46</f>
        <v>0</v>
      </c>
      <c r="HX22" s="43">
        <f t="shared" si="151"/>
        <v>8.1980304402385351E-2</v>
      </c>
      <c r="HY22" s="38" t="e">
        <f t="shared" si="85"/>
        <v>#N/A</v>
      </c>
      <c r="HZ22" s="49"/>
      <c r="IA22" s="47" t="s">
        <v>202</v>
      </c>
      <c r="IB22" s="41">
        <f>$Y$47</f>
        <v>0</v>
      </c>
      <c r="IC22" s="43">
        <f t="shared" si="86"/>
        <v>3.2793557911556031</v>
      </c>
      <c r="ID22" s="38" t="e">
        <f t="shared" si="87"/>
        <v>#N/A</v>
      </c>
      <c r="IE22" s="41">
        <f>$Y$48</f>
        <v>0</v>
      </c>
      <c r="IF22" s="43">
        <f t="shared" si="88"/>
        <v>5.1085334391796824</v>
      </c>
      <c r="IG22" s="38" t="e">
        <f t="shared" si="89"/>
        <v>#N/A</v>
      </c>
      <c r="IH22" s="41">
        <f>$Y$49</f>
        <v>0</v>
      </c>
      <c r="II22" s="43">
        <f t="shared" si="152"/>
        <v>0.15467084417540078</v>
      </c>
      <c r="IJ22" s="38" t="e">
        <f t="shared" si="90"/>
        <v>#N/A</v>
      </c>
      <c r="IK22" s="49"/>
      <c r="IL22" s="47" t="s">
        <v>202</v>
      </c>
      <c r="IM22" s="41">
        <f>$Y$50</f>
        <v>0</v>
      </c>
      <c r="IN22" s="43">
        <f t="shared" si="91"/>
        <v>3.9262013198965633</v>
      </c>
      <c r="IO22" s="38" t="e">
        <f t="shared" si="92"/>
        <v>#N/A</v>
      </c>
      <c r="IP22" s="41">
        <f>$Y$51</f>
        <v>0</v>
      </c>
      <c r="IQ22" s="43">
        <f t="shared" si="93"/>
        <v>5.9153409841907063</v>
      </c>
      <c r="IR22" s="38" t="e">
        <f t="shared" si="94"/>
        <v>#N/A</v>
      </c>
      <c r="IS22" s="41">
        <f>$Y$52</f>
        <v>0</v>
      </c>
      <c r="IT22" s="43">
        <f t="shared" si="153"/>
        <v>5.6197847379977822E-2</v>
      </c>
      <c r="IU22" s="38" t="e">
        <f t="shared" si="95"/>
        <v>#N/A</v>
      </c>
      <c r="IV22" s="49"/>
      <c r="IW22" s="47" t="s">
        <v>202</v>
      </c>
      <c r="IX22" s="41">
        <f>$Y$53</f>
        <v>0</v>
      </c>
      <c r="IY22" s="43">
        <f t="shared" si="96"/>
        <v>3.3457511955054295</v>
      </c>
      <c r="IZ22" s="38" t="e">
        <f t="shared" si="97"/>
        <v>#N/A</v>
      </c>
      <c r="JA22" s="41">
        <f>$Y$54</f>
        <v>0</v>
      </c>
      <c r="JB22" s="43">
        <f t="shared" si="98"/>
        <v>2.6220045653360193</v>
      </c>
      <c r="JC22" s="38" t="e">
        <f t="shared" si="99"/>
        <v>#N/A</v>
      </c>
      <c r="JD22" s="41">
        <f>$Y$55</f>
        <v>0</v>
      </c>
      <c r="JE22" s="43">
        <f t="shared" si="154"/>
        <v>0.16635006784260528</v>
      </c>
      <c r="JF22" s="38" t="e">
        <f t="shared" si="100"/>
        <v>#N/A</v>
      </c>
      <c r="JG22" s="49"/>
      <c r="JH22" s="47" t="s">
        <v>202</v>
      </c>
      <c r="JI22" s="41">
        <f>$Y$56</f>
        <v>0</v>
      </c>
      <c r="JJ22" s="43">
        <f t="shared" si="101"/>
        <v>6.668961047701476</v>
      </c>
      <c r="JK22" s="38" t="e">
        <f t="shared" si="102"/>
        <v>#N/A</v>
      </c>
      <c r="JL22" s="41">
        <f>$Y$57</f>
        <v>0</v>
      </c>
      <c r="JM22" s="43">
        <f t="shared" si="103"/>
        <v>2.1149900408273159</v>
      </c>
      <c r="JN22" s="38" t="e">
        <f t="shared" si="104"/>
        <v>#N/A</v>
      </c>
      <c r="JO22" s="41">
        <f>$Y$58</f>
        <v>0</v>
      </c>
      <c r="JP22" s="43">
        <f t="shared" si="155"/>
        <v>0.11950643687413505</v>
      </c>
      <c r="JQ22" s="38" t="e">
        <f t="shared" si="105"/>
        <v>#N/A</v>
      </c>
      <c r="JR22" s="49"/>
      <c r="JS22" s="47" t="s">
        <v>202</v>
      </c>
      <c r="JT22" s="41">
        <f>$Y$59</f>
        <v>0</v>
      </c>
      <c r="JU22" s="43">
        <f t="shared" si="106"/>
        <v>3.6542510708618732</v>
      </c>
      <c r="JV22" s="38" t="e">
        <f t="shared" si="107"/>
        <v>#N/A</v>
      </c>
      <c r="JW22" s="41">
        <f>$Y$60</f>
        <v>0</v>
      </c>
      <c r="JX22" s="43">
        <f t="shared" si="108"/>
        <v>2.6346657322662517</v>
      </c>
      <c r="JY22" s="38" t="e">
        <f t="shared" si="109"/>
        <v>#N/A</v>
      </c>
      <c r="JZ22" s="41">
        <f>$Y$61</f>
        <v>0</v>
      </c>
      <c r="KA22" s="43">
        <f t="shared" si="156"/>
        <v>9.9182989581379041E-2</v>
      </c>
      <c r="KB22" s="38" t="e">
        <f t="shared" si="110"/>
        <v>#N/A</v>
      </c>
      <c r="KC22" s="49"/>
      <c r="KD22" s="47" t="s">
        <v>202</v>
      </c>
      <c r="KE22" s="41">
        <f>$Y$62</f>
        <v>0</v>
      </c>
      <c r="KF22" s="43">
        <f t="shared" si="111"/>
        <v>1.8304419497114603</v>
      </c>
      <c r="KG22" s="38" t="e">
        <f t="shared" si="112"/>
        <v>#N/A</v>
      </c>
      <c r="KH22" s="41">
        <f>$Y$63</f>
        <v>0</v>
      </c>
      <c r="KI22" s="43">
        <f t="shared" si="113"/>
        <v>3.868552848342202</v>
      </c>
      <c r="KJ22" s="38" t="e">
        <f t="shared" si="114"/>
        <v>#N/A</v>
      </c>
      <c r="KK22" s="41">
        <f>$Y$64</f>
        <v>0</v>
      </c>
      <c r="KL22" s="43">
        <f t="shared" si="157"/>
        <v>0.13647245697511248</v>
      </c>
      <c r="KM22" s="38" t="e">
        <f t="shared" si="115"/>
        <v>#N/A</v>
      </c>
      <c r="KN22" s="49"/>
      <c r="KO22" s="47" t="s">
        <v>202</v>
      </c>
      <c r="KP22" s="41">
        <f>$Y$65</f>
        <v>0</v>
      </c>
      <c r="KQ22" s="43">
        <f t="shared" si="116"/>
        <v>3.5258254515182217</v>
      </c>
      <c r="KR22" s="38" t="e">
        <f t="shared" si="117"/>
        <v>#N/A</v>
      </c>
      <c r="KS22" s="41">
        <f>$Y$66</f>
        <v>0</v>
      </c>
      <c r="KT22" s="43">
        <f t="shared" si="118"/>
        <v>1.5710035120633761</v>
      </c>
      <c r="KU22" s="38" t="e">
        <f t="shared" si="119"/>
        <v>#N/A</v>
      </c>
      <c r="KV22" s="41">
        <f>$Y$67</f>
        <v>0</v>
      </c>
      <c r="KW22" s="43">
        <f t="shared" si="158"/>
        <v>5.3009676693788067E-2</v>
      </c>
      <c r="KX22" s="38" t="e">
        <f t="shared" si="120"/>
        <v>#N/A</v>
      </c>
      <c r="KY22" s="49"/>
      <c r="KZ22" s="47" t="s">
        <v>202</v>
      </c>
      <c r="LA22" s="41">
        <f>$Y$68</f>
        <v>0</v>
      </c>
      <c r="LB22" s="43">
        <f t="shared" si="121"/>
        <v>3.5023863953704675</v>
      </c>
      <c r="LC22" s="38" t="e">
        <f t="shared" si="122"/>
        <v>#N/A</v>
      </c>
      <c r="LD22" s="41">
        <f>$Y$69</f>
        <v>0</v>
      </c>
      <c r="LE22" s="43">
        <f t="shared" si="123"/>
        <v>2.2450052204262185</v>
      </c>
      <c r="LF22" s="38" t="e">
        <f t="shared" si="124"/>
        <v>#N/A</v>
      </c>
      <c r="LG22" s="41">
        <f>$Y$70</f>
        <v>0</v>
      </c>
      <c r="LH22" s="43">
        <f t="shared" si="159"/>
        <v>0</v>
      </c>
      <c r="LI22" s="38" t="e">
        <f t="shared" si="125"/>
        <v>#N/A</v>
      </c>
      <c r="LJ22" s="49"/>
      <c r="LK22" s="47" t="s">
        <v>202</v>
      </c>
      <c r="LL22" s="41">
        <f>$Y$71</f>
        <v>0</v>
      </c>
      <c r="LM22" s="43">
        <f t="shared" si="126"/>
        <v>4.8300699339300781</v>
      </c>
      <c r="LN22" s="38" t="e">
        <f t="shared" si="127"/>
        <v>#N/A</v>
      </c>
      <c r="LO22" s="41">
        <f>$Y$72</f>
        <v>0</v>
      </c>
      <c r="LP22" s="43">
        <f t="shared" si="128"/>
        <v>2.8847298348467207</v>
      </c>
      <c r="LQ22" s="38" t="e">
        <f t="shared" si="129"/>
        <v>#N/A</v>
      </c>
      <c r="LR22" s="41">
        <f>$Y$73</f>
        <v>0</v>
      </c>
      <c r="LS22" s="43">
        <f t="shared" si="160"/>
        <v>5.2100141830148959E-2</v>
      </c>
      <c r="LT22" s="38" t="e">
        <f t="shared" si="130"/>
        <v>#N/A</v>
      </c>
      <c r="LU22" s="49"/>
      <c r="LV22" s="47" t="s">
        <v>202</v>
      </c>
      <c r="LW22" s="41">
        <f>$Y$74</f>
        <v>0</v>
      </c>
      <c r="LX22" s="43">
        <f t="shared" si="131"/>
        <v>4.1982682278503578</v>
      </c>
      <c r="LY22" s="38" t="e">
        <f t="shared" si="132"/>
        <v>#N/A</v>
      </c>
      <c r="LZ22" s="41">
        <f>$Y$75</f>
        <v>0</v>
      </c>
      <c r="MA22" s="43">
        <f t="shared" si="133"/>
        <v>4.011339754780928</v>
      </c>
      <c r="MB22" s="38" t="e">
        <f t="shared" si="134"/>
        <v>#N/A</v>
      </c>
      <c r="MC22" s="41">
        <f>$Y$76</f>
        <v>0</v>
      </c>
      <c r="MD22" s="43">
        <f t="shared" si="161"/>
        <v>7.5312296376773502E-2</v>
      </c>
      <c r="ME22" s="38" t="e">
        <f t="shared" si="135"/>
        <v>#N/A</v>
      </c>
    </row>
    <row r="23" spans="2:343" ht="14.25" customHeight="1" thickBot="1" x14ac:dyDescent="0.25">
      <c r="B23" s="133">
        <f>E23/SUM($E$23:$E$25)</f>
        <v>0.55763915639922768</v>
      </c>
      <c r="C23" s="134" t="s">
        <v>0</v>
      </c>
      <c r="D23" s="135"/>
      <c r="E23" s="166">
        <f>CORE!E234</f>
        <v>0.55763915639922768</v>
      </c>
      <c r="F23" s="166">
        <f>CORE!F234</f>
        <v>0.18344000223268614</v>
      </c>
      <c r="G23" s="166">
        <f>CORE!G234</f>
        <v>0.43435945826090649</v>
      </c>
      <c r="H23" s="166">
        <f>CORE!H234</f>
        <v>0.50598705664484422</v>
      </c>
      <c r="I23" s="166">
        <f>CORE!I234</f>
        <v>0.32235789984380475</v>
      </c>
      <c r="J23" s="166">
        <f>CORE!J234</f>
        <v>0.59712725113578291</v>
      </c>
      <c r="K23" s="166">
        <f>CORE!K234</f>
        <v>0.44463613132576241</v>
      </c>
      <c r="L23" s="166">
        <f>CORE!L234</f>
        <v>0.5504123657549167</v>
      </c>
      <c r="M23" s="166">
        <f>CORE!M234</f>
        <v>0.42081704082416022</v>
      </c>
      <c r="N23" s="166">
        <f>CORE!N234</f>
        <v>0.57576812740861394</v>
      </c>
      <c r="O23" s="166">
        <f>CORE!O234</f>
        <v>0.49834566450060819</v>
      </c>
      <c r="P23" s="166">
        <f>CORE!P234</f>
        <v>4.8107637690200274E-2</v>
      </c>
      <c r="Q23" s="166">
        <f>CORE!Q234</f>
        <v>0.35742122012987659</v>
      </c>
      <c r="R23" s="166">
        <f>CORE!R234</f>
        <v>0.19398235940015807</v>
      </c>
      <c r="S23" s="166">
        <f>CORE!S234</f>
        <v>0</v>
      </c>
      <c r="T23" s="166">
        <f>CORE!T234</f>
        <v>0</v>
      </c>
      <c r="U23" s="166">
        <f>CORE!U234</f>
        <v>0</v>
      </c>
      <c r="V23" s="166">
        <f>CORE!V234</f>
        <v>0</v>
      </c>
      <c r="W23" s="166">
        <f>CORE!W234</f>
        <v>0</v>
      </c>
      <c r="X23" s="166">
        <f>CORE!X234</f>
        <v>0</v>
      </c>
      <c r="Y23" s="167">
        <f>CORE!Y234</f>
        <v>0</v>
      </c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2"/>
      <c r="AQ23" s="33">
        <v>8.063975368609805</v>
      </c>
      <c r="AR23" s="9">
        <f>AU23/SUM($AU23:$AU25)</f>
        <v>0.55763915639922768</v>
      </c>
      <c r="AS23" s="121" t="s">
        <v>0</v>
      </c>
      <c r="AT23" s="30"/>
      <c r="AU23" s="105">
        <f>IF((E23+E24+E25)=0,1,E23/(E23+E24+E25)*$AQ23)</f>
        <v>4.4967884217757224</v>
      </c>
      <c r="AV23" s="105">
        <f t="shared" ref="AV23:BO23" si="177">IF((F23+F24+F25)=0,0,F23/(F23+F24+F25)*$AQ23)</f>
        <v>5.2765158519155158</v>
      </c>
      <c r="AW23" s="105">
        <f t="shared" si="177"/>
        <v>4.5436233808177589</v>
      </c>
      <c r="AX23" s="105">
        <f t="shared" si="177"/>
        <v>4.1900743393390156</v>
      </c>
      <c r="AY23" s="105">
        <f t="shared" si="177"/>
        <v>3.4746394490378232</v>
      </c>
      <c r="AZ23" s="105">
        <f t="shared" si="177"/>
        <v>5.1600094591709667</v>
      </c>
      <c r="BA23" s="105">
        <f t="shared" si="177"/>
        <v>3.9532945703853399</v>
      </c>
      <c r="BB23" s="105">
        <f t="shared" si="177"/>
        <v>4.4385117600258992</v>
      </c>
      <c r="BC23" s="105">
        <f t="shared" si="177"/>
        <v>3.9186775970767691</v>
      </c>
      <c r="BD23" s="105">
        <f t="shared" si="177"/>
        <v>4.767930768943498</v>
      </c>
      <c r="BE23" s="105">
        <f t="shared" si="177"/>
        <v>5.0999770059164344</v>
      </c>
      <c r="BF23" s="105">
        <f t="shared" si="177"/>
        <v>5.9418765873966981</v>
      </c>
      <c r="BG23" s="105">
        <f t="shared" si="177"/>
        <v>5.1412774267344101</v>
      </c>
      <c r="BH23" s="105">
        <f t="shared" si="177"/>
        <v>5.2800529016947708</v>
      </c>
      <c r="BI23" s="105">
        <f t="shared" si="177"/>
        <v>0</v>
      </c>
      <c r="BJ23" s="105">
        <f t="shared" si="177"/>
        <v>0</v>
      </c>
      <c r="BK23" s="105">
        <f t="shared" si="177"/>
        <v>0</v>
      </c>
      <c r="BL23" s="105">
        <f t="shared" si="177"/>
        <v>0</v>
      </c>
      <c r="BM23" s="105">
        <f t="shared" si="177"/>
        <v>0</v>
      </c>
      <c r="BN23" s="105">
        <f t="shared" si="177"/>
        <v>0</v>
      </c>
      <c r="BO23" s="127">
        <f t="shared" si="177"/>
        <v>0</v>
      </c>
      <c r="BS23" s="42">
        <f>BO2</f>
        <v>0</v>
      </c>
      <c r="BT23" s="44">
        <f t="shared" si="10"/>
        <v>539.47992881945811</v>
      </c>
      <c r="BU23" s="39" t="e">
        <f t="shared" si="11"/>
        <v>#N/A</v>
      </c>
      <c r="BV23" s="42">
        <f>BO3</f>
        <v>0</v>
      </c>
      <c r="BW23" s="44">
        <f t="shared" si="12"/>
        <v>493.28617111859609</v>
      </c>
      <c r="BX23" s="39" t="e">
        <f t="shared" si="13"/>
        <v>#N/A</v>
      </c>
      <c r="BY23" s="42">
        <f>BO4</f>
        <v>0</v>
      </c>
      <c r="BZ23" s="44">
        <f t="shared" si="14"/>
        <v>16.152245399423034</v>
      </c>
      <c r="CA23" s="39" t="e">
        <f t="shared" si="15"/>
        <v>#N/A</v>
      </c>
      <c r="CB23" s="49"/>
      <c r="CC23" s="47" t="s">
        <v>203</v>
      </c>
      <c r="CD23" s="42">
        <f>$W$5</f>
        <v>0</v>
      </c>
      <c r="CE23" s="44">
        <f t="shared" si="16"/>
        <v>6.7023617306159995</v>
      </c>
      <c r="CF23" s="39" t="e">
        <f t="shared" si="17"/>
        <v>#N/A</v>
      </c>
      <c r="CG23" s="42">
        <f>$W$6</f>
        <v>0</v>
      </c>
      <c r="CH23" s="44">
        <f t="shared" si="18"/>
        <v>4.2387638105095418</v>
      </c>
      <c r="CI23" s="39" t="e">
        <f t="shared" si="19"/>
        <v>#N/A</v>
      </c>
      <c r="CJ23" s="42">
        <f>$W$7</f>
        <v>0</v>
      </c>
      <c r="CK23" s="44">
        <f t="shared" si="138"/>
        <v>5.8874458874458871E-2</v>
      </c>
      <c r="CL23" s="39" t="e">
        <f t="shared" si="20"/>
        <v>#N/A</v>
      </c>
      <c r="CM23" s="49"/>
      <c r="CN23" s="47" t="s">
        <v>203</v>
      </c>
      <c r="CO23" s="42">
        <f>$W$8</f>
        <v>0</v>
      </c>
      <c r="CP23" s="44">
        <f t="shared" si="21"/>
        <v>5.4642316405504285</v>
      </c>
      <c r="CQ23" s="39" t="e">
        <f t="shared" si="22"/>
        <v>#N/A</v>
      </c>
      <c r="CR23" s="42">
        <f>$W$9</f>
        <v>0</v>
      </c>
      <c r="CS23" s="44">
        <f t="shared" si="23"/>
        <v>2.7563624054549232</v>
      </c>
      <c r="CT23" s="39" t="e">
        <f t="shared" si="24"/>
        <v>#N/A</v>
      </c>
      <c r="CU23" s="42">
        <f>$W$10</f>
        <v>0</v>
      </c>
      <c r="CV23" s="44">
        <f t="shared" si="139"/>
        <v>7.1847052454791255E-2</v>
      </c>
      <c r="CW23" s="39" t="e">
        <f t="shared" si="25"/>
        <v>#N/A</v>
      </c>
      <c r="CX23" s="49"/>
      <c r="CY23" s="47" t="s">
        <v>203</v>
      </c>
      <c r="CZ23" s="42">
        <f>$W$11</f>
        <v>0</v>
      </c>
      <c r="DA23" s="44">
        <f t="shared" si="26"/>
        <v>4.953802431779418</v>
      </c>
      <c r="DB23" s="39" t="e">
        <f t="shared" si="27"/>
        <v>#N/A</v>
      </c>
      <c r="DC23" s="42">
        <f>$W$12</f>
        <v>0</v>
      </c>
      <c r="DD23" s="44">
        <f t="shared" si="28"/>
        <v>3.0743767793404873</v>
      </c>
      <c r="DE23" s="39" t="e">
        <f t="shared" si="29"/>
        <v>#N/A</v>
      </c>
      <c r="DF23" s="42">
        <f>$W$13</f>
        <v>0</v>
      </c>
      <c r="DG23" s="44">
        <f t="shared" si="140"/>
        <v>0.10428877821453758</v>
      </c>
      <c r="DH23" s="39" t="e">
        <f t="shared" si="30"/>
        <v>#N/A</v>
      </c>
      <c r="DI23" s="49"/>
      <c r="DJ23" s="47" t="s">
        <v>203</v>
      </c>
      <c r="DK23" s="42">
        <f>$W$14</f>
        <v>0</v>
      </c>
      <c r="DL23" s="44">
        <f t="shared" si="31"/>
        <v>4.3316881585615796</v>
      </c>
      <c r="DM23" s="39" t="e">
        <f t="shared" si="32"/>
        <v>#N/A</v>
      </c>
      <c r="DN23" s="42">
        <f>$W$15</f>
        <v>0</v>
      </c>
      <c r="DO23" s="44">
        <f t="shared" si="33"/>
        <v>4.2776562847411803</v>
      </c>
      <c r="DP23" s="39" t="e">
        <f t="shared" si="34"/>
        <v>#N/A</v>
      </c>
      <c r="DQ23" s="42">
        <f>$W$16</f>
        <v>0</v>
      </c>
      <c r="DR23" s="44">
        <f t="shared" si="141"/>
        <v>0.20109475903041757</v>
      </c>
      <c r="DS23" s="39" t="e">
        <f t="shared" si="35"/>
        <v>#N/A</v>
      </c>
      <c r="DT23" s="49"/>
      <c r="DU23" s="47" t="s">
        <v>203</v>
      </c>
      <c r="DV23" s="42">
        <f>$W$17</f>
        <v>0</v>
      </c>
      <c r="DW23" s="44">
        <f t="shared" si="36"/>
        <v>2.7253552615270826</v>
      </c>
      <c r="DX23" s="39" t="e">
        <f t="shared" si="37"/>
        <v>#N/A</v>
      </c>
      <c r="DY23" s="42">
        <f>$W$18</f>
        <v>0</v>
      </c>
      <c r="DZ23" s="44">
        <f t="shared" si="38"/>
        <v>4.3566623429731317</v>
      </c>
      <c r="EA23" s="39" t="e">
        <f t="shared" si="39"/>
        <v>#N/A</v>
      </c>
      <c r="EB23" s="42">
        <f>$W$19</f>
        <v>0</v>
      </c>
      <c r="EC23" s="44">
        <f t="shared" si="142"/>
        <v>0.16986688166192201</v>
      </c>
      <c r="ED23" s="39" t="e">
        <f t="shared" si="40"/>
        <v>#N/A</v>
      </c>
      <c r="EE23" s="49"/>
      <c r="EF23" s="47" t="s">
        <v>203</v>
      </c>
      <c r="EG23" s="42">
        <f>$W$20</f>
        <v>0</v>
      </c>
      <c r="EH23" s="44">
        <f t="shared" si="41"/>
        <v>5.2167381117520613</v>
      </c>
      <c r="EI23" s="39" t="e">
        <f t="shared" si="42"/>
        <v>#N/A</v>
      </c>
      <c r="EJ23" s="42">
        <f>$W$21</f>
        <v>0</v>
      </c>
      <c r="EK23" s="44">
        <f t="shared" si="43"/>
        <v>3.7012762859146568</v>
      </c>
      <c r="EL23" s="39" t="e">
        <f t="shared" si="44"/>
        <v>#N/A</v>
      </c>
      <c r="EM23" s="42">
        <f>$W$22</f>
        <v>0</v>
      </c>
      <c r="EN23" s="44">
        <f t="shared" si="143"/>
        <v>6.4113811271175311E-2</v>
      </c>
      <c r="EO23" s="39" t="e">
        <f t="shared" si="45"/>
        <v>#N/A</v>
      </c>
      <c r="EP23" s="49"/>
      <c r="EQ23" s="47" t="s">
        <v>203</v>
      </c>
      <c r="ER23" s="42">
        <f>$W$23</f>
        <v>0</v>
      </c>
      <c r="ES23" s="44">
        <f t="shared" si="46"/>
        <v>5.1327622151523205</v>
      </c>
      <c r="ET23" s="39" t="e">
        <f t="shared" si="47"/>
        <v>#N/A</v>
      </c>
      <c r="EU23" s="42">
        <f>$W$24</f>
        <v>0</v>
      </c>
      <c r="EV23" s="44">
        <f t="shared" si="48"/>
        <v>3.8549766297510812</v>
      </c>
      <c r="EW23" s="39" t="e">
        <f t="shared" si="49"/>
        <v>#N/A</v>
      </c>
      <c r="EX23" s="42">
        <f>$W$25</f>
        <v>0</v>
      </c>
      <c r="EY23" s="44">
        <f t="shared" si="144"/>
        <v>0.17547707989316763</v>
      </c>
      <c r="EZ23" s="39" t="e">
        <f t="shared" si="50"/>
        <v>#N/A</v>
      </c>
      <c r="FA23" s="49"/>
      <c r="FB23" s="47" t="s">
        <v>203</v>
      </c>
      <c r="FC23" s="42">
        <f>$W$26</f>
        <v>0</v>
      </c>
      <c r="FD23" s="44">
        <f t="shared" si="51"/>
        <v>3.800872265412135</v>
      </c>
      <c r="FE23" s="39" t="e">
        <f t="shared" si="52"/>
        <v>#N/A</v>
      </c>
      <c r="FF23" s="42">
        <f>$W$27</f>
        <v>0</v>
      </c>
      <c r="FG23" s="44">
        <f t="shared" si="53"/>
        <v>4.20210081283623</v>
      </c>
      <c r="FH23" s="39" t="e">
        <f t="shared" si="54"/>
        <v>#N/A</v>
      </c>
      <c r="FI23" s="42">
        <f>$W$28</f>
        <v>0</v>
      </c>
      <c r="FJ23" s="44">
        <f t="shared" si="145"/>
        <v>5.2788056749913902E-2</v>
      </c>
      <c r="FK23" s="39" t="e">
        <f t="shared" si="55"/>
        <v>#N/A</v>
      </c>
      <c r="FL23" s="49"/>
      <c r="FM23" s="47" t="s">
        <v>203</v>
      </c>
      <c r="FN23" s="42">
        <f>$W$29</f>
        <v>0</v>
      </c>
      <c r="FO23" s="44">
        <f t="shared" si="56"/>
        <v>2.9249999999999998</v>
      </c>
      <c r="FP23" s="39" t="e">
        <f t="shared" si="57"/>
        <v>#N/A</v>
      </c>
      <c r="FQ23" s="42">
        <f>$W$30</f>
        <v>0</v>
      </c>
      <c r="FR23" s="44">
        <f t="shared" si="58"/>
        <v>2.95</v>
      </c>
      <c r="FS23" s="39" t="e">
        <f t="shared" si="59"/>
        <v>#N/A</v>
      </c>
      <c r="FT23" s="42">
        <f>$W$31</f>
        <v>0</v>
      </c>
      <c r="FU23" s="44">
        <f t="shared" si="146"/>
        <v>0.125</v>
      </c>
      <c r="FV23" s="39" t="e">
        <f t="shared" si="60"/>
        <v>#N/A</v>
      </c>
      <c r="FW23" s="49"/>
      <c r="FX23" s="47" t="s">
        <v>203</v>
      </c>
      <c r="FY23" s="42">
        <f>$W$32</f>
        <v>0</v>
      </c>
      <c r="FZ23" s="44">
        <f t="shared" si="61"/>
        <v>2.7834023424848038</v>
      </c>
      <c r="GA23" s="39" t="e">
        <f t="shared" si="62"/>
        <v>#N/A</v>
      </c>
      <c r="GB23" s="42">
        <f>$W$33</f>
        <v>0</v>
      </c>
      <c r="GC23" s="44">
        <f t="shared" si="63"/>
        <v>4.200595681544038</v>
      </c>
      <c r="GD23" s="39" t="e">
        <f t="shared" si="64"/>
        <v>#N/A</v>
      </c>
      <c r="GE23" s="42">
        <f>$W$34</f>
        <v>0</v>
      </c>
      <c r="GF23" s="44">
        <f t="shared" si="147"/>
        <v>0.26395674063478058</v>
      </c>
      <c r="GG23" s="39" t="e">
        <f t="shared" si="65"/>
        <v>#N/A</v>
      </c>
      <c r="GH23" s="49"/>
      <c r="GI23" s="47" t="s">
        <v>203</v>
      </c>
      <c r="GJ23" s="42">
        <f>$W$35</f>
        <v>0</v>
      </c>
      <c r="GK23" s="44">
        <f t="shared" si="66"/>
        <v>6.213372016921979</v>
      </c>
      <c r="GL23" s="39" t="e">
        <f t="shared" si="67"/>
        <v>#N/A</v>
      </c>
      <c r="GM23" s="42">
        <f>$W$36</f>
        <v>0</v>
      </c>
      <c r="GN23" s="44">
        <f t="shared" si="68"/>
        <v>3.0230596595535495</v>
      </c>
      <c r="GO23" s="39" t="e">
        <f t="shared" si="69"/>
        <v>#N/A</v>
      </c>
      <c r="GP23" s="42">
        <f>$W$37</f>
        <v>0</v>
      </c>
      <c r="GQ23" s="44">
        <f t="shared" si="148"/>
        <v>4.968696543043527E-2</v>
      </c>
      <c r="GR23" s="39" t="e">
        <f t="shared" si="70"/>
        <v>#N/A</v>
      </c>
      <c r="GS23" s="49"/>
      <c r="GT23" s="47" t="s">
        <v>203</v>
      </c>
      <c r="GU23" s="42">
        <f>$W$38</f>
        <v>0</v>
      </c>
      <c r="GV23" s="44">
        <f t="shared" si="71"/>
        <v>4.1824765482792525</v>
      </c>
      <c r="GW23" s="39" t="e">
        <f t="shared" si="72"/>
        <v>#N/A</v>
      </c>
      <c r="GX23" s="42">
        <f>$W$39</f>
        <v>0</v>
      </c>
      <c r="GY23" s="44">
        <f t="shared" si="73"/>
        <v>2.6920064898727674</v>
      </c>
      <c r="GZ23" s="39" t="e">
        <f t="shared" si="74"/>
        <v>#N/A</v>
      </c>
      <c r="HA23" s="42">
        <f>$W$40</f>
        <v>0</v>
      </c>
      <c r="HB23" s="44">
        <f t="shared" si="149"/>
        <v>4.296145506701958E-2</v>
      </c>
      <c r="HC23" s="39" t="e">
        <f t="shared" si="75"/>
        <v>#N/A</v>
      </c>
      <c r="HD23" s="49"/>
      <c r="HE23" s="47" t="s">
        <v>203</v>
      </c>
      <c r="HF23" s="42">
        <f>$W$41</f>
        <v>0</v>
      </c>
      <c r="HG23" s="44">
        <f t="shared" si="76"/>
        <v>4.5133050130834889</v>
      </c>
      <c r="HH23" s="39" t="e">
        <f t="shared" si="77"/>
        <v>#N/A</v>
      </c>
      <c r="HI23" s="42">
        <f>$W$42</f>
        <v>0</v>
      </c>
      <c r="HJ23" s="44">
        <f t="shared" si="78"/>
        <v>4.2909325210683598</v>
      </c>
      <c r="HK23" s="39" t="e">
        <f t="shared" si="79"/>
        <v>#N/A</v>
      </c>
      <c r="HL23" s="42">
        <f>$W$43</f>
        <v>0</v>
      </c>
      <c r="HM23" s="44">
        <f t="shared" si="150"/>
        <v>6.6114804770160684E-2</v>
      </c>
      <c r="HN23" s="39" t="e">
        <f t="shared" si="80"/>
        <v>#N/A</v>
      </c>
      <c r="HO23" s="49"/>
      <c r="HP23" s="47" t="s">
        <v>203</v>
      </c>
      <c r="HQ23" s="42">
        <f>$W$44</f>
        <v>0</v>
      </c>
      <c r="HR23" s="44">
        <f t="shared" si="81"/>
        <v>4.5078662583428111</v>
      </c>
      <c r="HS23" s="39" t="e">
        <f t="shared" si="82"/>
        <v>#N/A</v>
      </c>
      <c r="HT23" s="42">
        <f>$W$45</f>
        <v>0</v>
      </c>
      <c r="HU23" s="44">
        <f t="shared" si="83"/>
        <v>3.8847364181475479</v>
      </c>
      <c r="HV23" s="39" t="e">
        <f t="shared" si="84"/>
        <v>#N/A</v>
      </c>
      <c r="HW23" s="42">
        <f>$W$46</f>
        <v>0</v>
      </c>
      <c r="HX23" s="44">
        <f t="shared" si="151"/>
        <v>8.1980304402385351E-2</v>
      </c>
      <c r="HY23" s="39" t="e">
        <f t="shared" si="85"/>
        <v>#N/A</v>
      </c>
      <c r="HZ23" s="49"/>
      <c r="IA23" s="47" t="s">
        <v>203</v>
      </c>
      <c r="IB23" s="42">
        <f>$W$47</f>
        <v>0</v>
      </c>
      <c r="IC23" s="44">
        <f t="shared" si="86"/>
        <v>3.2793557911556031</v>
      </c>
      <c r="ID23" s="39" t="e">
        <f t="shared" si="87"/>
        <v>#N/A</v>
      </c>
      <c r="IE23" s="42">
        <f>$W$48</f>
        <v>0</v>
      </c>
      <c r="IF23" s="44">
        <f t="shared" si="88"/>
        <v>5.1085334391796824</v>
      </c>
      <c r="IG23" s="39" t="e">
        <f t="shared" si="89"/>
        <v>#N/A</v>
      </c>
      <c r="IH23" s="42">
        <f>$W$49</f>
        <v>0</v>
      </c>
      <c r="II23" s="44">
        <f t="shared" si="152"/>
        <v>0.15467084417540078</v>
      </c>
      <c r="IJ23" s="39" t="e">
        <f t="shared" si="90"/>
        <v>#N/A</v>
      </c>
      <c r="IK23" s="49"/>
      <c r="IL23" s="47" t="s">
        <v>203</v>
      </c>
      <c r="IM23" s="42">
        <f>$W$50</f>
        <v>0</v>
      </c>
      <c r="IN23" s="44">
        <f t="shared" si="91"/>
        <v>3.9262013198965633</v>
      </c>
      <c r="IO23" s="39" t="e">
        <f t="shared" si="92"/>
        <v>#N/A</v>
      </c>
      <c r="IP23" s="42">
        <f>$W$51</f>
        <v>0</v>
      </c>
      <c r="IQ23" s="44">
        <f t="shared" si="93"/>
        <v>5.9153409841907063</v>
      </c>
      <c r="IR23" s="39" t="e">
        <f t="shared" si="94"/>
        <v>#N/A</v>
      </c>
      <c r="IS23" s="42">
        <f>$W$52</f>
        <v>0</v>
      </c>
      <c r="IT23" s="44">
        <f t="shared" si="153"/>
        <v>5.6197847379977822E-2</v>
      </c>
      <c r="IU23" s="39" t="e">
        <f t="shared" si="95"/>
        <v>#N/A</v>
      </c>
      <c r="IV23" s="49"/>
      <c r="IW23" s="47" t="s">
        <v>203</v>
      </c>
      <c r="IX23" s="42">
        <f>$W$53</f>
        <v>0</v>
      </c>
      <c r="IY23" s="44">
        <f t="shared" si="96"/>
        <v>3.3457511955054295</v>
      </c>
      <c r="IZ23" s="39" t="e">
        <f t="shared" si="97"/>
        <v>#N/A</v>
      </c>
      <c r="JA23" s="42">
        <f>$W$54</f>
        <v>0</v>
      </c>
      <c r="JB23" s="44">
        <f t="shared" si="98"/>
        <v>2.6220045653360193</v>
      </c>
      <c r="JC23" s="39" t="e">
        <f t="shared" si="99"/>
        <v>#N/A</v>
      </c>
      <c r="JD23" s="42">
        <f>$W$55</f>
        <v>0</v>
      </c>
      <c r="JE23" s="44">
        <f t="shared" si="154"/>
        <v>0.16635006784260528</v>
      </c>
      <c r="JF23" s="39" t="e">
        <f t="shared" si="100"/>
        <v>#N/A</v>
      </c>
      <c r="JG23" s="49"/>
      <c r="JH23" s="47" t="s">
        <v>203</v>
      </c>
      <c r="JI23" s="42">
        <f>$W$56</f>
        <v>0</v>
      </c>
      <c r="JJ23" s="44">
        <f t="shared" si="101"/>
        <v>6.668961047701476</v>
      </c>
      <c r="JK23" s="39" t="e">
        <f t="shared" si="102"/>
        <v>#N/A</v>
      </c>
      <c r="JL23" s="42">
        <f>$W$57</f>
        <v>0</v>
      </c>
      <c r="JM23" s="44">
        <f t="shared" si="103"/>
        <v>2.1149900408273159</v>
      </c>
      <c r="JN23" s="39" t="e">
        <f t="shared" si="104"/>
        <v>#N/A</v>
      </c>
      <c r="JO23" s="42">
        <f>$W$58</f>
        <v>0</v>
      </c>
      <c r="JP23" s="44">
        <f t="shared" si="155"/>
        <v>0.11950643687413505</v>
      </c>
      <c r="JQ23" s="39" t="e">
        <f t="shared" si="105"/>
        <v>#N/A</v>
      </c>
      <c r="JR23" s="49"/>
      <c r="JS23" s="47" t="s">
        <v>203</v>
      </c>
      <c r="JT23" s="42">
        <f>$W$59</f>
        <v>0</v>
      </c>
      <c r="JU23" s="44">
        <f t="shared" si="106"/>
        <v>3.6542510708618732</v>
      </c>
      <c r="JV23" s="39" t="e">
        <f t="shared" si="107"/>
        <v>#N/A</v>
      </c>
      <c r="JW23" s="42">
        <f>$W$60</f>
        <v>0</v>
      </c>
      <c r="JX23" s="44">
        <f t="shared" si="108"/>
        <v>2.6346657322662517</v>
      </c>
      <c r="JY23" s="39" t="e">
        <f t="shared" si="109"/>
        <v>#N/A</v>
      </c>
      <c r="JZ23" s="42">
        <f>$W$61</f>
        <v>0</v>
      </c>
      <c r="KA23" s="44">
        <f t="shared" si="156"/>
        <v>9.9182989581379041E-2</v>
      </c>
      <c r="KB23" s="39" t="e">
        <f t="shared" si="110"/>
        <v>#N/A</v>
      </c>
      <c r="KC23" s="49"/>
      <c r="KD23" s="47" t="s">
        <v>203</v>
      </c>
      <c r="KE23" s="42">
        <f>$W$62</f>
        <v>0</v>
      </c>
      <c r="KF23" s="44">
        <f t="shared" si="111"/>
        <v>1.8304419497114603</v>
      </c>
      <c r="KG23" s="39" t="e">
        <f t="shared" si="112"/>
        <v>#N/A</v>
      </c>
      <c r="KH23" s="42">
        <f>$W$63</f>
        <v>0</v>
      </c>
      <c r="KI23" s="44">
        <f t="shared" si="113"/>
        <v>3.868552848342202</v>
      </c>
      <c r="KJ23" s="39" t="e">
        <f t="shared" si="114"/>
        <v>#N/A</v>
      </c>
      <c r="KK23" s="42">
        <f>$W$64</f>
        <v>0</v>
      </c>
      <c r="KL23" s="44">
        <f t="shared" si="157"/>
        <v>0.13647245697511248</v>
      </c>
      <c r="KM23" s="39" t="e">
        <f t="shared" si="115"/>
        <v>#N/A</v>
      </c>
      <c r="KN23" s="49"/>
      <c r="KO23" s="47" t="s">
        <v>203</v>
      </c>
      <c r="KP23" s="42">
        <f>$W$65</f>
        <v>0</v>
      </c>
      <c r="KQ23" s="44">
        <f t="shared" si="116"/>
        <v>3.5258254515182217</v>
      </c>
      <c r="KR23" s="39" t="e">
        <f t="shared" si="117"/>
        <v>#N/A</v>
      </c>
      <c r="KS23" s="42">
        <f>$W$66</f>
        <v>0</v>
      </c>
      <c r="KT23" s="44">
        <f t="shared" si="118"/>
        <v>1.5710035120633761</v>
      </c>
      <c r="KU23" s="39" t="e">
        <f t="shared" si="119"/>
        <v>#N/A</v>
      </c>
      <c r="KV23" s="42">
        <f>$W$67</f>
        <v>0</v>
      </c>
      <c r="KW23" s="44">
        <f t="shared" si="158"/>
        <v>5.3009676693788067E-2</v>
      </c>
      <c r="KX23" s="39" t="e">
        <f t="shared" si="120"/>
        <v>#N/A</v>
      </c>
      <c r="KY23" s="49"/>
      <c r="KZ23" s="47" t="s">
        <v>203</v>
      </c>
      <c r="LA23" s="42">
        <f>$W$68</f>
        <v>0</v>
      </c>
      <c r="LB23" s="44">
        <f t="shared" si="121"/>
        <v>3.5023863953704675</v>
      </c>
      <c r="LC23" s="39" t="e">
        <f t="shared" si="122"/>
        <v>#N/A</v>
      </c>
      <c r="LD23" s="42">
        <f>$W$69</f>
        <v>0</v>
      </c>
      <c r="LE23" s="44">
        <f t="shared" si="123"/>
        <v>2.2450052204262185</v>
      </c>
      <c r="LF23" s="39" t="e">
        <f t="shared" si="124"/>
        <v>#N/A</v>
      </c>
      <c r="LG23" s="42">
        <f>$W$70</f>
        <v>0</v>
      </c>
      <c r="LH23" s="44">
        <f t="shared" si="159"/>
        <v>0</v>
      </c>
      <c r="LI23" s="39" t="e">
        <f t="shared" si="125"/>
        <v>#N/A</v>
      </c>
      <c r="LJ23" s="49"/>
      <c r="LK23" s="47" t="s">
        <v>203</v>
      </c>
      <c r="LL23" s="42">
        <f>$W$71</f>
        <v>0</v>
      </c>
      <c r="LM23" s="44">
        <f t="shared" si="126"/>
        <v>4.8300699339300781</v>
      </c>
      <c r="LN23" s="39" t="e">
        <f t="shared" si="127"/>
        <v>#N/A</v>
      </c>
      <c r="LO23" s="42">
        <f>$W$72</f>
        <v>0</v>
      </c>
      <c r="LP23" s="44">
        <f t="shared" si="128"/>
        <v>2.8847298348467207</v>
      </c>
      <c r="LQ23" s="39" t="e">
        <f t="shared" si="129"/>
        <v>#N/A</v>
      </c>
      <c r="LR23" s="42">
        <f>$W$73</f>
        <v>0</v>
      </c>
      <c r="LS23" s="44">
        <f t="shared" si="160"/>
        <v>5.2100141830148959E-2</v>
      </c>
      <c r="LT23" s="39" t="e">
        <f t="shared" si="130"/>
        <v>#N/A</v>
      </c>
      <c r="LU23" s="49"/>
      <c r="LV23" s="47" t="s">
        <v>203</v>
      </c>
      <c r="LW23" s="42">
        <f>$W$74</f>
        <v>0</v>
      </c>
      <c r="LX23" s="44">
        <f t="shared" si="131"/>
        <v>4.1982682278503578</v>
      </c>
      <c r="LY23" s="39" t="e">
        <f t="shared" si="132"/>
        <v>#N/A</v>
      </c>
      <c r="LZ23" s="42">
        <f>$W$75</f>
        <v>0</v>
      </c>
      <c r="MA23" s="44">
        <f t="shared" si="133"/>
        <v>4.011339754780928</v>
      </c>
      <c r="MB23" s="39" t="e">
        <f t="shared" si="134"/>
        <v>#N/A</v>
      </c>
      <c r="MC23" s="42">
        <f>$W$76</f>
        <v>0</v>
      </c>
      <c r="MD23" s="44">
        <f t="shared" si="161"/>
        <v>7.5312296376773502E-2</v>
      </c>
      <c r="ME23" s="39" t="e">
        <f t="shared" si="135"/>
        <v>#N/A</v>
      </c>
    </row>
    <row r="24" spans="2:343" ht="14.25" customHeight="1" x14ac:dyDescent="0.2">
      <c r="B24" s="136">
        <f>E24/SUM($E$23:$E$25)</f>
        <v>0.42292752974005343</v>
      </c>
      <c r="C24" s="137" t="s">
        <v>1</v>
      </c>
      <c r="D24" s="138" t="s">
        <v>65</v>
      </c>
      <c r="E24" s="168">
        <f>CORE!E235</f>
        <v>0.42292752974005343</v>
      </c>
      <c r="F24" s="168">
        <f>CORE!F235</f>
        <v>9.2403543720387352E-2</v>
      </c>
      <c r="G24" s="168">
        <f>CORE!G235</f>
        <v>0.30796706005425784</v>
      </c>
      <c r="H24" s="168">
        <f>CORE!H235</f>
        <v>0.45331401074818467</v>
      </c>
      <c r="I24" s="168">
        <f>CORE!I235</f>
        <v>0.4160798631837872</v>
      </c>
      <c r="J24" s="168">
        <f>CORE!J235</f>
        <v>0.32136011665431752</v>
      </c>
      <c r="K24" s="168">
        <f>CORE!K235</f>
        <v>0.43973302393760522</v>
      </c>
      <c r="L24" s="168">
        <f>CORE!L235</f>
        <v>0.42437894613255706</v>
      </c>
      <c r="M24" s="168">
        <f>CORE!M235</f>
        <v>0.43351212768154535</v>
      </c>
      <c r="N24" s="168">
        <f>CORE!N235</f>
        <v>0.35395524259474248</v>
      </c>
      <c r="O24" s="168">
        <f>CORE!O235</f>
        <v>0.2896279202674007</v>
      </c>
      <c r="P24" s="168">
        <f>CORE!P235</f>
        <v>1.7181299175071527E-2</v>
      </c>
      <c r="Q24" s="168">
        <f>CORE!Q235</f>
        <v>0.20318574115921692</v>
      </c>
      <c r="R24" s="168">
        <f>CORE!R235</f>
        <v>0.10227773444200712</v>
      </c>
      <c r="S24" s="168">
        <f>CORE!S235</f>
        <v>0</v>
      </c>
      <c r="T24" s="168">
        <f>CORE!T235</f>
        <v>0</v>
      </c>
      <c r="U24" s="168">
        <f>CORE!U235</f>
        <v>0</v>
      </c>
      <c r="V24" s="168">
        <f>CORE!V235</f>
        <v>0</v>
      </c>
      <c r="W24" s="168">
        <f>CORE!W235</f>
        <v>0</v>
      </c>
      <c r="X24" s="168">
        <f>CORE!X235</f>
        <v>0</v>
      </c>
      <c r="Y24" s="169">
        <f>CORE!Y235</f>
        <v>0</v>
      </c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2"/>
      <c r="AQ24" s="33">
        <v>8.063975368609805</v>
      </c>
      <c r="AR24" s="10">
        <f>AU24/SUM($AU23:$AU25)</f>
        <v>0.42292752974005343</v>
      </c>
      <c r="AS24" s="119" t="s">
        <v>1</v>
      </c>
      <c r="AT24" s="8" t="s">
        <v>65</v>
      </c>
      <c r="AU24" s="123">
        <f>IF((E23+E24+E25)=0,1,E24/(E23+E24+E25)*$AQ24)</f>
        <v>3.4104771825307818</v>
      </c>
      <c r="AV24" s="123">
        <f t="shared" ref="AV24:BO24" si="178">IF((F23+F24+F25)=0,0,F24/(F23+F24+F25)*$AQ24)</f>
        <v>2.6579195228930015</v>
      </c>
      <c r="AW24" s="123">
        <f t="shared" si="178"/>
        <v>3.2214938755718858</v>
      </c>
      <c r="AX24" s="123">
        <f t="shared" si="178"/>
        <v>3.7538893122952643</v>
      </c>
      <c r="AY24" s="123">
        <f t="shared" si="178"/>
        <v>4.4848521077633272</v>
      </c>
      <c r="AZ24" s="123">
        <f t="shared" si="178"/>
        <v>2.776998099789445</v>
      </c>
      <c r="BA24" s="123">
        <f t="shared" si="178"/>
        <v>3.9097006596569814</v>
      </c>
      <c r="BB24" s="123">
        <f t="shared" si="178"/>
        <v>3.4221813685695275</v>
      </c>
      <c r="BC24" s="123">
        <f t="shared" si="178"/>
        <v>4.0368951301965028</v>
      </c>
      <c r="BD24" s="123">
        <f t="shared" si="178"/>
        <v>2.9311002322965414</v>
      </c>
      <c r="BE24" s="123">
        <f t="shared" si="178"/>
        <v>2.9639983626933697</v>
      </c>
      <c r="BF24" s="123">
        <f t="shared" si="178"/>
        <v>2.1220987812131065</v>
      </c>
      <c r="BG24" s="123">
        <f t="shared" si="178"/>
        <v>2.9226979418753949</v>
      </c>
      <c r="BH24" s="123">
        <f t="shared" si="178"/>
        <v>2.7839224669150346</v>
      </c>
      <c r="BI24" s="123">
        <f t="shared" si="178"/>
        <v>0</v>
      </c>
      <c r="BJ24" s="123">
        <f t="shared" si="178"/>
        <v>0</v>
      </c>
      <c r="BK24" s="123">
        <f t="shared" si="178"/>
        <v>0</v>
      </c>
      <c r="BL24" s="123">
        <f t="shared" si="178"/>
        <v>0</v>
      </c>
      <c r="BM24" s="123">
        <f t="shared" si="178"/>
        <v>0</v>
      </c>
      <c r="BN24" s="123">
        <f t="shared" si="178"/>
        <v>0</v>
      </c>
      <c r="BO24" s="124">
        <f t="shared" si="178"/>
        <v>0</v>
      </c>
    </row>
    <row r="25" spans="2:343" ht="14.25" customHeight="1" thickBot="1" x14ac:dyDescent="0.25">
      <c r="B25" s="139">
        <f>E25/SUM($E$23:$E$25)</f>
        <v>1.9433313860718854E-2</v>
      </c>
      <c r="C25" s="140" t="s">
        <v>2</v>
      </c>
      <c r="D25" s="141"/>
      <c r="E25" s="170">
        <f>CORE!E236</f>
        <v>1.9433313860718854E-2</v>
      </c>
      <c r="F25" s="170">
        <f>CORE!F236</f>
        <v>4.50350523319359E-3</v>
      </c>
      <c r="G25" s="170">
        <f>CORE!G236</f>
        <v>2.8570116147580517E-2</v>
      </c>
      <c r="H25" s="170">
        <f>CORE!H236</f>
        <v>1.4492433908683221E-2</v>
      </c>
      <c r="I25" s="170">
        <f>CORE!I236</f>
        <v>9.6934322643576747E-3</v>
      </c>
      <c r="J25" s="170">
        <f>CORE!J236</f>
        <v>1.4692984530081554E-2</v>
      </c>
      <c r="K25" s="170">
        <f>CORE!K236</f>
        <v>2.2604698358526507E-2</v>
      </c>
      <c r="L25" s="170">
        <f>CORE!L236</f>
        <v>2.5208688112526235E-2</v>
      </c>
      <c r="M25" s="170">
        <f>CORE!M236</f>
        <v>1.1641090039862498E-2</v>
      </c>
      <c r="N25" s="170">
        <f>CORE!N236</f>
        <v>4.4070131298355825E-2</v>
      </c>
      <c r="O25" s="170">
        <f>CORE!O236</f>
        <v>0</v>
      </c>
      <c r="P25" s="170">
        <f>CORE!P236</f>
        <v>0</v>
      </c>
      <c r="Q25" s="170">
        <f>CORE!Q236</f>
        <v>0</v>
      </c>
      <c r="R25" s="170">
        <f>CORE!R236</f>
        <v>0</v>
      </c>
      <c r="S25" s="170">
        <f>CORE!S236</f>
        <v>0</v>
      </c>
      <c r="T25" s="170">
        <f>CORE!T236</f>
        <v>0</v>
      </c>
      <c r="U25" s="170">
        <f>CORE!U236</f>
        <v>0</v>
      </c>
      <c r="V25" s="170">
        <f>CORE!V236</f>
        <v>0</v>
      </c>
      <c r="W25" s="170">
        <f>CORE!W236</f>
        <v>0</v>
      </c>
      <c r="X25" s="170">
        <f>CORE!X236</f>
        <v>0</v>
      </c>
      <c r="Y25" s="171">
        <f>CORE!Y236</f>
        <v>0</v>
      </c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2"/>
      <c r="AQ25" s="33">
        <v>8.063975368609805</v>
      </c>
      <c r="AR25" s="11">
        <f>AU25/SUM($AU23:$AU25)</f>
        <v>1.9433313860718854E-2</v>
      </c>
      <c r="AS25" s="120" t="s">
        <v>2</v>
      </c>
      <c r="AT25" s="31"/>
      <c r="AU25" s="125">
        <f>IF((E23+E24+E25)=0,1,E25/(E23+E24+E25)*$AQ25)</f>
        <v>0.15670976430330036</v>
      </c>
      <c r="AV25" s="125">
        <f t="shared" ref="AV25:BO25" si="179">IF((F23+F24+F25)=0,0,F25/(F23+F24+F25)*$AQ25)</f>
        <v>0.12953999380128819</v>
      </c>
      <c r="AW25" s="125">
        <f t="shared" si="179"/>
        <v>0.29885811222015984</v>
      </c>
      <c r="AX25" s="125">
        <f t="shared" si="179"/>
        <v>0.12001171697552541</v>
      </c>
      <c r="AY25" s="125">
        <f t="shared" si="179"/>
        <v>0.10448381180865456</v>
      </c>
      <c r="AZ25" s="125">
        <f t="shared" si="179"/>
        <v>0.12696780964939322</v>
      </c>
      <c r="BA25" s="125">
        <f t="shared" si="179"/>
        <v>0.2009801385674829</v>
      </c>
      <c r="BB25" s="125">
        <f t="shared" si="179"/>
        <v>0.20328224001437836</v>
      </c>
      <c r="BC25" s="125">
        <f t="shared" si="179"/>
        <v>0.10840264133653318</v>
      </c>
      <c r="BD25" s="125">
        <f t="shared" si="179"/>
        <v>0.3649443673697646</v>
      </c>
      <c r="BE25" s="125">
        <f t="shared" si="179"/>
        <v>0</v>
      </c>
      <c r="BF25" s="125">
        <f t="shared" si="179"/>
        <v>0</v>
      </c>
      <c r="BG25" s="125">
        <f t="shared" si="179"/>
        <v>0</v>
      </c>
      <c r="BH25" s="125">
        <f t="shared" si="179"/>
        <v>0</v>
      </c>
      <c r="BI25" s="125">
        <f t="shared" si="179"/>
        <v>0</v>
      </c>
      <c r="BJ25" s="125">
        <f t="shared" si="179"/>
        <v>0</v>
      </c>
      <c r="BK25" s="125">
        <f t="shared" si="179"/>
        <v>0</v>
      </c>
      <c r="BL25" s="125">
        <f t="shared" si="179"/>
        <v>0</v>
      </c>
      <c r="BM25" s="125">
        <f t="shared" si="179"/>
        <v>0</v>
      </c>
      <c r="BN25" s="125">
        <f t="shared" si="179"/>
        <v>0</v>
      </c>
      <c r="BO25" s="126">
        <f t="shared" si="179"/>
        <v>0</v>
      </c>
    </row>
    <row r="26" spans="2:343" ht="14.25" customHeight="1" x14ac:dyDescent="0.2">
      <c r="B26" s="133">
        <f>E26/SUM($E$26:$E$28)</f>
        <v>0.4820716967859664</v>
      </c>
      <c r="C26" s="134" t="s">
        <v>0</v>
      </c>
      <c r="D26" s="135"/>
      <c r="E26" s="166">
        <f>CORE!E313</f>
        <v>0.48207169678596651</v>
      </c>
      <c r="F26" s="166">
        <f>CORE!F313</f>
        <v>0.11113275105245032</v>
      </c>
      <c r="G26" s="166">
        <f>CORE!G313</f>
        <v>0.51906524014270961</v>
      </c>
      <c r="H26" s="166">
        <f>CORE!H313</f>
        <v>0.49651492906260764</v>
      </c>
      <c r="I26" s="166">
        <f>CORE!I313</f>
        <v>0.3401756439492879</v>
      </c>
      <c r="J26" s="166">
        <f>CORE!J313</f>
        <v>0.20656196119531528</v>
      </c>
      <c r="K26" s="166">
        <f>CORE!K313</f>
        <v>0.61836020015281123</v>
      </c>
      <c r="L26" s="166">
        <f>CORE!L313</f>
        <v>0.43834689971838281</v>
      </c>
      <c r="M26" s="166">
        <f>CORE!M313</f>
        <v>0.56128730213177791</v>
      </c>
      <c r="N26" s="166">
        <f>CORE!N313</f>
        <v>0.50942733800679219</v>
      </c>
      <c r="O26" s="166">
        <f>CORE!O313</f>
        <v>0</v>
      </c>
      <c r="P26" s="166">
        <f>CORE!P313</f>
        <v>0</v>
      </c>
      <c r="Q26" s="166">
        <f>CORE!Q313</f>
        <v>0</v>
      </c>
      <c r="R26" s="166">
        <f>CORE!R313</f>
        <v>0</v>
      </c>
      <c r="S26" s="166">
        <f>CORE!S313</f>
        <v>0</v>
      </c>
      <c r="T26" s="166">
        <f>CORE!T313</f>
        <v>0</v>
      </c>
      <c r="U26" s="166">
        <f>CORE!U313</f>
        <v>0</v>
      </c>
      <c r="V26" s="166">
        <f>CORE!V313</f>
        <v>0</v>
      </c>
      <c r="W26" s="166">
        <f>CORE!W313</f>
        <v>0</v>
      </c>
      <c r="X26" s="166">
        <f>CORE!X313</f>
        <v>0</v>
      </c>
      <c r="Y26" s="167">
        <f>CORE!Y313</f>
        <v>0</v>
      </c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2"/>
      <c r="AQ26" s="33">
        <v>1.1861504379643024</v>
      </c>
      <c r="AR26" s="9">
        <f>AU26/SUM($AU26:$AU28)</f>
        <v>0.48207169678596645</v>
      </c>
      <c r="AS26" s="121" t="s">
        <v>0</v>
      </c>
      <c r="AT26" s="30"/>
      <c r="AU26" s="105">
        <f>IF((E26+E27+E28)=0,1,E26/(E26+E27+E28)*$AQ26)</f>
        <v>0.57180955427286839</v>
      </c>
      <c r="AV26" s="105">
        <f t="shared" ref="AV26:BO26" si="180">IF((F26+F27+F28)=0,0,F26/(F26+F27+F28)*$AQ26)</f>
        <v>0.24971588167669526</v>
      </c>
      <c r="AW26" s="105">
        <f t="shared" si="180"/>
        <v>0.61568946192732077</v>
      </c>
      <c r="AX26" s="105">
        <f t="shared" si="180"/>
        <v>0.58894140056342659</v>
      </c>
      <c r="AY26" s="105">
        <f t="shared" si="180"/>
        <v>0.40349948905523642</v>
      </c>
      <c r="AZ26" s="105">
        <f t="shared" si="180"/>
        <v>0.46414582355124878</v>
      </c>
      <c r="BA26" s="105">
        <f t="shared" si="180"/>
        <v>0.73346822223095076</v>
      </c>
      <c r="BB26" s="105">
        <f t="shared" si="180"/>
        <v>0.51994536708125394</v>
      </c>
      <c r="BC26" s="105">
        <f t="shared" si="180"/>
        <v>0.66577117924741014</v>
      </c>
      <c r="BD26" s="105">
        <f t="shared" si="180"/>
        <v>0.60425746008774528</v>
      </c>
      <c r="BE26" s="105">
        <f t="shared" si="180"/>
        <v>0</v>
      </c>
      <c r="BF26" s="105">
        <f t="shared" si="180"/>
        <v>0</v>
      </c>
      <c r="BG26" s="105">
        <f t="shared" si="180"/>
        <v>0</v>
      </c>
      <c r="BH26" s="105">
        <f t="shared" si="180"/>
        <v>0</v>
      </c>
      <c r="BI26" s="105">
        <f t="shared" si="180"/>
        <v>0</v>
      </c>
      <c r="BJ26" s="105">
        <f t="shared" si="180"/>
        <v>0</v>
      </c>
      <c r="BK26" s="105">
        <f t="shared" si="180"/>
        <v>0</v>
      </c>
      <c r="BL26" s="105">
        <f t="shared" si="180"/>
        <v>0</v>
      </c>
      <c r="BM26" s="105">
        <f t="shared" si="180"/>
        <v>0</v>
      </c>
      <c r="BN26" s="105">
        <f t="shared" si="180"/>
        <v>0</v>
      </c>
      <c r="BO26" s="127">
        <f t="shared" si="180"/>
        <v>0</v>
      </c>
    </row>
    <row r="27" spans="2:343" ht="14.25" customHeight="1" x14ac:dyDescent="0.2">
      <c r="B27" s="136">
        <f>E27/SUM($E$26:$E$28)</f>
        <v>0.51104290450752299</v>
      </c>
      <c r="C27" s="137" t="s">
        <v>1</v>
      </c>
      <c r="D27" s="138" t="s">
        <v>77</v>
      </c>
      <c r="E27" s="168">
        <f>CORE!E314</f>
        <v>0.5110429045075231</v>
      </c>
      <c r="F27" s="168">
        <f>CORE!F314</f>
        <v>0.41674781644668873</v>
      </c>
      <c r="G27" s="168">
        <f>CORE!G314</f>
        <v>0.45454073148233354</v>
      </c>
      <c r="H27" s="168">
        <f>CORE!H314</f>
        <v>0.50348507093739236</v>
      </c>
      <c r="I27" s="168">
        <f>CORE!I314</f>
        <v>0.65982435605071221</v>
      </c>
      <c r="J27" s="168">
        <f>CORE!J314</f>
        <v>0.32131860630382375</v>
      </c>
      <c r="K27" s="168">
        <f>CORE!K314</f>
        <v>0.38163979984718877</v>
      </c>
      <c r="L27" s="168">
        <f>CORE!L314</f>
        <v>0.56165310028161719</v>
      </c>
      <c r="M27" s="168">
        <f>CORE!M314</f>
        <v>0.4387126978682222</v>
      </c>
      <c r="N27" s="168">
        <f>CORE!N314</f>
        <v>0.46417863361825085</v>
      </c>
      <c r="O27" s="168">
        <f>CORE!O314</f>
        <v>0</v>
      </c>
      <c r="P27" s="168">
        <f>CORE!P314</f>
        <v>0</v>
      </c>
      <c r="Q27" s="168">
        <f>CORE!Q314</f>
        <v>0</v>
      </c>
      <c r="R27" s="168">
        <f>CORE!R314</f>
        <v>0</v>
      </c>
      <c r="S27" s="168">
        <f>CORE!S314</f>
        <v>0</v>
      </c>
      <c r="T27" s="168">
        <f>CORE!T314</f>
        <v>0</v>
      </c>
      <c r="U27" s="168">
        <f>CORE!U314</f>
        <v>0</v>
      </c>
      <c r="V27" s="168">
        <f>CORE!V314</f>
        <v>0</v>
      </c>
      <c r="W27" s="168">
        <f>CORE!W314</f>
        <v>0</v>
      </c>
      <c r="X27" s="168">
        <f>CORE!X314</f>
        <v>0</v>
      </c>
      <c r="Y27" s="169">
        <f>CORE!Y314</f>
        <v>0</v>
      </c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2"/>
      <c r="AQ27" s="33">
        <v>1.1861504379643024</v>
      </c>
      <c r="AR27" s="10">
        <f>AU27/SUM($AU26:$AU28)</f>
        <v>0.5110429045075231</v>
      </c>
      <c r="AS27" s="119" t="s">
        <v>1</v>
      </c>
      <c r="AT27" s="32" t="s">
        <v>77</v>
      </c>
      <c r="AU27" s="123">
        <f>IF((E26+E27+E28)=0,1,E27/(E26+E27+E28)*$AQ27)</f>
        <v>0.60617376500014752</v>
      </c>
      <c r="AV27" s="123">
        <f t="shared" ref="AV27:BO27" si="181">IF((F26+F27+F28)=0,0,F27/(F26+F27+F28)*$AQ27)</f>
        <v>0.93643455628760719</v>
      </c>
      <c r="AW27" s="123">
        <f t="shared" si="181"/>
        <v>0.5391536877203843</v>
      </c>
      <c r="AX27" s="123">
        <f t="shared" si="181"/>
        <v>0.59720903740087583</v>
      </c>
      <c r="AY27" s="123">
        <f t="shared" si="181"/>
        <v>0.78265094890906606</v>
      </c>
      <c r="AZ27" s="123">
        <f t="shared" si="181"/>
        <v>0.72200461441305364</v>
      </c>
      <c r="BA27" s="123">
        <f t="shared" si="181"/>
        <v>0.45268221573335166</v>
      </c>
      <c r="BB27" s="123">
        <f t="shared" si="181"/>
        <v>0.66620507088304848</v>
      </c>
      <c r="BC27" s="123">
        <f t="shared" si="181"/>
        <v>0.5203792587168925</v>
      </c>
      <c r="BD27" s="123">
        <f t="shared" si="181"/>
        <v>0.55058568955995968</v>
      </c>
      <c r="BE27" s="123">
        <f t="shared" si="181"/>
        <v>0</v>
      </c>
      <c r="BF27" s="123">
        <f t="shared" si="181"/>
        <v>0</v>
      </c>
      <c r="BG27" s="123">
        <f t="shared" si="181"/>
        <v>0</v>
      </c>
      <c r="BH27" s="123">
        <f t="shared" si="181"/>
        <v>0</v>
      </c>
      <c r="BI27" s="123">
        <f t="shared" si="181"/>
        <v>0</v>
      </c>
      <c r="BJ27" s="123">
        <f t="shared" si="181"/>
        <v>0</v>
      </c>
      <c r="BK27" s="123">
        <f t="shared" si="181"/>
        <v>0</v>
      </c>
      <c r="BL27" s="123">
        <f t="shared" si="181"/>
        <v>0</v>
      </c>
      <c r="BM27" s="123">
        <f t="shared" si="181"/>
        <v>0</v>
      </c>
      <c r="BN27" s="123">
        <f t="shared" si="181"/>
        <v>0</v>
      </c>
      <c r="BO27" s="124">
        <f t="shared" si="181"/>
        <v>0</v>
      </c>
    </row>
    <row r="28" spans="2:343" ht="14.25" customHeight="1" thickBot="1" x14ac:dyDescent="0.25">
      <c r="B28" s="139">
        <f>E28/SUM($E$26:$E$28)</f>
        <v>6.8853987065105081E-3</v>
      </c>
      <c r="C28" s="140" t="s">
        <v>2</v>
      </c>
      <c r="D28" s="141"/>
      <c r="E28" s="170">
        <f>CORE!E315</f>
        <v>6.8853987065105099E-3</v>
      </c>
      <c r="F28" s="170">
        <f>CORE!F315</f>
        <v>0</v>
      </c>
      <c r="G28" s="170">
        <f>CORE!G315</f>
        <v>2.6394028374956951E-2</v>
      </c>
      <c r="H28" s="170">
        <f>CORE!H315</f>
        <v>0</v>
      </c>
      <c r="I28" s="170">
        <f>CORE!I315</f>
        <v>0</v>
      </c>
      <c r="J28" s="170">
        <f>CORE!J315</f>
        <v>0</v>
      </c>
      <c r="K28" s="170">
        <f>CORE!K315</f>
        <v>0</v>
      </c>
      <c r="L28" s="170">
        <f>CORE!L315</f>
        <v>0</v>
      </c>
      <c r="M28" s="170">
        <f>CORE!M315</f>
        <v>0</v>
      </c>
      <c r="N28" s="170">
        <f>CORE!N315</f>
        <v>2.6394028374956951E-2</v>
      </c>
      <c r="O28" s="170">
        <f>CORE!O315</f>
        <v>0</v>
      </c>
      <c r="P28" s="170">
        <f>CORE!P315</f>
        <v>0</v>
      </c>
      <c r="Q28" s="170">
        <f>CORE!Q315</f>
        <v>0</v>
      </c>
      <c r="R28" s="170">
        <f>CORE!R315</f>
        <v>0</v>
      </c>
      <c r="S28" s="170">
        <f>CORE!S315</f>
        <v>0</v>
      </c>
      <c r="T28" s="170">
        <f>CORE!T315</f>
        <v>0</v>
      </c>
      <c r="U28" s="170">
        <f>CORE!U315</f>
        <v>0</v>
      </c>
      <c r="V28" s="170">
        <f>CORE!V315</f>
        <v>0</v>
      </c>
      <c r="W28" s="170">
        <f>CORE!W315</f>
        <v>0</v>
      </c>
      <c r="X28" s="170">
        <f>CORE!X315</f>
        <v>0</v>
      </c>
      <c r="Y28" s="171">
        <f>CORE!Y315</f>
        <v>0</v>
      </c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2"/>
      <c r="AQ28" s="33">
        <v>1.1861504379643024</v>
      </c>
      <c r="AR28" s="11">
        <f>AU28/SUM($AU26:$AU28)</f>
        <v>6.8853987065105099E-3</v>
      </c>
      <c r="AS28" s="120" t="s">
        <v>2</v>
      </c>
      <c r="AT28" s="31"/>
      <c r="AU28" s="125">
        <f>IF((E26+E27+E28)=0,1,E28/(E26+E27+E28)*$AQ28)</f>
        <v>8.1671186912862809E-3</v>
      </c>
      <c r="AV28" s="125">
        <f t="shared" ref="AV28:BO28" si="182">IF((F26+F27+F28)=0,0,F28/(F26+F27+F28)*$AQ28)</f>
        <v>0</v>
      </c>
      <c r="AW28" s="125">
        <f t="shared" si="182"/>
        <v>3.1307288316597411E-2</v>
      </c>
      <c r="AX28" s="125">
        <f t="shared" si="182"/>
        <v>0</v>
      </c>
      <c r="AY28" s="125">
        <f t="shared" si="182"/>
        <v>0</v>
      </c>
      <c r="AZ28" s="125">
        <f t="shared" si="182"/>
        <v>0</v>
      </c>
      <c r="BA28" s="125">
        <f t="shared" si="182"/>
        <v>0</v>
      </c>
      <c r="BB28" s="125">
        <f t="shared" si="182"/>
        <v>0</v>
      </c>
      <c r="BC28" s="125">
        <f t="shared" si="182"/>
        <v>0</v>
      </c>
      <c r="BD28" s="125">
        <f t="shared" si="182"/>
        <v>3.1307288316597411E-2</v>
      </c>
      <c r="BE28" s="125">
        <f t="shared" si="182"/>
        <v>0</v>
      </c>
      <c r="BF28" s="125">
        <f t="shared" si="182"/>
        <v>0</v>
      </c>
      <c r="BG28" s="125">
        <f t="shared" si="182"/>
        <v>0</v>
      </c>
      <c r="BH28" s="125">
        <f t="shared" si="182"/>
        <v>0</v>
      </c>
      <c r="BI28" s="125">
        <f t="shared" si="182"/>
        <v>0</v>
      </c>
      <c r="BJ28" s="125">
        <f t="shared" si="182"/>
        <v>0</v>
      </c>
      <c r="BK28" s="125">
        <f t="shared" si="182"/>
        <v>0</v>
      </c>
      <c r="BL28" s="125">
        <f t="shared" si="182"/>
        <v>0</v>
      </c>
      <c r="BM28" s="125">
        <f t="shared" si="182"/>
        <v>0</v>
      </c>
      <c r="BN28" s="125">
        <f t="shared" si="182"/>
        <v>0</v>
      </c>
      <c r="BO28" s="126">
        <f t="shared" si="182"/>
        <v>0</v>
      </c>
    </row>
    <row r="29" spans="2:343" ht="14.25" customHeight="1" x14ac:dyDescent="0.2">
      <c r="B29" s="133">
        <f>E29/SUM($E$29:$E$31)</f>
        <v>0.46875</v>
      </c>
      <c r="C29" s="134" t="s">
        <v>0</v>
      </c>
      <c r="D29" s="135"/>
      <c r="E29" s="166">
        <f>CORE!E332</f>
        <v>0.46875</v>
      </c>
      <c r="F29" s="166">
        <f>CORE!F332</f>
        <v>0</v>
      </c>
      <c r="G29" s="166">
        <f>CORE!G332</f>
        <v>0</v>
      </c>
      <c r="H29" s="166">
        <f>CORE!H332</f>
        <v>0</v>
      </c>
      <c r="I29" s="166">
        <f>CORE!I332</f>
        <v>0.3</v>
      </c>
      <c r="J29" s="166">
        <f>CORE!J332</f>
        <v>0.52500000000000002</v>
      </c>
      <c r="K29" s="166">
        <f>CORE!K332</f>
        <v>0.5</v>
      </c>
      <c r="L29" s="166">
        <f>CORE!L332</f>
        <v>0.7</v>
      </c>
      <c r="M29" s="166">
        <f>CORE!M332</f>
        <v>0.2</v>
      </c>
      <c r="N29" s="166">
        <f>CORE!N332</f>
        <v>0.7</v>
      </c>
      <c r="O29" s="166">
        <f>CORE!O332</f>
        <v>0</v>
      </c>
      <c r="P29" s="166">
        <f>CORE!P332</f>
        <v>0</v>
      </c>
      <c r="Q29" s="166">
        <f>CORE!Q332</f>
        <v>0</v>
      </c>
      <c r="R29" s="166">
        <f>CORE!R332</f>
        <v>0</v>
      </c>
      <c r="S29" s="166">
        <f>CORE!S332</f>
        <v>0</v>
      </c>
      <c r="T29" s="166">
        <f>CORE!T332</f>
        <v>0</v>
      </c>
      <c r="U29" s="166">
        <f>CORE!U332</f>
        <v>0</v>
      </c>
      <c r="V29" s="166">
        <f>CORE!V332</f>
        <v>0</v>
      </c>
      <c r="W29" s="166">
        <f>CORE!W332</f>
        <v>0</v>
      </c>
      <c r="X29" s="166">
        <f>CORE!X332</f>
        <v>0</v>
      </c>
      <c r="Y29" s="167">
        <f>CORE!Y332</f>
        <v>0</v>
      </c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2"/>
      <c r="AQ29" s="33">
        <v>0.60228667475700526</v>
      </c>
      <c r="AR29" s="9">
        <f>AU29/SUM($AU29:$AU31)</f>
        <v>0.46875</v>
      </c>
      <c r="AS29" s="121" t="s">
        <v>0</v>
      </c>
      <c r="AT29" s="30"/>
      <c r="AU29" s="105">
        <f>IF((E29+E30+E31)=0,1,E29/(E29+E30+E31)*$AQ29)</f>
        <v>0.28232187879234621</v>
      </c>
      <c r="AV29" s="105">
        <f t="shared" ref="AV29:BO29" si="183">IF((F29+F30+F31)=0,0,F29/(F29+F30+F31)*$AQ29)</f>
        <v>0</v>
      </c>
      <c r="AW29" s="105">
        <f t="shared" si="183"/>
        <v>0</v>
      </c>
      <c r="AX29" s="105">
        <f t="shared" si="183"/>
        <v>0</v>
      </c>
      <c r="AY29" s="105">
        <f t="shared" si="183"/>
        <v>0.18068600242710162</v>
      </c>
      <c r="AZ29" s="105">
        <f t="shared" si="183"/>
        <v>0.31620050424742779</v>
      </c>
      <c r="BA29" s="105">
        <f t="shared" si="183"/>
        <v>0.30114333737850263</v>
      </c>
      <c r="BB29" s="105">
        <f t="shared" si="183"/>
        <v>0.42160067232990367</v>
      </c>
      <c r="BC29" s="105">
        <f t="shared" si="183"/>
        <v>0.12045733495140105</v>
      </c>
      <c r="BD29" s="105">
        <f t="shared" si="183"/>
        <v>0.42160067232990367</v>
      </c>
      <c r="BE29" s="105">
        <f t="shared" si="183"/>
        <v>0</v>
      </c>
      <c r="BF29" s="105">
        <f t="shared" si="183"/>
        <v>0</v>
      </c>
      <c r="BG29" s="105">
        <f t="shared" si="183"/>
        <v>0</v>
      </c>
      <c r="BH29" s="105">
        <f t="shared" si="183"/>
        <v>0</v>
      </c>
      <c r="BI29" s="105">
        <f t="shared" si="183"/>
        <v>0</v>
      </c>
      <c r="BJ29" s="105">
        <f t="shared" si="183"/>
        <v>0</v>
      </c>
      <c r="BK29" s="105">
        <f t="shared" si="183"/>
        <v>0</v>
      </c>
      <c r="BL29" s="105">
        <f t="shared" si="183"/>
        <v>0</v>
      </c>
      <c r="BM29" s="105">
        <f t="shared" si="183"/>
        <v>0</v>
      </c>
      <c r="BN29" s="105">
        <f t="shared" si="183"/>
        <v>0</v>
      </c>
      <c r="BO29" s="127">
        <f t="shared" si="183"/>
        <v>0</v>
      </c>
    </row>
    <row r="30" spans="2:343" ht="14.25" customHeight="1" x14ac:dyDescent="0.2">
      <c r="B30" s="136">
        <f>E30/SUM($E$29:$E$31)</f>
        <v>0.5</v>
      </c>
      <c r="C30" s="137" t="s">
        <v>1</v>
      </c>
      <c r="D30" s="138" t="s">
        <v>79</v>
      </c>
      <c r="E30" s="168">
        <f>CORE!E333</f>
        <v>0.5</v>
      </c>
      <c r="F30" s="168">
        <f>CORE!F333</f>
        <v>0</v>
      </c>
      <c r="G30" s="168">
        <f>CORE!G333</f>
        <v>0</v>
      </c>
      <c r="H30" s="168">
        <f>CORE!H333</f>
        <v>0</v>
      </c>
      <c r="I30" s="168">
        <f>CORE!I333</f>
        <v>0.6</v>
      </c>
      <c r="J30" s="168">
        <f>CORE!J333</f>
        <v>0.45</v>
      </c>
      <c r="K30" s="168">
        <f>CORE!K333</f>
        <v>0.5</v>
      </c>
      <c r="L30" s="168">
        <f>CORE!L333</f>
        <v>0.3</v>
      </c>
      <c r="M30" s="168">
        <f>CORE!M333</f>
        <v>0.8</v>
      </c>
      <c r="N30" s="168">
        <f>CORE!N333</f>
        <v>0.3</v>
      </c>
      <c r="O30" s="168">
        <f>CORE!O333</f>
        <v>0</v>
      </c>
      <c r="P30" s="168">
        <f>CORE!P333</f>
        <v>0</v>
      </c>
      <c r="Q30" s="168">
        <f>CORE!Q333</f>
        <v>0</v>
      </c>
      <c r="R30" s="168">
        <f>CORE!R333</f>
        <v>0</v>
      </c>
      <c r="S30" s="168">
        <f>CORE!S333</f>
        <v>0</v>
      </c>
      <c r="T30" s="168">
        <f>CORE!T333</f>
        <v>0</v>
      </c>
      <c r="U30" s="168">
        <f>CORE!U333</f>
        <v>0</v>
      </c>
      <c r="V30" s="168">
        <f>CORE!V333</f>
        <v>0</v>
      </c>
      <c r="W30" s="168">
        <f>CORE!W333</f>
        <v>0</v>
      </c>
      <c r="X30" s="168">
        <f>CORE!X333</f>
        <v>0</v>
      </c>
      <c r="Y30" s="169">
        <f>CORE!Y333</f>
        <v>0</v>
      </c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2"/>
      <c r="AQ30" s="33">
        <v>0.60228667475700526</v>
      </c>
      <c r="AR30" s="10">
        <f>AU30/SUM($AU29:$AU31)</f>
        <v>0.5</v>
      </c>
      <c r="AS30" s="119" t="s">
        <v>1</v>
      </c>
      <c r="AT30" s="32" t="s">
        <v>79</v>
      </c>
      <c r="AU30" s="123">
        <f>IF((E29+E30+E31)=0,1,E30/(E29+E30+E31)*$AQ30)</f>
        <v>0.30114333737850263</v>
      </c>
      <c r="AV30" s="123">
        <f t="shared" ref="AV30:BO30" si="184">IF((F29+F30+F31)=0,0,F30/(F29+F30+F31)*$AQ30)</f>
        <v>0</v>
      </c>
      <c r="AW30" s="123">
        <f t="shared" si="184"/>
        <v>0</v>
      </c>
      <c r="AX30" s="123">
        <f t="shared" si="184"/>
        <v>0</v>
      </c>
      <c r="AY30" s="123">
        <f t="shared" si="184"/>
        <v>0.36137200485420323</v>
      </c>
      <c r="AZ30" s="123">
        <f t="shared" si="184"/>
        <v>0.27102900364065236</v>
      </c>
      <c r="BA30" s="123">
        <f t="shared" si="184"/>
        <v>0.30114333737850263</v>
      </c>
      <c r="BB30" s="123">
        <f t="shared" si="184"/>
        <v>0.18068600242710156</v>
      </c>
      <c r="BC30" s="123">
        <f t="shared" si="184"/>
        <v>0.48182933980560422</v>
      </c>
      <c r="BD30" s="123">
        <f t="shared" si="184"/>
        <v>0.18068600242710156</v>
      </c>
      <c r="BE30" s="123">
        <f t="shared" si="184"/>
        <v>0</v>
      </c>
      <c r="BF30" s="123">
        <f t="shared" si="184"/>
        <v>0</v>
      </c>
      <c r="BG30" s="123">
        <f t="shared" si="184"/>
        <v>0</v>
      </c>
      <c r="BH30" s="123">
        <f t="shared" si="184"/>
        <v>0</v>
      </c>
      <c r="BI30" s="123">
        <f t="shared" si="184"/>
        <v>0</v>
      </c>
      <c r="BJ30" s="123">
        <f t="shared" si="184"/>
        <v>0</v>
      </c>
      <c r="BK30" s="123">
        <f t="shared" si="184"/>
        <v>0</v>
      </c>
      <c r="BL30" s="123">
        <f t="shared" si="184"/>
        <v>0</v>
      </c>
      <c r="BM30" s="123">
        <f t="shared" si="184"/>
        <v>0</v>
      </c>
      <c r="BN30" s="123">
        <f t="shared" si="184"/>
        <v>0</v>
      </c>
      <c r="BO30" s="124">
        <f t="shared" si="184"/>
        <v>0</v>
      </c>
    </row>
    <row r="31" spans="2:343" ht="14.25" customHeight="1" thickBot="1" x14ac:dyDescent="0.25">
      <c r="B31" s="139">
        <f>E31/SUM($E$29:$E$31)</f>
        <v>3.125E-2</v>
      </c>
      <c r="C31" s="140" t="s">
        <v>2</v>
      </c>
      <c r="D31" s="141"/>
      <c r="E31" s="170">
        <f>CORE!E334</f>
        <v>3.125E-2</v>
      </c>
      <c r="F31" s="170">
        <f>CORE!F334</f>
        <v>0</v>
      </c>
      <c r="G31" s="170">
        <f>CORE!G334</f>
        <v>0</v>
      </c>
      <c r="H31" s="170">
        <f>CORE!H334</f>
        <v>0</v>
      </c>
      <c r="I31" s="170">
        <f>CORE!I334</f>
        <v>0.1</v>
      </c>
      <c r="J31" s="170">
        <f>CORE!J334</f>
        <v>2.5000000000000001E-2</v>
      </c>
      <c r="K31" s="170">
        <f>CORE!K334</f>
        <v>0</v>
      </c>
      <c r="L31" s="170">
        <f>CORE!L334</f>
        <v>0</v>
      </c>
      <c r="M31" s="170">
        <f>CORE!M334</f>
        <v>0</v>
      </c>
      <c r="N31" s="170">
        <f>CORE!N334</f>
        <v>0</v>
      </c>
      <c r="O31" s="170">
        <f>CORE!O334</f>
        <v>0</v>
      </c>
      <c r="P31" s="170">
        <f>CORE!P334</f>
        <v>0</v>
      </c>
      <c r="Q31" s="170">
        <f>CORE!Q334</f>
        <v>0</v>
      </c>
      <c r="R31" s="170">
        <f>CORE!R334</f>
        <v>0</v>
      </c>
      <c r="S31" s="170">
        <f>CORE!S334</f>
        <v>0</v>
      </c>
      <c r="T31" s="170">
        <f>CORE!T334</f>
        <v>0</v>
      </c>
      <c r="U31" s="170">
        <f>CORE!U334</f>
        <v>0</v>
      </c>
      <c r="V31" s="170">
        <f>CORE!V334</f>
        <v>0</v>
      </c>
      <c r="W31" s="170">
        <f>CORE!W334</f>
        <v>0</v>
      </c>
      <c r="X31" s="170">
        <f>CORE!X334</f>
        <v>0</v>
      </c>
      <c r="Y31" s="171">
        <f>CORE!Y334</f>
        <v>0</v>
      </c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2"/>
      <c r="AQ31" s="33">
        <v>0.60228667475700526</v>
      </c>
      <c r="AR31" s="11">
        <f>AU31/SUM($AU29:$AU31)</f>
        <v>3.125E-2</v>
      </c>
      <c r="AS31" s="120" t="s">
        <v>2</v>
      </c>
      <c r="AT31" s="31"/>
      <c r="AU31" s="125">
        <f>IF((E29+E30+E31)=0,1,E31/(E29+E30+E31)*$AQ31)</f>
        <v>1.8821458586156414E-2</v>
      </c>
      <c r="AV31" s="125">
        <f t="shared" ref="AV31:BO31" si="185">IF((F29+F30+F31)=0,0,F31/(F29+F30+F31)*$AQ31)</f>
        <v>0</v>
      </c>
      <c r="AW31" s="125">
        <f t="shared" si="185"/>
        <v>0</v>
      </c>
      <c r="AX31" s="125">
        <f t="shared" si="185"/>
        <v>0</v>
      </c>
      <c r="AY31" s="125">
        <f t="shared" si="185"/>
        <v>6.0228667475700534E-2</v>
      </c>
      <c r="AZ31" s="125">
        <f t="shared" si="185"/>
        <v>1.5057166868925132E-2</v>
      </c>
      <c r="BA31" s="125">
        <f t="shared" si="185"/>
        <v>0</v>
      </c>
      <c r="BB31" s="125">
        <f t="shared" si="185"/>
        <v>0</v>
      </c>
      <c r="BC31" s="125">
        <f t="shared" si="185"/>
        <v>0</v>
      </c>
      <c r="BD31" s="125">
        <f t="shared" si="185"/>
        <v>0</v>
      </c>
      <c r="BE31" s="125">
        <f t="shared" si="185"/>
        <v>0</v>
      </c>
      <c r="BF31" s="125">
        <f t="shared" si="185"/>
        <v>0</v>
      </c>
      <c r="BG31" s="125">
        <f t="shared" si="185"/>
        <v>0</v>
      </c>
      <c r="BH31" s="125">
        <f t="shared" si="185"/>
        <v>0</v>
      </c>
      <c r="BI31" s="125">
        <f t="shared" si="185"/>
        <v>0</v>
      </c>
      <c r="BJ31" s="125">
        <f t="shared" si="185"/>
        <v>0</v>
      </c>
      <c r="BK31" s="125">
        <f t="shared" si="185"/>
        <v>0</v>
      </c>
      <c r="BL31" s="125">
        <f t="shared" si="185"/>
        <v>0</v>
      </c>
      <c r="BM31" s="125">
        <f t="shared" si="185"/>
        <v>0</v>
      </c>
      <c r="BN31" s="125">
        <f t="shared" si="185"/>
        <v>0</v>
      </c>
      <c r="BO31" s="126">
        <f t="shared" si="185"/>
        <v>0</v>
      </c>
    </row>
    <row r="32" spans="2:343" ht="14.25" customHeight="1" x14ac:dyDescent="0.2">
      <c r="B32" s="133">
        <f>E32/SUM($E$32:$E$34)</f>
        <v>0.36035616527978748</v>
      </c>
      <c r="C32" s="134" t="s">
        <v>0</v>
      </c>
      <c r="D32" s="135"/>
      <c r="E32" s="166">
        <f>CORE!E345</f>
        <v>0.35039838148536406</v>
      </c>
      <c r="F32" s="166">
        <f>CORE!F345</f>
        <v>0.27799602964464726</v>
      </c>
      <c r="G32" s="166">
        <f>CORE!G345</f>
        <v>0.346627935358366</v>
      </c>
      <c r="H32" s="166">
        <f>CORE!H345</f>
        <v>0.38077292276104779</v>
      </c>
      <c r="I32" s="166">
        <f>CORE!I345</f>
        <v>0.37108223122643597</v>
      </c>
      <c r="J32" s="166">
        <f>CORE!J345</f>
        <v>0.25262875653828737</v>
      </c>
      <c r="K32" s="166">
        <f>CORE!K345</f>
        <v>0.25290785423820994</v>
      </c>
      <c r="L32" s="166">
        <f>CORE!L345</f>
        <v>0.29487490774896896</v>
      </c>
      <c r="M32" s="166">
        <f>CORE!M345</f>
        <v>0.25729667530472111</v>
      </c>
      <c r="N32" s="166">
        <f>CORE!N345</f>
        <v>0.1413174287571185</v>
      </c>
      <c r="O32" s="166">
        <f>CORE!O345</f>
        <v>0.12301541474818461</v>
      </c>
      <c r="P32" s="166">
        <f>CORE!P345</f>
        <v>8.4882186158815792E-2</v>
      </c>
      <c r="Q32" s="166">
        <f>CORE!Q345</f>
        <v>0</v>
      </c>
      <c r="R32" s="166">
        <f>CORE!R345</f>
        <v>0</v>
      </c>
      <c r="S32" s="166">
        <f>CORE!S345</f>
        <v>0</v>
      </c>
      <c r="T32" s="166">
        <f>CORE!T345</f>
        <v>0</v>
      </c>
      <c r="U32" s="166">
        <f>CORE!U345</f>
        <v>0</v>
      </c>
      <c r="V32" s="166">
        <f>CORE!V345</f>
        <v>0</v>
      </c>
      <c r="W32" s="166">
        <f>CORE!W345</f>
        <v>0</v>
      </c>
      <c r="X32" s="166">
        <f>CORE!X345</f>
        <v>0</v>
      </c>
      <c r="Y32" s="167">
        <f>CORE!Y345</f>
        <v>0</v>
      </c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2"/>
      <c r="AQ32" s="33">
        <v>8.5571924503929608</v>
      </c>
      <c r="AR32" s="9">
        <f>AU32/SUM($AU32:$AU34)</f>
        <v>0.36035616527978748</v>
      </c>
      <c r="AS32" s="121" t="s">
        <v>0</v>
      </c>
      <c r="AT32" s="30"/>
      <c r="AU32" s="105">
        <f>IF((E32+E33+E34)=0,1,E32/(E32+E33+E34)*$AQ32)</f>
        <v>3.0836370569847555</v>
      </c>
      <c r="AV32" s="105">
        <f t="shared" ref="AV32:BO32" si="186">IF((F32+F33+F34)=0,0,F32/(F32+F33+F34)*$AQ32)</f>
        <v>3.4529272763630519</v>
      </c>
      <c r="AW32" s="105">
        <f t="shared" si="186"/>
        <v>4.396442135669588</v>
      </c>
      <c r="AX32" s="105">
        <f t="shared" si="186"/>
        <v>3.850953423938114</v>
      </c>
      <c r="AY32" s="105">
        <f t="shared" si="186"/>
        <v>3.4644756057255868</v>
      </c>
      <c r="AZ32" s="105">
        <f t="shared" si="186"/>
        <v>2.759909317264273</v>
      </c>
      <c r="BA32" s="105">
        <f t="shared" si="186"/>
        <v>2.7307698271289222</v>
      </c>
      <c r="BB32" s="105">
        <f t="shared" si="186"/>
        <v>3.2564785731004875</v>
      </c>
      <c r="BC32" s="105">
        <f t="shared" si="186"/>
        <v>3.1034917656819778</v>
      </c>
      <c r="BD32" s="105">
        <f t="shared" si="186"/>
        <v>2.7044561694683611</v>
      </c>
      <c r="BE32" s="105">
        <f t="shared" si="186"/>
        <v>2.4722506790746079</v>
      </c>
      <c r="BF32" s="105">
        <f t="shared" si="186"/>
        <v>3.8507366026768324</v>
      </c>
      <c r="BG32" s="105">
        <f t="shared" si="186"/>
        <v>0</v>
      </c>
      <c r="BH32" s="105">
        <f t="shared" si="186"/>
        <v>0</v>
      </c>
      <c r="BI32" s="105">
        <f t="shared" si="186"/>
        <v>0</v>
      </c>
      <c r="BJ32" s="105">
        <f t="shared" si="186"/>
        <v>0</v>
      </c>
      <c r="BK32" s="105">
        <f t="shared" si="186"/>
        <v>0</v>
      </c>
      <c r="BL32" s="105">
        <f t="shared" si="186"/>
        <v>0</v>
      </c>
      <c r="BM32" s="105">
        <f t="shared" si="186"/>
        <v>0</v>
      </c>
      <c r="BN32" s="105">
        <f t="shared" si="186"/>
        <v>0</v>
      </c>
      <c r="BO32" s="127">
        <f t="shared" si="186"/>
        <v>0</v>
      </c>
    </row>
    <row r="33" spans="2:67" ht="14.25" customHeight="1" x14ac:dyDescent="0.2">
      <c r="B33" s="136">
        <f>E33/SUM($E$32:$E$34)</f>
        <v>0.60038517360975008</v>
      </c>
      <c r="C33" s="137" t="s">
        <v>1</v>
      </c>
      <c r="D33" s="138" t="s">
        <v>80</v>
      </c>
      <c r="E33" s="168">
        <f>CORE!E346</f>
        <v>0.58379462701110529</v>
      </c>
      <c r="F33" s="168">
        <f>CORE!F346</f>
        <v>0.38705623212196316</v>
      </c>
      <c r="G33" s="168">
        <f>CORE!G346</f>
        <v>0.30710299127596008</v>
      </c>
      <c r="H33" s="168">
        <f>CORE!H346</f>
        <v>0.44643853793102417</v>
      </c>
      <c r="I33" s="168">
        <f>CORE!I346</f>
        <v>0.49937799470489547</v>
      </c>
      <c r="J33" s="168">
        <f>CORE!J346</f>
        <v>0.49420514401024312</v>
      </c>
      <c r="K33" s="168">
        <f>CORE!K346</f>
        <v>0.51977584026229695</v>
      </c>
      <c r="L33" s="168">
        <f>CORE!L346</f>
        <v>0.46472176372125751</v>
      </c>
      <c r="M33" s="168">
        <f>CORE!M346</f>
        <v>0.42770760355980603</v>
      </c>
      <c r="N33" s="168">
        <f>CORE!N346</f>
        <v>0.27339545164658824</v>
      </c>
      <c r="O33" s="168">
        <f>CORE!O346</f>
        <v>0.27706922811589435</v>
      </c>
      <c r="P33" s="168">
        <f>CORE!P346</f>
        <v>0.10374489419410819</v>
      </c>
      <c r="Q33" s="168">
        <f>CORE!Q346</f>
        <v>0</v>
      </c>
      <c r="R33" s="168">
        <f>CORE!R346</f>
        <v>0</v>
      </c>
      <c r="S33" s="168">
        <f>CORE!S346</f>
        <v>0</v>
      </c>
      <c r="T33" s="168">
        <f>CORE!T346</f>
        <v>0</v>
      </c>
      <c r="U33" s="168">
        <f>CORE!U346</f>
        <v>0</v>
      </c>
      <c r="V33" s="168">
        <f>CORE!V346</f>
        <v>0</v>
      </c>
      <c r="W33" s="168">
        <f>CORE!W346</f>
        <v>0</v>
      </c>
      <c r="X33" s="168">
        <f>CORE!X346</f>
        <v>0</v>
      </c>
      <c r="Y33" s="169">
        <f>CORE!Y346</f>
        <v>0</v>
      </c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2"/>
      <c r="AQ33" s="33">
        <v>8.5571924503929608</v>
      </c>
      <c r="AR33" s="10">
        <f>AU33/SUM($AU32:$AU34)</f>
        <v>0.60038517360975008</v>
      </c>
      <c r="AS33" s="119" t="s">
        <v>1</v>
      </c>
      <c r="AT33" s="32" t="s">
        <v>80</v>
      </c>
      <c r="AU33" s="123">
        <f>IF((E32+E33+E34)=0,1,E33/(E32+E33+E34)*$AQ33)</f>
        <v>5.1376114749412203</v>
      </c>
      <c r="AV33" s="123">
        <f t="shared" ref="AV33:BO33" si="187">IF((F32+F33+F34)=0,0,F33/(F32+F33+F34)*$AQ33)</f>
        <v>4.8075399605116953</v>
      </c>
      <c r="AW33" s="123">
        <f t="shared" si="187"/>
        <v>3.8951290219581378</v>
      </c>
      <c r="AX33" s="123">
        <f t="shared" si="187"/>
        <v>4.5150637386637058</v>
      </c>
      <c r="AY33" s="123">
        <f t="shared" si="187"/>
        <v>4.6622627954275924</v>
      </c>
      <c r="AZ33" s="123">
        <f t="shared" si="187"/>
        <v>5.3990741207922834</v>
      </c>
      <c r="BA33" s="123">
        <f t="shared" si="187"/>
        <v>5.6122740265787217</v>
      </c>
      <c r="BB33" s="123">
        <f t="shared" si="187"/>
        <v>5.1321981838484669</v>
      </c>
      <c r="BC33" s="123">
        <f t="shared" si="187"/>
        <v>5.1589746513256793</v>
      </c>
      <c r="BD33" s="123">
        <f t="shared" si="187"/>
        <v>5.2320936094937256</v>
      </c>
      <c r="BE33" s="123">
        <f t="shared" si="187"/>
        <v>5.5682825502997044</v>
      </c>
      <c r="BF33" s="123">
        <f t="shared" si="187"/>
        <v>4.7064558477161285</v>
      </c>
      <c r="BG33" s="123">
        <f t="shared" si="187"/>
        <v>0</v>
      </c>
      <c r="BH33" s="123">
        <f t="shared" si="187"/>
        <v>0</v>
      </c>
      <c r="BI33" s="123">
        <f t="shared" si="187"/>
        <v>0</v>
      </c>
      <c r="BJ33" s="123">
        <f t="shared" si="187"/>
        <v>0</v>
      </c>
      <c r="BK33" s="123">
        <f t="shared" si="187"/>
        <v>0</v>
      </c>
      <c r="BL33" s="123">
        <f t="shared" si="187"/>
        <v>0</v>
      </c>
      <c r="BM33" s="123">
        <f t="shared" si="187"/>
        <v>0</v>
      </c>
      <c r="BN33" s="123">
        <f t="shared" si="187"/>
        <v>0</v>
      </c>
      <c r="BO33" s="124">
        <f t="shared" si="187"/>
        <v>0</v>
      </c>
    </row>
    <row r="34" spans="2:67" ht="14.25" customHeight="1" thickBot="1" x14ac:dyDescent="0.25">
      <c r="B34" s="139">
        <f>E34/SUM($E$32:$E$34)</f>
        <v>3.9258661110462376E-2</v>
      </c>
      <c r="C34" s="140" t="s">
        <v>2</v>
      </c>
      <c r="D34" s="141"/>
      <c r="E34" s="170">
        <f>CORE!E347</f>
        <v>3.8173819786621009E-2</v>
      </c>
      <c r="F34" s="170">
        <f>CORE!F347</f>
        <v>2.388942038200375E-2</v>
      </c>
      <c r="G34" s="170">
        <f>CORE!G347</f>
        <v>2.0942334155027113E-2</v>
      </c>
      <c r="H34" s="170">
        <f>CORE!H347</f>
        <v>1.8902948199637008E-2</v>
      </c>
      <c r="I34" s="170">
        <f>CORE!I347</f>
        <v>4.610621265982269E-2</v>
      </c>
      <c r="J34" s="170">
        <f>CORE!J347</f>
        <v>3.6450127908044042E-2</v>
      </c>
      <c r="K34" s="170">
        <f>CORE!K347</f>
        <v>1.9833184597894168E-2</v>
      </c>
      <c r="L34" s="170">
        <f>CORE!L347</f>
        <v>1.5259136040082763E-2</v>
      </c>
      <c r="M34" s="170">
        <f>CORE!M347</f>
        <v>2.4434422334973751E-2</v>
      </c>
      <c r="N34" s="170">
        <f>CORE!N347</f>
        <v>3.2430781276370849E-2</v>
      </c>
      <c r="O34" s="170">
        <f>CORE!O347</f>
        <v>2.5708173080924449E-2</v>
      </c>
      <c r="P34" s="170">
        <f>CORE!P347</f>
        <v>0</v>
      </c>
      <c r="Q34" s="170">
        <f>CORE!Q347</f>
        <v>0</v>
      </c>
      <c r="R34" s="170">
        <f>CORE!R347</f>
        <v>0</v>
      </c>
      <c r="S34" s="170">
        <f>CORE!S347</f>
        <v>0</v>
      </c>
      <c r="T34" s="170">
        <f>CORE!T347</f>
        <v>0</v>
      </c>
      <c r="U34" s="170">
        <f>CORE!U347</f>
        <v>0</v>
      </c>
      <c r="V34" s="170">
        <f>CORE!V347</f>
        <v>0</v>
      </c>
      <c r="W34" s="170">
        <f>CORE!W347</f>
        <v>0</v>
      </c>
      <c r="X34" s="170">
        <f>CORE!X347</f>
        <v>0</v>
      </c>
      <c r="Y34" s="171">
        <f>CORE!Y347</f>
        <v>0</v>
      </c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2"/>
      <c r="AQ34" s="33">
        <v>8.5571924503929608</v>
      </c>
      <c r="AR34" s="11">
        <f>AU34/SUM($AU32:$AU34)</f>
        <v>3.9258661110462376E-2</v>
      </c>
      <c r="AS34" s="120" t="s">
        <v>2</v>
      </c>
      <c r="AT34" s="31"/>
      <c r="AU34" s="125">
        <f>IF((E32+E33+E34)=0,1,E34/(E32+E33+E34)*$AQ34)</f>
        <v>0.33594391846698435</v>
      </c>
      <c r="AV34" s="125">
        <f t="shared" ref="AV34:BO34" si="188">IF((F32+F33+F34)=0,0,F34/(F32+F33+F34)*$AQ34)</f>
        <v>0.29672521351821568</v>
      </c>
      <c r="AW34" s="125">
        <f t="shared" si="188"/>
        <v>0.26562129276523522</v>
      </c>
      <c r="AX34" s="125">
        <f t="shared" si="188"/>
        <v>0.19117528779114029</v>
      </c>
      <c r="AY34" s="125">
        <f t="shared" si="188"/>
        <v>0.43045404923978065</v>
      </c>
      <c r="AZ34" s="125">
        <f t="shared" si="188"/>
        <v>0.39820901233640393</v>
      </c>
      <c r="BA34" s="125">
        <f t="shared" si="188"/>
        <v>0.21414859668531738</v>
      </c>
      <c r="BB34" s="125">
        <f t="shared" si="188"/>
        <v>0.16851569344400646</v>
      </c>
      <c r="BC34" s="125">
        <f t="shared" si="188"/>
        <v>0.29472603338530362</v>
      </c>
      <c r="BD34" s="125">
        <f t="shared" si="188"/>
        <v>0.62064267143087337</v>
      </c>
      <c r="BE34" s="125">
        <f t="shared" si="188"/>
        <v>0.51665922101864847</v>
      </c>
      <c r="BF34" s="125">
        <f t="shared" si="188"/>
        <v>0</v>
      </c>
      <c r="BG34" s="125">
        <f t="shared" si="188"/>
        <v>0</v>
      </c>
      <c r="BH34" s="125">
        <f t="shared" si="188"/>
        <v>0</v>
      </c>
      <c r="BI34" s="125">
        <f t="shared" si="188"/>
        <v>0</v>
      </c>
      <c r="BJ34" s="125">
        <f t="shared" si="188"/>
        <v>0</v>
      </c>
      <c r="BK34" s="125">
        <f t="shared" si="188"/>
        <v>0</v>
      </c>
      <c r="BL34" s="125">
        <f t="shared" si="188"/>
        <v>0</v>
      </c>
      <c r="BM34" s="125">
        <f t="shared" si="188"/>
        <v>0</v>
      </c>
      <c r="BN34" s="125">
        <f t="shared" si="188"/>
        <v>0</v>
      </c>
      <c r="BO34" s="126">
        <f t="shared" si="188"/>
        <v>0</v>
      </c>
    </row>
    <row r="35" spans="2:67" ht="14.25" customHeight="1" x14ac:dyDescent="0.2">
      <c r="B35" s="133">
        <f>E35/SUM($E$35:$E$37)</f>
        <v>0.65489934957579332</v>
      </c>
      <c r="C35" s="134" t="s">
        <v>0</v>
      </c>
      <c r="D35" s="135"/>
      <c r="E35" s="166">
        <f>CORE!E466</f>
        <v>0.65489934957579388</v>
      </c>
      <c r="F35" s="166">
        <f>CORE!F466</f>
        <v>0.88318573874163431</v>
      </c>
      <c r="G35" s="166">
        <f>CORE!G466</f>
        <v>0.35286956162319505</v>
      </c>
      <c r="H35" s="166">
        <f>CORE!H466</f>
        <v>0.71171434360868524</v>
      </c>
      <c r="I35" s="166">
        <f>CORE!I466</f>
        <v>0.7771216383586026</v>
      </c>
      <c r="J35" s="166">
        <f>CORE!J466</f>
        <v>0.53424236782112933</v>
      </c>
      <c r="K35" s="166">
        <f>CORE!K466</f>
        <v>0.60163762539115551</v>
      </c>
      <c r="L35" s="166">
        <f>CORE!L466</f>
        <v>0.56153564552416335</v>
      </c>
      <c r="M35" s="166">
        <f>CORE!M466</f>
        <v>0.6135669488484724</v>
      </c>
      <c r="N35" s="166">
        <f>CORE!N466</f>
        <v>0.64334714574845209</v>
      </c>
      <c r="O35" s="166">
        <f>CORE!O466</f>
        <v>0.53415100125648984</v>
      </c>
      <c r="P35" s="166">
        <f>CORE!P466</f>
        <v>0</v>
      </c>
      <c r="Q35" s="166">
        <f>CORE!Q466</f>
        <v>0</v>
      </c>
      <c r="R35" s="166">
        <f>CORE!R466</f>
        <v>0</v>
      </c>
      <c r="S35" s="166">
        <f>CORE!S466</f>
        <v>0</v>
      </c>
      <c r="T35" s="166">
        <f>CORE!T466</f>
        <v>0</v>
      </c>
      <c r="U35" s="166">
        <f>CORE!U466</f>
        <v>0</v>
      </c>
      <c r="V35" s="166">
        <f>CORE!V466</f>
        <v>0</v>
      </c>
      <c r="W35" s="166">
        <f>CORE!W466</f>
        <v>0</v>
      </c>
      <c r="X35" s="166">
        <f>CORE!X466</f>
        <v>0</v>
      </c>
      <c r="Y35" s="167">
        <f>CORE!Y466</f>
        <v>0</v>
      </c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2"/>
      <c r="AQ35" s="33">
        <v>3.3751263251173746</v>
      </c>
      <c r="AR35" s="9">
        <f>AU35/SUM($AU35:$AU37)</f>
        <v>0.65489934957579332</v>
      </c>
      <c r="AS35" s="121" t="s">
        <v>0</v>
      </c>
      <c r="AT35" s="30"/>
      <c r="AU35" s="105">
        <f>IF((E35+E36+E37)=0,1,E35/(E35+E36+E37)*$AQ35)</f>
        <v>2.2103680350555064</v>
      </c>
      <c r="AV35" s="105">
        <f t="shared" ref="AV35:BO35" si="189">IF((F35+F36+F37)=0,0,F35/(F35+F36+F37)*$AQ35)</f>
        <v>2.9808634367951234</v>
      </c>
      <c r="AW35" s="105">
        <f t="shared" si="189"/>
        <v>2.5020405046274434</v>
      </c>
      <c r="AX35" s="105">
        <f t="shared" si="189"/>
        <v>2.636201591448156</v>
      </c>
      <c r="AY35" s="105">
        <f t="shared" si="189"/>
        <v>2.6228836994424616</v>
      </c>
      <c r="AZ35" s="105">
        <f t="shared" si="189"/>
        <v>2.0059171813480252</v>
      </c>
      <c r="BA35" s="105">
        <f t="shared" si="189"/>
        <v>2.0306029876387925</v>
      </c>
      <c r="BB35" s="105">
        <f t="shared" si="189"/>
        <v>1.8952537397003808</v>
      </c>
      <c r="BC35" s="105">
        <f t="shared" si="189"/>
        <v>2.0708659612804228</v>
      </c>
      <c r="BD35" s="105">
        <f t="shared" si="189"/>
        <v>2.1713778878047232</v>
      </c>
      <c r="BE35" s="105">
        <f t="shared" si="189"/>
        <v>1.8028271059285812</v>
      </c>
      <c r="BF35" s="105">
        <f t="shared" si="189"/>
        <v>0</v>
      </c>
      <c r="BG35" s="105">
        <f t="shared" si="189"/>
        <v>0</v>
      </c>
      <c r="BH35" s="105">
        <f t="shared" si="189"/>
        <v>0</v>
      </c>
      <c r="BI35" s="105">
        <f t="shared" si="189"/>
        <v>0</v>
      </c>
      <c r="BJ35" s="105">
        <f t="shared" si="189"/>
        <v>0</v>
      </c>
      <c r="BK35" s="105">
        <f t="shared" si="189"/>
        <v>0</v>
      </c>
      <c r="BL35" s="105">
        <f t="shared" si="189"/>
        <v>0</v>
      </c>
      <c r="BM35" s="105">
        <f t="shared" si="189"/>
        <v>0</v>
      </c>
      <c r="BN35" s="105">
        <f t="shared" si="189"/>
        <v>0</v>
      </c>
      <c r="BO35" s="127">
        <f t="shared" si="189"/>
        <v>0</v>
      </c>
    </row>
    <row r="36" spans="2:67" ht="14.25" customHeight="1" x14ac:dyDescent="0.2">
      <c r="B36" s="136">
        <f>E36/SUM($E$35:$E$37)</f>
        <v>0.33993725753857545</v>
      </c>
      <c r="C36" s="137" t="s">
        <v>1</v>
      </c>
      <c r="D36" s="138" t="s">
        <v>78</v>
      </c>
      <c r="E36" s="168">
        <f>CORE!E467</f>
        <v>0.33993725753857573</v>
      </c>
      <c r="F36" s="168">
        <f>CORE!F467</f>
        <v>0.11681426125836664</v>
      </c>
      <c r="G36" s="168">
        <f>CORE!G467</f>
        <v>0.12313366237113892</v>
      </c>
      <c r="H36" s="168">
        <f>CORE!H467</f>
        <v>0.19949283602044782</v>
      </c>
      <c r="I36" s="168">
        <f>CORE!I467</f>
        <v>0.19863215834444151</v>
      </c>
      <c r="J36" s="168">
        <f>CORE!J467</f>
        <v>0.36022622944281812</v>
      </c>
      <c r="K36" s="168">
        <f>CORE!K467</f>
        <v>0.39836237460884544</v>
      </c>
      <c r="L36" s="168">
        <f>CORE!L467</f>
        <v>0.43846435447583759</v>
      </c>
      <c r="M36" s="168">
        <f>CORE!M467</f>
        <v>0.3763120289274634</v>
      </c>
      <c r="N36" s="168">
        <f>CORE!N467</f>
        <v>0.35665285425154875</v>
      </c>
      <c r="O36" s="168">
        <f>CORE!O467</f>
        <v>0.45496889985264116</v>
      </c>
      <c r="P36" s="168">
        <f>CORE!P467</f>
        <v>0</v>
      </c>
      <c r="Q36" s="168">
        <f>CORE!Q467</f>
        <v>0</v>
      </c>
      <c r="R36" s="168">
        <f>CORE!R467</f>
        <v>0</v>
      </c>
      <c r="S36" s="168">
        <f>CORE!S467</f>
        <v>0</v>
      </c>
      <c r="T36" s="168">
        <f>CORE!T467</f>
        <v>0</v>
      </c>
      <c r="U36" s="168">
        <f>CORE!U467</f>
        <v>0</v>
      </c>
      <c r="V36" s="168">
        <f>CORE!V467</f>
        <v>0</v>
      </c>
      <c r="W36" s="168">
        <f>CORE!W467</f>
        <v>0</v>
      </c>
      <c r="X36" s="168">
        <f>CORE!X467</f>
        <v>0</v>
      </c>
      <c r="Y36" s="169">
        <f>CORE!Y467</f>
        <v>0</v>
      </c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2"/>
      <c r="AQ36" s="33">
        <v>3.3751263251173746</v>
      </c>
      <c r="AR36" s="10">
        <f>AU36/SUM($AU35:$AU37)</f>
        <v>0.3399372575385754</v>
      </c>
      <c r="AS36" s="119" t="s">
        <v>1</v>
      </c>
      <c r="AT36" s="32" t="s">
        <v>78</v>
      </c>
      <c r="AU36" s="123">
        <f>IF((E35+E36+E37)=0,1,E36/(E35+E36+E37)*$AQ36)</f>
        <v>1.1473311868066507</v>
      </c>
      <c r="AV36" s="123">
        <f t="shared" ref="AV36:BO36" si="190">IF((F35+F36+F37)=0,0,F36/(F35+F36+F37)*$AQ36)</f>
        <v>0.39426288832225159</v>
      </c>
      <c r="AW36" s="123">
        <f t="shared" si="190"/>
        <v>0.87308582048993133</v>
      </c>
      <c r="AX36" s="123">
        <f t="shared" si="190"/>
        <v>0.73892473366921874</v>
      </c>
      <c r="AY36" s="123">
        <f t="shared" si="190"/>
        <v>0.67040862664320677</v>
      </c>
      <c r="AZ36" s="123">
        <f t="shared" si="190"/>
        <v>1.3525396455518375</v>
      </c>
      <c r="BA36" s="123">
        <f t="shared" si="190"/>
        <v>1.3445233374785823</v>
      </c>
      <c r="BB36" s="123">
        <f t="shared" si="190"/>
        <v>1.4798725854169943</v>
      </c>
      <c r="BC36" s="123">
        <f t="shared" si="190"/>
        <v>1.2701006352914117</v>
      </c>
      <c r="BD36" s="123">
        <f t="shared" si="190"/>
        <v>1.2037484373126512</v>
      </c>
      <c r="BE36" s="123">
        <f t="shared" si="190"/>
        <v>1.5355775110023384</v>
      </c>
      <c r="BF36" s="123">
        <f t="shared" si="190"/>
        <v>0</v>
      </c>
      <c r="BG36" s="123">
        <f t="shared" si="190"/>
        <v>0</v>
      </c>
      <c r="BH36" s="123">
        <f t="shared" si="190"/>
        <v>0</v>
      </c>
      <c r="BI36" s="123">
        <f t="shared" si="190"/>
        <v>0</v>
      </c>
      <c r="BJ36" s="123">
        <f t="shared" si="190"/>
        <v>0</v>
      </c>
      <c r="BK36" s="123">
        <f t="shared" si="190"/>
        <v>0</v>
      </c>
      <c r="BL36" s="123">
        <f t="shared" si="190"/>
        <v>0</v>
      </c>
      <c r="BM36" s="123">
        <f t="shared" si="190"/>
        <v>0</v>
      </c>
      <c r="BN36" s="123">
        <f t="shared" si="190"/>
        <v>0</v>
      </c>
      <c r="BO36" s="124">
        <f t="shared" si="190"/>
        <v>0</v>
      </c>
    </row>
    <row r="37" spans="2:67" ht="14.25" customHeight="1" thickBot="1" x14ac:dyDescent="0.25">
      <c r="B37" s="139">
        <f>E37/SUM($E$35:$E$37)</f>
        <v>5.1633928856312924E-3</v>
      </c>
      <c r="C37" s="140" t="s">
        <v>2</v>
      </c>
      <c r="D37" s="141"/>
      <c r="E37" s="170">
        <f>CORE!E468</f>
        <v>5.1633928856312968E-3</v>
      </c>
      <c r="F37" s="170">
        <f>CORE!F468</f>
        <v>0</v>
      </c>
      <c r="G37" s="170">
        <f>CORE!G468</f>
        <v>0</v>
      </c>
      <c r="H37" s="170">
        <f>CORE!H468</f>
        <v>0</v>
      </c>
      <c r="I37" s="170">
        <f>CORE!I468</f>
        <v>2.42462032969568E-2</v>
      </c>
      <c r="J37" s="170">
        <f>CORE!J468</f>
        <v>4.4396410185433954E-3</v>
      </c>
      <c r="K37" s="170">
        <f>CORE!K468</f>
        <v>0</v>
      </c>
      <c r="L37" s="170">
        <f>CORE!L468</f>
        <v>0</v>
      </c>
      <c r="M37" s="170">
        <f>CORE!M468</f>
        <v>1.0121022224065093E-2</v>
      </c>
      <c r="N37" s="170">
        <f>CORE!N468</f>
        <v>0</v>
      </c>
      <c r="O37" s="170">
        <f>CORE!O468</f>
        <v>1.0880098890869976E-2</v>
      </c>
      <c r="P37" s="170">
        <f>CORE!P468</f>
        <v>0</v>
      </c>
      <c r="Q37" s="170">
        <f>CORE!Q468</f>
        <v>0</v>
      </c>
      <c r="R37" s="170">
        <f>CORE!R468</f>
        <v>0</v>
      </c>
      <c r="S37" s="170">
        <f>CORE!S468</f>
        <v>0</v>
      </c>
      <c r="T37" s="170">
        <f>CORE!T468</f>
        <v>0</v>
      </c>
      <c r="U37" s="170">
        <f>CORE!U468</f>
        <v>0</v>
      </c>
      <c r="V37" s="170">
        <f>CORE!V468</f>
        <v>0</v>
      </c>
      <c r="W37" s="170">
        <f>CORE!W468</f>
        <v>0</v>
      </c>
      <c r="X37" s="170">
        <f>CORE!X468</f>
        <v>0</v>
      </c>
      <c r="Y37" s="171">
        <f>CORE!Y468</f>
        <v>0</v>
      </c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2"/>
      <c r="AQ37" s="33">
        <v>3.3751263251173746</v>
      </c>
      <c r="AR37" s="11">
        <f>AU37/SUM($AU35:$AU37)</f>
        <v>5.1633928856312915E-3</v>
      </c>
      <c r="AS37" s="120" t="s">
        <v>2</v>
      </c>
      <c r="AT37" s="31"/>
      <c r="AU37" s="125">
        <f>IF((E35+E36+E37)=0,1,E37/(E35+E36+E37)*$AQ37)</f>
        <v>1.742710325521794E-2</v>
      </c>
      <c r="AV37" s="125">
        <f t="shared" ref="AV37:BO37" si="191">IF((F35+F36+F37)=0,0,F37/(F35+F36+F37)*$AQ37)</f>
        <v>0</v>
      </c>
      <c r="AW37" s="125">
        <f t="shared" si="191"/>
        <v>0</v>
      </c>
      <c r="AX37" s="125">
        <f t="shared" si="191"/>
        <v>0</v>
      </c>
      <c r="AY37" s="125">
        <f t="shared" si="191"/>
        <v>8.1833999031706503E-2</v>
      </c>
      <c r="AZ37" s="125">
        <f t="shared" si="191"/>
        <v>1.6669498217511881E-2</v>
      </c>
      <c r="BA37" s="125">
        <f t="shared" si="191"/>
        <v>0</v>
      </c>
      <c r="BB37" s="125">
        <f t="shared" si="191"/>
        <v>0</v>
      </c>
      <c r="BC37" s="125">
        <f t="shared" si="191"/>
        <v>3.4159728545540065E-2</v>
      </c>
      <c r="BD37" s="125">
        <f t="shared" si="191"/>
        <v>0</v>
      </c>
      <c r="BE37" s="125">
        <f t="shared" si="191"/>
        <v>3.6721708186455572E-2</v>
      </c>
      <c r="BF37" s="125">
        <f t="shared" si="191"/>
        <v>0</v>
      </c>
      <c r="BG37" s="125">
        <f t="shared" si="191"/>
        <v>0</v>
      </c>
      <c r="BH37" s="125">
        <f t="shared" si="191"/>
        <v>0</v>
      </c>
      <c r="BI37" s="125">
        <f t="shared" si="191"/>
        <v>0</v>
      </c>
      <c r="BJ37" s="125">
        <f t="shared" si="191"/>
        <v>0</v>
      </c>
      <c r="BK37" s="125">
        <f t="shared" si="191"/>
        <v>0</v>
      </c>
      <c r="BL37" s="125">
        <f t="shared" si="191"/>
        <v>0</v>
      </c>
      <c r="BM37" s="125">
        <f t="shared" si="191"/>
        <v>0</v>
      </c>
      <c r="BN37" s="125">
        <f t="shared" si="191"/>
        <v>0</v>
      </c>
      <c r="BO37" s="126">
        <f t="shared" si="191"/>
        <v>0</v>
      </c>
    </row>
    <row r="38" spans="2:67" ht="14.25" customHeight="1" x14ac:dyDescent="0.2">
      <c r="B38" s="133">
        <f>E38/SUM($E$38:$E$40)</f>
        <v>0.57337724825184022</v>
      </c>
      <c r="C38" s="134" t="s">
        <v>0</v>
      </c>
      <c r="D38" s="135"/>
      <c r="E38" s="166">
        <f>CORE!E497</f>
        <v>0.57337724825183956</v>
      </c>
      <c r="F38" s="166">
        <f>CORE!F497</f>
        <v>0.46112174604503076</v>
      </c>
      <c r="G38" s="166">
        <f>CORE!G497</f>
        <v>0.147477069519211</v>
      </c>
      <c r="H38" s="166">
        <f>CORE!H497</f>
        <v>0.31398261153339629</v>
      </c>
      <c r="I38" s="166">
        <f>CORE!I497</f>
        <v>0.35459600132823899</v>
      </c>
      <c r="J38" s="166">
        <f>CORE!J497</f>
        <v>0.65209038664436791</v>
      </c>
      <c r="K38" s="166">
        <f>CORE!K497</f>
        <v>0.56524103013867999</v>
      </c>
      <c r="L38" s="166">
        <f>CORE!L497</f>
        <v>0.66032077131511979</v>
      </c>
      <c r="M38" s="166">
        <f>CORE!M497</f>
        <v>0.5264816689808921</v>
      </c>
      <c r="N38" s="166">
        <f>CORE!N497</f>
        <v>0.50116526277431617</v>
      </c>
      <c r="O38" s="166">
        <f>CORE!O497</f>
        <v>0</v>
      </c>
      <c r="P38" s="166">
        <f>CORE!P497</f>
        <v>0</v>
      </c>
      <c r="Q38" s="166">
        <f>CORE!Q497</f>
        <v>0</v>
      </c>
      <c r="R38" s="166">
        <f>CORE!R497</f>
        <v>0</v>
      </c>
      <c r="S38" s="166">
        <f>CORE!S497</f>
        <v>0</v>
      </c>
      <c r="T38" s="166">
        <f>CORE!T497</f>
        <v>0</v>
      </c>
      <c r="U38" s="166">
        <f>CORE!U497</f>
        <v>0</v>
      </c>
      <c r="V38" s="166">
        <f>CORE!V497</f>
        <v>0</v>
      </c>
      <c r="W38" s="166">
        <f>CORE!W497</f>
        <v>0</v>
      </c>
      <c r="X38" s="166">
        <f>CORE!X497</f>
        <v>0</v>
      </c>
      <c r="Y38" s="167">
        <f>CORE!Y497</f>
        <v>0</v>
      </c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2"/>
      <c r="AQ38" s="33">
        <v>2.6626585133582594</v>
      </c>
      <c r="AR38" s="9">
        <f>AU38/SUM($AU38:$AU40)</f>
        <v>0.57337724825184011</v>
      </c>
      <c r="AS38" s="121" t="s">
        <v>0</v>
      </c>
      <c r="AT38" s="30"/>
      <c r="AU38" s="105">
        <f>IF((E38+E39+E40)=0,1,E38/(E38+E39+E40)*$AQ38)</f>
        <v>1.5267078114236945</v>
      </c>
      <c r="AV38" s="105">
        <f t="shared" ref="AV38:BO38" si="192">IF((F38+F39+F40)=0,0,F38/(F38+F39+F40)*$AQ38)</f>
        <v>1.6294187574741337</v>
      </c>
      <c r="AW38" s="105">
        <f t="shared" si="192"/>
        <v>2.6626585133582594</v>
      </c>
      <c r="AX38" s="105">
        <f t="shared" si="192"/>
        <v>2.1221643664991028</v>
      </c>
      <c r="AY38" s="105">
        <f t="shared" si="192"/>
        <v>1.5167593447808976</v>
      </c>
      <c r="AZ38" s="105">
        <f t="shared" si="192"/>
        <v>1.7362940194777072</v>
      </c>
      <c r="BA38" s="105">
        <f t="shared" si="192"/>
        <v>1.5050438409981501</v>
      </c>
      <c r="BB38" s="105">
        <f t="shared" si="192"/>
        <v>1.7582087232894976</v>
      </c>
      <c r="BC38" s="105">
        <f t="shared" si="192"/>
        <v>1.4018408980390389</v>
      </c>
      <c r="BD38" s="105">
        <f t="shared" si="192"/>
        <v>1.3344319535254636</v>
      </c>
      <c r="BE38" s="105">
        <f t="shared" si="192"/>
        <v>0</v>
      </c>
      <c r="BF38" s="105">
        <f t="shared" si="192"/>
        <v>0</v>
      </c>
      <c r="BG38" s="105">
        <f t="shared" si="192"/>
        <v>0</v>
      </c>
      <c r="BH38" s="105">
        <f t="shared" si="192"/>
        <v>0</v>
      </c>
      <c r="BI38" s="105">
        <f t="shared" si="192"/>
        <v>0</v>
      </c>
      <c r="BJ38" s="105">
        <f t="shared" si="192"/>
        <v>0</v>
      </c>
      <c r="BK38" s="105">
        <f t="shared" si="192"/>
        <v>0</v>
      </c>
      <c r="BL38" s="105">
        <f t="shared" si="192"/>
        <v>0</v>
      </c>
      <c r="BM38" s="105">
        <f t="shared" si="192"/>
        <v>0</v>
      </c>
      <c r="BN38" s="105">
        <f t="shared" si="192"/>
        <v>0</v>
      </c>
      <c r="BO38" s="127">
        <f t="shared" si="192"/>
        <v>0</v>
      </c>
    </row>
    <row r="39" spans="2:67" ht="14.25" customHeight="1" x14ac:dyDescent="0.2">
      <c r="B39" s="136">
        <f>E39/SUM($E$38:$E$40)</f>
        <v>0.41742189991798734</v>
      </c>
      <c r="C39" s="137" t="s">
        <v>1</v>
      </c>
      <c r="D39" s="138" t="s">
        <v>100</v>
      </c>
      <c r="E39" s="168">
        <f>CORE!E498</f>
        <v>0.41742189991798689</v>
      </c>
      <c r="F39" s="168">
        <f>CORE!F498</f>
        <v>0.27971646922882015</v>
      </c>
      <c r="G39" s="168">
        <f>CORE!G498</f>
        <v>0</v>
      </c>
      <c r="H39" s="168">
        <f>CORE!H498</f>
        <v>7.996824677124971E-2</v>
      </c>
      <c r="I39" s="168">
        <f>CORE!I498</f>
        <v>0.26789435285238505</v>
      </c>
      <c r="J39" s="168">
        <f>CORE!J498</f>
        <v>0.34790961335563103</v>
      </c>
      <c r="K39" s="168">
        <f>CORE!K498</f>
        <v>0.43475896986131901</v>
      </c>
      <c r="L39" s="168">
        <f>CORE!L498</f>
        <v>0.32939013081144591</v>
      </c>
      <c r="M39" s="168">
        <f>CORE!M498</f>
        <v>0.45353396976623378</v>
      </c>
      <c r="N39" s="168">
        <f>CORE!N498</f>
        <v>0.49883473722568278</v>
      </c>
      <c r="O39" s="168">
        <f>CORE!O498</f>
        <v>0</v>
      </c>
      <c r="P39" s="168">
        <f>CORE!P498</f>
        <v>0</v>
      </c>
      <c r="Q39" s="168">
        <f>CORE!Q498</f>
        <v>0</v>
      </c>
      <c r="R39" s="168">
        <f>CORE!R498</f>
        <v>0</v>
      </c>
      <c r="S39" s="168">
        <f>CORE!S498</f>
        <v>0</v>
      </c>
      <c r="T39" s="168">
        <f>CORE!T498</f>
        <v>0</v>
      </c>
      <c r="U39" s="168">
        <f>CORE!U498</f>
        <v>0</v>
      </c>
      <c r="V39" s="168">
        <f>CORE!V498</f>
        <v>0</v>
      </c>
      <c r="W39" s="168">
        <f>CORE!W498</f>
        <v>0</v>
      </c>
      <c r="X39" s="168">
        <f>CORE!X498</f>
        <v>0</v>
      </c>
      <c r="Y39" s="169">
        <f>CORE!Y498</f>
        <v>0</v>
      </c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2"/>
      <c r="AQ39" s="33">
        <v>2.6626585133582594</v>
      </c>
      <c r="AR39" s="10">
        <f>AU39/SUM($AU38:$AU40)</f>
        <v>0.41742189991798728</v>
      </c>
      <c r="AS39" s="119" t="s">
        <v>1</v>
      </c>
      <c r="AT39" s="32" t="s">
        <v>100</v>
      </c>
      <c r="AU39" s="123">
        <f>IF((E38+E39+E40)=0,1,E39/(E38+E39+E40)*$AQ39)</f>
        <v>1.1114519754788084</v>
      </c>
      <c r="AV39" s="123">
        <f t="shared" ref="AV39:BO39" si="193">IF((F38+F39+F40)=0,0,F39/(F38+F39+F40)*$AQ39)</f>
        <v>0.98840548216385193</v>
      </c>
      <c r="AW39" s="123">
        <f t="shared" si="193"/>
        <v>0</v>
      </c>
      <c r="AX39" s="123">
        <f t="shared" si="193"/>
        <v>0.54049414685915675</v>
      </c>
      <c r="AY39" s="123">
        <f t="shared" si="193"/>
        <v>1.1458991685773618</v>
      </c>
      <c r="AZ39" s="123">
        <f t="shared" si="193"/>
        <v>0.92636449388055242</v>
      </c>
      <c r="BA39" s="123">
        <f t="shared" si="193"/>
        <v>1.1576146723601093</v>
      </c>
      <c r="BB39" s="123">
        <f t="shared" si="193"/>
        <v>0.87705343602128794</v>
      </c>
      <c r="BC39" s="123">
        <f t="shared" si="193"/>
        <v>1.2076060856952311</v>
      </c>
      <c r="BD39" s="123">
        <f t="shared" si="193"/>
        <v>1.328226559832796</v>
      </c>
      <c r="BE39" s="123">
        <f t="shared" si="193"/>
        <v>0</v>
      </c>
      <c r="BF39" s="123">
        <f t="shared" si="193"/>
        <v>0</v>
      </c>
      <c r="BG39" s="123">
        <f t="shared" si="193"/>
        <v>0</v>
      </c>
      <c r="BH39" s="123">
        <f t="shared" si="193"/>
        <v>0</v>
      </c>
      <c r="BI39" s="123">
        <f t="shared" si="193"/>
        <v>0</v>
      </c>
      <c r="BJ39" s="123">
        <f t="shared" si="193"/>
        <v>0</v>
      </c>
      <c r="BK39" s="123">
        <f t="shared" si="193"/>
        <v>0</v>
      </c>
      <c r="BL39" s="123">
        <f t="shared" si="193"/>
        <v>0</v>
      </c>
      <c r="BM39" s="123">
        <f t="shared" si="193"/>
        <v>0</v>
      </c>
      <c r="BN39" s="123">
        <f t="shared" si="193"/>
        <v>0</v>
      </c>
      <c r="BO39" s="124">
        <f t="shared" si="193"/>
        <v>0</v>
      </c>
    </row>
    <row r="40" spans="2:67" ht="14.25" customHeight="1" thickBot="1" x14ac:dyDescent="0.25">
      <c r="B40" s="139">
        <f>E40/SUM($E$38:$E$40)</f>
        <v>9.2008518301725482E-3</v>
      </c>
      <c r="C40" s="140" t="s">
        <v>2</v>
      </c>
      <c r="D40" s="141"/>
      <c r="E40" s="170">
        <f>CORE!E499</f>
        <v>9.2008518301725378E-3</v>
      </c>
      <c r="F40" s="170">
        <f>CORE!F499</f>
        <v>1.268799594071315E-2</v>
      </c>
      <c r="G40" s="170">
        <f>CORE!G499</f>
        <v>0</v>
      </c>
      <c r="H40" s="170">
        <f>CORE!H499</f>
        <v>0</v>
      </c>
      <c r="I40" s="170">
        <f>CORE!I499</f>
        <v>0</v>
      </c>
      <c r="J40" s="170">
        <f>CORE!J499</f>
        <v>0</v>
      </c>
      <c r="K40" s="170">
        <f>CORE!K499</f>
        <v>0</v>
      </c>
      <c r="L40" s="170">
        <f>CORE!L499</f>
        <v>1.0289097873433324E-2</v>
      </c>
      <c r="M40" s="170">
        <f>CORE!M499</f>
        <v>1.9984361252873107E-2</v>
      </c>
      <c r="N40" s="170">
        <f>CORE!N499</f>
        <v>0</v>
      </c>
      <c r="O40" s="170">
        <f>CORE!O499</f>
        <v>0</v>
      </c>
      <c r="P40" s="170">
        <f>CORE!P499</f>
        <v>0</v>
      </c>
      <c r="Q40" s="170">
        <f>CORE!Q499</f>
        <v>0</v>
      </c>
      <c r="R40" s="170">
        <f>CORE!R499</f>
        <v>0</v>
      </c>
      <c r="S40" s="170">
        <f>CORE!S499</f>
        <v>0</v>
      </c>
      <c r="T40" s="170">
        <f>CORE!T499</f>
        <v>0</v>
      </c>
      <c r="U40" s="170">
        <f>CORE!U499</f>
        <v>0</v>
      </c>
      <c r="V40" s="170">
        <f>CORE!V499</f>
        <v>0</v>
      </c>
      <c r="W40" s="170">
        <f>CORE!W499</f>
        <v>0</v>
      </c>
      <c r="X40" s="170">
        <f>CORE!X499</f>
        <v>0</v>
      </c>
      <c r="Y40" s="171">
        <f>CORE!Y499</f>
        <v>0</v>
      </c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2"/>
      <c r="AQ40" s="33">
        <v>2.6626585133582594</v>
      </c>
      <c r="AR40" s="11">
        <f>AU40/SUM($AU38:$AU40)</f>
        <v>9.2008518301725465E-3</v>
      </c>
      <c r="AS40" s="120" t="s">
        <v>2</v>
      </c>
      <c r="AT40" s="31"/>
      <c r="AU40" s="125">
        <f>IF((E38+E39+E40)=0,1,E40/(E38+E39+E40)*$AQ40)</f>
        <v>2.4498726455756858E-2</v>
      </c>
      <c r="AV40" s="125">
        <f t="shared" ref="AV40:BO40" si="194">IF((F38+F39+F40)=0,0,F40/(F38+F39+F40)*$AQ40)</f>
        <v>4.4834273720274195E-2</v>
      </c>
      <c r="AW40" s="125">
        <f t="shared" si="194"/>
        <v>0</v>
      </c>
      <c r="AX40" s="125">
        <f t="shared" si="194"/>
        <v>0</v>
      </c>
      <c r="AY40" s="125">
        <f t="shared" si="194"/>
        <v>0</v>
      </c>
      <c r="AZ40" s="125">
        <f t="shared" si="194"/>
        <v>0</v>
      </c>
      <c r="BA40" s="125">
        <f t="shared" si="194"/>
        <v>0</v>
      </c>
      <c r="BB40" s="125">
        <f t="shared" si="194"/>
        <v>2.7396354047473627E-2</v>
      </c>
      <c r="BC40" s="125">
        <f t="shared" si="194"/>
        <v>5.3211529623989562E-2</v>
      </c>
      <c r="BD40" s="125">
        <f t="shared" si="194"/>
        <v>0</v>
      </c>
      <c r="BE40" s="125">
        <f t="shared" si="194"/>
        <v>0</v>
      </c>
      <c r="BF40" s="125">
        <f t="shared" si="194"/>
        <v>0</v>
      </c>
      <c r="BG40" s="125">
        <f t="shared" si="194"/>
        <v>0</v>
      </c>
      <c r="BH40" s="125">
        <f t="shared" si="194"/>
        <v>0</v>
      </c>
      <c r="BI40" s="125">
        <f t="shared" si="194"/>
        <v>0</v>
      </c>
      <c r="BJ40" s="125">
        <f t="shared" si="194"/>
        <v>0</v>
      </c>
      <c r="BK40" s="125">
        <f t="shared" si="194"/>
        <v>0</v>
      </c>
      <c r="BL40" s="125">
        <f t="shared" si="194"/>
        <v>0</v>
      </c>
      <c r="BM40" s="125">
        <f t="shared" si="194"/>
        <v>0</v>
      </c>
      <c r="BN40" s="125">
        <f t="shared" si="194"/>
        <v>0</v>
      </c>
      <c r="BO40" s="126">
        <f t="shared" si="194"/>
        <v>0</v>
      </c>
    </row>
    <row r="41" spans="2:67" ht="14.25" customHeight="1" x14ac:dyDescent="0.2">
      <c r="B41" s="133">
        <f>E41/SUM($E$41:$E$43)</f>
        <v>0.49758531311698501</v>
      </c>
      <c r="C41" s="134" t="s">
        <v>0</v>
      </c>
      <c r="D41" s="135"/>
      <c r="E41" s="166">
        <f>CORE!E534</f>
        <v>0.49758531311698523</v>
      </c>
      <c r="F41" s="166">
        <f>CORE!F534</f>
        <v>0.47995167032801955</v>
      </c>
      <c r="G41" s="166">
        <f>CORE!G534</f>
        <v>0.52775905506437104</v>
      </c>
      <c r="H41" s="166">
        <f>CORE!H534</f>
        <v>0.46382766620345761</v>
      </c>
      <c r="I41" s="166">
        <f>CORE!I534</f>
        <v>0.55201989553188702</v>
      </c>
      <c r="J41" s="166">
        <f>CORE!J534</f>
        <v>0.55256086116391423</v>
      </c>
      <c r="K41" s="166">
        <f>CORE!K534</f>
        <v>0.4402858582923197</v>
      </c>
      <c r="L41" s="166">
        <f>CORE!L534</f>
        <v>0.45158512953121899</v>
      </c>
      <c r="M41" s="166">
        <f>CORE!M534</f>
        <v>0.42130419514484319</v>
      </c>
      <c r="N41" s="166">
        <f>CORE!N534</f>
        <v>9.2456226211751175E-2</v>
      </c>
      <c r="O41" s="166">
        <f>CORE!O534</f>
        <v>0</v>
      </c>
      <c r="P41" s="166">
        <f>CORE!P534</f>
        <v>0</v>
      </c>
      <c r="Q41" s="166">
        <f>CORE!Q534</f>
        <v>0.53155445561170733</v>
      </c>
      <c r="R41" s="166">
        <f>CORE!R534</f>
        <v>0</v>
      </c>
      <c r="S41" s="166">
        <f>CORE!S534</f>
        <v>0</v>
      </c>
      <c r="T41" s="166">
        <f>CORE!T534</f>
        <v>0</v>
      </c>
      <c r="U41" s="166">
        <f>CORE!U534</f>
        <v>0</v>
      </c>
      <c r="V41" s="166">
        <f>CORE!V534</f>
        <v>0</v>
      </c>
      <c r="W41" s="166">
        <f>CORE!W534</f>
        <v>0</v>
      </c>
      <c r="X41" s="166">
        <f>CORE!X534</f>
        <v>0</v>
      </c>
      <c r="Y41" s="167">
        <f>CORE!Y534</f>
        <v>0</v>
      </c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2"/>
      <c r="AQ41" s="33">
        <v>6.3697961258063609</v>
      </c>
      <c r="AR41" s="9">
        <f>AU41/SUM($AU41:$AU43)</f>
        <v>0.49758531311698512</v>
      </c>
      <c r="AS41" s="121" t="s">
        <v>0</v>
      </c>
      <c r="AT41" s="30"/>
      <c r="AU41" s="105">
        <f>IF((E41+E42+E43)=0,1,E41/(E41+E42+E43)*$AQ41)</f>
        <v>3.1695169997507162</v>
      </c>
      <c r="AV41" s="105">
        <f t="shared" ref="AV41:BO41" si="195">IF((F41+F42+F43)=0,0,F41/(F41+F42+F43)*$AQ41)</f>
        <v>3.05719429022971</v>
      </c>
      <c r="AW41" s="105">
        <f t="shared" si="195"/>
        <v>3.3617175843082552</v>
      </c>
      <c r="AX41" s="105">
        <f t="shared" si="195"/>
        <v>3.126736389617399</v>
      </c>
      <c r="AY41" s="105">
        <f t="shared" si="195"/>
        <v>4.2180477630846456</v>
      </c>
      <c r="AZ41" s="105">
        <f t="shared" si="195"/>
        <v>3.5197000327141268</v>
      </c>
      <c r="BA41" s="105">
        <f t="shared" si="195"/>
        <v>2.8045311543977456</v>
      </c>
      <c r="BB41" s="105">
        <f t="shared" si="195"/>
        <v>2.8765052085597218</v>
      </c>
      <c r="BC41" s="105">
        <f t="shared" si="195"/>
        <v>2.6836218300195886</v>
      </c>
      <c r="BD41" s="105">
        <f t="shared" si="195"/>
        <v>4.0087881711975299</v>
      </c>
      <c r="BE41" s="105">
        <f t="shared" si="195"/>
        <v>0</v>
      </c>
      <c r="BF41" s="105">
        <f t="shared" si="195"/>
        <v>0</v>
      </c>
      <c r="BG41" s="105">
        <f t="shared" si="195"/>
        <v>3.5832934956823888</v>
      </c>
      <c r="BH41" s="105">
        <f t="shared" si="195"/>
        <v>0</v>
      </c>
      <c r="BI41" s="105">
        <f t="shared" si="195"/>
        <v>0</v>
      </c>
      <c r="BJ41" s="105">
        <f t="shared" si="195"/>
        <v>0</v>
      </c>
      <c r="BK41" s="105">
        <f t="shared" si="195"/>
        <v>0</v>
      </c>
      <c r="BL41" s="105">
        <f t="shared" si="195"/>
        <v>0</v>
      </c>
      <c r="BM41" s="105">
        <f t="shared" si="195"/>
        <v>0</v>
      </c>
      <c r="BN41" s="105">
        <f t="shared" si="195"/>
        <v>0</v>
      </c>
      <c r="BO41" s="127">
        <f t="shared" si="195"/>
        <v>0</v>
      </c>
    </row>
    <row r="42" spans="2:67" ht="14.25" customHeight="1" x14ac:dyDescent="0.2">
      <c r="B42" s="136">
        <f>E42/SUM($E$41:$E$43)</f>
        <v>0.49413943768129492</v>
      </c>
      <c r="C42" s="137" t="s">
        <v>1</v>
      </c>
      <c r="D42" s="138" t="s">
        <v>101</v>
      </c>
      <c r="E42" s="168">
        <f>CORE!E535</f>
        <v>0.49413943768129515</v>
      </c>
      <c r="F42" s="168">
        <f>CORE!F535</f>
        <v>0.51943647116919378</v>
      </c>
      <c r="G42" s="168">
        <f>CORE!G535</f>
        <v>0.47224094493562929</v>
      </c>
      <c r="H42" s="168">
        <f>CORE!H535</f>
        <v>0.47577417722138782</v>
      </c>
      <c r="I42" s="168">
        <f>CORE!I535</f>
        <v>0.28160134097957912</v>
      </c>
      <c r="J42" s="168">
        <f>CORE!J535</f>
        <v>0.42962137276510914</v>
      </c>
      <c r="K42" s="168">
        <f>CORE!K535</f>
        <v>0.53454931996687816</v>
      </c>
      <c r="L42" s="168">
        <f>CORE!L535</f>
        <v>0.54709828895097168</v>
      </c>
      <c r="M42" s="168">
        <f>CORE!M535</f>
        <v>0.56970747027892032</v>
      </c>
      <c r="N42" s="168">
        <f>CORE!N535</f>
        <v>5.445283617314433E-2</v>
      </c>
      <c r="O42" s="168">
        <f>CORE!O535</f>
        <v>0</v>
      </c>
      <c r="P42" s="168">
        <f>CORE!P535</f>
        <v>0</v>
      </c>
      <c r="Q42" s="168">
        <f>CORE!Q535</f>
        <v>0.40645029862754639</v>
      </c>
      <c r="R42" s="168">
        <f>CORE!R535</f>
        <v>0</v>
      </c>
      <c r="S42" s="168">
        <f>CORE!S535</f>
        <v>0</v>
      </c>
      <c r="T42" s="168">
        <f>CORE!T535</f>
        <v>0</v>
      </c>
      <c r="U42" s="168">
        <f>CORE!U535</f>
        <v>0</v>
      </c>
      <c r="V42" s="168">
        <f>CORE!V535</f>
        <v>0</v>
      </c>
      <c r="W42" s="168">
        <f>CORE!W535</f>
        <v>0</v>
      </c>
      <c r="X42" s="168">
        <f>CORE!X535</f>
        <v>0</v>
      </c>
      <c r="Y42" s="169">
        <f>CORE!Y535</f>
        <v>0</v>
      </c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2"/>
      <c r="AQ42" s="33">
        <v>6.3697961258063609</v>
      </c>
      <c r="AR42" s="10">
        <f>AU42/SUM($AU41:$AU43)</f>
        <v>0.49413943768129498</v>
      </c>
      <c r="AS42" s="119" t="s">
        <v>1</v>
      </c>
      <c r="AT42" s="32" t="s">
        <v>101</v>
      </c>
      <c r="AU42" s="123">
        <f>IF((E41+E42+E43)=0,1,E42/(E41+E42+E43)*$AQ42)</f>
        <v>3.1475674757504462</v>
      </c>
      <c r="AV42" s="123">
        <f t="shared" ref="AV42:BO42" si="196">IF((F41+F42+F43)=0,0,F42/(F41+F42+F43)*$AQ42)</f>
        <v>3.3087044216560573</v>
      </c>
      <c r="AW42" s="123">
        <f t="shared" si="196"/>
        <v>3.0080785414981053</v>
      </c>
      <c r="AX42" s="123">
        <f t="shared" si="196"/>
        <v>3.2072697287225798</v>
      </c>
      <c r="AY42" s="123">
        <f t="shared" si="196"/>
        <v>2.1517483627217153</v>
      </c>
      <c r="AZ42" s="123">
        <f t="shared" si="196"/>
        <v>2.7366005558028021</v>
      </c>
      <c r="BA42" s="123">
        <f t="shared" si="196"/>
        <v>3.4049701873774447</v>
      </c>
      <c r="BB42" s="123">
        <f t="shared" si="196"/>
        <v>3.4849045613951879</v>
      </c>
      <c r="BC42" s="123">
        <f t="shared" si="196"/>
        <v>3.6289204370256085</v>
      </c>
      <c r="BD42" s="123">
        <f t="shared" si="196"/>
        <v>2.3610079546088305</v>
      </c>
      <c r="BE42" s="123">
        <f t="shared" si="196"/>
        <v>0</v>
      </c>
      <c r="BF42" s="123">
        <f t="shared" si="196"/>
        <v>0</v>
      </c>
      <c r="BG42" s="123">
        <f t="shared" si="196"/>
        <v>2.7399463893388045</v>
      </c>
      <c r="BH42" s="123">
        <f t="shared" si="196"/>
        <v>0</v>
      </c>
      <c r="BI42" s="123">
        <f t="shared" si="196"/>
        <v>0</v>
      </c>
      <c r="BJ42" s="123">
        <f t="shared" si="196"/>
        <v>0</v>
      </c>
      <c r="BK42" s="123">
        <f t="shared" si="196"/>
        <v>0</v>
      </c>
      <c r="BL42" s="123">
        <f t="shared" si="196"/>
        <v>0</v>
      </c>
      <c r="BM42" s="123">
        <f t="shared" si="196"/>
        <v>0</v>
      </c>
      <c r="BN42" s="123">
        <f t="shared" si="196"/>
        <v>0</v>
      </c>
      <c r="BO42" s="124">
        <f t="shared" si="196"/>
        <v>0</v>
      </c>
    </row>
    <row r="43" spans="2:67" ht="14.25" customHeight="1" thickBot="1" x14ac:dyDescent="0.25">
      <c r="B43" s="139">
        <f>E43/SUM($E$41:$E$43)</f>
        <v>8.2752492017199725E-3</v>
      </c>
      <c r="C43" s="140" t="s">
        <v>2</v>
      </c>
      <c r="D43" s="141"/>
      <c r="E43" s="170">
        <f>CORE!E536</f>
        <v>8.2752492017199759E-3</v>
      </c>
      <c r="F43" s="170">
        <f>CORE!F536</f>
        <v>6.1185850278688727E-4</v>
      </c>
      <c r="G43" s="170">
        <f>CORE!G536</f>
        <v>0</v>
      </c>
      <c r="H43" s="170">
        <f>CORE!H536</f>
        <v>5.3091765879782855E-3</v>
      </c>
      <c r="I43" s="170">
        <f>CORE!I536</f>
        <v>0</v>
      </c>
      <c r="J43" s="170">
        <f>CORE!J536</f>
        <v>1.781776607097681E-2</v>
      </c>
      <c r="K43" s="170">
        <f>CORE!K536</f>
        <v>2.5164821740802409E-2</v>
      </c>
      <c r="L43" s="170">
        <f>CORE!L536</f>
        <v>1.31658151780964E-3</v>
      </c>
      <c r="M43" s="170">
        <f>CORE!M536</f>
        <v>8.9883345762366753E-3</v>
      </c>
      <c r="N43" s="170">
        <f>CORE!N536</f>
        <v>0</v>
      </c>
      <c r="O43" s="170">
        <f>CORE!O536</f>
        <v>0</v>
      </c>
      <c r="P43" s="170">
        <f>CORE!P536</f>
        <v>0</v>
      </c>
      <c r="Q43" s="170">
        <f>CORE!Q536</f>
        <v>6.9062657735699763E-3</v>
      </c>
      <c r="R43" s="170">
        <f>CORE!R536</f>
        <v>0</v>
      </c>
      <c r="S43" s="170">
        <f>CORE!S536</f>
        <v>0</v>
      </c>
      <c r="T43" s="170">
        <f>CORE!T536</f>
        <v>0</v>
      </c>
      <c r="U43" s="170">
        <f>CORE!U536</f>
        <v>0</v>
      </c>
      <c r="V43" s="170">
        <f>CORE!V536</f>
        <v>0</v>
      </c>
      <c r="W43" s="170">
        <f>CORE!W536</f>
        <v>0</v>
      </c>
      <c r="X43" s="170">
        <f>CORE!X536</f>
        <v>0</v>
      </c>
      <c r="Y43" s="171">
        <f>CORE!Y536</f>
        <v>0</v>
      </c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2"/>
      <c r="AQ43" s="33">
        <v>6.3697961258063609</v>
      </c>
      <c r="AR43" s="11">
        <f>AU43/SUM($AU41:$AU43)</f>
        <v>8.2752492017199742E-3</v>
      </c>
      <c r="AS43" s="120" t="s">
        <v>2</v>
      </c>
      <c r="AT43" s="31"/>
      <c r="AU43" s="125">
        <f>IF((E41+E42+E43)=0,1,E43/(E41+E42+E43)*$AQ43)</f>
        <v>5.271165030519806E-2</v>
      </c>
      <c r="AV43" s="125">
        <f t="shared" ref="AV43:BO43" si="197">IF((F41+F42+F43)=0,0,F43/(F41+F42+F43)*$AQ43)</f>
        <v>3.8974139205935942E-3</v>
      </c>
      <c r="AW43" s="125">
        <f t="shared" si="197"/>
        <v>0</v>
      </c>
      <c r="AX43" s="125">
        <f t="shared" si="197"/>
        <v>3.5790007466382348E-2</v>
      </c>
      <c r="AY43" s="125">
        <f t="shared" si="197"/>
        <v>0</v>
      </c>
      <c r="AZ43" s="125">
        <f t="shared" si="197"/>
        <v>0.11349553728943208</v>
      </c>
      <c r="BA43" s="125">
        <f t="shared" si="197"/>
        <v>0.16029478403117084</v>
      </c>
      <c r="BB43" s="125">
        <f t="shared" si="197"/>
        <v>8.3863558514521014E-3</v>
      </c>
      <c r="BC43" s="125">
        <f t="shared" si="197"/>
        <v>5.725385876116372E-2</v>
      </c>
      <c r="BD43" s="125">
        <f t="shared" si="197"/>
        <v>0</v>
      </c>
      <c r="BE43" s="125">
        <f t="shared" si="197"/>
        <v>0</v>
      </c>
      <c r="BF43" s="125">
        <f t="shared" si="197"/>
        <v>0</v>
      </c>
      <c r="BG43" s="125">
        <f t="shared" si="197"/>
        <v>4.6556240785167347E-2</v>
      </c>
      <c r="BH43" s="125">
        <f t="shared" si="197"/>
        <v>0</v>
      </c>
      <c r="BI43" s="125">
        <f t="shared" si="197"/>
        <v>0</v>
      </c>
      <c r="BJ43" s="125">
        <f t="shared" si="197"/>
        <v>0</v>
      </c>
      <c r="BK43" s="125">
        <f t="shared" si="197"/>
        <v>0</v>
      </c>
      <c r="BL43" s="125">
        <f t="shared" si="197"/>
        <v>0</v>
      </c>
      <c r="BM43" s="125">
        <f t="shared" si="197"/>
        <v>0</v>
      </c>
      <c r="BN43" s="125">
        <f t="shared" si="197"/>
        <v>0</v>
      </c>
      <c r="BO43" s="126">
        <f t="shared" si="197"/>
        <v>0</v>
      </c>
    </row>
    <row r="44" spans="2:67" ht="14.25" customHeight="1" x14ac:dyDescent="0.2">
      <c r="B44" s="133">
        <f>E44/SUM($E$44:$E$46)</f>
        <v>0.52385138634540607</v>
      </c>
      <c r="C44" s="134" t="s">
        <v>0</v>
      </c>
      <c r="D44" s="135"/>
      <c r="E44" s="166">
        <f>CORE!E589</f>
        <v>0.52385138634540662</v>
      </c>
      <c r="F44" s="166">
        <f>CORE!F589</f>
        <v>0.61440784722493058</v>
      </c>
      <c r="G44" s="166">
        <f>CORE!G589</f>
        <v>0.54748456486692965</v>
      </c>
      <c r="H44" s="166">
        <f>CORE!H589</f>
        <v>0.59916045342027657</v>
      </c>
      <c r="I44" s="166">
        <f>CORE!I589</f>
        <v>0.41491513557896958</v>
      </c>
      <c r="J44" s="166">
        <f>CORE!J589</f>
        <v>0.50839485982077504</v>
      </c>
      <c r="K44" s="166">
        <f>CORE!K589</f>
        <v>0.5775264219860563</v>
      </c>
      <c r="L44" s="166">
        <f>CORE!L589</f>
        <v>0.58636737262552319</v>
      </c>
      <c r="M44" s="166">
        <f>CORE!M589</f>
        <v>0.45621689672246313</v>
      </c>
      <c r="N44" s="166">
        <f>CORE!N589</f>
        <v>0</v>
      </c>
      <c r="O44" s="166">
        <f>CORE!O589</f>
        <v>0</v>
      </c>
      <c r="P44" s="166">
        <f>CORE!P589</f>
        <v>0.20339270609688684</v>
      </c>
      <c r="Q44" s="166">
        <f>CORE!Q589</f>
        <v>0</v>
      </c>
      <c r="R44" s="166">
        <f>CORE!R589</f>
        <v>0</v>
      </c>
      <c r="S44" s="166">
        <f>CORE!S589</f>
        <v>0</v>
      </c>
      <c r="T44" s="166">
        <f>CORE!T589</f>
        <v>0</v>
      </c>
      <c r="U44" s="166">
        <f>CORE!U589</f>
        <v>0</v>
      </c>
      <c r="V44" s="166">
        <f>CORE!V589</f>
        <v>0</v>
      </c>
      <c r="W44" s="166">
        <f>CORE!W589</f>
        <v>0</v>
      </c>
      <c r="X44" s="166">
        <f>CORE!X589</f>
        <v>0</v>
      </c>
      <c r="Y44" s="167">
        <f>CORE!Y589</f>
        <v>0</v>
      </c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2"/>
      <c r="AQ44" s="33">
        <v>3.0680263881615986</v>
      </c>
      <c r="AR44" s="9">
        <f>AU44/SUM($AU44:$AU46)</f>
        <v>0.52385138634540618</v>
      </c>
      <c r="AS44" s="121" t="s">
        <v>0</v>
      </c>
      <c r="AT44" s="30"/>
      <c r="AU44" s="105">
        <f>IF((E44+E45+E46)=0,1,E44/(E44+E45+E46)*$AQ44)</f>
        <v>1.6071898767827424</v>
      </c>
      <c r="AV44" s="105">
        <f t="shared" ref="AV44:BO44" si="198">IF((F44+F45+F46)=0,0,F44/(F44+F45+F46)*$AQ44)</f>
        <v>1.8850194883796454</v>
      </c>
      <c r="AW44" s="105">
        <f t="shared" si="198"/>
        <v>1.6796970921229093</v>
      </c>
      <c r="AX44" s="105">
        <f t="shared" si="198"/>
        <v>1.8382400818362752</v>
      </c>
      <c r="AY44" s="105">
        <f t="shared" si="198"/>
        <v>1.2729705848039248</v>
      </c>
      <c r="AZ44" s="105">
        <f t="shared" si="198"/>
        <v>1.5597688455358534</v>
      </c>
      <c r="BA44" s="105">
        <f t="shared" si="198"/>
        <v>1.7718663025137695</v>
      </c>
      <c r="BB44" s="105">
        <f t="shared" si="198"/>
        <v>1.7989905723720885</v>
      </c>
      <c r="BC44" s="105">
        <f t="shared" si="198"/>
        <v>1.3996854778697101</v>
      </c>
      <c r="BD44" s="105">
        <f t="shared" si="198"/>
        <v>0</v>
      </c>
      <c r="BE44" s="105">
        <f t="shared" si="198"/>
        <v>0</v>
      </c>
      <c r="BF44" s="105">
        <f t="shared" si="198"/>
        <v>1.3148684520692564</v>
      </c>
      <c r="BG44" s="105">
        <f t="shared" si="198"/>
        <v>0</v>
      </c>
      <c r="BH44" s="105">
        <f t="shared" si="198"/>
        <v>0</v>
      </c>
      <c r="BI44" s="105">
        <f t="shared" si="198"/>
        <v>0</v>
      </c>
      <c r="BJ44" s="105">
        <f t="shared" si="198"/>
        <v>0</v>
      </c>
      <c r="BK44" s="105">
        <f t="shared" si="198"/>
        <v>0</v>
      </c>
      <c r="BL44" s="105">
        <f t="shared" si="198"/>
        <v>0</v>
      </c>
      <c r="BM44" s="105">
        <f t="shared" si="198"/>
        <v>0</v>
      </c>
      <c r="BN44" s="105">
        <f t="shared" si="198"/>
        <v>0</v>
      </c>
      <c r="BO44" s="127">
        <f t="shared" si="198"/>
        <v>0</v>
      </c>
    </row>
    <row r="45" spans="2:67" ht="14.25" customHeight="1" x14ac:dyDescent="0.2">
      <c r="B45" s="136">
        <f>E45/SUM($E$44:$E$46)</f>
        <v>0.46389349065256014</v>
      </c>
      <c r="C45" s="137" t="s">
        <v>1</v>
      </c>
      <c r="D45" s="138" t="s">
        <v>109</v>
      </c>
      <c r="E45" s="168">
        <f>CORE!E590</f>
        <v>0.46389349065256064</v>
      </c>
      <c r="F45" s="168">
        <f>CORE!F590</f>
        <v>0.37147287498750542</v>
      </c>
      <c r="G45" s="168">
        <f>CORE!G590</f>
        <v>0.44180715242336044</v>
      </c>
      <c r="H45" s="168">
        <f>CORE!H590</f>
        <v>0.39562579907054185</v>
      </c>
      <c r="I45" s="168">
        <f>CORE!I590</f>
        <v>0.58508486442103147</v>
      </c>
      <c r="J45" s="168">
        <f>CORE!J590</f>
        <v>0.47520357856907397</v>
      </c>
      <c r="K45" s="168">
        <f>CORE!K590</f>
        <v>0.42247357801394481</v>
      </c>
      <c r="L45" s="168">
        <f>CORE!L590</f>
        <v>0.41363262737447776</v>
      </c>
      <c r="M45" s="168">
        <f>CORE!M590</f>
        <v>0.50824566849176278</v>
      </c>
      <c r="N45" s="168">
        <f>CORE!N590</f>
        <v>0</v>
      </c>
      <c r="O45" s="168">
        <f>CORE!O590</f>
        <v>0</v>
      </c>
      <c r="P45" s="168">
        <f>CORE!P590</f>
        <v>0.27119027479584912</v>
      </c>
      <c r="Q45" s="168">
        <f>CORE!Q590</f>
        <v>0</v>
      </c>
      <c r="R45" s="168">
        <f>CORE!R590</f>
        <v>0</v>
      </c>
      <c r="S45" s="168">
        <f>CORE!S590</f>
        <v>0</v>
      </c>
      <c r="T45" s="168">
        <f>CORE!T590</f>
        <v>0</v>
      </c>
      <c r="U45" s="168">
        <f>CORE!U590</f>
        <v>0</v>
      </c>
      <c r="V45" s="168">
        <f>CORE!V590</f>
        <v>0</v>
      </c>
      <c r="W45" s="168">
        <f>CORE!W590</f>
        <v>0</v>
      </c>
      <c r="X45" s="168">
        <f>CORE!X590</f>
        <v>0</v>
      </c>
      <c r="Y45" s="169">
        <f>CORE!Y590</f>
        <v>0</v>
      </c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2"/>
      <c r="AQ45" s="33">
        <v>3.0680263881615986</v>
      </c>
      <c r="AR45" s="10">
        <f>AU45/SUM($AU44:$AU46)</f>
        <v>0.46389349065256019</v>
      </c>
      <c r="AS45" s="119" t="s">
        <v>1</v>
      </c>
      <c r="AT45" s="32" t="s">
        <v>109</v>
      </c>
      <c r="AU45" s="123">
        <f>IF((E44+E45+E46)=0,1,E45/(E44+E45+E46)*$AQ45)</f>
        <v>1.4232374706184503</v>
      </c>
      <c r="AV45" s="123">
        <f t="shared" ref="AV45:BO45" si="199">IF((F44+F45+F46)=0,0,F45/(F44+F45+F46)*$AQ45)</f>
        <v>1.1396885829479202</v>
      </c>
      <c r="AW45" s="123">
        <f t="shared" si="199"/>
        <v>1.3554760021134022</v>
      </c>
      <c r="AX45" s="123">
        <f t="shared" si="199"/>
        <v>1.2137903913859398</v>
      </c>
      <c r="AY45" s="123">
        <f t="shared" si="199"/>
        <v>1.7950558033576738</v>
      </c>
      <c r="AZ45" s="123">
        <f t="shared" si="199"/>
        <v>1.4579371187987411</v>
      </c>
      <c r="BA45" s="123">
        <f t="shared" si="199"/>
        <v>1.296160085647829</v>
      </c>
      <c r="BB45" s="123">
        <f t="shared" si="199"/>
        <v>1.2690358157895101</v>
      </c>
      <c r="BC45" s="123">
        <f t="shared" si="199"/>
        <v>1.5593111226015584</v>
      </c>
      <c r="BD45" s="123">
        <f t="shared" si="199"/>
        <v>0</v>
      </c>
      <c r="BE45" s="123">
        <f t="shared" si="199"/>
        <v>0</v>
      </c>
      <c r="BF45" s="123">
        <f t="shared" si="199"/>
        <v>1.7531579360923419</v>
      </c>
      <c r="BG45" s="123">
        <f t="shared" si="199"/>
        <v>0</v>
      </c>
      <c r="BH45" s="123">
        <f t="shared" si="199"/>
        <v>0</v>
      </c>
      <c r="BI45" s="123">
        <f t="shared" si="199"/>
        <v>0</v>
      </c>
      <c r="BJ45" s="123">
        <f t="shared" si="199"/>
        <v>0</v>
      </c>
      <c r="BK45" s="123">
        <f t="shared" si="199"/>
        <v>0</v>
      </c>
      <c r="BL45" s="123">
        <f t="shared" si="199"/>
        <v>0</v>
      </c>
      <c r="BM45" s="123">
        <f t="shared" si="199"/>
        <v>0</v>
      </c>
      <c r="BN45" s="123">
        <f t="shared" si="199"/>
        <v>0</v>
      </c>
      <c r="BO45" s="124">
        <f t="shared" si="199"/>
        <v>0</v>
      </c>
    </row>
    <row r="46" spans="2:67" ht="14.25" customHeight="1" thickBot="1" x14ac:dyDescent="0.25">
      <c r="B46" s="139">
        <f>E46/SUM($E$44:$E$46)</f>
        <v>1.2255123002033673E-2</v>
      </c>
      <c r="C46" s="140" t="s">
        <v>2</v>
      </c>
      <c r="D46" s="141"/>
      <c r="E46" s="170">
        <f>CORE!E591</f>
        <v>1.2255123002033687E-2</v>
      </c>
      <c r="F46" s="170">
        <f>CORE!F591</f>
        <v>1.4119277787564985E-2</v>
      </c>
      <c r="G46" s="170">
        <f>CORE!G591</f>
        <v>1.070828270971085E-2</v>
      </c>
      <c r="H46" s="170">
        <f>CORE!H591</f>
        <v>5.2137475091824613E-3</v>
      </c>
      <c r="I46" s="170">
        <f>CORE!I591</f>
        <v>0</v>
      </c>
      <c r="J46" s="170">
        <f>CORE!J591</f>
        <v>1.6401561610151931E-2</v>
      </c>
      <c r="K46" s="170">
        <f>CORE!K591</f>
        <v>0</v>
      </c>
      <c r="L46" s="170">
        <f>CORE!L591</f>
        <v>0</v>
      </c>
      <c r="M46" s="170">
        <f>CORE!M591</f>
        <v>3.5537434785775111E-2</v>
      </c>
      <c r="N46" s="170">
        <f>CORE!N591</f>
        <v>0</v>
      </c>
      <c r="O46" s="170">
        <f>CORE!O591</f>
        <v>0</v>
      </c>
      <c r="P46" s="170">
        <f>CORE!P591</f>
        <v>0</v>
      </c>
      <c r="Q46" s="170">
        <f>CORE!Q591</f>
        <v>0</v>
      </c>
      <c r="R46" s="170">
        <f>CORE!R591</f>
        <v>0</v>
      </c>
      <c r="S46" s="170">
        <f>CORE!S591</f>
        <v>0</v>
      </c>
      <c r="T46" s="170">
        <f>CORE!T591</f>
        <v>0</v>
      </c>
      <c r="U46" s="170">
        <f>CORE!U591</f>
        <v>0</v>
      </c>
      <c r="V46" s="170">
        <f>CORE!V591</f>
        <v>0</v>
      </c>
      <c r="W46" s="170">
        <f>CORE!W591</f>
        <v>0</v>
      </c>
      <c r="X46" s="170">
        <f>CORE!X591</f>
        <v>0</v>
      </c>
      <c r="Y46" s="171">
        <f>CORE!Y591</f>
        <v>0</v>
      </c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2"/>
      <c r="AQ46" s="33">
        <v>3.0680263881615986</v>
      </c>
      <c r="AR46" s="11">
        <f>AU46/SUM($AU44:$AU46)</f>
        <v>1.2255123002033675E-2</v>
      </c>
      <c r="AS46" s="120" t="s">
        <v>2</v>
      </c>
      <c r="AT46" s="31"/>
      <c r="AU46" s="125">
        <f>IF((E44+E45+E46)=0,1,E46/(E44+E45+E46)*$AQ46)</f>
        <v>3.7599040760405496E-2</v>
      </c>
      <c r="AV46" s="125">
        <f t="shared" ref="AV46:BO46" si="200">IF((F44+F45+F46)=0,0,F46/(F44+F45+F46)*$AQ46)</f>
        <v>4.3318316834033248E-2</v>
      </c>
      <c r="AW46" s="125">
        <f t="shared" si="200"/>
        <v>3.285329392528745E-2</v>
      </c>
      <c r="AX46" s="125">
        <f t="shared" si="200"/>
        <v>1.5995914939383585E-2</v>
      </c>
      <c r="AY46" s="125">
        <f t="shared" si="200"/>
        <v>0</v>
      </c>
      <c r="AZ46" s="125">
        <f t="shared" si="200"/>
        <v>5.0320423827004322E-2</v>
      </c>
      <c r="BA46" s="125">
        <f t="shared" si="200"/>
        <v>0</v>
      </c>
      <c r="BB46" s="125">
        <f t="shared" si="200"/>
        <v>0</v>
      </c>
      <c r="BC46" s="125">
        <f t="shared" si="200"/>
        <v>0.10902978769032984</v>
      </c>
      <c r="BD46" s="125">
        <f t="shared" si="200"/>
        <v>0</v>
      </c>
      <c r="BE46" s="125">
        <f t="shared" si="200"/>
        <v>0</v>
      </c>
      <c r="BF46" s="125">
        <f t="shared" si="200"/>
        <v>0</v>
      </c>
      <c r="BG46" s="125">
        <f t="shared" si="200"/>
        <v>0</v>
      </c>
      <c r="BH46" s="125">
        <f t="shared" si="200"/>
        <v>0</v>
      </c>
      <c r="BI46" s="125">
        <f t="shared" si="200"/>
        <v>0</v>
      </c>
      <c r="BJ46" s="125">
        <f t="shared" si="200"/>
        <v>0</v>
      </c>
      <c r="BK46" s="125">
        <f t="shared" si="200"/>
        <v>0</v>
      </c>
      <c r="BL46" s="125">
        <f t="shared" si="200"/>
        <v>0</v>
      </c>
      <c r="BM46" s="125">
        <f t="shared" si="200"/>
        <v>0</v>
      </c>
      <c r="BN46" s="125">
        <f t="shared" si="200"/>
        <v>0</v>
      </c>
      <c r="BO46" s="126">
        <f t="shared" si="200"/>
        <v>0</v>
      </c>
    </row>
    <row r="47" spans="2:67" ht="14.25" customHeight="1" x14ac:dyDescent="0.2">
      <c r="B47" s="133">
        <f>E47/SUM($E$47:$E$49)</f>
        <v>0.40299658575487296</v>
      </c>
      <c r="C47" s="134" t="s">
        <v>0</v>
      </c>
      <c r="D47" s="135"/>
      <c r="E47" s="166">
        <f>CORE!E620</f>
        <v>0.37400242671409772</v>
      </c>
      <c r="F47" s="166">
        <f>CORE!F620</f>
        <v>0.31387899140639458</v>
      </c>
      <c r="G47" s="166">
        <f>CORE!G620</f>
        <v>0.2392800818225885</v>
      </c>
      <c r="H47" s="166">
        <f>CORE!H620</f>
        <v>0.26846495826671291</v>
      </c>
      <c r="I47" s="166">
        <f>CORE!I620</f>
        <v>0.23910686490631927</v>
      </c>
      <c r="J47" s="166">
        <f>CORE!J620</f>
        <v>0.25234592239754439</v>
      </c>
      <c r="K47" s="166">
        <f>CORE!K620</f>
        <v>0.19686224491228232</v>
      </c>
      <c r="L47" s="166">
        <f>CORE!L620</f>
        <v>0.39814105728615545</v>
      </c>
      <c r="M47" s="166">
        <f>CORE!M620</f>
        <v>0.46543939921619049</v>
      </c>
      <c r="N47" s="166">
        <f>CORE!N620</f>
        <v>0.34077763309711556</v>
      </c>
      <c r="O47" s="166">
        <f>CORE!O620</f>
        <v>0.21267097783410946</v>
      </c>
      <c r="P47" s="166">
        <f>CORE!P620</f>
        <v>0.23850137901860113</v>
      </c>
      <c r="Q47" s="166">
        <f>CORE!Q620</f>
        <v>0</v>
      </c>
      <c r="R47" s="166">
        <f>CORE!R620</f>
        <v>0.11388628099158871</v>
      </c>
      <c r="S47" s="166">
        <f>CORE!S620</f>
        <v>0</v>
      </c>
      <c r="T47" s="166">
        <f>CORE!T620</f>
        <v>0</v>
      </c>
      <c r="U47" s="166">
        <f>CORE!U620</f>
        <v>0</v>
      </c>
      <c r="V47" s="166">
        <f>CORE!V620</f>
        <v>0</v>
      </c>
      <c r="W47" s="166">
        <f>CORE!W620</f>
        <v>0</v>
      </c>
      <c r="X47" s="166">
        <f>CORE!X620</f>
        <v>0</v>
      </c>
      <c r="Y47" s="167">
        <f>CORE!Y620</f>
        <v>0</v>
      </c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2"/>
      <c r="AQ47" s="33">
        <v>10.374380792859569</v>
      </c>
      <c r="AR47" s="9">
        <f>AU47/SUM($AU47:$AU49)</f>
        <v>0.4029965857548729</v>
      </c>
      <c r="AS47" s="121" t="s">
        <v>0</v>
      </c>
      <c r="AT47" s="30"/>
      <c r="AU47" s="105">
        <f>IF((E47+E48+E49)=0,1,E47/(E47+E48+E49)*$AQ47)</f>
        <v>4.1808400388433382</v>
      </c>
      <c r="AV47" s="105">
        <f t="shared" ref="AV47:BO47" si="201">IF((F47+F48+F49)=0,0,F47/(F47+F48+F49)*$AQ47)</f>
        <v>3.9006583402812978</v>
      </c>
      <c r="AW47" s="105">
        <f t="shared" si="201"/>
        <v>3.2576753823766316</v>
      </c>
      <c r="AX47" s="105">
        <f t="shared" si="201"/>
        <v>3.8286218596995525</v>
      </c>
      <c r="AY47" s="105">
        <f t="shared" si="201"/>
        <v>3.134120406721252</v>
      </c>
      <c r="AZ47" s="105">
        <f t="shared" si="201"/>
        <v>3.7862092495676332</v>
      </c>
      <c r="BA47" s="105">
        <f t="shared" si="201"/>
        <v>3.1749873265273898</v>
      </c>
      <c r="BB47" s="105">
        <f t="shared" si="201"/>
        <v>4.4506772002360195</v>
      </c>
      <c r="BC47" s="105">
        <f t="shared" si="201"/>
        <v>5.2029814164435404</v>
      </c>
      <c r="BD47" s="105">
        <f t="shared" si="201"/>
        <v>4.2758267791784208</v>
      </c>
      <c r="BE47" s="105">
        <f t="shared" si="201"/>
        <v>5.4700412754310168</v>
      </c>
      <c r="BF47" s="105">
        <f t="shared" si="201"/>
        <v>4.0347096374191214</v>
      </c>
      <c r="BG47" s="105">
        <f t="shared" si="201"/>
        <v>0</v>
      </c>
      <c r="BH47" s="105">
        <f t="shared" si="201"/>
        <v>3.0095741789466186</v>
      </c>
      <c r="BI47" s="105">
        <f t="shared" si="201"/>
        <v>0</v>
      </c>
      <c r="BJ47" s="105">
        <f t="shared" si="201"/>
        <v>0</v>
      </c>
      <c r="BK47" s="105">
        <f t="shared" si="201"/>
        <v>0</v>
      </c>
      <c r="BL47" s="105">
        <f t="shared" si="201"/>
        <v>0</v>
      </c>
      <c r="BM47" s="105">
        <f t="shared" si="201"/>
        <v>0</v>
      </c>
      <c r="BN47" s="105">
        <f t="shared" si="201"/>
        <v>0</v>
      </c>
      <c r="BO47" s="127">
        <f t="shared" si="201"/>
        <v>0</v>
      </c>
    </row>
    <row r="48" spans="2:67" ht="14.25" customHeight="1" x14ac:dyDescent="0.2">
      <c r="B48" s="136">
        <f>E48/SUM($E$47:$E$49)</f>
        <v>0.57534752137354439</v>
      </c>
      <c r="C48" s="137" t="s">
        <v>1</v>
      </c>
      <c r="D48" s="138" t="s">
        <v>39</v>
      </c>
      <c r="E48" s="168">
        <f>CORE!E621</f>
        <v>0.53395333063326056</v>
      </c>
      <c r="F48" s="168">
        <f>CORE!F621</f>
        <v>0.49505512854300893</v>
      </c>
      <c r="G48" s="168">
        <f>CORE!G621</f>
        <v>0.52174817967927012</v>
      </c>
      <c r="H48" s="168">
        <f>CORE!H621</f>
        <v>0.44759437543608005</v>
      </c>
      <c r="I48" s="168">
        <f>CORE!I621</f>
        <v>0.5285218364480665</v>
      </c>
      <c r="J48" s="168">
        <f>CORE!J621</f>
        <v>0.41333794737584489</v>
      </c>
      <c r="K48" s="168">
        <f>CORE!K621</f>
        <v>0.42876998453252246</v>
      </c>
      <c r="L48" s="168">
        <f>CORE!L621</f>
        <v>0.5156220687378853</v>
      </c>
      <c r="M48" s="168">
        <f>CORE!M621</f>
        <v>0.45176780144523249</v>
      </c>
      <c r="N48" s="168">
        <f>CORE!N621</f>
        <v>0.46615317998731393</v>
      </c>
      <c r="O48" s="168">
        <f>CORE!O621</f>
        <v>0.19067693062696495</v>
      </c>
      <c r="P48" s="168">
        <f>CORE!P621</f>
        <v>0.37318812392719719</v>
      </c>
      <c r="Q48" s="168">
        <f>CORE!Q621</f>
        <v>0</v>
      </c>
      <c r="R48" s="168">
        <f>CORE!R621</f>
        <v>0.27609788244029643</v>
      </c>
      <c r="S48" s="168">
        <f>CORE!S621</f>
        <v>0</v>
      </c>
      <c r="T48" s="168">
        <f>CORE!T621</f>
        <v>0</v>
      </c>
      <c r="U48" s="168">
        <f>CORE!U621</f>
        <v>0</v>
      </c>
      <c r="V48" s="168">
        <f>CORE!V621</f>
        <v>0</v>
      </c>
      <c r="W48" s="168">
        <f>CORE!W621</f>
        <v>0</v>
      </c>
      <c r="X48" s="168">
        <f>CORE!X621</f>
        <v>0</v>
      </c>
      <c r="Y48" s="169">
        <f>CORE!Y621</f>
        <v>0</v>
      </c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2"/>
      <c r="AQ48" s="33">
        <v>10.374380792859569</v>
      </c>
      <c r="AR48" s="10">
        <f>AU48/SUM($AU47:$AU49)</f>
        <v>0.57534752137354428</v>
      </c>
      <c r="AS48" s="119" t="s">
        <v>1</v>
      </c>
      <c r="AT48" s="8" t="s">
        <v>39</v>
      </c>
      <c r="AU48" s="123">
        <f>IF((E47+E48+E49)=0,1,E48/(E47+E48+E49)*$AQ48)</f>
        <v>5.9688742749570594</v>
      </c>
      <c r="AV48" s="123">
        <f t="shared" ref="AV48:BO48" si="202">IF((F47+F48+F49)=0,0,F48/(F47+F48+F49)*$AQ48)</f>
        <v>6.152182748510568</v>
      </c>
      <c r="AW48" s="123">
        <f t="shared" si="202"/>
        <v>7.1033334149442107</v>
      </c>
      <c r="AX48" s="123">
        <f t="shared" si="202"/>
        <v>6.3832152290454935</v>
      </c>
      <c r="AY48" s="123">
        <f t="shared" si="202"/>
        <v>6.927660038780842</v>
      </c>
      <c r="AZ48" s="123">
        <f t="shared" si="202"/>
        <v>6.2017406292234689</v>
      </c>
      <c r="BA48" s="123">
        <f t="shared" si="202"/>
        <v>6.9151871527863964</v>
      </c>
      <c r="BB48" s="123">
        <f t="shared" si="202"/>
        <v>5.7639556214390826</v>
      </c>
      <c r="BC48" s="123">
        <f t="shared" si="202"/>
        <v>5.0501514900230973</v>
      </c>
      <c r="BD48" s="123">
        <f t="shared" si="202"/>
        <v>5.8489468104877389</v>
      </c>
      <c r="BE48" s="123">
        <f t="shared" si="202"/>
        <v>4.9043395174285527</v>
      </c>
      <c r="BF48" s="123">
        <f t="shared" si="202"/>
        <v>6.3131950279498845</v>
      </c>
      <c r="BG48" s="123">
        <f t="shared" si="202"/>
        <v>0</v>
      </c>
      <c r="BH48" s="123">
        <f t="shared" si="202"/>
        <v>7.2961997759460209</v>
      </c>
      <c r="BI48" s="123">
        <f t="shared" si="202"/>
        <v>0</v>
      </c>
      <c r="BJ48" s="123">
        <f t="shared" si="202"/>
        <v>0</v>
      </c>
      <c r="BK48" s="123">
        <f t="shared" si="202"/>
        <v>0</v>
      </c>
      <c r="BL48" s="123">
        <f t="shared" si="202"/>
        <v>0</v>
      </c>
      <c r="BM48" s="123">
        <f t="shared" si="202"/>
        <v>0</v>
      </c>
      <c r="BN48" s="123">
        <f t="shared" si="202"/>
        <v>0</v>
      </c>
      <c r="BO48" s="124">
        <f t="shared" si="202"/>
        <v>0</v>
      </c>
    </row>
    <row r="49" spans="2:67" ht="14.25" customHeight="1" thickBot="1" x14ac:dyDescent="0.25">
      <c r="B49" s="139">
        <f>E49/SUM($E$47:$E$49)</f>
        <v>2.1655892871582733E-2</v>
      </c>
      <c r="C49" s="140" t="s">
        <v>2</v>
      </c>
      <c r="D49" s="141"/>
      <c r="E49" s="170">
        <f>CORE!E622</f>
        <v>2.0097829046023218E-2</v>
      </c>
      <c r="F49" s="170">
        <f>CORE!F622</f>
        <v>2.5873724178212123E-2</v>
      </c>
      <c r="G49" s="170">
        <f>CORE!G622</f>
        <v>9.8218877299656492E-4</v>
      </c>
      <c r="H49" s="170">
        <f>CORE!H622</f>
        <v>1.1397649164821595E-2</v>
      </c>
      <c r="I49" s="170">
        <f>CORE!I622</f>
        <v>2.3848761159583596E-2</v>
      </c>
      <c r="J49" s="170">
        <f>CORE!J622</f>
        <v>2.5755117856908979E-2</v>
      </c>
      <c r="K49" s="170">
        <f>CORE!K622</f>
        <v>1.7621957869060505E-2</v>
      </c>
      <c r="L49" s="170">
        <f>CORE!L622</f>
        <v>1.4290460369340899E-2</v>
      </c>
      <c r="M49" s="170">
        <f>CORE!M622</f>
        <v>1.0846385731958579E-2</v>
      </c>
      <c r="N49" s="170">
        <f>CORE!N622</f>
        <v>1.9893357776431017E-2</v>
      </c>
      <c r="O49" s="170">
        <f>CORE!O622</f>
        <v>0</v>
      </c>
      <c r="P49" s="170">
        <f>CORE!P622</f>
        <v>1.5650674980445158E-3</v>
      </c>
      <c r="Q49" s="170">
        <f>CORE!Q622</f>
        <v>0</v>
      </c>
      <c r="R49" s="170">
        <f>CORE!R622</f>
        <v>2.5961737980423824E-3</v>
      </c>
      <c r="S49" s="170">
        <f>CORE!S622</f>
        <v>0</v>
      </c>
      <c r="T49" s="170">
        <f>CORE!T622</f>
        <v>0</v>
      </c>
      <c r="U49" s="170">
        <f>CORE!U622</f>
        <v>0</v>
      </c>
      <c r="V49" s="170">
        <f>CORE!V622</f>
        <v>0</v>
      </c>
      <c r="W49" s="170">
        <f>CORE!W622</f>
        <v>0</v>
      </c>
      <c r="X49" s="170">
        <f>CORE!X622</f>
        <v>0</v>
      </c>
      <c r="Y49" s="171">
        <f>CORE!Y622</f>
        <v>0</v>
      </c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2"/>
      <c r="AQ49" s="33">
        <v>10.374380792859569</v>
      </c>
      <c r="AR49" s="11">
        <f>AU49/SUM($AU47:$AU49)</f>
        <v>2.1655892871582729E-2</v>
      </c>
      <c r="AS49" s="120" t="s">
        <v>2</v>
      </c>
      <c r="AT49" s="31"/>
      <c r="AU49" s="125">
        <f>IF((E47+E48+E49)=0,1,E49/(E47+E48+E49)*$AQ49)</f>
        <v>0.22466647905917234</v>
      </c>
      <c r="AV49" s="125">
        <f t="shared" ref="AV49:BO49" si="203">IF((F47+F48+F49)=0,0,F49/(F47+F48+F49)*$AQ49)</f>
        <v>0.32153970406770227</v>
      </c>
      <c r="AW49" s="125">
        <f t="shared" si="203"/>
        <v>1.3371995538725888E-2</v>
      </c>
      <c r="AX49" s="125">
        <f t="shared" si="203"/>
        <v>0.16254370411452287</v>
      </c>
      <c r="AY49" s="125">
        <f t="shared" si="203"/>
        <v>0.31260034735747455</v>
      </c>
      <c r="AZ49" s="125">
        <f t="shared" si="203"/>
        <v>0.38643091406846614</v>
      </c>
      <c r="BA49" s="125">
        <f t="shared" si="203"/>
        <v>0.28420631354578235</v>
      </c>
      <c r="BB49" s="125">
        <f t="shared" si="203"/>
        <v>0.1597479711844669</v>
      </c>
      <c r="BC49" s="125">
        <f t="shared" si="203"/>
        <v>0.12124788639293127</v>
      </c>
      <c r="BD49" s="125">
        <f t="shared" si="203"/>
        <v>0.24960720319340993</v>
      </c>
      <c r="BE49" s="125">
        <f t="shared" si="203"/>
        <v>0</v>
      </c>
      <c r="BF49" s="125">
        <f t="shared" si="203"/>
        <v>2.6476127490563283E-2</v>
      </c>
      <c r="BG49" s="125">
        <f t="shared" si="203"/>
        <v>0</v>
      </c>
      <c r="BH49" s="125">
        <f t="shared" si="203"/>
        <v>6.8606837966929471E-2</v>
      </c>
      <c r="BI49" s="125">
        <f t="shared" si="203"/>
        <v>0</v>
      </c>
      <c r="BJ49" s="125">
        <f t="shared" si="203"/>
        <v>0</v>
      </c>
      <c r="BK49" s="125">
        <f t="shared" si="203"/>
        <v>0</v>
      </c>
      <c r="BL49" s="125">
        <f t="shared" si="203"/>
        <v>0</v>
      </c>
      <c r="BM49" s="125">
        <f t="shared" si="203"/>
        <v>0</v>
      </c>
      <c r="BN49" s="125">
        <f t="shared" si="203"/>
        <v>0</v>
      </c>
      <c r="BO49" s="126">
        <f t="shared" si="203"/>
        <v>0</v>
      </c>
    </row>
    <row r="50" spans="2:67" ht="14.25" customHeight="1" x14ac:dyDescent="0.2">
      <c r="B50" s="133">
        <f>E50/SUM($E$50:$E$52)</f>
        <v>0.40727675755071424</v>
      </c>
      <c r="C50" s="134" t="s">
        <v>0</v>
      </c>
      <c r="D50" s="135"/>
      <c r="E50" s="166">
        <f>CORE!E723</f>
        <v>0.40727675755071419</v>
      </c>
      <c r="F50" s="166">
        <f>CORE!F723</f>
        <v>0.41154419905446865</v>
      </c>
      <c r="G50" s="166">
        <f>CORE!G723</f>
        <v>0.27716265826479042</v>
      </c>
      <c r="H50" s="166">
        <f>CORE!H723</f>
        <v>0.37806197939090996</v>
      </c>
      <c r="I50" s="166">
        <f>CORE!I723</f>
        <v>0.27029598569203128</v>
      </c>
      <c r="J50" s="166">
        <f>CORE!J723</f>
        <v>0.43179190472526657</v>
      </c>
      <c r="K50" s="166">
        <f>CORE!K723</f>
        <v>0.29807706403183715</v>
      </c>
      <c r="L50" s="166">
        <f>CORE!L723</f>
        <v>0.45304703802246227</v>
      </c>
      <c r="M50" s="166">
        <f>CORE!M723</f>
        <v>0.41244960463425445</v>
      </c>
      <c r="N50" s="166">
        <f>CORE!N723</f>
        <v>0.61166654197652937</v>
      </c>
      <c r="O50" s="166">
        <f>CORE!O723</f>
        <v>0</v>
      </c>
      <c r="P50" s="166">
        <f>CORE!P723</f>
        <v>0</v>
      </c>
      <c r="Q50" s="166">
        <f>CORE!Q723</f>
        <v>0.38210434410401339</v>
      </c>
      <c r="R50" s="166">
        <f>CORE!R723</f>
        <v>0</v>
      </c>
      <c r="S50" s="166">
        <f>CORE!S723</f>
        <v>0</v>
      </c>
      <c r="T50" s="166">
        <f>CORE!T723</f>
        <v>0</v>
      </c>
      <c r="U50" s="166">
        <f>CORE!U723</f>
        <v>0</v>
      </c>
      <c r="V50" s="166">
        <f>CORE!V723</f>
        <v>0</v>
      </c>
      <c r="W50" s="166">
        <f>CORE!W723</f>
        <v>0</v>
      </c>
      <c r="X50" s="166">
        <f>CORE!X723</f>
        <v>0</v>
      </c>
      <c r="Y50" s="167">
        <f>CORE!Y723</f>
        <v>0</v>
      </c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2"/>
      <c r="AQ50" s="33">
        <v>3.1648955887869992</v>
      </c>
      <c r="AR50" s="9">
        <f>AU50/SUM($AU50:$AU52)</f>
        <v>0.40727675755071424</v>
      </c>
      <c r="AS50" s="121" t="s">
        <v>0</v>
      </c>
      <c r="AT50" s="30"/>
      <c r="AU50" s="105">
        <f>IF((E50+E51+E52)=0,1,E50/(E50+E51+E52)*$AQ50)</f>
        <v>1.2889884133877276</v>
      </c>
      <c r="AV50" s="105">
        <f t="shared" ref="AV50:BO50" si="204">IF((F50+F51+F52)=0,0,F50/(F50+F51+F52)*$AQ50)</f>
        <v>1.3024944201783668</v>
      </c>
      <c r="AW50" s="105">
        <f t="shared" si="204"/>
        <v>0.87719087451871391</v>
      </c>
      <c r="AX50" s="105">
        <f t="shared" si="204"/>
        <v>1.1965266908623724</v>
      </c>
      <c r="AY50" s="105">
        <f t="shared" si="204"/>
        <v>0.85545857278354387</v>
      </c>
      <c r="AZ50" s="105">
        <f t="shared" si="204"/>
        <v>1.3665762945389328</v>
      </c>
      <c r="BA50" s="105">
        <f t="shared" si="204"/>
        <v>0.94338278507294149</v>
      </c>
      <c r="BB50" s="105">
        <f t="shared" si="204"/>
        <v>1.4338465721503069</v>
      </c>
      <c r="BC50" s="105">
        <f t="shared" si="204"/>
        <v>1.3053599343038942</v>
      </c>
      <c r="BD50" s="105">
        <f t="shared" si="204"/>
        <v>1.9358607405101156</v>
      </c>
      <c r="BE50" s="105">
        <f t="shared" si="204"/>
        <v>0</v>
      </c>
      <c r="BF50" s="105">
        <f t="shared" si="204"/>
        <v>0</v>
      </c>
      <c r="BG50" s="105">
        <f t="shared" si="204"/>
        <v>1.3470717012430085</v>
      </c>
      <c r="BH50" s="105">
        <f t="shared" si="204"/>
        <v>0</v>
      </c>
      <c r="BI50" s="105">
        <f t="shared" si="204"/>
        <v>0</v>
      </c>
      <c r="BJ50" s="105">
        <f t="shared" si="204"/>
        <v>0</v>
      </c>
      <c r="BK50" s="105">
        <f t="shared" si="204"/>
        <v>0</v>
      </c>
      <c r="BL50" s="105">
        <f t="shared" si="204"/>
        <v>0</v>
      </c>
      <c r="BM50" s="105">
        <f t="shared" si="204"/>
        <v>0</v>
      </c>
      <c r="BN50" s="105">
        <f t="shared" si="204"/>
        <v>0</v>
      </c>
      <c r="BO50" s="127">
        <f t="shared" si="204"/>
        <v>0</v>
      </c>
    </row>
    <row r="51" spans="2:67" ht="14.25" customHeight="1" x14ac:dyDescent="0.2">
      <c r="B51" s="136">
        <f>E51/SUM($E$50:$E$52)</f>
        <v>0.585877494012219</v>
      </c>
      <c r="C51" s="137" t="s">
        <v>1</v>
      </c>
      <c r="D51" s="138" t="s">
        <v>125</v>
      </c>
      <c r="E51" s="168">
        <f>CORE!E724</f>
        <v>0.58587749401221889</v>
      </c>
      <c r="F51" s="168">
        <f>CORE!F724</f>
        <v>0.58334280851889342</v>
      </c>
      <c r="G51" s="168">
        <f>CORE!G724</f>
        <v>0.72028084552189064</v>
      </c>
      <c r="H51" s="168">
        <f>CORE!H724</f>
        <v>0.62193802060908998</v>
      </c>
      <c r="I51" s="168">
        <f>CORE!I724</f>
        <v>0.72714751809464984</v>
      </c>
      <c r="J51" s="168">
        <f>CORE!J724</f>
        <v>0.55054815940585355</v>
      </c>
      <c r="K51" s="168">
        <f>CORE!K724</f>
        <v>0.67361100931033979</v>
      </c>
      <c r="L51" s="168">
        <f>CORE!L724</f>
        <v>0.54695296197753762</v>
      </c>
      <c r="M51" s="168">
        <f>CORE!M724</f>
        <v>0.58755039536574538</v>
      </c>
      <c r="N51" s="168">
        <f>CORE!N724</f>
        <v>0.38833345802347058</v>
      </c>
      <c r="O51" s="168">
        <f>CORE!O724</f>
        <v>0</v>
      </c>
      <c r="P51" s="168">
        <f>CORE!P724</f>
        <v>0</v>
      </c>
      <c r="Q51" s="168">
        <f>CORE!Q724</f>
        <v>0.51563580736323444</v>
      </c>
      <c r="R51" s="168">
        <f>CORE!R724</f>
        <v>0</v>
      </c>
      <c r="S51" s="168">
        <f>CORE!S724</f>
        <v>0</v>
      </c>
      <c r="T51" s="168">
        <f>CORE!T724</f>
        <v>0</v>
      </c>
      <c r="U51" s="168">
        <f>CORE!U724</f>
        <v>0</v>
      </c>
      <c r="V51" s="168">
        <f>CORE!V724</f>
        <v>0</v>
      </c>
      <c r="W51" s="168">
        <f>CORE!W724</f>
        <v>0</v>
      </c>
      <c r="X51" s="168">
        <f>CORE!X724</f>
        <v>0</v>
      </c>
      <c r="Y51" s="169">
        <f>CORE!Y724</f>
        <v>0</v>
      </c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2"/>
      <c r="AQ51" s="33">
        <v>3.1648955887869992</v>
      </c>
      <c r="AR51" s="10">
        <f>AU51/SUM($AU50:$AU52)</f>
        <v>0.585877494012219</v>
      </c>
      <c r="AS51" s="119" t="s">
        <v>1</v>
      </c>
      <c r="AT51" s="32" t="s">
        <v>125</v>
      </c>
      <c r="AU51" s="123">
        <f>IF((E50+E51+E52)=0,1,E51/(E50+E51+E52)*$AQ51)</f>
        <v>1.8542410963688534</v>
      </c>
      <c r="AV51" s="123">
        <f t="shared" ref="AV51:BO51" si="205">IF((F50+F51+F52)=0,0,F51/(F50+F51+F52)*$AQ51)</f>
        <v>1.8462190814320656</v>
      </c>
      <c r="AW51" s="123">
        <f t="shared" si="205"/>
        <v>2.2796136706800021</v>
      </c>
      <c r="AX51" s="123">
        <f t="shared" si="205"/>
        <v>1.9683688979246268</v>
      </c>
      <c r="AY51" s="123">
        <f t="shared" si="205"/>
        <v>2.3013459724151724</v>
      </c>
      <c r="AZ51" s="123">
        <f t="shared" si="205"/>
        <v>1.742427441118388</v>
      </c>
      <c r="BA51" s="123">
        <f t="shared" si="205"/>
        <v>2.131908511924653</v>
      </c>
      <c r="BB51" s="123">
        <f t="shared" si="205"/>
        <v>1.7310490166366925</v>
      </c>
      <c r="BC51" s="123">
        <f t="shared" si="205"/>
        <v>1.8595356544831052</v>
      </c>
      <c r="BD51" s="123">
        <f t="shared" si="205"/>
        <v>1.2290348482768834</v>
      </c>
      <c r="BE51" s="123">
        <f t="shared" si="205"/>
        <v>0</v>
      </c>
      <c r="BF51" s="123">
        <f t="shared" si="205"/>
        <v>0</v>
      </c>
      <c r="BG51" s="123">
        <f t="shared" si="205"/>
        <v>1.8178238875439909</v>
      </c>
      <c r="BH51" s="123">
        <f t="shared" si="205"/>
        <v>0</v>
      </c>
      <c r="BI51" s="123">
        <f t="shared" si="205"/>
        <v>0</v>
      </c>
      <c r="BJ51" s="123">
        <f t="shared" si="205"/>
        <v>0</v>
      </c>
      <c r="BK51" s="123">
        <f t="shared" si="205"/>
        <v>0</v>
      </c>
      <c r="BL51" s="123">
        <f t="shared" si="205"/>
        <v>0</v>
      </c>
      <c r="BM51" s="123">
        <f t="shared" si="205"/>
        <v>0</v>
      </c>
      <c r="BN51" s="123">
        <f t="shared" si="205"/>
        <v>0</v>
      </c>
      <c r="BO51" s="124">
        <f t="shared" si="205"/>
        <v>0</v>
      </c>
    </row>
    <row r="52" spans="2:67" ht="14.25" customHeight="1" thickBot="1" x14ac:dyDescent="0.25">
      <c r="B52" s="139">
        <f>E52/SUM($E$50:$E$52)</f>
        <v>6.8457484370668649E-3</v>
      </c>
      <c r="C52" s="140" t="s">
        <v>2</v>
      </c>
      <c r="D52" s="141"/>
      <c r="E52" s="170">
        <f>CORE!E725</f>
        <v>6.8457484370668641E-3</v>
      </c>
      <c r="F52" s="170">
        <f>CORE!F725</f>
        <v>5.1129924266375996E-3</v>
      </c>
      <c r="G52" s="170">
        <f>CORE!G725</f>
        <v>2.5564962133187998E-3</v>
      </c>
      <c r="H52" s="170">
        <f>CORE!H725</f>
        <v>0</v>
      </c>
      <c r="I52" s="170">
        <f>CORE!I725</f>
        <v>2.5564962133187998E-3</v>
      </c>
      <c r="J52" s="170">
        <f>CORE!J725</f>
        <v>1.7659935868879619E-2</v>
      </c>
      <c r="K52" s="170">
        <f>CORE!K725</f>
        <v>2.8311926657823002E-2</v>
      </c>
      <c r="L52" s="170">
        <f>CORE!L725</f>
        <v>0</v>
      </c>
      <c r="M52" s="170">
        <f>CORE!M725</f>
        <v>0</v>
      </c>
      <c r="N52" s="170">
        <f>CORE!N725</f>
        <v>0</v>
      </c>
      <c r="O52" s="170">
        <f>CORE!O725</f>
        <v>0</v>
      </c>
      <c r="P52" s="170">
        <f>CORE!P725</f>
        <v>0</v>
      </c>
      <c r="Q52" s="170">
        <f>CORE!Q725</f>
        <v>0</v>
      </c>
      <c r="R52" s="170">
        <f>CORE!R725</f>
        <v>0</v>
      </c>
      <c r="S52" s="170">
        <f>CORE!S725</f>
        <v>0</v>
      </c>
      <c r="T52" s="170">
        <f>CORE!T725</f>
        <v>0</v>
      </c>
      <c r="U52" s="170">
        <f>CORE!U725</f>
        <v>0</v>
      </c>
      <c r="V52" s="170">
        <f>CORE!V725</f>
        <v>0</v>
      </c>
      <c r="W52" s="170">
        <f>CORE!W725</f>
        <v>0</v>
      </c>
      <c r="X52" s="170">
        <f>CORE!X725</f>
        <v>0</v>
      </c>
      <c r="Y52" s="171">
        <f>CORE!Y725</f>
        <v>0</v>
      </c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2"/>
      <c r="AQ52" s="33">
        <v>3.1648955887869992</v>
      </c>
      <c r="AR52" s="11">
        <f>AU52/SUM($AU50:$AU52)</f>
        <v>6.8457484370668649E-3</v>
      </c>
      <c r="AS52" s="120" t="s">
        <v>2</v>
      </c>
      <c r="AT52" s="31"/>
      <c r="AU52" s="125">
        <f>IF((E50+E51+E52)=0,1,E52/(E50+E51+E52)*$AQ52)</f>
        <v>2.1666079030418416E-2</v>
      </c>
      <c r="AV52" s="125">
        <f t="shared" ref="AV52:BO52" si="206">IF((F50+F51+F52)=0,0,F52/(F50+F51+F52)*$AQ52)</f>
        <v>1.6182087176566679E-2</v>
      </c>
      <c r="AW52" s="125">
        <f t="shared" si="206"/>
        <v>8.0910435882833379E-3</v>
      </c>
      <c r="AX52" s="125">
        <f t="shared" si="206"/>
        <v>0</v>
      </c>
      <c r="AY52" s="125">
        <f t="shared" si="206"/>
        <v>8.0910435882833379E-3</v>
      </c>
      <c r="AZ52" s="125">
        <f t="shared" si="206"/>
        <v>5.5891853129678419E-2</v>
      </c>
      <c r="BA52" s="125">
        <f t="shared" si="206"/>
        <v>8.9604291789405086E-2</v>
      </c>
      <c r="BB52" s="125">
        <f t="shared" si="206"/>
        <v>0</v>
      </c>
      <c r="BC52" s="125">
        <f t="shared" si="206"/>
        <v>0</v>
      </c>
      <c r="BD52" s="125">
        <f t="shared" si="206"/>
        <v>0</v>
      </c>
      <c r="BE52" s="125">
        <f t="shared" si="206"/>
        <v>0</v>
      </c>
      <c r="BF52" s="125">
        <f t="shared" si="206"/>
        <v>0</v>
      </c>
      <c r="BG52" s="125">
        <f t="shared" si="206"/>
        <v>0</v>
      </c>
      <c r="BH52" s="125">
        <f t="shared" si="206"/>
        <v>0</v>
      </c>
      <c r="BI52" s="125">
        <f t="shared" si="206"/>
        <v>0</v>
      </c>
      <c r="BJ52" s="125">
        <f t="shared" si="206"/>
        <v>0</v>
      </c>
      <c r="BK52" s="125">
        <f t="shared" si="206"/>
        <v>0</v>
      </c>
      <c r="BL52" s="125">
        <f t="shared" si="206"/>
        <v>0</v>
      </c>
      <c r="BM52" s="125">
        <f t="shared" si="206"/>
        <v>0</v>
      </c>
      <c r="BN52" s="125">
        <f t="shared" si="206"/>
        <v>0</v>
      </c>
      <c r="BO52" s="126">
        <f t="shared" si="206"/>
        <v>0</v>
      </c>
    </row>
    <row r="53" spans="2:67" ht="14.25" customHeight="1" x14ac:dyDescent="0.2">
      <c r="B53" s="133">
        <f>E53/SUM($E$53:$E$55)</f>
        <v>0.57671246705042556</v>
      </c>
      <c r="C53" s="134" t="s">
        <v>0</v>
      </c>
      <c r="D53" s="135"/>
      <c r="E53" s="166">
        <f>CORE!E748</f>
        <v>0.57671246705042556</v>
      </c>
      <c r="F53" s="166">
        <f>CORE!F748</f>
        <v>0.37178159763759333</v>
      </c>
      <c r="G53" s="166">
        <f>CORE!G748</f>
        <v>0.67271960117517615</v>
      </c>
      <c r="H53" s="166">
        <f>CORE!H748</f>
        <v>0.58783664213543596</v>
      </c>
      <c r="I53" s="166">
        <f>CORE!I748</f>
        <v>0.29753189022179527</v>
      </c>
      <c r="J53" s="166">
        <f>CORE!J748</f>
        <v>0.29463693371565031</v>
      </c>
      <c r="K53" s="166">
        <f>CORE!K748</f>
        <v>0.13196295177761655</v>
      </c>
      <c r="L53" s="166">
        <f>CORE!L748</f>
        <v>0.15548441354077697</v>
      </c>
      <c r="M53" s="166">
        <f>CORE!M748</f>
        <v>0.26717278887776219</v>
      </c>
      <c r="N53" s="166">
        <f>CORE!N748</f>
        <v>0.31039848679923049</v>
      </c>
      <c r="O53" s="166">
        <f>CORE!O748</f>
        <v>0</v>
      </c>
      <c r="P53" s="166">
        <f>CORE!P748</f>
        <v>0</v>
      </c>
      <c r="Q53" s="166">
        <f>CORE!Q748</f>
        <v>0.25622588962439258</v>
      </c>
      <c r="R53" s="166">
        <f>CORE!R748</f>
        <v>0</v>
      </c>
      <c r="S53" s="166">
        <f>CORE!S748</f>
        <v>0</v>
      </c>
      <c r="T53" s="166">
        <f>CORE!T748</f>
        <v>0</v>
      </c>
      <c r="U53" s="166">
        <f>CORE!U748</f>
        <v>0</v>
      </c>
      <c r="V53" s="166">
        <f>CORE!V748</f>
        <v>0</v>
      </c>
      <c r="W53" s="166">
        <f>CORE!W748</f>
        <v>0</v>
      </c>
      <c r="X53" s="166">
        <f>CORE!X748</f>
        <v>0</v>
      </c>
      <c r="Y53" s="167">
        <f>CORE!Y748</f>
        <v>0</v>
      </c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2"/>
      <c r="AQ53" s="33">
        <v>1.7526602865103122</v>
      </c>
      <c r="AR53" s="9">
        <f>AU53/SUM($AU53:$AU55)</f>
        <v>0.57671246705042545</v>
      </c>
      <c r="AS53" s="121" t="s">
        <v>0</v>
      </c>
      <c r="AT53" s="30"/>
      <c r="AU53" s="105">
        <f>IF((E53+E54+E55)=0,1,E53/(E53+E54+E55)*$AQ53)</f>
        <v>1.0107810377346678</v>
      </c>
      <c r="AV53" s="105">
        <f t="shared" ref="AV53:BO53" si="207">IF((F53+F54+F55)=0,0,F53/(F53+F54+F55)*$AQ53)</f>
        <v>0.82814466614293325</v>
      </c>
      <c r="AW53" s="105">
        <f t="shared" si="207"/>
        <v>1.1790489289367871</v>
      </c>
      <c r="AX53" s="105">
        <f t="shared" si="207"/>
        <v>1.3094079503697533</v>
      </c>
      <c r="AY53" s="105">
        <f t="shared" si="207"/>
        <v>0.87296257667511912</v>
      </c>
      <c r="AZ53" s="105">
        <f t="shared" si="207"/>
        <v>0.86446873526174051</v>
      </c>
      <c r="BA53" s="105">
        <f t="shared" si="207"/>
        <v>1.2658102069241144</v>
      </c>
      <c r="BB53" s="105">
        <f t="shared" si="207"/>
        <v>0.70932025441802804</v>
      </c>
      <c r="BC53" s="105">
        <f t="shared" si="207"/>
        <v>0.7838885640875205</v>
      </c>
      <c r="BD53" s="105">
        <f t="shared" si="207"/>
        <v>0.91071334447652741</v>
      </c>
      <c r="BE53" s="105">
        <f t="shared" si="207"/>
        <v>0</v>
      </c>
      <c r="BF53" s="105">
        <f t="shared" si="207"/>
        <v>0</v>
      </c>
      <c r="BG53" s="105">
        <f t="shared" si="207"/>
        <v>1.1153292732338353</v>
      </c>
      <c r="BH53" s="105">
        <f t="shared" si="207"/>
        <v>0</v>
      </c>
      <c r="BI53" s="105">
        <f t="shared" si="207"/>
        <v>0</v>
      </c>
      <c r="BJ53" s="105">
        <f t="shared" si="207"/>
        <v>0</v>
      </c>
      <c r="BK53" s="105">
        <f t="shared" si="207"/>
        <v>0</v>
      </c>
      <c r="BL53" s="105">
        <f t="shared" si="207"/>
        <v>0</v>
      </c>
      <c r="BM53" s="105">
        <f t="shared" si="207"/>
        <v>0</v>
      </c>
      <c r="BN53" s="105">
        <f t="shared" si="207"/>
        <v>0</v>
      </c>
      <c r="BO53" s="127">
        <f t="shared" si="207"/>
        <v>0</v>
      </c>
    </row>
    <row r="54" spans="2:67" ht="14.25" customHeight="1" x14ac:dyDescent="0.2">
      <c r="B54" s="136">
        <f>E54/SUM($E$53:$E$55)</f>
        <v>0.37976283739361061</v>
      </c>
      <c r="C54" s="137" t="s">
        <v>1</v>
      </c>
      <c r="D54" s="138" t="s">
        <v>127</v>
      </c>
      <c r="E54" s="168">
        <f>CORE!E749</f>
        <v>0.37976283739361061</v>
      </c>
      <c r="F54" s="168">
        <f>CORE!F749</f>
        <v>0.33451757741366783</v>
      </c>
      <c r="G54" s="168">
        <f>CORE!G749</f>
        <v>0.28701633045527647</v>
      </c>
      <c r="H54" s="168">
        <f>CORE!H749</f>
        <v>0.19899066965492013</v>
      </c>
      <c r="I54" s="168">
        <f>CORE!I749</f>
        <v>0.290873261866538</v>
      </c>
      <c r="J54" s="168">
        <f>CORE!J749</f>
        <v>0.30272238258887568</v>
      </c>
      <c r="K54" s="168">
        <f>CORE!K749</f>
        <v>5.0754981452929442E-2</v>
      </c>
      <c r="L54" s="168">
        <f>CORE!L749</f>
        <v>0.22870221455410505</v>
      </c>
      <c r="M54" s="168">
        <f>CORE!M749</f>
        <v>0.3301865274267638</v>
      </c>
      <c r="N54" s="168">
        <f>CORE!N749</f>
        <v>0.2869608295052955</v>
      </c>
      <c r="O54" s="168">
        <f>CORE!O749</f>
        <v>0</v>
      </c>
      <c r="P54" s="168">
        <f>CORE!P749</f>
        <v>0.201468694864336</v>
      </c>
      <c r="Q54" s="168">
        <f>CORE!Q749</f>
        <v>0.1098110955533111</v>
      </c>
      <c r="R54" s="168">
        <f>CORE!R749</f>
        <v>0</v>
      </c>
      <c r="S54" s="168">
        <f>CORE!S749</f>
        <v>0</v>
      </c>
      <c r="T54" s="168">
        <f>CORE!T749</f>
        <v>0</v>
      </c>
      <c r="U54" s="168">
        <f>CORE!U749</f>
        <v>0</v>
      </c>
      <c r="V54" s="168">
        <f>CORE!V749</f>
        <v>0</v>
      </c>
      <c r="W54" s="168">
        <f>CORE!W749</f>
        <v>0</v>
      </c>
      <c r="X54" s="168">
        <f>CORE!X749</f>
        <v>0</v>
      </c>
      <c r="Y54" s="169">
        <f>CORE!Y749</f>
        <v>0</v>
      </c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2"/>
      <c r="AQ54" s="33">
        <v>1.7526602865103122</v>
      </c>
      <c r="AR54" s="10">
        <f>AU54/SUM($AU53:$AU55)</f>
        <v>0.37976283739361061</v>
      </c>
      <c r="AS54" s="119" t="s">
        <v>1</v>
      </c>
      <c r="AT54" s="32" t="s">
        <v>127</v>
      </c>
      <c r="AU54" s="123">
        <f>IF((E53+E54+E55)=0,1,E54/(E53+E54+E55)*$AQ54)</f>
        <v>0.66559524339225473</v>
      </c>
      <c r="AV54" s="123">
        <f t="shared" ref="AV54:BO54" si="208">IF((F53+F54+F55)=0,0,F54/(F53+F54+F55)*$AQ54)</f>
        <v>0.74513894508632494</v>
      </c>
      <c r="AW54" s="123">
        <f t="shared" si="208"/>
        <v>0.50304212396888337</v>
      </c>
      <c r="AX54" s="123">
        <f t="shared" si="208"/>
        <v>0.44325233614055881</v>
      </c>
      <c r="AY54" s="123">
        <f t="shared" si="208"/>
        <v>0.85342607132171211</v>
      </c>
      <c r="AZ54" s="123">
        <f t="shared" si="208"/>
        <v>0.88819155124857185</v>
      </c>
      <c r="BA54" s="123">
        <f t="shared" si="208"/>
        <v>0.48685007958619786</v>
      </c>
      <c r="BB54" s="123">
        <f t="shared" si="208"/>
        <v>1.0433400320922841</v>
      </c>
      <c r="BC54" s="123">
        <f t="shared" si="208"/>
        <v>0.96877172242279186</v>
      </c>
      <c r="BD54" s="123">
        <f t="shared" si="208"/>
        <v>0.84194694203378484</v>
      </c>
      <c r="BE54" s="123">
        <f t="shared" si="208"/>
        <v>0</v>
      </c>
      <c r="BF54" s="123">
        <f t="shared" si="208"/>
        <v>1.7526602865103122</v>
      </c>
      <c r="BG54" s="123">
        <f t="shared" si="208"/>
        <v>0.47799825995735795</v>
      </c>
      <c r="BH54" s="123">
        <f t="shared" si="208"/>
        <v>0</v>
      </c>
      <c r="BI54" s="123">
        <f t="shared" si="208"/>
        <v>0</v>
      </c>
      <c r="BJ54" s="123">
        <f t="shared" si="208"/>
        <v>0</v>
      </c>
      <c r="BK54" s="123">
        <f t="shared" si="208"/>
        <v>0</v>
      </c>
      <c r="BL54" s="123">
        <f t="shared" si="208"/>
        <v>0</v>
      </c>
      <c r="BM54" s="123">
        <f t="shared" si="208"/>
        <v>0</v>
      </c>
      <c r="BN54" s="123">
        <f t="shared" si="208"/>
        <v>0</v>
      </c>
      <c r="BO54" s="124">
        <f t="shared" si="208"/>
        <v>0</v>
      </c>
    </row>
    <row r="55" spans="2:67" ht="14.25" customHeight="1" thickBot="1" x14ac:dyDescent="0.25">
      <c r="B55" s="139">
        <f>E55/SUM($E$53:$E$55)</f>
        <v>4.3524695555963833E-2</v>
      </c>
      <c r="C55" s="140" t="s">
        <v>2</v>
      </c>
      <c r="D55" s="141"/>
      <c r="E55" s="170">
        <f>CORE!E750</f>
        <v>4.3524695555963833E-2</v>
      </c>
      <c r="F55" s="170">
        <f>CORE!F750</f>
        <v>8.0528136739094799E-2</v>
      </c>
      <c r="G55" s="170">
        <f>CORE!G750</f>
        <v>4.02640683695474E-2</v>
      </c>
      <c r="H55" s="170">
        <f>CORE!H750</f>
        <v>0</v>
      </c>
      <c r="I55" s="170">
        <f>CORE!I750</f>
        <v>8.9541642161927101E-3</v>
      </c>
      <c r="J55" s="170">
        <f>CORE!J750</f>
        <v>0</v>
      </c>
      <c r="K55" s="170">
        <f>CORE!K750</f>
        <v>0</v>
      </c>
      <c r="L55" s="170">
        <f>CORE!L750</f>
        <v>0</v>
      </c>
      <c r="M55" s="170">
        <f>CORE!M750</f>
        <v>0</v>
      </c>
      <c r="N55" s="170">
        <f>CORE!N750</f>
        <v>0</v>
      </c>
      <c r="O55" s="170">
        <f>CORE!O750</f>
        <v>0</v>
      </c>
      <c r="P55" s="170">
        <f>CORE!P750</f>
        <v>0</v>
      </c>
      <c r="Q55" s="170">
        <f>CORE!Q750</f>
        <v>3.6603698517770365E-2</v>
      </c>
      <c r="R55" s="170">
        <f>CORE!R750</f>
        <v>0</v>
      </c>
      <c r="S55" s="170">
        <f>CORE!S750</f>
        <v>0</v>
      </c>
      <c r="T55" s="170">
        <f>CORE!T750</f>
        <v>0</v>
      </c>
      <c r="U55" s="170">
        <f>CORE!U750</f>
        <v>0</v>
      </c>
      <c r="V55" s="170">
        <f>CORE!V750</f>
        <v>0</v>
      </c>
      <c r="W55" s="170">
        <f>CORE!W750</f>
        <v>0</v>
      </c>
      <c r="X55" s="170">
        <f>CORE!X750</f>
        <v>0</v>
      </c>
      <c r="Y55" s="171">
        <f>CORE!Y750</f>
        <v>0</v>
      </c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2"/>
      <c r="AQ55" s="33">
        <v>1.7526602865103122</v>
      </c>
      <c r="AR55" s="11">
        <f>AU55/SUM($AU53:$AU55)</f>
        <v>4.3524695555963833E-2</v>
      </c>
      <c r="AS55" s="120" t="s">
        <v>2</v>
      </c>
      <c r="AT55" s="31"/>
      <c r="AU55" s="125">
        <f>IF((E53+E54+E55)=0,1,E55/(E53+E54+E55)*$AQ55)</f>
        <v>7.6284005383389683E-2</v>
      </c>
      <c r="AV55" s="125">
        <f t="shared" ref="AV55:BO55" si="209">IF((F53+F54+F55)=0,0,F55/(F53+F54+F55)*$AQ55)</f>
        <v>0.17937667528105422</v>
      </c>
      <c r="AW55" s="125">
        <f t="shared" si="209"/>
        <v>7.0569233604641748E-2</v>
      </c>
      <c r="AX55" s="125">
        <f t="shared" si="209"/>
        <v>0</v>
      </c>
      <c r="AY55" s="125">
        <f t="shared" si="209"/>
        <v>2.627163851348106E-2</v>
      </c>
      <c r="AZ55" s="125">
        <f t="shared" si="209"/>
        <v>0</v>
      </c>
      <c r="BA55" s="125">
        <f t="shared" si="209"/>
        <v>0</v>
      </c>
      <c r="BB55" s="125">
        <f t="shared" si="209"/>
        <v>0</v>
      </c>
      <c r="BC55" s="125">
        <f t="shared" si="209"/>
        <v>0</v>
      </c>
      <c r="BD55" s="125">
        <f t="shared" si="209"/>
        <v>0</v>
      </c>
      <c r="BE55" s="125">
        <f t="shared" si="209"/>
        <v>0</v>
      </c>
      <c r="BF55" s="125">
        <f t="shared" si="209"/>
        <v>0</v>
      </c>
      <c r="BG55" s="125">
        <f t="shared" si="209"/>
        <v>0.15933275331911931</v>
      </c>
      <c r="BH55" s="125">
        <f t="shared" si="209"/>
        <v>0</v>
      </c>
      <c r="BI55" s="125">
        <f t="shared" si="209"/>
        <v>0</v>
      </c>
      <c r="BJ55" s="125">
        <f t="shared" si="209"/>
        <v>0</v>
      </c>
      <c r="BK55" s="125">
        <f t="shared" si="209"/>
        <v>0</v>
      </c>
      <c r="BL55" s="125">
        <f t="shared" si="209"/>
        <v>0</v>
      </c>
      <c r="BM55" s="125">
        <f t="shared" si="209"/>
        <v>0</v>
      </c>
      <c r="BN55" s="125">
        <f t="shared" si="209"/>
        <v>0</v>
      </c>
      <c r="BO55" s="126">
        <f t="shared" si="209"/>
        <v>0</v>
      </c>
    </row>
    <row r="56" spans="2:67" ht="14.25" customHeight="1" x14ac:dyDescent="0.2">
      <c r="B56" s="133">
        <f>E56/SUM($E$56:$E$58)</f>
        <v>0.72192433035362324</v>
      </c>
      <c r="C56" s="134" t="s">
        <v>0</v>
      </c>
      <c r="D56" s="135"/>
      <c r="E56" s="166">
        <f>CORE!E779</f>
        <v>0.72192433035362336</v>
      </c>
      <c r="F56" s="166">
        <f>CORE!F779</f>
        <v>0.30008951714482396</v>
      </c>
      <c r="G56" s="166">
        <f>CORE!G779</f>
        <v>0.87737385808016666</v>
      </c>
      <c r="H56" s="166">
        <f>CORE!H779</f>
        <v>0.71121258760147466</v>
      </c>
      <c r="I56" s="166">
        <f>CORE!I779</f>
        <v>0.87516062582787602</v>
      </c>
      <c r="J56" s="166">
        <f>CORE!J779</f>
        <v>0.69323814503714942</v>
      </c>
      <c r="K56" s="166">
        <f>CORE!K779</f>
        <v>0.75578844994413708</v>
      </c>
      <c r="L56" s="166">
        <f>CORE!L779</f>
        <v>0.6855970117107808</v>
      </c>
      <c r="M56" s="166">
        <f>CORE!M779</f>
        <v>0.72885078946341397</v>
      </c>
      <c r="N56" s="166">
        <f>CORE!N779</f>
        <v>0.31971994271555526</v>
      </c>
      <c r="O56" s="166">
        <f>CORE!O779</f>
        <v>0.18617444477279466</v>
      </c>
      <c r="P56" s="166">
        <f>CORE!P779</f>
        <v>0.28655228721026288</v>
      </c>
      <c r="Q56" s="166">
        <f>CORE!Q779</f>
        <v>0.24920338819303914</v>
      </c>
      <c r="R56" s="166">
        <f>CORE!R779</f>
        <v>0</v>
      </c>
      <c r="S56" s="166">
        <f>CORE!S779</f>
        <v>0</v>
      </c>
      <c r="T56" s="166">
        <f>CORE!T779</f>
        <v>0</v>
      </c>
      <c r="U56" s="166">
        <f>CORE!U779</f>
        <v>0</v>
      </c>
      <c r="V56" s="166">
        <f>CORE!V779</f>
        <v>0</v>
      </c>
      <c r="W56" s="166">
        <f>CORE!W779</f>
        <v>0</v>
      </c>
      <c r="X56" s="166">
        <f>CORE!X779</f>
        <v>0</v>
      </c>
      <c r="Y56" s="167">
        <f>CORE!Y779</f>
        <v>0</v>
      </c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2"/>
      <c r="AQ56" s="33">
        <v>3.0718503123545089</v>
      </c>
      <c r="AR56" s="9">
        <f>AU56/SUM($AU56:$AU58)</f>
        <v>0.72192433035362313</v>
      </c>
      <c r="AS56" s="121" t="s">
        <v>0</v>
      </c>
      <c r="AT56" s="30"/>
      <c r="AU56" s="105">
        <f>IF((E56+E57+E58)=0,1,E56/(E56+E57+E58)*$AQ56)</f>
        <v>2.2176434796930971</v>
      </c>
      <c r="AV56" s="105">
        <f t="shared" ref="AV56:BO56" si="210">IF((F56+F57+F58)=0,0,F56/(F56+F57+F58)*$AQ56)</f>
        <v>1.7687541726451528</v>
      </c>
      <c r="AW56" s="105">
        <f t="shared" si="210"/>
        <v>2.695161159995239</v>
      </c>
      <c r="AX56" s="105">
        <f t="shared" si="210"/>
        <v>2.3552796831073537</v>
      </c>
      <c r="AY56" s="105">
        <f t="shared" si="210"/>
        <v>2.6883624418097276</v>
      </c>
      <c r="AZ56" s="105">
        <f t="shared" si="210"/>
        <v>2.1295238123684275</v>
      </c>
      <c r="BA56" s="105">
        <f t="shared" si="210"/>
        <v>2.3216689860348274</v>
      </c>
      <c r="BB56" s="105">
        <f t="shared" si="210"/>
        <v>2.1060513945730794</v>
      </c>
      <c r="BC56" s="105">
        <f t="shared" si="210"/>
        <v>2.2389205252730187</v>
      </c>
      <c r="BD56" s="105">
        <f t="shared" si="210"/>
        <v>2.0470075556799681</v>
      </c>
      <c r="BE56" s="105">
        <f t="shared" si="210"/>
        <v>2.0479002082363391</v>
      </c>
      <c r="BF56" s="105">
        <f t="shared" si="210"/>
        <v>2.0766729612478412</v>
      </c>
      <c r="BG56" s="105">
        <f t="shared" si="210"/>
        <v>2.8168086637987524</v>
      </c>
      <c r="BH56" s="105">
        <f t="shared" si="210"/>
        <v>0</v>
      </c>
      <c r="BI56" s="105">
        <f t="shared" si="210"/>
        <v>0</v>
      </c>
      <c r="BJ56" s="105">
        <f t="shared" si="210"/>
        <v>0</v>
      </c>
      <c r="BK56" s="105">
        <f t="shared" si="210"/>
        <v>0</v>
      </c>
      <c r="BL56" s="105">
        <f t="shared" si="210"/>
        <v>0</v>
      </c>
      <c r="BM56" s="105">
        <f t="shared" si="210"/>
        <v>0</v>
      </c>
      <c r="BN56" s="105">
        <f t="shared" si="210"/>
        <v>0</v>
      </c>
      <c r="BO56" s="127">
        <f t="shared" si="210"/>
        <v>0</v>
      </c>
    </row>
    <row r="57" spans="2:67" ht="14.25" customHeight="1" x14ac:dyDescent="0.2">
      <c r="B57" s="136">
        <f>E57/SUM($E$56:$E$58)</f>
        <v>0.27216142874356253</v>
      </c>
      <c r="C57" s="137" t="s">
        <v>1</v>
      </c>
      <c r="D57" s="138" t="s">
        <v>132</v>
      </c>
      <c r="E57" s="168">
        <f>CORE!E780</f>
        <v>0.27216142874356258</v>
      </c>
      <c r="F57" s="168">
        <f>CORE!F780</f>
        <v>0.21774336125862587</v>
      </c>
      <c r="G57" s="168">
        <f>CORE!G780</f>
        <v>0.11598214969258341</v>
      </c>
      <c r="H57" s="168">
        <f>CORE!H780</f>
        <v>0.21637941985459611</v>
      </c>
      <c r="I57" s="168">
        <f>CORE!I780</f>
        <v>0.12483937417212417</v>
      </c>
      <c r="J57" s="168">
        <f>CORE!J780</f>
        <v>0.30166684585974912</v>
      </c>
      <c r="K57" s="168">
        <f>CORE!K780</f>
        <v>0.23455715105000574</v>
      </c>
      <c r="L57" s="168">
        <f>CORE!L780</f>
        <v>0.31271908148587213</v>
      </c>
      <c r="M57" s="168">
        <f>CORE!M780</f>
        <v>0.27114921053658614</v>
      </c>
      <c r="N57" s="168">
        <f>CORE!N780</f>
        <v>0.16006910504421371</v>
      </c>
      <c r="O57" s="168">
        <f>CORE!O780</f>
        <v>0</v>
      </c>
      <c r="P57" s="168">
        <f>CORE!P780</f>
        <v>0.13732077773483978</v>
      </c>
      <c r="Q57" s="168">
        <f>CORE!Q780</f>
        <v>2.2563564138119156E-2</v>
      </c>
      <c r="R57" s="168">
        <f>CORE!R780</f>
        <v>0</v>
      </c>
      <c r="S57" s="168">
        <f>CORE!S780</f>
        <v>0</v>
      </c>
      <c r="T57" s="168">
        <f>CORE!T780</f>
        <v>0</v>
      </c>
      <c r="U57" s="168">
        <f>CORE!U780</f>
        <v>0</v>
      </c>
      <c r="V57" s="168">
        <f>CORE!V780</f>
        <v>0</v>
      </c>
      <c r="W57" s="168">
        <f>CORE!W780</f>
        <v>0</v>
      </c>
      <c r="X57" s="168">
        <f>CORE!X780</f>
        <v>0</v>
      </c>
      <c r="Y57" s="169">
        <f>CORE!Y780</f>
        <v>0</v>
      </c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2"/>
      <c r="AQ57" s="33">
        <v>3.0718503123545089</v>
      </c>
      <c r="AR57" s="10">
        <f>AU57/SUM($AU56:$AU58)</f>
        <v>0.27216142874356253</v>
      </c>
      <c r="AS57" s="119" t="s">
        <v>1</v>
      </c>
      <c r="AT57" s="8" t="s">
        <v>132</v>
      </c>
      <c r="AU57" s="123">
        <f>IF((E56+E57+E58)=0,1,E57/(E56+E57+E58)*$AQ57)</f>
        <v>0.83603916989676197</v>
      </c>
      <c r="AV57" s="123">
        <f t="shared" ref="AV57:BO57" si="211">IF((F56+F57+F58)=0,0,F57/(F56+F57+F58)*$AQ57)</f>
        <v>1.2833986420328989</v>
      </c>
      <c r="AW57" s="123">
        <f t="shared" si="211"/>
        <v>0.35627980276070959</v>
      </c>
      <c r="AX57" s="123">
        <f t="shared" si="211"/>
        <v>0.7165706292471552</v>
      </c>
      <c r="AY57" s="123">
        <f t="shared" si="211"/>
        <v>0.38348787054478095</v>
      </c>
      <c r="AZ57" s="123">
        <f t="shared" si="211"/>
        <v>0.92667539468126969</v>
      </c>
      <c r="BA57" s="123">
        <f t="shared" si="211"/>
        <v>0.72052445771794382</v>
      </c>
      <c r="BB57" s="123">
        <f t="shared" si="211"/>
        <v>0.96062620814159128</v>
      </c>
      <c r="BC57" s="123">
        <f t="shared" si="211"/>
        <v>0.83292978708149057</v>
      </c>
      <c r="BD57" s="123">
        <f t="shared" si="211"/>
        <v>1.0248427566745411</v>
      </c>
      <c r="BE57" s="123">
        <f t="shared" si="211"/>
        <v>0</v>
      </c>
      <c r="BF57" s="123">
        <f t="shared" si="211"/>
        <v>0.99517735110666738</v>
      </c>
      <c r="BG57" s="123">
        <f t="shared" si="211"/>
        <v>0.25504164855575662</v>
      </c>
      <c r="BH57" s="123">
        <f t="shared" si="211"/>
        <v>0</v>
      </c>
      <c r="BI57" s="123">
        <f t="shared" si="211"/>
        <v>0</v>
      </c>
      <c r="BJ57" s="123">
        <f t="shared" si="211"/>
        <v>0</v>
      </c>
      <c r="BK57" s="123">
        <f t="shared" si="211"/>
        <v>0</v>
      </c>
      <c r="BL57" s="123">
        <f t="shared" si="211"/>
        <v>0</v>
      </c>
      <c r="BM57" s="123">
        <f t="shared" si="211"/>
        <v>0</v>
      </c>
      <c r="BN57" s="123">
        <f t="shared" si="211"/>
        <v>0</v>
      </c>
      <c r="BO57" s="124">
        <f t="shared" si="211"/>
        <v>0</v>
      </c>
    </row>
    <row r="58" spans="2:67" ht="14.25" customHeight="1" thickBot="1" x14ac:dyDescent="0.25">
      <c r="B58" s="139">
        <f>E58/SUM($E$56:$E$58)</f>
        <v>5.9142409028142733E-3</v>
      </c>
      <c r="C58" s="140" t="s">
        <v>2</v>
      </c>
      <c r="D58" s="141"/>
      <c r="E58" s="170">
        <f>CORE!E781</f>
        <v>5.914240902814275E-3</v>
      </c>
      <c r="F58" s="170">
        <f>CORE!F781</f>
        <v>3.3419073481813573E-3</v>
      </c>
      <c r="G58" s="170">
        <f>CORE!G781</f>
        <v>6.6439922272502417E-3</v>
      </c>
      <c r="H58" s="170">
        <f>CORE!H781</f>
        <v>0</v>
      </c>
      <c r="I58" s="170">
        <f>CORE!I781</f>
        <v>0</v>
      </c>
      <c r="J58" s="170">
        <f>CORE!J781</f>
        <v>5.0950091031016723E-3</v>
      </c>
      <c r="K58" s="170">
        <f>CORE!K781</f>
        <v>9.6543990058572549E-3</v>
      </c>
      <c r="L58" s="170">
        <f>CORE!L781</f>
        <v>1.6839068033471954E-3</v>
      </c>
      <c r="M58" s="170">
        <f>CORE!M781</f>
        <v>0</v>
      </c>
      <c r="N58" s="170">
        <f>CORE!N781</f>
        <v>0</v>
      </c>
      <c r="O58" s="170">
        <f>CORE!O781</f>
        <v>9.3087222386397328E-2</v>
      </c>
      <c r="P58" s="170">
        <f>CORE!P781</f>
        <v>0</v>
      </c>
      <c r="Q58" s="170">
        <f>CORE!Q781</f>
        <v>0</v>
      </c>
      <c r="R58" s="170">
        <f>CORE!R781</f>
        <v>0</v>
      </c>
      <c r="S58" s="170">
        <f>CORE!S781</f>
        <v>0</v>
      </c>
      <c r="T58" s="170">
        <f>CORE!T781</f>
        <v>0</v>
      </c>
      <c r="U58" s="170">
        <f>CORE!U781</f>
        <v>0</v>
      </c>
      <c r="V58" s="170">
        <f>CORE!V781</f>
        <v>0</v>
      </c>
      <c r="W58" s="170">
        <f>CORE!W781</f>
        <v>0</v>
      </c>
      <c r="X58" s="170">
        <f>CORE!X781</f>
        <v>0</v>
      </c>
      <c r="Y58" s="171">
        <f>CORE!Y781</f>
        <v>0</v>
      </c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2"/>
      <c r="AQ58" s="33">
        <v>3.0718503123545089</v>
      </c>
      <c r="AR58" s="11">
        <f>AU58/SUM($AU56:$AU58)</f>
        <v>5.9142409028142733E-3</v>
      </c>
      <c r="AS58" s="120" t="s">
        <v>2</v>
      </c>
      <c r="AT58" s="31"/>
      <c r="AU58" s="125">
        <f>IF((E56+E57+E58)=0,1,E58/(E56+E57+E58)*$AQ58)</f>
        <v>1.8167662764649838E-2</v>
      </c>
      <c r="AV58" s="125">
        <f t="shared" ref="AV58:BO58" si="212">IF((F56+F57+F58)=0,0,F58/(F56+F57+F58)*$AQ58)</f>
        <v>1.9697497676456999E-2</v>
      </c>
      <c r="AW58" s="125">
        <f t="shared" si="212"/>
        <v>2.0409349598559577E-2</v>
      </c>
      <c r="AX58" s="125">
        <f t="shared" si="212"/>
        <v>0</v>
      </c>
      <c r="AY58" s="125">
        <f t="shared" si="212"/>
        <v>0</v>
      </c>
      <c r="AZ58" s="125">
        <f t="shared" si="212"/>
        <v>1.5651105304811935E-2</v>
      </c>
      <c r="BA58" s="125">
        <f t="shared" si="212"/>
        <v>2.965686860173767E-2</v>
      </c>
      <c r="BB58" s="125">
        <f t="shared" si="212"/>
        <v>5.1727096398379632E-3</v>
      </c>
      <c r="BC58" s="125">
        <f t="shared" si="212"/>
        <v>0</v>
      </c>
      <c r="BD58" s="125">
        <f t="shared" si="212"/>
        <v>0</v>
      </c>
      <c r="BE58" s="125">
        <f t="shared" si="212"/>
        <v>1.0239501041181696</v>
      </c>
      <c r="BF58" s="125">
        <f t="shared" si="212"/>
        <v>0</v>
      </c>
      <c r="BG58" s="125">
        <f t="shared" si="212"/>
        <v>0</v>
      </c>
      <c r="BH58" s="125">
        <f t="shared" si="212"/>
        <v>0</v>
      </c>
      <c r="BI58" s="125">
        <f t="shared" si="212"/>
        <v>0</v>
      </c>
      <c r="BJ58" s="125">
        <f t="shared" si="212"/>
        <v>0</v>
      </c>
      <c r="BK58" s="125">
        <f t="shared" si="212"/>
        <v>0</v>
      </c>
      <c r="BL58" s="125">
        <f t="shared" si="212"/>
        <v>0</v>
      </c>
      <c r="BM58" s="125">
        <f t="shared" si="212"/>
        <v>0</v>
      </c>
      <c r="BN58" s="125">
        <f t="shared" si="212"/>
        <v>0</v>
      </c>
      <c r="BO58" s="126">
        <f t="shared" si="212"/>
        <v>0</v>
      </c>
    </row>
    <row r="59" spans="2:67" ht="14.25" customHeight="1" x14ac:dyDescent="0.2">
      <c r="B59" s="133">
        <f>E59/SUM($E$59:$E$61)</f>
        <v>0.58318166533030369</v>
      </c>
      <c r="C59" s="134" t="s">
        <v>0</v>
      </c>
      <c r="D59" s="135"/>
      <c r="E59" s="166">
        <f>CORE!E822</f>
        <v>0.58318166533030347</v>
      </c>
      <c r="F59" s="166">
        <f>CORE!F822</f>
        <v>0.4228392747628878</v>
      </c>
      <c r="G59" s="166">
        <f>CORE!G822</f>
        <v>0.54518465785579107</v>
      </c>
      <c r="H59" s="166">
        <f>CORE!H822</f>
        <v>0.6460530311951016</v>
      </c>
      <c r="I59" s="166">
        <f>CORE!I822</f>
        <v>0.47869024240040881</v>
      </c>
      <c r="J59" s="166">
        <f>CORE!J822</f>
        <v>0.3209416720544418</v>
      </c>
      <c r="K59" s="166">
        <f>CORE!K822</f>
        <v>0.12428846576385916</v>
      </c>
      <c r="L59" s="166">
        <f>CORE!L822</f>
        <v>0.46065813618370288</v>
      </c>
      <c r="M59" s="166">
        <f>CORE!M822</f>
        <v>0.52548645293144736</v>
      </c>
      <c r="N59" s="166">
        <f>CORE!N822</f>
        <v>0.13010913771423271</v>
      </c>
      <c r="O59" s="166">
        <f>CORE!O822</f>
        <v>0</v>
      </c>
      <c r="P59" s="166">
        <f>CORE!P822</f>
        <v>0</v>
      </c>
      <c r="Q59" s="166">
        <f>CORE!Q822</f>
        <v>0</v>
      </c>
      <c r="R59" s="166">
        <f>CORE!R822</f>
        <v>0</v>
      </c>
      <c r="S59" s="166">
        <f>CORE!S822</f>
        <v>0</v>
      </c>
      <c r="T59" s="166">
        <f>CORE!T822</f>
        <v>0</v>
      </c>
      <c r="U59" s="166">
        <f>CORE!U822</f>
        <v>0</v>
      </c>
      <c r="V59" s="166">
        <f>CORE!V822</f>
        <v>0</v>
      </c>
      <c r="W59" s="166">
        <f>CORE!W822</f>
        <v>0</v>
      </c>
      <c r="X59" s="166">
        <f>CORE!X822</f>
        <v>0</v>
      </c>
      <c r="Y59" s="167">
        <f>CORE!Y822</f>
        <v>0</v>
      </c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2"/>
      <c r="AQ59" s="33">
        <v>3.3379454432917357</v>
      </c>
      <c r="AR59" s="9">
        <f>AU59/SUM($AU59:$AU61)</f>
        <v>0.58318166533030369</v>
      </c>
      <c r="AS59" s="121" t="s">
        <v>0</v>
      </c>
      <c r="AT59" s="30"/>
      <c r="AU59" s="105">
        <f>IF((E59+E60+E61)=0,1,E59/(E59+E60+E61)*$AQ59)</f>
        <v>1.9466285824005731</v>
      </c>
      <c r="AV59" s="105">
        <f t="shared" ref="AV59:BO59" si="213">IF((F59+F60+F61)=0,0,F59/(F59+F60+F61)*$AQ59)</f>
        <v>1.6832788514008641</v>
      </c>
      <c r="AW59" s="105">
        <f t="shared" si="213"/>
        <v>1.9973803175191169</v>
      </c>
      <c r="AX59" s="105">
        <f t="shared" si="213"/>
        <v>2.3669294247161154</v>
      </c>
      <c r="AY59" s="105">
        <f t="shared" si="213"/>
        <v>1.7485301876807449</v>
      </c>
      <c r="AZ59" s="105">
        <f t="shared" si="213"/>
        <v>2.0027672659750415</v>
      </c>
      <c r="BA59" s="105">
        <f t="shared" si="213"/>
        <v>1.9324947303267945</v>
      </c>
      <c r="BB59" s="105">
        <f t="shared" si="213"/>
        <v>1.6629174281236312</v>
      </c>
      <c r="BC59" s="105">
        <f t="shared" si="213"/>
        <v>1.8969394268423361</v>
      </c>
      <c r="BD59" s="105">
        <f t="shared" si="213"/>
        <v>2.0229972383586277</v>
      </c>
      <c r="BE59" s="105">
        <f t="shared" si="213"/>
        <v>0</v>
      </c>
      <c r="BF59" s="105">
        <f t="shared" si="213"/>
        <v>0</v>
      </c>
      <c r="BG59" s="105">
        <f t="shared" si="213"/>
        <v>0</v>
      </c>
      <c r="BH59" s="105">
        <f t="shared" si="213"/>
        <v>0</v>
      </c>
      <c r="BI59" s="105">
        <f t="shared" si="213"/>
        <v>0</v>
      </c>
      <c r="BJ59" s="105">
        <f t="shared" si="213"/>
        <v>0</v>
      </c>
      <c r="BK59" s="105">
        <f t="shared" si="213"/>
        <v>0</v>
      </c>
      <c r="BL59" s="105">
        <f t="shared" si="213"/>
        <v>0</v>
      </c>
      <c r="BM59" s="105">
        <f t="shared" si="213"/>
        <v>0</v>
      </c>
      <c r="BN59" s="105">
        <f t="shared" si="213"/>
        <v>0</v>
      </c>
      <c r="BO59" s="127">
        <f t="shared" si="213"/>
        <v>0</v>
      </c>
    </row>
    <row r="60" spans="2:67" ht="14.25" customHeight="1" x14ac:dyDescent="0.2">
      <c r="B60" s="136">
        <f>E60/SUM($E$59:$E$61)</f>
        <v>0.40495557125370546</v>
      </c>
      <c r="C60" s="137" t="s">
        <v>1</v>
      </c>
      <c r="D60" s="138" t="s">
        <v>55</v>
      </c>
      <c r="E60" s="168">
        <f>CORE!E823</f>
        <v>0.40495557125370529</v>
      </c>
      <c r="F60" s="168">
        <f>CORE!F823</f>
        <v>0.40702441720672128</v>
      </c>
      <c r="G60" s="168">
        <f>CORE!G823</f>
        <v>0.35886885529535029</v>
      </c>
      <c r="H60" s="168">
        <f>CORE!H823</f>
        <v>0.24275106040374539</v>
      </c>
      <c r="I60" s="168">
        <f>CORE!I823</f>
        <v>0.39946960456455138</v>
      </c>
      <c r="J60" s="168">
        <f>CORE!J823</f>
        <v>0.19867817793846396</v>
      </c>
      <c r="K60" s="168">
        <f>CORE!K823</f>
        <v>9.0391611464624849E-2</v>
      </c>
      <c r="L60" s="168">
        <f>CORE!L823</f>
        <v>0.46401298733965746</v>
      </c>
      <c r="M60" s="168">
        <f>CORE!M823</f>
        <v>0.38889807853888592</v>
      </c>
      <c r="N60" s="168">
        <f>CORE!N823</f>
        <v>8.4570939514251278E-2</v>
      </c>
      <c r="O60" s="168">
        <f>CORE!O823</f>
        <v>0</v>
      </c>
      <c r="P60" s="168">
        <f>CORE!P823</f>
        <v>0</v>
      </c>
      <c r="Q60" s="168">
        <f>CORE!Q823</f>
        <v>0</v>
      </c>
      <c r="R60" s="168">
        <f>CORE!R823</f>
        <v>0</v>
      </c>
      <c r="S60" s="168">
        <f>CORE!S823</f>
        <v>0</v>
      </c>
      <c r="T60" s="168">
        <f>CORE!T823</f>
        <v>0</v>
      </c>
      <c r="U60" s="168">
        <f>CORE!U823</f>
        <v>0</v>
      </c>
      <c r="V60" s="168">
        <f>CORE!V823</f>
        <v>0</v>
      </c>
      <c r="W60" s="168">
        <f>CORE!W823</f>
        <v>0</v>
      </c>
      <c r="X60" s="168">
        <f>CORE!X823</f>
        <v>0</v>
      </c>
      <c r="Y60" s="169">
        <f>CORE!Y823</f>
        <v>0</v>
      </c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2"/>
      <c r="AQ60" s="33">
        <v>3.3379454432917357</v>
      </c>
      <c r="AR60" s="10">
        <f>AU60/SUM($AU59:$AU61)</f>
        <v>0.40495557125370552</v>
      </c>
      <c r="AS60" s="119" t="s">
        <v>1</v>
      </c>
      <c r="AT60" s="32" t="s">
        <v>55</v>
      </c>
      <c r="AU60" s="123">
        <f>IF((E59+E60+E61)=0,1,E60/(E59+E60+E61)*$AQ60)</f>
        <v>1.3517196038019079</v>
      </c>
      <c r="AV60" s="123">
        <f t="shared" ref="AV60:BO60" si="214">IF((F59+F60+F61)=0,0,F60/(F59+F60+F61)*$AQ60)</f>
        <v>1.620321560413313</v>
      </c>
      <c r="AW60" s="123">
        <f t="shared" si="214"/>
        <v>1.3147794564812418</v>
      </c>
      <c r="AX60" s="123">
        <f t="shared" si="214"/>
        <v>0.88936139915292534</v>
      </c>
      <c r="AY60" s="123">
        <f t="shared" si="214"/>
        <v>1.4591579288088938</v>
      </c>
      <c r="AZ60" s="123">
        <f t="shared" si="214"/>
        <v>1.2398083075083588</v>
      </c>
      <c r="BA60" s="123">
        <f t="shared" si="214"/>
        <v>1.4054507129649414</v>
      </c>
      <c r="BB60" s="123">
        <f t="shared" si="214"/>
        <v>1.6750280151681043</v>
      </c>
      <c r="BC60" s="123">
        <f t="shared" si="214"/>
        <v>1.4038727241934803</v>
      </c>
      <c r="BD60" s="123">
        <f t="shared" si="214"/>
        <v>1.314948204933108</v>
      </c>
      <c r="BE60" s="123">
        <f t="shared" si="214"/>
        <v>0</v>
      </c>
      <c r="BF60" s="123">
        <f t="shared" si="214"/>
        <v>0</v>
      </c>
      <c r="BG60" s="123">
        <f t="shared" si="214"/>
        <v>0</v>
      </c>
      <c r="BH60" s="123">
        <f t="shared" si="214"/>
        <v>0</v>
      </c>
      <c r="BI60" s="123">
        <f t="shared" si="214"/>
        <v>0</v>
      </c>
      <c r="BJ60" s="123">
        <f t="shared" si="214"/>
        <v>0</v>
      </c>
      <c r="BK60" s="123">
        <f t="shared" si="214"/>
        <v>0</v>
      </c>
      <c r="BL60" s="123">
        <f t="shared" si="214"/>
        <v>0</v>
      </c>
      <c r="BM60" s="123">
        <f t="shared" si="214"/>
        <v>0</v>
      </c>
      <c r="BN60" s="123">
        <f t="shared" si="214"/>
        <v>0</v>
      </c>
      <c r="BO60" s="124">
        <f t="shared" si="214"/>
        <v>0</v>
      </c>
    </row>
    <row r="61" spans="2:67" ht="14.25" customHeight="1" thickBot="1" x14ac:dyDescent="0.25">
      <c r="B61" s="139">
        <f>E61/SUM($E$59:$E$61)</f>
        <v>1.1862763415990797E-2</v>
      </c>
      <c r="C61" s="140" t="s">
        <v>2</v>
      </c>
      <c r="D61" s="141"/>
      <c r="E61" s="170">
        <f>CORE!E824</f>
        <v>1.1862763415990792E-2</v>
      </c>
      <c r="F61" s="170">
        <f>CORE!F824</f>
        <v>8.6274643025387576E-3</v>
      </c>
      <c r="G61" s="170">
        <f>CORE!G824</f>
        <v>7.0381945625974081E-3</v>
      </c>
      <c r="H61" s="170">
        <f>CORE!H824</f>
        <v>2.228761611489179E-2</v>
      </c>
      <c r="I61" s="170">
        <f>CORE!I824</f>
        <v>3.5660185783826868E-2</v>
      </c>
      <c r="J61" s="170">
        <f>CORE!J824</f>
        <v>1.5282936764497228E-2</v>
      </c>
      <c r="K61" s="170">
        <f>CORE!K824</f>
        <v>0</v>
      </c>
      <c r="L61" s="170">
        <f>CORE!L824</f>
        <v>0</v>
      </c>
      <c r="M61" s="170">
        <f>CORE!M824</f>
        <v>1.0286592053026981E-2</v>
      </c>
      <c r="N61" s="170">
        <f>CORE!N824</f>
        <v>0</v>
      </c>
      <c r="O61" s="170">
        <f>CORE!O824</f>
        <v>0</v>
      </c>
      <c r="P61" s="170">
        <f>CORE!P824</f>
        <v>0</v>
      </c>
      <c r="Q61" s="170">
        <f>CORE!Q824</f>
        <v>0</v>
      </c>
      <c r="R61" s="170">
        <f>CORE!R824</f>
        <v>0</v>
      </c>
      <c r="S61" s="170">
        <f>CORE!S824</f>
        <v>0</v>
      </c>
      <c r="T61" s="170">
        <f>CORE!T824</f>
        <v>0</v>
      </c>
      <c r="U61" s="170">
        <f>CORE!U824</f>
        <v>0</v>
      </c>
      <c r="V61" s="170">
        <f>CORE!V824</f>
        <v>0</v>
      </c>
      <c r="W61" s="170">
        <f>CORE!W824</f>
        <v>0</v>
      </c>
      <c r="X61" s="170">
        <f>CORE!X824</f>
        <v>0</v>
      </c>
      <c r="Y61" s="171">
        <f>CORE!Y824</f>
        <v>0</v>
      </c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2"/>
      <c r="AQ61" s="33">
        <v>3.3379454432917357</v>
      </c>
      <c r="AR61" s="11">
        <f>AU61/SUM($AU59:$AU61)</f>
        <v>1.1862763415990799E-2</v>
      </c>
      <c r="AS61" s="120" t="s">
        <v>2</v>
      </c>
      <c r="AT61" s="31"/>
      <c r="AU61" s="125">
        <f>IF((E59+E60+E61)=0,1,E61/(E59+E60+E61)*$AQ61)</f>
        <v>3.9597257089254385E-2</v>
      </c>
      <c r="AV61" s="125">
        <f t="shared" ref="AV61:BO61" si="215">IF((F59+F60+F61)=0,0,F61/(F59+F60+F61)*$AQ61)</f>
        <v>3.4345031477558519E-2</v>
      </c>
      <c r="AW61" s="125">
        <f t="shared" si="215"/>
        <v>2.578566929137734E-2</v>
      </c>
      <c r="AX61" s="125">
        <f t="shared" si="215"/>
        <v>8.1654619422694891E-2</v>
      </c>
      <c r="AY61" s="125">
        <f t="shared" si="215"/>
        <v>0.13025732680209687</v>
      </c>
      <c r="AZ61" s="125">
        <f t="shared" si="215"/>
        <v>9.5369869808335297E-2</v>
      </c>
      <c r="BA61" s="125">
        <f t="shared" si="215"/>
        <v>0</v>
      </c>
      <c r="BB61" s="125">
        <f t="shared" si="215"/>
        <v>0</v>
      </c>
      <c r="BC61" s="125">
        <f t="shared" si="215"/>
        <v>3.713329225591952E-2</v>
      </c>
      <c r="BD61" s="125">
        <f t="shared" si="215"/>
        <v>0</v>
      </c>
      <c r="BE61" s="125">
        <f t="shared" si="215"/>
        <v>0</v>
      </c>
      <c r="BF61" s="125">
        <f t="shared" si="215"/>
        <v>0</v>
      </c>
      <c r="BG61" s="125">
        <f t="shared" si="215"/>
        <v>0</v>
      </c>
      <c r="BH61" s="125">
        <f t="shared" si="215"/>
        <v>0</v>
      </c>
      <c r="BI61" s="125">
        <f t="shared" si="215"/>
        <v>0</v>
      </c>
      <c r="BJ61" s="125">
        <f t="shared" si="215"/>
        <v>0</v>
      </c>
      <c r="BK61" s="125">
        <f t="shared" si="215"/>
        <v>0</v>
      </c>
      <c r="BL61" s="125">
        <f t="shared" si="215"/>
        <v>0</v>
      </c>
      <c r="BM61" s="125">
        <f t="shared" si="215"/>
        <v>0</v>
      </c>
      <c r="BN61" s="125">
        <f t="shared" si="215"/>
        <v>0</v>
      </c>
      <c r="BO61" s="126">
        <f t="shared" si="215"/>
        <v>0</v>
      </c>
    </row>
    <row r="62" spans="2:67" ht="14.25" customHeight="1" x14ac:dyDescent="0.2">
      <c r="B62" s="133">
        <f>E62/SUM($E$62:$E$64)</f>
        <v>0.31660272188067401</v>
      </c>
      <c r="C62" s="134" t="s">
        <v>0</v>
      </c>
      <c r="D62" s="135"/>
      <c r="E62" s="166">
        <f>CORE!E859</f>
        <v>0.31660272188067429</v>
      </c>
      <c r="F62" s="166">
        <f>CORE!F859</f>
        <v>0.3492183634177255</v>
      </c>
      <c r="G62" s="166">
        <f>CORE!G859</f>
        <v>0.22742758080328407</v>
      </c>
      <c r="H62" s="166">
        <f>CORE!H859</f>
        <v>0.32334655244658972</v>
      </c>
      <c r="I62" s="166">
        <f>CORE!I859</f>
        <v>0.20404454325567545</v>
      </c>
      <c r="J62" s="166">
        <f>CORE!J859</f>
        <v>0.2744530999748131</v>
      </c>
      <c r="K62" s="166">
        <f>CORE!K859</f>
        <v>2.3391864549173091E-2</v>
      </c>
      <c r="L62" s="166">
        <f>CORE!L859</f>
        <v>0.33787008174986488</v>
      </c>
      <c r="M62" s="166">
        <f>CORE!M859</f>
        <v>9.0689863514334335E-2</v>
      </c>
      <c r="N62" s="166">
        <f>CORE!N859</f>
        <v>0</v>
      </c>
      <c r="O62" s="166">
        <f>CORE!O859</f>
        <v>0</v>
      </c>
      <c r="P62" s="166">
        <f>CORE!P859</f>
        <v>0</v>
      </c>
      <c r="Q62" s="166">
        <f>CORE!Q859</f>
        <v>0</v>
      </c>
      <c r="R62" s="166">
        <f>CORE!R859</f>
        <v>0</v>
      </c>
      <c r="S62" s="166">
        <f>CORE!S859</f>
        <v>0</v>
      </c>
      <c r="T62" s="166">
        <f>CORE!T859</f>
        <v>0</v>
      </c>
      <c r="U62" s="166">
        <f>CORE!U859</f>
        <v>0</v>
      </c>
      <c r="V62" s="166">
        <f>CORE!V859</f>
        <v>0</v>
      </c>
      <c r="W62" s="166">
        <f>CORE!W859</f>
        <v>0</v>
      </c>
      <c r="X62" s="166">
        <f>CORE!X859</f>
        <v>0</v>
      </c>
      <c r="Y62" s="167">
        <f>CORE!Y859</f>
        <v>0</v>
      </c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2"/>
      <c r="AQ62" s="33">
        <v>4.2498582914323784</v>
      </c>
      <c r="AR62" s="9">
        <f>AU62/SUM($AU62:$AU64)</f>
        <v>0.31660272188067395</v>
      </c>
      <c r="AS62" s="121" t="s">
        <v>0</v>
      </c>
      <c r="AT62" s="30"/>
      <c r="AU62" s="105">
        <f>IF((E62+E63+E64)=0,1,E62/(E62+E63+E64)*$AQ62)</f>
        <v>1.3455167026746417</v>
      </c>
      <c r="AV62" s="105">
        <f t="shared" ref="AV62:BO62" si="216">IF((F62+F63+F64)=0,0,F62/(F62+F63+F64)*$AQ62)</f>
        <v>1.5974452079832742</v>
      </c>
      <c r="AW62" s="105">
        <f t="shared" si="216"/>
        <v>1.0922414580724324</v>
      </c>
      <c r="AX62" s="105">
        <f t="shared" si="216"/>
        <v>1.4853622857870727</v>
      </c>
      <c r="AY62" s="105">
        <f t="shared" si="216"/>
        <v>0.97994231240613128</v>
      </c>
      <c r="AZ62" s="105">
        <f t="shared" si="216"/>
        <v>1.4297108314943485</v>
      </c>
      <c r="BA62" s="105">
        <f t="shared" si="216"/>
        <v>1.3280807160726182</v>
      </c>
      <c r="BB62" s="105">
        <f t="shared" si="216"/>
        <v>1.4358999683515976</v>
      </c>
      <c r="BC62" s="105">
        <f t="shared" si="216"/>
        <v>1.201565496738598</v>
      </c>
      <c r="BD62" s="105">
        <f t="shared" si="216"/>
        <v>0</v>
      </c>
      <c r="BE62" s="105">
        <f t="shared" si="216"/>
        <v>0</v>
      </c>
      <c r="BF62" s="105">
        <f t="shared" si="216"/>
        <v>0</v>
      </c>
      <c r="BG62" s="105">
        <f t="shared" si="216"/>
        <v>0</v>
      </c>
      <c r="BH62" s="105">
        <f t="shared" si="216"/>
        <v>0</v>
      </c>
      <c r="BI62" s="105">
        <f t="shared" si="216"/>
        <v>0</v>
      </c>
      <c r="BJ62" s="105">
        <f t="shared" si="216"/>
        <v>0</v>
      </c>
      <c r="BK62" s="105">
        <f t="shared" si="216"/>
        <v>0</v>
      </c>
      <c r="BL62" s="105">
        <f t="shared" si="216"/>
        <v>0</v>
      </c>
      <c r="BM62" s="105">
        <f t="shared" si="216"/>
        <v>0</v>
      </c>
      <c r="BN62" s="105">
        <f t="shared" si="216"/>
        <v>0</v>
      </c>
      <c r="BO62" s="127">
        <f t="shared" si="216"/>
        <v>0</v>
      </c>
    </row>
    <row r="63" spans="2:67" ht="14.25" customHeight="1" x14ac:dyDescent="0.2">
      <c r="B63" s="136">
        <f>E63/SUM($E$62:$E$64)</f>
        <v>0.66238458370313902</v>
      </c>
      <c r="C63" s="137" t="s">
        <v>1</v>
      </c>
      <c r="D63" s="138" t="s">
        <v>141</v>
      </c>
      <c r="E63" s="168">
        <f>CORE!E860</f>
        <v>0.66238458370313957</v>
      </c>
      <c r="F63" s="168">
        <f>CORE!F860</f>
        <v>0.56833642641680893</v>
      </c>
      <c r="G63" s="168">
        <f>CORE!G860</f>
        <v>0.64516658131419291</v>
      </c>
      <c r="H63" s="168">
        <f>CORE!H860</f>
        <v>0.56764608907533998</v>
      </c>
      <c r="I63" s="168">
        <f>CORE!I860</f>
        <v>0.66747446067281535</v>
      </c>
      <c r="J63" s="168">
        <f>CORE!J860</f>
        <v>0.48998502738672856</v>
      </c>
      <c r="K63" s="168">
        <f>CORE!K860</f>
        <v>5.1462102008180799E-2</v>
      </c>
      <c r="L63" s="168">
        <f>CORE!L860</f>
        <v>0.65215062892563225</v>
      </c>
      <c r="M63" s="168">
        <f>CORE!M860</f>
        <v>0.22633153254250288</v>
      </c>
      <c r="N63" s="168">
        <f>CORE!N860</f>
        <v>0</v>
      </c>
      <c r="O63" s="168">
        <f>CORE!O860</f>
        <v>0</v>
      </c>
      <c r="P63" s="168">
        <f>CORE!P860</f>
        <v>0</v>
      </c>
      <c r="Q63" s="168">
        <f>CORE!Q860</f>
        <v>0</v>
      </c>
      <c r="R63" s="168">
        <f>CORE!R860</f>
        <v>0</v>
      </c>
      <c r="S63" s="168">
        <f>CORE!S860</f>
        <v>0</v>
      </c>
      <c r="T63" s="168">
        <f>CORE!T860</f>
        <v>0</v>
      </c>
      <c r="U63" s="168">
        <f>CORE!U860</f>
        <v>0</v>
      </c>
      <c r="V63" s="168">
        <f>CORE!V860</f>
        <v>0</v>
      </c>
      <c r="W63" s="168">
        <f>CORE!W860</f>
        <v>0</v>
      </c>
      <c r="X63" s="168">
        <f>CORE!X860</f>
        <v>0</v>
      </c>
      <c r="Y63" s="169">
        <f>CORE!Y860</f>
        <v>0</v>
      </c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2"/>
      <c r="AQ63" s="33">
        <v>4.2498582914323784</v>
      </c>
      <c r="AR63" s="10">
        <f>AU63/SUM($AU62:$AU64)</f>
        <v>0.66238458370313891</v>
      </c>
      <c r="AS63" s="119" t="s">
        <v>1</v>
      </c>
      <c r="AT63" s="32" t="s">
        <v>141</v>
      </c>
      <c r="AU63" s="123">
        <f>IF((E62+E63+E64)=0,1,E63/(E62+E63+E64)*$AQ63)</f>
        <v>2.8150406151677698</v>
      </c>
      <c r="AV63" s="123">
        <f t="shared" ref="AV63:BO63" si="217">IF((F62+F63+F64)=0,0,F63/(F62+F63+F64)*$AQ63)</f>
        <v>2.5997667820689063</v>
      </c>
      <c r="AW63" s="123">
        <f t="shared" si="217"/>
        <v>3.0984706647508125</v>
      </c>
      <c r="AX63" s="123">
        <f t="shared" si="217"/>
        <v>2.6076050169927578</v>
      </c>
      <c r="AY63" s="123">
        <f t="shared" si="217"/>
        <v>3.2056062662952924</v>
      </c>
      <c r="AZ63" s="123">
        <f t="shared" si="217"/>
        <v>2.5524831054528079</v>
      </c>
      <c r="BA63" s="123">
        <f t="shared" si="217"/>
        <v>2.9217775753597603</v>
      </c>
      <c r="BB63" s="123">
        <f t="shared" si="217"/>
        <v>2.7715477576024359</v>
      </c>
      <c r="BC63" s="123">
        <f t="shared" si="217"/>
        <v>2.9987051450800362</v>
      </c>
      <c r="BD63" s="123">
        <f t="shared" si="217"/>
        <v>0</v>
      </c>
      <c r="BE63" s="123">
        <f t="shared" si="217"/>
        <v>0</v>
      </c>
      <c r="BF63" s="123">
        <f t="shared" si="217"/>
        <v>0</v>
      </c>
      <c r="BG63" s="123">
        <f t="shared" si="217"/>
        <v>0</v>
      </c>
      <c r="BH63" s="123">
        <f t="shared" si="217"/>
        <v>0</v>
      </c>
      <c r="BI63" s="123">
        <f t="shared" si="217"/>
        <v>0</v>
      </c>
      <c r="BJ63" s="123">
        <f t="shared" si="217"/>
        <v>0</v>
      </c>
      <c r="BK63" s="123">
        <f t="shared" si="217"/>
        <v>0</v>
      </c>
      <c r="BL63" s="123">
        <f t="shared" si="217"/>
        <v>0</v>
      </c>
      <c r="BM63" s="123">
        <f t="shared" si="217"/>
        <v>0</v>
      </c>
      <c r="BN63" s="123">
        <f t="shared" si="217"/>
        <v>0</v>
      </c>
      <c r="BO63" s="124">
        <f t="shared" si="217"/>
        <v>0</v>
      </c>
    </row>
    <row r="64" spans="2:67" ht="14.25" customHeight="1" thickBot="1" x14ac:dyDescent="0.25">
      <c r="B64" s="139">
        <f>E64/SUM($E$62:$E$64)</f>
        <v>2.1012694416187017E-2</v>
      </c>
      <c r="C64" s="140" t="s">
        <v>2</v>
      </c>
      <c r="D64" s="141"/>
      <c r="E64" s="170">
        <f>CORE!E861</f>
        <v>2.1012694416187035E-2</v>
      </c>
      <c r="F64" s="170">
        <f>CORE!F861</f>
        <v>1.15090365016023E-2</v>
      </c>
      <c r="G64" s="170">
        <f>CORE!G861</f>
        <v>1.2315472866500881E-2</v>
      </c>
      <c r="H64" s="170">
        <f>CORE!H861</f>
        <v>3.4153391920717355E-2</v>
      </c>
      <c r="I64" s="170">
        <f>CORE!I861</f>
        <v>1.3390631055487098E-2</v>
      </c>
      <c r="J64" s="170">
        <f>CORE!J861</f>
        <v>5.1381936978433476E-2</v>
      </c>
      <c r="K64" s="170">
        <f>CORE!K861</f>
        <v>0</v>
      </c>
      <c r="L64" s="170">
        <f>CORE!L861</f>
        <v>9.979289324503671E-3</v>
      </c>
      <c r="M64" s="170">
        <f>CORE!M861</f>
        <v>3.7426983278676948E-3</v>
      </c>
      <c r="N64" s="170">
        <f>CORE!N861</f>
        <v>0</v>
      </c>
      <c r="O64" s="170">
        <f>CORE!O861</f>
        <v>0</v>
      </c>
      <c r="P64" s="170">
        <f>CORE!P861</f>
        <v>0</v>
      </c>
      <c r="Q64" s="170">
        <f>CORE!Q861</f>
        <v>0</v>
      </c>
      <c r="R64" s="170">
        <f>CORE!R861</f>
        <v>0</v>
      </c>
      <c r="S64" s="170">
        <f>CORE!S861</f>
        <v>0</v>
      </c>
      <c r="T64" s="170">
        <f>CORE!T861</f>
        <v>0</v>
      </c>
      <c r="U64" s="170">
        <f>CORE!U861</f>
        <v>0</v>
      </c>
      <c r="V64" s="170">
        <f>CORE!V861</f>
        <v>0</v>
      </c>
      <c r="W64" s="170">
        <f>CORE!W861</f>
        <v>0</v>
      </c>
      <c r="X64" s="170">
        <f>CORE!X861</f>
        <v>0</v>
      </c>
      <c r="Y64" s="171">
        <f>CORE!Y861</f>
        <v>0</v>
      </c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2"/>
      <c r="AQ64" s="33">
        <v>4.2498582914323784</v>
      </c>
      <c r="AR64" s="11">
        <f>AU64/SUM($AU62:$AU64)</f>
        <v>2.1012694416187014E-2</v>
      </c>
      <c r="AS64" s="120" t="s">
        <v>2</v>
      </c>
      <c r="AT64" s="31"/>
      <c r="AU64" s="125">
        <f>IF((E62+E63+E64)=0,1,E64/(E62+E63+E64)*$AQ64)</f>
        <v>8.9300973589967234E-2</v>
      </c>
      <c r="AV64" s="125">
        <f t="shared" ref="AV64:BO64" si="218">IF((F62+F63+F64)=0,0,F64/(F62+F63+F64)*$AQ64)</f>
        <v>5.2646301380198254E-2</v>
      </c>
      <c r="AW64" s="125">
        <f t="shared" si="218"/>
        <v>5.9146168609133624E-2</v>
      </c>
      <c r="AX64" s="125">
        <f t="shared" si="218"/>
        <v>0.15689098865254816</v>
      </c>
      <c r="AY64" s="125">
        <f t="shared" si="218"/>
        <v>6.4309712730954857E-2</v>
      </c>
      <c r="AZ64" s="125">
        <f t="shared" si="218"/>
        <v>0.26766435448522163</v>
      </c>
      <c r="BA64" s="125">
        <f t="shared" si="218"/>
        <v>0</v>
      </c>
      <c r="BB64" s="125">
        <f t="shared" si="218"/>
        <v>4.2410565478344507E-2</v>
      </c>
      <c r="BC64" s="125">
        <f t="shared" si="218"/>
        <v>4.9587649613743887E-2</v>
      </c>
      <c r="BD64" s="125">
        <f t="shared" si="218"/>
        <v>0</v>
      </c>
      <c r="BE64" s="125">
        <f t="shared" si="218"/>
        <v>0</v>
      </c>
      <c r="BF64" s="125">
        <f t="shared" si="218"/>
        <v>0</v>
      </c>
      <c r="BG64" s="125">
        <f t="shared" si="218"/>
        <v>0</v>
      </c>
      <c r="BH64" s="125">
        <f t="shared" si="218"/>
        <v>0</v>
      </c>
      <c r="BI64" s="125">
        <f t="shared" si="218"/>
        <v>0</v>
      </c>
      <c r="BJ64" s="125">
        <f t="shared" si="218"/>
        <v>0</v>
      </c>
      <c r="BK64" s="125">
        <f t="shared" si="218"/>
        <v>0</v>
      </c>
      <c r="BL64" s="125">
        <f t="shared" si="218"/>
        <v>0</v>
      </c>
      <c r="BM64" s="125">
        <f t="shared" si="218"/>
        <v>0</v>
      </c>
      <c r="BN64" s="125">
        <f t="shared" si="218"/>
        <v>0</v>
      </c>
      <c r="BO64" s="126">
        <f t="shared" si="218"/>
        <v>0</v>
      </c>
    </row>
    <row r="65" spans="2:67" ht="14.25" customHeight="1" x14ac:dyDescent="0.2">
      <c r="B65" s="133">
        <f>E65/SUM($E$65:$E$67)</f>
        <v>0.67135621782923793</v>
      </c>
      <c r="C65" s="134" t="s">
        <v>0</v>
      </c>
      <c r="D65" s="135"/>
      <c r="E65" s="166">
        <f>CORE!E908</f>
        <v>0.67135621782923804</v>
      </c>
      <c r="F65" s="166">
        <f>CORE!F908</f>
        <v>0.61733054667650178</v>
      </c>
      <c r="G65" s="166">
        <f>CORE!G908</f>
        <v>0.66751283814913331</v>
      </c>
      <c r="H65" s="166">
        <f>CORE!H908</f>
        <v>0.69737421439466452</v>
      </c>
      <c r="I65" s="166">
        <f>CORE!I908</f>
        <v>0</v>
      </c>
      <c r="J65" s="166">
        <f>CORE!J908</f>
        <v>0.39444036650804859</v>
      </c>
      <c r="K65" s="166">
        <f>CORE!K908</f>
        <v>0.49568669157148032</v>
      </c>
      <c r="L65" s="166">
        <f>CORE!L908</f>
        <v>0.18153291738382127</v>
      </c>
      <c r="M65" s="166">
        <f>CORE!M908</f>
        <v>0.47194787683457212</v>
      </c>
      <c r="N65" s="166">
        <f>CORE!N908</f>
        <v>0</v>
      </c>
      <c r="O65" s="166">
        <f>CORE!O908</f>
        <v>0</v>
      </c>
      <c r="P65" s="166">
        <f>CORE!P908</f>
        <v>0</v>
      </c>
      <c r="Q65" s="166">
        <f>CORE!Q908</f>
        <v>0</v>
      </c>
      <c r="R65" s="166">
        <f>CORE!R908</f>
        <v>0</v>
      </c>
      <c r="S65" s="166">
        <f>CORE!S908</f>
        <v>0</v>
      </c>
      <c r="T65" s="166">
        <f>CORE!T908</f>
        <v>0</v>
      </c>
      <c r="U65" s="166">
        <f>CORE!U908</f>
        <v>0</v>
      </c>
      <c r="V65" s="166">
        <f>CORE!V908</f>
        <v>0</v>
      </c>
      <c r="W65" s="166">
        <f>CORE!W908</f>
        <v>0</v>
      </c>
      <c r="X65" s="166">
        <f>CORE!X908</f>
        <v>0</v>
      </c>
      <c r="Y65" s="167">
        <f>CORE!Y908</f>
        <v>0</v>
      </c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2"/>
      <c r="AQ65" s="33">
        <v>2.6672589228532066</v>
      </c>
      <c r="AR65" s="9">
        <f>AU65/SUM($AU65:$AU67)</f>
        <v>0.67135621782923793</v>
      </c>
      <c r="AS65" s="121" t="s">
        <v>0</v>
      </c>
      <c r="AT65" s="30"/>
      <c r="AU65" s="105">
        <f>IF((E65+E66+E67)=0,1,E65/(E65+E66+E67)*$AQ65)</f>
        <v>1.7906808624180159</v>
      </c>
      <c r="AV65" s="105">
        <f t="shared" ref="AV65:BO65" si="219">IF((F65+F66+F67)=0,0,F65/(F65+F66+F67)*$AQ65)</f>
        <v>1.8907088308374398</v>
      </c>
      <c r="AW65" s="105">
        <f t="shared" si="219"/>
        <v>1.7804295736723446</v>
      </c>
      <c r="AX65" s="105">
        <f t="shared" si="219"/>
        <v>1.860077595911914</v>
      </c>
      <c r="AY65" s="105">
        <f t="shared" si="219"/>
        <v>0</v>
      </c>
      <c r="AZ65" s="105">
        <f t="shared" si="219"/>
        <v>1.6452049526799044</v>
      </c>
      <c r="BA65" s="105">
        <f t="shared" si="219"/>
        <v>2.0675018816419115</v>
      </c>
      <c r="BB65" s="105">
        <f t="shared" si="219"/>
        <v>1.3430445336523458</v>
      </c>
      <c r="BC65" s="105">
        <f t="shared" si="219"/>
        <v>1.9684876354032088</v>
      </c>
      <c r="BD65" s="105">
        <f t="shared" si="219"/>
        <v>0</v>
      </c>
      <c r="BE65" s="105">
        <f t="shared" si="219"/>
        <v>0</v>
      </c>
      <c r="BF65" s="105">
        <f t="shared" si="219"/>
        <v>0</v>
      </c>
      <c r="BG65" s="105">
        <f t="shared" si="219"/>
        <v>0</v>
      </c>
      <c r="BH65" s="105">
        <f t="shared" si="219"/>
        <v>0</v>
      </c>
      <c r="BI65" s="105">
        <f t="shared" si="219"/>
        <v>0</v>
      </c>
      <c r="BJ65" s="105">
        <f t="shared" si="219"/>
        <v>0</v>
      </c>
      <c r="BK65" s="105">
        <f t="shared" si="219"/>
        <v>0</v>
      </c>
      <c r="BL65" s="105">
        <f t="shared" si="219"/>
        <v>0</v>
      </c>
      <c r="BM65" s="105">
        <f t="shared" si="219"/>
        <v>0</v>
      </c>
      <c r="BN65" s="105">
        <f t="shared" si="219"/>
        <v>0</v>
      </c>
      <c r="BO65" s="127">
        <f t="shared" si="219"/>
        <v>0</v>
      </c>
    </row>
    <row r="66" spans="2:67" ht="14.25" customHeight="1" x14ac:dyDescent="0.2">
      <c r="B66" s="136">
        <f>E66/SUM($E$65:$E$67)</f>
        <v>0.32077140320432512</v>
      </c>
      <c r="C66" s="137" t="s">
        <v>1</v>
      </c>
      <c r="D66" s="138" t="s">
        <v>148</v>
      </c>
      <c r="E66" s="168">
        <f>CORE!E909</f>
        <v>0.32077140320432518</v>
      </c>
      <c r="F66" s="168">
        <f>CORE!F909</f>
        <v>0.24273341045070818</v>
      </c>
      <c r="G66" s="168">
        <f>CORE!G909</f>
        <v>0.33248716185086657</v>
      </c>
      <c r="H66" s="168">
        <f>CORE!H909</f>
        <v>0.30262578560533548</v>
      </c>
      <c r="I66" s="168">
        <f>CORE!I909</f>
        <v>0</v>
      </c>
      <c r="J66" s="168">
        <f>CORE!J909</f>
        <v>0.23353161068644313</v>
      </c>
      <c r="K66" s="168">
        <f>CORE!K909</f>
        <v>0.1386782682678766</v>
      </c>
      <c r="L66" s="168">
        <f>CORE!L909</f>
        <v>0.17898773666092971</v>
      </c>
      <c r="M66" s="168">
        <f>CORE!M909</f>
        <v>0.14195953854121621</v>
      </c>
      <c r="N66" s="168">
        <f>CORE!N909</f>
        <v>0</v>
      </c>
      <c r="O66" s="168">
        <f>CORE!O909</f>
        <v>0</v>
      </c>
      <c r="P66" s="168">
        <f>CORE!P909</f>
        <v>0</v>
      </c>
      <c r="Q66" s="168">
        <f>CORE!Q909</f>
        <v>0</v>
      </c>
      <c r="R66" s="168">
        <f>CORE!R909</f>
        <v>0</v>
      </c>
      <c r="S66" s="168">
        <f>CORE!S909</f>
        <v>0</v>
      </c>
      <c r="T66" s="168">
        <f>CORE!T909</f>
        <v>0</v>
      </c>
      <c r="U66" s="168">
        <f>CORE!U909</f>
        <v>0</v>
      </c>
      <c r="V66" s="168">
        <f>CORE!V909</f>
        <v>0</v>
      </c>
      <c r="W66" s="168">
        <f>CORE!W909</f>
        <v>0</v>
      </c>
      <c r="X66" s="168">
        <f>CORE!X909</f>
        <v>0</v>
      </c>
      <c r="Y66" s="169">
        <f>CORE!Y909</f>
        <v>0</v>
      </c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2"/>
      <c r="AQ66" s="33">
        <v>2.6672589228532066</v>
      </c>
      <c r="AR66" s="10">
        <f>AU66/SUM($AU65:$AU67)</f>
        <v>0.32077140320432512</v>
      </c>
      <c r="AS66" s="119" t="s">
        <v>1</v>
      </c>
      <c r="AT66" s="32" t="s">
        <v>148</v>
      </c>
      <c r="AU66" s="123">
        <f>IF((E65+E66+E67)=0,1,E66/(E65+E66+E67)*$AQ66)</f>
        <v>0.85558038739287989</v>
      </c>
      <c r="AV66" s="123">
        <f t="shared" ref="AV66:BO66" si="220">IF((F65+F66+F67)=0,0,F66/(F65+F66+F67)*$AQ66)</f>
        <v>0.74342377053785935</v>
      </c>
      <c r="AW66" s="123">
        <f t="shared" si="220"/>
        <v>0.88682934918086231</v>
      </c>
      <c r="AX66" s="123">
        <f t="shared" si="220"/>
        <v>0.80718132694129252</v>
      </c>
      <c r="AY66" s="123">
        <f t="shared" si="220"/>
        <v>0</v>
      </c>
      <c r="AZ66" s="123">
        <f t="shared" si="220"/>
        <v>0.97405690474839302</v>
      </c>
      <c r="BA66" s="123">
        <f t="shared" si="220"/>
        <v>0.5784250121335579</v>
      </c>
      <c r="BB66" s="123">
        <f t="shared" si="220"/>
        <v>1.3242143892008609</v>
      </c>
      <c r="BC66" s="123">
        <f t="shared" si="220"/>
        <v>0.59211114206131088</v>
      </c>
      <c r="BD66" s="123">
        <f t="shared" si="220"/>
        <v>0</v>
      </c>
      <c r="BE66" s="123">
        <f t="shared" si="220"/>
        <v>0</v>
      </c>
      <c r="BF66" s="123">
        <f t="shared" si="220"/>
        <v>0</v>
      </c>
      <c r="BG66" s="123">
        <f t="shared" si="220"/>
        <v>0</v>
      </c>
      <c r="BH66" s="123">
        <f t="shared" si="220"/>
        <v>0</v>
      </c>
      <c r="BI66" s="123">
        <f t="shared" si="220"/>
        <v>0</v>
      </c>
      <c r="BJ66" s="123">
        <f t="shared" si="220"/>
        <v>0</v>
      </c>
      <c r="BK66" s="123">
        <f t="shared" si="220"/>
        <v>0</v>
      </c>
      <c r="BL66" s="123">
        <f t="shared" si="220"/>
        <v>0</v>
      </c>
      <c r="BM66" s="123">
        <f t="shared" si="220"/>
        <v>0</v>
      </c>
      <c r="BN66" s="123">
        <f t="shared" si="220"/>
        <v>0</v>
      </c>
      <c r="BO66" s="124">
        <f t="shared" si="220"/>
        <v>0</v>
      </c>
    </row>
    <row r="67" spans="2:67" ht="14.25" customHeight="1" thickBot="1" x14ac:dyDescent="0.25">
      <c r="B67" s="139">
        <f>E67/SUM($E$65:$E$67)</f>
        <v>7.8723789664369107E-3</v>
      </c>
      <c r="C67" s="140" t="s">
        <v>2</v>
      </c>
      <c r="D67" s="141"/>
      <c r="E67" s="170">
        <f>CORE!E910</f>
        <v>7.8723789664369125E-3</v>
      </c>
      <c r="F67" s="170">
        <f>CORE!F910</f>
        <v>1.081599123767797E-2</v>
      </c>
      <c r="G67" s="170">
        <f>CORE!G910</f>
        <v>0</v>
      </c>
      <c r="H67" s="170">
        <f>CORE!H910</f>
        <v>0</v>
      </c>
      <c r="I67" s="170">
        <f>CORE!I910</f>
        <v>0</v>
      </c>
      <c r="J67" s="170">
        <f>CORE!J910</f>
        <v>1.15073687607573E-2</v>
      </c>
      <c r="K67" s="170">
        <f>CORE!K910</f>
        <v>5.114386115892133E-3</v>
      </c>
      <c r="L67" s="170">
        <f>CORE!L910</f>
        <v>0</v>
      </c>
      <c r="M67" s="170">
        <f>CORE!M910</f>
        <v>2.5571930579460667E-2</v>
      </c>
      <c r="N67" s="170">
        <f>CORE!N910</f>
        <v>0</v>
      </c>
      <c r="O67" s="170">
        <f>CORE!O910</f>
        <v>0</v>
      </c>
      <c r="P67" s="170">
        <f>CORE!P910</f>
        <v>0</v>
      </c>
      <c r="Q67" s="170">
        <f>CORE!Q910</f>
        <v>0</v>
      </c>
      <c r="R67" s="170">
        <f>CORE!R910</f>
        <v>0</v>
      </c>
      <c r="S67" s="170">
        <f>CORE!S910</f>
        <v>0</v>
      </c>
      <c r="T67" s="170">
        <f>CORE!T910</f>
        <v>0</v>
      </c>
      <c r="U67" s="170">
        <f>CORE!U910</f>
        <v>0</v>
      </c>
      <c r="V67" s="170">
        <f>CORE!V910</f>
        <v>0</v>
      </c>
      <c r="W67" s="170">
        <f>CORE!W910</f>
        <v>0</v>
      </c>
      <c r="X67" s="170">
        <f>CORE!X910</f>
        <v>0</v>
      </c>
      <c r="Y67" s="171">
        <f>CORE!Y910</f>
        <v>0</v>
      </c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2"/>
      <c r="AQ67" s="33">
        <v>2.6672589228532066</v>
      </c>
      <c r="AR67" s="11">
        <f>AU67/SUM($AU65:$AU67)</f>
        <v>7.8723789664369107E-3</v>
      </c>
      <c r="AS67" s="120" t="s">
        <v>2</v>
      </c>
      <c r="AT67" s="31"/>
      <c r="AU67" s="125">
        <f>IF((E65+E66+E67)=0,1,E67/(E65+E66+E67)*$AQ67)</f>
        <v>2.0997673042310754E-2</v>
      </c>
      <c r="AV67" s="125">
        <f t="shared" ref="AV67:BO67" si="221">IF((F65+F66+F67)=0,0,F67/(F65+F66+F67)*$AQ67)</f>
        <v>3.3126321477907388E-2</v>
      </c>
      <c r="AW67" s="125">
        <f t="shared" si="221"/>
        <v>0</v>
      </c>
      <c r="AX67" s="125">
        <f t="shared" si="221"/>
        <v>0</v>
      </c>
      <c r="AY67" s="125">
        <f t="shared" si="221"/>
        <v>0</v>
      </c>
      <c r="AZ67" s="125">
        <f t="shared" si="221"/>
        <v>4.7997065424909079E-2</v>
      </c>
      <c r="BA67" s="125">
        <f t="shared" si="221"/>
        <v>2.1332029077737371E-2</v>
      </c>
      <c r="BB67" s="125">
        <f t="shared" si="221"/>
        <v>0</v>
      </c>
      <c r="BC67" s="125">
        <f t="shared" si="221"/>
        <v>0.10666014538868684</v>
      </c>
      <c r="BD67" s="125">
        <f t="shared" si="221"/>
        <v>0</v>
      </c>
      <c r="BE67" s="125">
        <f t="shared" si="221"/>
        <v>0</v>
      </c>
      <c r="BF67" s="125">
        <f t="shared" si="221"/>
        <v>0</v>
      </c>
      <c r="BG67" s="125">
        <f t="shared" si="221"/>
        <v>0</v>
      </c>
      <c r="BH67" s="125">
        <f t="shared" si="221"/>
        <v>0</v>
      </c>
      <c r="BI67" s="125">
        <f t="shared" si="221"/>
        <v>0</v>
      </c>
      <c r="BJ67" s="125">
        <f t="shared" si="221"/>
        <v>0</v>
      </c>
      <c r="BK67" s="125">
        <f t="shared" si="221"/>
        <v>0</v>
      </c>
      <c r="BL67" s="125">
        <f t="shared" si="221"/>
        <v>0</v>
      </c>
      <c r="BM67" s="125">
        <f t="shared" si="221"/>
        <v>0</v>
      </c>
      <c r="BN67" s="125">
        <f t="shared" si="221"/>
        <v>0</v>
      </c>
      <c r="BO67" s="126">
        <f t="shared" si="221"/>
        <v>0</v>
      </c>
    </row>
    <row r="68" spans="2:67" ht="14.25" customHeight="1" x14ac:dyDescent="0.2">
      <c r="B68" s="133">
        <f>E68/SUM($E$68:$E$70)</f>
        <v>0.58970964747514787</v>
      </c>
      <c r="C68" s="134" t="s">
        <v>0</v>
      </c>
      <c r="D68" s="135"/>
      <c r="E68" s="166">
        <f>CORE!E945</f>
        <v>0.58970964747514787</v>
      </c>
      <c r="F68" s="166">
        <f>CORE!F945</f>
        <v>0.3480602105823879</v>
      </c>
      <c r="G68" s="166">
        <f>CORE!G945</f>
        <v>0.4478000426098151</v>
      </c>
      <c r="H68" s="166">
        <f>CORE!H945</f>
        <v>0.54240144283759717</v>
      </c>
      <c r="I68" s="166">
        <f>CORE!I945</f>
        <v>0.38994715509573791</v>
      </c>
      <c r="J68" s="166">
        <f>CORE!J945</f>
        <v>0.63496076997317963</v>
      </c>
      <c r="K68" s="166">
        <f>CORE!K945</f>
        <v>0.57502108592958234</v>
      </c>
      <c r="L68" s="166">
        <f>CORE!L945</f>
        <v>0</v>
      </c>
      <c r="M68" s="166">
        <f>CORE!M945</f>
        <v>0.56419568834216782</v>
      </c>
      <c r="N68" s="166">
        <f>CORE!N945</f>
        <v>0</v>
      </c>
      <c r="O68" s="166">
        <f>CORE!O945</f>
        <v>0</v>
      </c>
      <c r="P68" s="166">
        <f>CORE!P945</f>
        <v>0</v>
      </c>
      <c r="Q68" s="166">
        <f>CORE!Q945</f>
        <v>0</v>
      </c>
      <c r="R68" s="166">
        <f>CORE!R945</f>
        <v>0</v>
      </c>
      <c r="S68" s="166">
        <f>CORE!S945</f>
        <v>0</v>
      </c>
      <c r="T68" s="166">
        <f>CORE!T945</f>
        <v>0</v>
      </c>
      <c r="U68" s="166">
        <f>CORE!U945</f>
        <v>0</v>
      </c>
      <c r="V68" s="166">
        <f>CORE!V945</f>
        <v>0</v>
      </c>
      <c r="W68" s="166">
        <f>CORE!W945</f>
        <v>0</v>
      </c>
      <c r="X68" s="166">
        <f>CORE!X945</f>
        <v>0</v>
      </c>
      <c r="Y68" s="167">
        <f>CORE!Y945</f>
        <v>0</v>
      </c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2"/>
      <c r="AQ68" s="33">
        <v>1.4142137442791383</v>
      </c>
      <c r="AR68" s="9">
        <f>AU68/SUM($AU68:$AU70)</f>
        <v>0.58970964747514787</v>
      </c>
      <c r="AS68" s="121" t="s">
        <v>0</v>
      </c>
      <c r="AT68" s="30"/>
      <c r="AU68" s="105">
        <f>IF((E68+E69+E70)=0,1,E68/(E68+E69+E70)*$AQ68)</f>
        <v>0.83397548859335957</v>
      </c>
      <c r="AV68" s="105">
        <f t="shared" ref="AV68:BO68" si="222">IF((F68+F69+F70)=0,0,F68/(F68+F69+F70)*$AQ68)</f>
        <v>0.97531982364078496</v>
      </c>
      <c r="AW68" s="105">
        <f t="shared" si="222"/>
        <v>0.85808994991262477</v>
      </c>
      <c r="AX68" s="105">
        <f t="shared" si="222"/>
        <v>0.76707157537776527</v>
      </c>
      <c r="AY68" s="105">
        <f t="shared" si="222"/>
        <v>0.74723024329015153</v>
      </c>
      <c r="AZ68" s="105">
        <f t="shared" si="222"/>
        <v>0.89797024797413494</v>
      </c>
      <c r="BA68" s="105">
        <f t="shared" si="222"/>
        <v>0.81320272297193075</v>
      </c>
      <c r="BB68" s="105">
        <f t="shared" si="222"/>
        <v>0</v>
      </c>
      <c r="BC68" s="105">
        <f t="shared" si="222"/>
        <v>1.0407254548274296</v>
      </c>
      <c r="BD68" s="105">
        <f t="shared" si="222"/>
        <v>0</v>
      </c>
      <c r="BE68" s="105">
        <f t="shared" si="222"/>
        <v>0</v>
      </c>
      <c r="BF68" s="105">
        <f t="shared" si="222"/>
        <v>0</v>
      </c>
      <c r="BG68" s="105">
        <f t="shared" si="222"/>
        <v>0</v>
      </c>
      <c r="BH68" s="105">
        <f t="shared" si="222"/>
        <v>0</v>
      </c>
      <c r="BI68" s="105">
        <f t="shared" si="222"/>
        <v>0</v>
      </c>
      <c r="BJ68" s="105">
        <f t="shared" si="222"/>
        <v>0</v>
      </c>
      <c r="BK68" s="105">
        <f t="shared" si="222"/>
        <v>0</v>
      </c>
      <c r="BL68" s="105">
        <f t="shared" si="222"/>
        <v>0</v>
      </c>
      <c r="BM68" s="105">
        <f t="shared" si="222"/>
        <v>0</v>
      </c>
      <c r="BN68" s="105">
        <f t="shared" si="222"/>
        <v>0</v>
      </c>
      <c r="BO68" s="127">
        <f t="shared" si="222"/>
        <v>0</v>
      </c>
    </row>
    <row r="69" spans="2:67" ht="14.25" customHeight="1" x14ac:dyDescent="0.2">
      <c r="B69" s="136">
        <f>E69/SUM($E$68:$E$70)</f>
        <v>0.41029035252485213</v>
      </c>
      <c r="C69" s="137" t="s">
        <v>1</v>
      </c>
      <c r="D69" s="138" t="s">
        <v>149</v>
      </c>
      <c r="E69" s="168">
        <f>CORE!E946</f>
        <v>0.41029035252485213</v>
      </c>
      <c r="F69" s="168">
        <f>CORE!F946</f>
        <v>0.15662709476207456</v>
      </c>
      <c r="G69" s="168">
        <f>CORE!G946</f>
        <v>0.29021696249794626</v>
      </c>
      <c r="H69" s="168">
        <f>CORE!H946</f>
        <v>0.45759855716240283</v>
      </c>
      <c r="I69" s="168">
        <f>CORE!I946</f>
        <v>0.3480698500120234</v>
      </c>
      <c r="J69" s="168">
        <f>CORE!J946</f>
        <v>0.36503923002682043</v>
      </c>
      <c r="K69" s="168">
        <f>CORE!K946</f>
        <v>0.42497891407041777</v>
      </c>
      <c r="L69" s="168">
        <f>CORE!L946</f>
        <v>0</v>
      </c>
      <c r="M69" s="168">
        <f>CORE!M946</f>
        <v>0.20247461189453339</v>
      </c>
      <c r="N69" s="168">
        <f>CORE!N946</f>
        <v>0</v>
      </c>
      <c r="O69" s="168">
        <f>CORE!O946</f>
        <v>0</v>
      </c>
      <c r="P69" s="168">
        <f>CORE!P946</f>
        <v>0</v>
      </c>
      <c r="Q69" s="168">
        <f>CORE!Q946</f>
        <v>0</v>
      </c>
      <c r="R69" s="168">
        <f>CORE!R946</f>
        <v>0</v>
      </c>
      <c r="S69" s="168">
        <f>CORE!S946</f>
        <v>0</v>
      </c>
      <c r="T69" s="168">
        <f>CORE!T946</f>
        <v>0</v>
      </c>
      <c r="U69" s="168">
        <f>CORE!U946</f>
        <v>0</v>
      </c>
      <c r="V69" s="168">
        <f>CORE!V946</f>
        <v>0</v>
      </c>
      <c r="W69" s="168">
        <f>CORE!W946</f>
        <v>0</v>
      </c>
      <c r="X69" s="168">
        <f>CORE!X946</f>
        <v>0</v>
      </c>
      <c r="Y69" s="169">
        <f>CORE!Y946</f>
        <v>0</v>
      </c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2"/>
      <c r="AQ69" s="33">
        <v>1.4142137442791383</v>
      </c>
      <c r="AR69" s="10">
        <f>AU69/SUM($AU68:$AU70)</f>
        <v>0.41029035252485213</v>
      </c>
      <c r="AS69" s="119" t="s">
        <v>1</v>
      </c>
      <c r="AT69" s="32" t="s">
        <v>149</v>
      </c>
      <c r="AU69" s="123">
        <f>IF((E68+E69+E70)=0,1,E69/(E68+E69+E70)*$AQ69)</f>
        <v>0.58023825568577869</v>
      </c>
      <c r="AV69" s="123">
        <f t="shared" ref="AV69:BO69" si="223">IF((F68+F69+F70)=0,0,F69/(F68+F69+F70)*$AQ69)</f>
        <v>0.43889392063835325</v>
      </c>
      <c r="AW69" s="123">
        <f t="shared" si="223"/>
        <v>0.55612379436651349</v>
      </c>
      <c r="AX69" s="123">
        <f t="shared" si="223"/>
        <v>0.64714216890137299</v>
      </c>
      <c r="AY69" s="123">
        <f t="shared" si="223"/>
        <v>0.66698350098898695</v>
      </c>
      <c r="AZ69" s="123">
        <f t="shared" si="223"/>
        <v>0.51624349630500332</v>
      </c>
      <c r="BA69" s="123">
        <f t="shared" si="223"/>
        <v>0.60101102130720763</v>
      </c>
      <c r="BB69" s="123">
        <f t="shared" si="223"/>
        <v>0</v>
      </c>
      <c r="BC69" s="123">
        <f t="shared" si="223"/>
        <v>0.37348828945170864</v>
      </c>
      <c r="BD69" s="123">
        <f t="shared" si="223"/>
        <v>0</v>
      </c>
      <c r="BE69" s="123">
        <f t="shared" si="223"/>
        <v>0</v>
      </c>
      <c r="BF69" s="123">
        <f t="shared" si="223"/>
        <v>0</v>
      </c>
      <c r="BG69" s="123">
        <f t="shared" si="223"/>
        <v>0</v>
      </c>
      <c r="BH69" s="123">
        <f t="shared" si="223"/>
        <v>0</v>
      </c>
      <c r="BI69" s="123">
        <f t="shared" si="223"/>
        <v>0</v>
      </c>
      <c r="BJ69" s="123">
        <f t="shared" si="223"/>
        <v>0</v>
      </c>
      <c r="BK69" s="123">
        <f t="shared" si="223"/>
        <v>0</v>
      </c>
      <c r="BL69" s="123">
        <f t="shared" si="223"/>
        <v>0</v>
      </c>
      <c r="BM69" s="123">
        <f t="shared" si="223"/>
        <v>0</v>
      </c>
      <c r="BN69" s="123">
        <f t="shared" si="223"/>
        <v>0</v>
      </c>
      <c r="BO69" s="124">
        <f t="shared" si="223"/>
        <v>0</v>
      </c>
    </row>
    <row r="70" spans="2:67" ht="14.25" customHeight="1" thickBot="1" x14ac:dyDescent="0.25">
      <c r="B70" s="139">
        <f>E70/SUM($E$68:$E$70)</f>
        <v>0</v>
      </c>
      <c r="C70" s="140" t="s">
        <v>2</v>
      </c>
      <c r="D70" s="141"/>
      <c r="E70" s="170">
        <f>CORE!E947</f>
        <v>0</v>
      </c>
      <c r="F70" s="170">
        <f>CORE!F947</f>
        <v>0</v>
      </c>
      <c r="G70" s="170">
        <f>CORE!G947</f>
        <v>0</v>
      </c>
      <c r="H70" s="170">
        <f>CORE!H947</f>
        <v>0</v>
      </c>
      <c r="I70" s="170">
        <f>CORE!I947</f>
        <v>0</v>
      </c>
      <c r="J70" s="170">
        <f>CORE!J947</f>
        <v>0</v>
      </c>
      <c r="K70" s="170">
        <f>CORE!K947</f>
        <v>0</v>
      </c>
      <c r="L70" s="170">
        <f>CORE!L947</f>
        <v>0</v>
      </c>
      <c r="M70" s="170">
        <f>CORE!M947</f>
        <v>0</v>
      </c>
      <c r="N70" s="170">
        <f>CORE!N947</f>
        <v>0</v>
      </c>
      <c r="O70" s="170">
        <f>CORE!O947</f>
        <v>0</v>
      </c>
      <c r="P70" s="170">
        <f>CORE!P947</f>
        <v>0</v>
      </c>
      <c r="Q70" s="170">
        <f>CORE!Q947</f>
        <v>0</v>
      </c>
      <c r="R70" s="170">
        <f>CORE!R947</f>
        <v>0</v>
      </c>
      <c r="S70" s="170">
        <f>CORE!S947</f>
        <v>0</v>
      </c>
      <c r="T70" s="170">
        <f>CORE!T947</f>
        <v>0</v>
      </c>
      <c r="U70" s="170">
        <f>CORE!U947</f>
        <v>0</v>
      </c>
      <c r="V70" s="170">
        <f>CORE!V947</f>
        <v>0</v>
      </c>
      <c r="W70" s="170">
        <f>CORE!W947</f>
        <v>0</v>
      </c>
      <c r="X70" s="170">
        <f>CORE!X947</f>
        <v>0</v>
      </c>
      <c r="Y70" s="171">
        <f>CORE!Y947</f>
        <v>0</v>
      </c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2"/>
      <c r="AQ70" s="33">
        <v>1.4142137442791383</v>
      </c>
      <c r="AR70" s="11">
        <f>AU70/SUM($AU68:$AU70)</f>
        <v>0</v>
      </c>
      <c r="AS70" s="120" t="s">
        <v>2</v>
      </c>
      <c r="AT70" s="31"/>
      <c r="AU70" s="125">
        <f>IF((E68+E69+E70)=0,1,E70/(E68+E69+E70)*$AQ70)</f>
        <v>0</v>
      </c>
      <c r="AV70" s="125">
        <f t="shared" ref="AV70:BO70" si="224">IF((F68+F69+F70)=0,0,F70/(F68+F69+F70)*$AQ70)</f>
        <v>0</v>
      </c>
      <c r="AW70" s="125">
        <f t="shared" si="224"/>
        <v>0</v>
      </c>
      <c r="AX70" s="125">
        <f t="shared" si="224"/>
        <v>0</v>
      </c>
      <c r="AY70" s="125">
        <f t="shared" si="224"/>
        <v>0</v>
      </c>
      <c r="AZ70" s="125">
        <f t="shared" si="224"/>
        <v>0</v>
      </c>
      <c r="BA70" s="125">
        <f t="shared" si="224"/>
        <v>0</v>
      </c>
      <c r="BB70" s="125">
        <f t="shared" si="224"/>
        <v>0</v>
      </c>
      <c r="BC70" s="125">
        <f t="shared" si="224"/>
        <v>0</v>
      </c>
      <c r="BD70" s="125">
        <f t="shared" si="224"/>
        <v>0</v>
      </c>
      <c r="BE70" s="125">
        <f t="shared" si="224"/>
        <v>0</v>
      </c>
      <c r="BF70" s="125">
        <f t="shared" si="224"/>
        <v>0</v>
      </c>
      <c r="BG70" s="125">
        <f t="shared" si="224"/>
        <v>0</v>
      </c>
      <c r="BH70" s="125">
        <f t="shared" si="224"/>
        <v>0</v>
      </c>
      <c r="BI70" s="125">
        <f t="shared" si="224"/>
        <v>0</v>
      </c>
      <c r="BJ70" s="125">
        <f t="shared" si="224"/>
        <v>0</v>
      </c>
      <c r="BK70" s="125">
        <f t="shared" si="224"/>
        <v>0</v>
      </c>
      <c r="BL70" s="125">
        <f t="shared" si="224"/>
        <v>0</v>
      </c>
      <c r="BM70" s="125">
        <f t="shared" si="224"/>
        <v>0</v>
      </c>
      <c r="BN70" s="125">
        <f t="shared" si="224"/>
        <v>0</v>
      </c>
      <c r="BO70" s="126">
        <f t="shared" si="224"/>
        <v>0</v>
      </c>
    </row>
    <row r="71" spans="2:67" ht="14.25" customHeight="1" x14ac:dyDescent="0.2">
      <c r="B71" s="133">
        <f>E71/SUM($E$71:$E$73)</f>
        <v>0.6088866951369748</v>
      </c>
      <c r="C71" s="134" t="s">
        <v>0</v>
      </c>
      <c r="D71" s="135"/>
      <c r="E71" s="166">
        <f>CORE!E970</f>
        <v>0.6088866951369748</v>
      </c>
      <c r="F71" s="166">
        <f>CORE!F970</f>
        <v>0.54784384853263179</v>
      </c>
      <c r="G71" s="166">
        <f>CORE!G970</f>
        <v>0.49452774826345702</v>
      </c>
      <c r="H71" s="166">
        <f>CORE!H970</f>
        <v>0.5250390608945712</v>
      </c>
      <c r="I71" s="166">
        <f>CORE!I970</f>
        <v>0.70619241377386921</v>
      </c>
      <c r="J71" s="166">
        <f>CORE!J970</f>
        <v>0.61585165632338057</v>
      </c>
      <c r="K71" s="166">
        <f>CORE!K970</f>
        <v>0.56177608943193469</v>
      </c>
      <c r="L71" s="166">
        <f>CORE!L970</f>
        <v>0.25674044162222698</v>
      </c>
      <c r="M71" s="166">
        <f>CORE!M970</f>
        <v>0.5864336515752363</v>
      </c>
      <c r="N71" s="166">
        <f>CORE!N970</f>
        <v>0.38795148200665142</v>
      </c>
      <c r="O71" s="166">
        <f>CORE!O970</f>
        <v>0</v>
      </c>
      <c r="P71" s="166">
        <f>CORE!P970</f>
        <v>0</v>
      </c>
      <c r="Q71" s="166">
        <f>CORE!Q970</f>
        <v>0.14771354150611879</v>
      </c>
      <c r="R71" s="166">
        <f>CORE!R970</f>
        <v>0</v>
      </c>
      <c r="S71" s="166">
        <f>CORE!S970</f>
        <v>0</v>
      </c>
      <c r="T71" s="166">
        <f>CORE!T970</f>
        <v>0</v>
      </c>
      <c r="U71" s="166">
        <f>CORE!U970</f>
        <v>0</v>
      </c>
      <c r="V71" s="166">
        <f>CORE!V970</f>
        <v>0</v>
      </c>
      <c r="W71" s="166">
        <f>CORE!W970</f>
        <v>0</v>
      </c>
      <c r="X71" s="166">
        <f>CORE!X970</f>
        <v>0</v>
      </c>
      <c r="Y71" s="167">
        <f>CORE!Y970</f>
        <v>0</v>
      </c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2"/>
      <c r="AQ71" s="33">
        <v>2.1559965353864028</v>
      </c>
      <c r="AR71" s="9">
        <f>AU71/SUM($AU71:$AU73)</f>
        <v>0.6088866951369748</v>
      </c>
      <c r="AS71" s="121" t="s">
        <v>0</v>
      </c>
      <c r="AT71" s="30"/>
      <c r="AU71" s="105">
        <f>IF((E71+E72+E73)=0,1,E71/(E71+E72+E73)*$AQ71)</f>
        <v>1.3127576051581946</v>
      </c>
      <c r="AV71" s="105">
        <f t="shared" ref="AV71:BO71" si="225">IF((F71+F72+F73)=0,0,F71/(F71+F72+F73)*$AQ71)</f>
        <v>1.1811494393691073</v>
      </c>
      <c r="AW71" s="105">
        <f t="shared" si="225"/>
        <v>1.4144134875833922</v>
      </c>
      <c r="AX71" s="105">
        <f t="shared" si="225"/>
        <v>1.3270805393998286</v>
      </c>
      <c r="AY71" s="105">
        <f t="shared" si="225"/>
        <v>1.8133771160996917</v>
      </c>
      <c r="AZ71" s="105">
        <f t="shared" si="225"/>
        <v>1.3277740373451863</v>
      </c>
      <c r="BA71" s="105">
        <f t="shared" si="225"/>
        <v>1.2111873024781734</v>
      </c>
      <c r="BB71" s="105">
        <f t="shared" si="225"/>
        <v>1.3368657877016434</v>
      </c>
      <c r="BC71" s="105">
        <f t="shared" si="225"/>
        <v>1.2643489210302064</v>
      </c>
      <c r="BD71" s="105">
        <f t="shared" si="225"/>
        <v>1.2668437422542764</v>
      </c>
      <c r="BE71" s="105">
        <f t="shared" si="225"/>
        <v>0</v>
      </c>
      <c r="BF71" s="105">
        <f t="shared" si="225"/>
        <v>0</v>
      </c>
      <c r="BG71" s="105">
        <f t="shared" si="225"/>
        <v>1.2935979212318416</v>
      </c>
      <c r="BH71" s="105">
        <f t="shared" si="225"/>
        <v>0</v>
      </c>
      <c r="BI71" s="105">
        <f t="shared" si="225"/>
        <v>0</v>
      </c>
      <c r="BJ71" s="105">
        <f t="shared" si="225"/>
        <v>0</v>
      </c>
      <c r="BK71" s="105">
        <f t="shared" si="225"/>
        <v>0</v>
      </c>
      <c r="BL71" s="105">
        <f t="shared" si="225"/>
        <v>0</v>
      </c>
      <c r="BM71" s="105">
        <f t="shared" si="225"/>
        <v>0</v>
      </c>
      <c r="BN71" s="105">
        <f t="shared" si="225"/>
        <v>0</v>
      </c>
      <c r="BO71" s="127">
        <f t="shared" si="225"/>
        <v>0</v>
      </c>
    </row>
    <row r="72" spans="2:67" ht="14.25" customHeight="1" x14ac:dyDescent="0.2">
      <c r="B72" s="136">
        <f>E72/SUM($E$71:$E$73)</f>
        <v>0.38375001547190568</v>
      </c>
      <c r="C72" s="137" t="s">
        <v>1</v>
      </c>
      <c r="D72" s="138" t="s">
        <v>152</v>
      </c>
      <c r="E72" s="168">
        <f>CORE!E971</f>
        <v>0.38375001547190568</v>
      </c>
      <c r="F72" s="168">
        <f>CORE!F971</f>
        <v>0.44272205663095016</v>
      </c>
      <c r="G72" s="168">
        <f>CORE!G971</f>
        <v>0.2592830158930115</v>
      </c>
      <c r="H72" s="168">
        <f>CORE!H971</f>
        <v>0.32794790004991253</v>
      </c>
      <c r="I72" s="168">
        <f>CORE!I971</f>
        <v>0.13342797400702522</v>
      </c>
      <c r="J72" s="168">
        <f>CORE!J971</f>
        <v>0.37494011526408477</v>
      </c>
      <c r="K72" s="168">
        <f>CORE!K971</f>
        <v>0.4382239105680652</v>
      </c>
      <c r="L72" s="168">
        <f>CORE!L971</f>
        <v>0.15731122139679213</v>
      </c>
      <c r="M72" s="168">
        <f>CORE!M971</f>
        <v>0.39988916865567853</v>
      </c>
      <c r="N72" s="168">
        <f>CORE!N971</f>
        <v>0.25250877804378774</v>
      </c>
      <c r="O72" s="168">
        <f>CORE!O971</f>
        <v>0</v>
      </c>
      <c r="P72" s="168">
        <f>CORE!P971</f>
        <v>0</v>
      </c>
      <c r="Q72" s="168">
        <f>CORE!Q971</f>
        <v>9.8475694337412531E-2</v>
      </c>
      <c r="R72" s="168">
        <f>CORE!R971</f>
        <v>0</v>
      </c>
      <c r="S72" s="168">
        <f>CORE!S971</f>
        <v>0</v>
      </c>
      <c r="T72" s="168">
        <f>CORE!T971</f>
        <v>0</v>
      </c>
      <c r="U72" s="168">
        <f>CORE!U971</f>
        <v>0</v>
      </c>
      <c r="V72" s="168">
        <f>CORE!V971</f>
        <v>0</v>
      </c>
      <c r="W72" s="168">
        <f>CORE!W971</f>
        <v>0</v>
      </c>
      <c r="X72" s="168">
        <f>CORE!X971</f>
        <v>0</v>
      </c>
      <c r="Y72" s="169">
        <f>CORE!Y971</f>
        <v>0</v>
      </c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2"/>
      <c r="AQ72" s="33">
        <v>2.1559965353864028</v>
      </c>
      <c r="AR72" s="10">
        <f>AU72/SUM($AU71:$AU73)</f>
        <v>0.38375001547190568</v>
      </c>
      <c r="AS72" s="119" t="s">
        <v>1</v>
      </c>
      <c r="AT72" s="32" t="s">
        <v>152</v>
      </c>
      <c r="AU72" s="123">
        <f>IF((E71+E72+E73)=0,1,E72/(E71+E72+E73)*$AQ72)</f>
        <v>0.82736370381190716</v>
      </c>
      <c r="AV72" s="123">
        <f t="shared" ref="AV72:BO72" si="226">IF((F71+F72+F73)=0,0,F72/(F71+F72+F73)*$AQ72)</f>
        <v>0.9545072202354713</v>
      </c>
      <c r="AW72" s="123">
        <f t="shared" si="226"/>
        <v>0.74158304780301076</v>
      </c>
      <c r="AX72" s="123">
        <f t="shared" si="226"/>
        <v>0.82891599598657406</v>
      </c>
      <c r="AY72" s="123">
        <f t="shared" si="226"/>
        <v>0.34261941928671125</v>
      </c>
      <c r="AZ72" s="123">
        <f t="shared" si="226"/>
        <v>0.80836958948674542</v>
      </c>
      <c r="BA72" s="123">
        <f t="shared" si="226"/>
        <v>0.94480923290822949</v>
      </c>
      <c r="BB72" s="123">
        <f t="shared" si="226"/>
        <v>0.81913074768475957</v>
      </c>
      <c r="BC72" s="123">
        <f t="shared" si="226"/>
        <v>0.8621596621601918</v>
      </c>
      <c r="BD72" s="123">
        <f t="shared" si="226"/>
        <v>0.82455971987642018</v>
      </c>
      <c r="BE72" s="123">
        <f t="shared" si="226"/>
        <v>0</v>
      </c>
      <c r="BF72" s="123">
        <f t="shared" si="226"/>
        <v>0</v>
      </c>
      <c r="BG72" s="123">
        <f t="shared" si="226"/>
        <v>0.8623986141545612</v>
      </c>
      <c r="BH72" s="123">
        <f t="shared" si="226"/>
        <v>0</v>
      </c>
      <c r="BI72" s="123">
        <f t="shared" si="226"/>
        <v>0</v>
      </c>
      <c r="BJ72" s="123">
        <f t="shared" si="226"/>
        <v>0</v>
      </c>
      <c r="BK72" s="123">
        <f t="shared" si="226"/>
        <v>0</v>
      </c>
      <c r="BL72" s="123">
        <f t="shared" si="226"/>
        <v>0</v>
      </c>
      <c r="BM72" s="123">
        <f t="shared" si="226"/>
        <v>0</v>
      </c>
      <c r="BN72" s="123">
        <f t="shared" si="226"/>
        <v>0</v>
      </c>
      <c r="BO72" s="124">
        <f t="shared" si="226"/>
        <v>0</v>
      </c>
    </row>
    <row r="73" spans="2:67" ht="14.25" customHeight="1" thickBot="1" x14ac:dyDescent="0.25">
      <c r="B73" s="139">
        <f>E73/SUM($E$71:$E$73)</f>
        <v>7.3632893911195294E-3</v>
      </c>
      <c r="C73" s="140" t="s">
        <v>2</v>
      </c>
      <c r="D73" s="141"/>
      <c r="E73" s="170">
        <f>CORE!E972</f>
        <v>7.3632893911195294E-3</v>
      </c>
      <c r="F73" s="170">
        <f>CORE!F972</f>
        <v>9.4340948364179684E-3</v>
      </c>
      <c r="G73" s="170">
        <f>CORE!G972</f>
        <v>0</v>
      </c>
      <c r="H73" s="170">
        <f>CORE!H972</f>
        <v>0</v>
      </c>
      <c r="I73" s="170">
        <f>CORE!I972</f>
        <v>0</v>
      </c>
      <c r="J73" s="170">
        <f>CORE!J972</f>
        <v>9.2082284125345852E-3</v>
      </c>
      <c r="K73" s="170">
        <f>CORE!K972</f>
        <v>0</v>
      </c>
      <c r="L73" s="170">
        <f>CORE!L972</f>
        <v>0</v>
      </c>
      <c r="M73" s="170">
        <f>CORE!M972</f>
        <v>1.3677179769085075E-2</v>
      </c>
      <c r="N73" s="170">
        <f>CORE!N972</f>
        <v>1.9780638812111333E-2</v>
      </c>
      <c r="O73" s="170">
        <f>CORE!O972</f>
        <v>0</v>
      </c>
      <c r="P73" s="170">
        <f>CORE!P972</f>
        <v>0</v>
      </c>
      <c r="Q73" s="170">
        <f>CORE!Q972</f>
        <v>0</v>
      </c>
      <c r="R73" s="170">
        <f>CORE!R972</f>
        <v>0</v>
      </c>
      <c r="S73" s="170">
        <f>CORE!S972</f>
        <v>0</v>
      </c>
      <c r="T73" s="170">
        <f>CORE!T972</f>
        <v>0</v>
      </c>
      <c r="U73" s="170">
        <f>CORE!U972</f>
        <v>0</v>
      </c>
      <c r="V73" s="170">
        <f>CORE!V972</f>
        <v>0</v>
      </c>
      <c r="W73" s="170">
        <f>CORE!W972</f>
        <v>0</v>
      </c>
      <c r="X73" s="170">
        <f>CORE!X972</f>
        <v>0</v>
      </c>
      <c r="Y73" s="171">
        <f>CORE!Y972</f>
        <v>0</v>
      </c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2"/>
      <c r="AQ73" s="33">
        <v>2.1559965353864028</v>
      </c>
      <c r="AR73" s="11">
        <f>AU73/SUM($AU71:$AU73)</f>
        <v>7.3632893911195285E-3</v>
      </c>
      <c r="AS73" s="120" t="s">
        <v>2</v>
      </c>
      <c r="AT73" s="31"/>
      <c r="AU73" s="125">
        <f>IF((E71+E72+E73)=0,1,E73/(E71+E72+E73)*$AQ73)</f>
        <v>1.5875226416301159E-2</v>
      </c>
      <c r="AV73" s="125">
        <f t="shared" ref="AV73:BO73" si="227">IF((F71+F72+F73)=0,0,F73/(F71+F72+F73)*$AQ73)</f>
        <v>2.0339875781823891E-2</v>
      </c>
      <c r="AW73" s="125">
        <f t="shared" si="227"/>
        <v>0</v>
      </c>
      <c r="AX73" s="125">
        <f t="shared" si="227"/>
        <v>0</v>
      </c>
      <c r="AY73" s="125">
        <f t="shared" si="227"/>
        <v>0</v>
      </c>
      <c r="AZ73" s="125">
        <f t="shared" si="227"/>
        <v>1.9852908554471204E-2</v>
      </c>
      <c r="BA73" s="125">
        <f t="shared" si="227"/>
        <v>0</v>
      </c>
      <c r="BB73" s="125">
        <f t="shared" si="227"/>
        <v>0</v>
      </c>
      <c r="BC73" s="125">
        <f t="shared" si="227"/>
        <v>2.9487952196004422E-2</v>
      </c>
      <c r="BD73" s="125">
        <f t="shared" si="227"/>
        <v>6.4593073255705916E-2</v>
      </c>
      <c r="BE73" s="125">
        <f t="shared" si="227"/>
        <v>0</v>
      </c>
      <c r="BF73" s="125">
        <f t="shared" si="227"/>
        <v>0</v>
      </c>
      <c r="BG73" s="125">
        <f t="shared" si="227"/>
        <v>0</v>
      </c>
      <c r="BH73" s="125">
        <f t="shared" si="227"/>
        <v>0</v>
      </c>
      <c r="BI73" s="125">
        <f t="shared" si="227"/>
        <v>0</v>
      </c>
      <c r="BJ73" s="125">
        <f t="shared" si="227"/>
        <v>0</v>
      </c>
      <c r="BK73" s="125">
        <f t="shared" si="227"/>
        <v>0</v>
      </c>
      <c r="BL73" s="125">
        <f t="shared" si="227"/>
        <v>0</v>
      </c>
      <c r="BM73" s="125">
        <f t="shared" si="227"/>
        <v>0</v>
      </c>
      <c r="BN73" s="125">
        <f t="shared" si="227"/>
        <v>0</v>
      </c>
      <c r="BO73" s="126">
        <f t="shared" si="227"/>
        <v>0</v>
      </c>
    </row>
    <row r="74" spans="2:67" ht="14.25" customHeight="1" x14ac:dyDescent="0.2">
      <c r="B74" s="133">
        <f>E74/SUM($E$74:$E$76)</f>
        <v>0.49970643593991132</v>
      </c>
      <c r="C74" s="134" t="s">
        <v>0</v>
      </c>
      <c r="D74" s="135"/>
      <c r="E74" s="166">
        <f>CORE!E1007</f>
        <v>0.49970643593991165</v>
      </c>
      <c r="F74" s="166">
        <f>CORE!F1007</f>
        <v>0.43453075052755258</v>
      </c>
      <c r="G74" s="166">
        <f>CORE!G1007</f>
        <v>0.60372223745573184</v>
      </c>
      <c r="H74" s="166">
        <f>CORE!H1007</f>
        <v>0.52333909513705135</v>
      </c>
      <c r="I74" s="166">
        <f>CORE!I1007</f>
        <v>0.40124015549348629</v>
      </c>
      <c r="J74" s="166">
        <f>CORE!J1007</f>
        <v>0.51474005646437504</v>
      </c>
      <c r="K74" s="166">
        <f>CORE!K1007</f>
        <v>0.46999829696059137</v>
      </c>
      <c r="L74" s="166">
        <f>CORE!L1007</f>
        <v>0.47206805119109058</v>
      </c>
      <c r="M74" s="166">
        <f>CORE!M1007</f>
        <v>0.35236954936883758</v>
      </c>
      <c r="N74" s="166">
        <f>CORE!N1007</f>
        <v>0.36947735950223676</v>
      </c>
      <c r="O74" s="166">
        <f>CORE!O1007</f>
        <v>0</v>
      </c>
      <c r="P74" s="166">
        <f>CORE!P1007</f>
        <v>0</v>
      </c>
      <c r="Q74" s="166">
        <f>CORE!Q1007</f>
        <v>5.6782675749404397E-2</v>
      </c>
      <c r="R74" s="166">
        <f>CORE!R1007</f>
        <v>0</v>
      </c>
      <c r="S74" s="166">
        <f>CORE!S1007</f>
        <v>0</v>
      </c>
      <c r="T74" s="166">
        <f>CORE!T1007</f>
        <v>0</v>
      </c>
      <c r="U74" s="166">
        <f>CORE!U1007</f>
        <v>0</v>
      </c>
      <c r="V74" s="166">
        <f>CORE!V1007</f>
        <v>0</v>
      </c>
      <c r="W74" s="166">
        <f>CORE!W1007</f>
        <v>0</v>
      </c>
      <c r="X74" s="166">
        <f>CORE!X1007</f>
        <v>0</v>
      </c>
      <c r="Y74" s="167">
        <f>CORE!Y1007</f>
        <v>0</v>
      </c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2"/>
      <c r="AQ74" s="33">
        <v>12.415952114045055</v>
      </c>
      <c r="AR74" s="9">
        <f>AU74/SUM($AU74:$AU76)</f>
        <v>0.49970643593991132</v>
      </c>
      <c r="AS74" s="121" t="s">
        <v>0</v>
      </c>
      <c r="AT74" s="30"/>
      <c r="AU74" s="105">
        <f>IF((E74+E75+E76)=0,1,E74/(E74+E75+E76)*$AQ74)</f>
        <v>6.2043311797100618</v>
      </c>
      <c r="AV74" s="105">
        <f t="shared" ref="AV74:BO74" si="228">IF((F74+F75+F76)=0,0,F74/(F74+F75+F76)*$AQ74)</f>
        <v>6.0568952670855749</v>
      </c>
      <c r="AW74" s="105">
        <f t="shared" si="228"/>
        <v>7.6838788485729381</v>
      </c>
      <c r="AX74" s="105">
        <f t="shared" si="228"/>
        <v>6.6345211208928623</v>
      </c>
      <c r="AY74" s="105">
        <f t="shared" si="228"/>
        <v>4.9817785568391146</v>
      </c>
      <c r="AZ74" s="105">
        <f t="shared" si="228"/>
        <v>6.5255086197757715</v>
      </c>
      <c r="BA74" s="105">
        <f t="shared" si="228"/>
        <v>6.3013003824315819</v>
      </c>
      <c r="BB74" s="105">
        <f t="shared" si="228"/>
        <v>5.9578257864633892</v>
      </c>
      <c r="BC74" s="105">
        <f t="shared" si="228"/>
        <v>5.7473320942473105</v>
      </c>
      <c r="BD74" s="105">
        <f t="shared" si="228"/>
        <v>6.4759993369033122</v>
      </c>
      <c r="BE74" s="105">
        <f t="shared" si="228"/>
        <v>0</v>
      </c>
      <c r="BF74" s="105">
        <f t="shared" si="228"/>
        <v>0</v>
      </c>
      <c r="BG74" s="105">
        <f t="shared" si="228"/>
        <v>8.7642014922670963</v>
      </c>
      <c r="BH74" s="105">
        <f t="shared" si="228"/>
        <v>0</v>
      </c>
      <c r="BI74" s="105">
        <f t="shared" si="228"/>
        <v>0</v>
      </c>
      <c r="BJ74" s="105">
        <f t="shared" si="228"/>
        <v>0</v>
      </c>
      <c r="BK74" s="105">
        <f t="shared" si="228"/>
        <v>0</v>
      </c>
      <c r="BL74" s="105">
        <f t="shared" si="228"/>
        <v>0</v>
      </c>
      <c r="BM74" s="105">
        <f t="shared" si="228"/>
        <v>0</v>
      </c>
      <c r="BN74" s="105">
        <f t="shared" si="228"/>
        <v>0</v>
      </c>
      <c r="BO74" s="127">
        <f t="shared" si="228"/>
        <v>0</v>
      </c>
    </row>
    <row r="75" spans="2:67" ht="14.25" customHeight="1" x14ac:dyDescent="0.2">
      <c r="B75" s="136">
        <f>E75/SUM($E$74:$E$76)</f>
        <v>0.4904765098843808</v>
      </c>
      <c r="C75" s="137" t="s">
        <v>1</v>
      </c>
      <c r="D75" s="138" t="s">
        <v>157</v>
      </c>
      <c r="E75" s="168">
        <f>CORE!E1008</f>
        <v>0.49047650988438113</v>
      </c>
      <c r="F75" s="168">
        <f>CORE!F1008</f>
        <v>0.45485629947152778</v>
      </c>
      <c r="G75" s="168">
        <f>CORE!G1008</f>
        <v>0.35977593808323494</v>
      </c>
      <c r="H75" s="168">
        <f>CORE!H1008</f>
        <v>0.45091299621520059</v>
      </c>
      <c r="I75" s="168">
        <f>CORE!I1008</f>
        <v>0.59433275144855024</v>
      </c>
      <c r="J75" s="168">
        <f>CORE!J1008</f>
        <v>0.46464534697750021</v>
      </c>
      <c r="K75" s="168">
        <f>CORE!K1008</f>
        <v>0.43685765833149737</v>
      </c>
      <c r="L75" s="168">
        <f>CORE!L1008</f>
        <v>0.49093784803896851</v>
      </c>
      <c r="M75" s="168">
        <f>CORE!M1008</f>
        <v>0.4077820817605684</v>
      </c>
      <c r="N75" s="168">
        <f>CORE!N1008</f>
        <v>0.3323112758707456</v>
      </c>
      <c r="O75" s="168">
        <f>CORE!O1008</f>
        <v>0</v>
      </c>
      <c r="P75" s="168">
        <f>CORE!P1008</f>
        <v>0</v>
      </c>
      <c r="Q75" s="168">
        <f>CORE!Q1008</f>
        <v>1.8927558583134801E-2</v>
      </c>
      <c r="R75" s="168">
        <f>CORE!R1008</f>
        <v>0</v>
      </c>
      <c r="S75" s="168">
        <f>CORE!S1008</f>
        <v>0</v>
      </c>
      <c r="T75" s="168">
        <f>CORE!T1008</f>
        <v>0</v>
      </c>
      <c r="U75" s="168">
        <f>CORE!U1008</f>
        <v>0</v>
      </c>
      <c r="V75" s="168">
        <f>CORE!V1008</f>
        <v>0</v>
      </c>
      <c r="W75" s="168">
        <f>CORE!W1008</f>
        <v>0</v>
      </c>
      <c r="X75" s="168">
        <f>CORE!X1008</f>
        <v>0</v>
      </c>
      <c r="Y75" s="169">
        <f>CORE!Y1008</f>
        <v>0</v>
      </c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2"/>
      <c r="AQ75" s="33">
        <v>12.415952114045055</v>
      </c>
      <c r="AR75" s="10">
        <f>AU75/SUM($AU74:$AU76)</f>
        <v>0.4904765098843808</v>
      </c>
      <c r="AS75" s="119" t="s">
        <v>1</v>
      </c>
      <c r="AT75" s="32" t="s">
        <v>157</v>
      </c>
      <c r="AU75" s="123">
        <f>IF((E74+E75+E76)=0,1,E75/(E74+E75+E76)*$AQ75)</f>
        <v>6.0897328597884179</v>
      </c>
      <c r="AV75" s="123">
        <f t="shared" ref="AV75:BO75" si="229">IF((F74+F75+F76)=0,0,F75/(F74+F75+F76)*$AQ75)</f>
        <v>6.3402117436530343</v>
      </c>
      <c r="AW75" s="123">
        <f t="shared" si="229"/>
        <v>4.5790506781953058</v>
      </c>
      <c r="AX75" s="123">
        <f t="shared" si="229"/>
        <v>5.716354510628328</v>
      </c>
      <c r="AY75" s="123">
        <f t="shared" si="229"/>
        <v>7.3792069817938364</v>
      </c>
      <c r="AZ75" s="123">
        <f t="shared" si="229"/>
        <v>5.8904434942692845</v>
      </c>
      <c r="BA75" s="123">
        <f t="shared" si="229"/>
        <v>5.8569814982611419</v>
      </c>
      <c r="BB75" s="123">
        <f t="shared" si="229"/>
        <v>6.1959756929481733</v>
      </c>
      <c r="BC75" s="123">
        <f t="shared" si="229"/>
        <v>6.6511395498261559</v>
      </c>
      <c r="BD75" s="123">
        <f t="shared" si="229"/>
        <v>5.824572323142343</v>
      </c>
      <c r="BE75" s="123">
        <f t="shared" si="229"/>
        <v>0</v>
      </c>
      <c r="BF75" s="123">
        <f t="shared" si="229"/>
        <v>0</v>
      </c>
      <c r="BG75" s="123">
        <f t="shared" si="229"/>
        <v>2.9214004974223662</v>
      </c>
      <c r="BH75" s="123">
        <f t="shared" si="229"/>
        <v>0</v>
      </c>
      <c r="BI75" s="123">
        <f t="shared" si="229"/>
        <v>0</v>
      </c>
      <c r="BJ75" s="123">
        <f t="shared" si="229"/>
        <v>0</v>
      </c>
      <c r="BK75" s="123">
        <f t="shared" si="229"/>
        <v>0</v>
      </c>
      <c r="BL75" s="123">
        <f t="shared" si="229"/>
        <v>0</v>
      </c>
      <c r="BM75" s="123">
        <f t="shared" si="229"/>
        <v>0</v>
      </c>
      <c r="BN75" s="123">
        <f t="shared" si="229"/>
        <v>0</v>
      </c>
      <c r="BO75" s="124">
        <f t="shared" si="229"/>
        <v>0</v>
      </c>
    </row>
    <row r="76" spans="2:67" ht="14.25" customHeight="1" thickBot="1" x14ac:dyDescent="0.25">
      <c r="B76" s="139">
        <f>E76/SUM($E$74:$E$76)</f>
        <v>9.8170541757079573E-3</v>
      </c>
      <c r="C76" s="140" t="s">
        <v>2</v>
      </c>
      <c r="D76" s="141"/>
      <c r="E76" s="170">
        <f>CORE!E1009</f>
        <v>9.8170541757079642E-3</v>
      </c>
      <c r="F76" s="170">
        <f>CORE!F1009</f>
        <v>1.3519759748891445E-3</v>
      </c>
      <c r="G76" s="170">
        <f>CORE!G1009</f>
        <v>1.2022982219348638E-2</v>
      </c>
      <c r="H76" s="170">
        <f>CORE!H1009</f>
        <v>5.1333120896235396E-3</v>
      </c>
      <c r="I76" s="170">
        <f>CORE!I1009</f>
        <v>4.4270930579642046E-3</v>
      </c>
      <c r="J76" s="170">
        <f>CORE!J1009</f>
        <v>0</v>
      </c>
      <c r="K76" s="170">
        <f>CORE!K1009</f>
        <v>1.9218980766363868E-2</v>
      </c>
      <c r="L76" s="170">
        <f>CORE!L1009</f>
        <v>2.0771493434923217E-2</v>
      </c>
      <c r="M76" s="170">
        <f>CORE!M1009</f>
        <v>1.0717294956401387E-3</v>
      </c>
      <c r="N76" s="170">
        <f>CORE!N1009</f>
        <v>6.5828396922370481E-3</v>
      </c>
      <c r="O76" s="170">
        <f>CORE!O1009</f>
        <v>0</v>
      </c>
      <c r="P76" s="170">
        <f>CORE!P1009</f>
        <v>0</v>
      </c>
      <c r="Q76" s="170">
        <f>CORE!Q1009</f>
        <v>4.7318896457837004E-3</v>
      </c>
      <c r="R76" s="170">
        <f>CORE!R1009</f>
        <v>0</v>
      </c>
      <c r="S76" s="170">
        <f>CORE!S1009</f>
        <v>0</v>
      </c>
      <c r="T76" s="170">
        <f>CORE!T1009</f>
        <v>0</v>
      </c>
      <c r="U76" s="170">
        <f>CORE!U1009</f>
        <v>0</v>
      </c>
      <c r="V76" s="170">
        <f>CORE!V1009</f>
        <v>0</v>
      </c>
      <c r="W76" s="170">
        <f>CORE!W1009</f>
        <v>0</v>
      </c>
      <c r="X76" s="170">
        <f>CORE!X1009</f>
        <v>0</v>
      </c>
      <c r="Y76" s="171">
        <f>CORE!Y1009</f>
        <v>0</v>
      </c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2"/>
      <c r="AQ76" s="33">
        <v>12.415952114045055</v>
      </c>
      <c r="AR76" s="11">
        <f>AU76/SUM($AU74:$AU76)</f>
        <v>9.8170541757079573E-3</v>
      </c>
      <c r="AS76" s="120" t="s">
        <v>2</v>
      </c>
      <c r="AT76" s="31"/>
      <c r="AU76" s="125">
        <f>IF((E74+E75+E76)=0,1,E76/(E74+E75+E76)*$AQ76)</f>
        <v>0.12188807454657605</v>
      </c>
      <c r="AV76" s="125">
        <f t="shared" ref="AV76:BO76" si="230">IF((F74+F75+F76)=0,0,F76/(F74+F75+F76)*$AQ76)</f>
        <v>1.8845103306446512E-2</v>
      </c>
      <c r="AW76" s="125">
        <f t="shared" si="230"/>
        <v>0.15302258727681131</v>
      </c>
      <c r="AX76" s="125">
        <f t="shared" si="230"/>
        <v>6.5076482523865761E-2</v>
      </c>
      <c r="AY76" s="125">
        <f t="shared" si="230"/>
        <v>5.4966575412104819E-2</v>
      </c>
      <c r="AZ76" s="125">
        <f t="shared" si="230"/>
        <v>0</v>
      </c>
      <c r="BA76" s="125">
        <f t="shared" si="230"/>
        <v>0.25767023335233125</v>
      </c>
      <c r="BB76" s="125">
        <f t="shared" si="230"/>
        <v>0.26215063463349275</v>
      </c>
      <c r="BC76" s="125">
        <f t="shared" si="230"/>
        <v>1.748046997158826E-2</v>
      </c>
      <c r="BD76" s="125">
        <f t="shared" si="230"/>
        <v>0.11538045399940086</v>
      </c>
      <c r="BE76" s="125">
        <f t="shared" si="230"/>
        <v>0</v>
      </c>
      <c r="BF76" s="125">
        <f t="shared" si="230"/>
        <v>0</v>
      </c>
      <c r="BG76" s="125">
        <f t="shared" si="230"/>
        <v>0.73035012435559155</v>
      </c>
      <c r="BH76" s="125">
        <f t="shared" si="230"/>
        <v>0</v>
      </c>
      <c r="BI76" s="125">
        <f t="shared" si="230"/>
        <v>0</v>
      </c>
      <c r="BJ76" s="125">
        <f t="shared" si="230"/>
        <v>0</v>
      </c>
      <c r="BK76" s="125">
        <f t="shared" si="230"/>
        <v>0</v>
      </c>
      <c r="BL76" s="125">
        <f t="shared" si="230"/>
        <v>0</v>
      </c>
      <c r="BM76" s="125">
        <f t="shared" si="230"/>
        <v>0</v>
      </c>
      <c r="BN76" s="125">
        <f t="shared" si="230"/>
        <v>0</v>
      </c>
      <c r="BO76" s="126">
        <f t="shared" si="230"/>
        <v>0</v>
      </c>
    </row>
    <row r="77" spans="2:67" ht="14.25" customHeight="1" x14ac:dyDescent="0.2">
      <c r="AP77" s="182"/>
    </row>
  </sheetData>
  <customSheetViews>
    <customSheetView guid="{FD329D6D-133B-41A2-9E62-45727D40D6B4}">
      <selection activeCell="AU3" sqref="AU3"/>
      <pageMargins left="0.7" right="0.7" top="0.75" bottom="0.75" header="0.3" footer="0.3"/>
      <pageSetup orientation="portrait" horizontalDpi="360" verticalDpi="360" r:id="rId1"/>
    </customSheetView>
  </customSheetViews>
  <mergeCells count="101">
    <mergeCell ref="D2:D4"/>
    <mergeCell ref="CZ1:DH1"/>
    <mergeCell ref="CZ2:DB2"/>
    <mergeCell ref="DC2:DE2"/>
    <mergeCell ref="DF2:DH2"/>
    <mergeCell ref="DK1:DS1"/>
    <mergeCell ref="DK2:DM2"/>
    <mergeCell ref="DN2:DP2"/>
    <mergeCell ref="DQ2:DS2"/>
    <mergeCell ref="BS1:CA1"/>
    <mergeCell ref="CD1:CL1"/>
    <mergeCell ref="CJ2:CL2"/>
    <mergeCell ref="CO1:CW1"/>
    <mergeCell ref="CO2:CQ2"/>
    <mergeCell ref="CR2:CT2"/>
    <mergeCell ref="CU2:CW2"/>
    <mergeCell ref="BV2:BX2"/>
    <mergeCell ref="BS2:BU2"/>
    <mergeCell ref="CD2:CF2"/>
    <mergeCell ref="CG2:CI2"/>
    <mergeCell ref="BY2:CA2"/>
    <mergeCell ref="DV1:ED1"/>
    <mergeCell ref="DV2:DX2"/>
    <mergeCell ref="DY2:EA2"/>
    <mergeCell ref="EB2:ED2"/>
    <mergeCell ref="EG1:EO1"/>
    <mergeCell ref="EG2:EI2"/>
    <mergeCell ref="EJ2:EL2"/>
    <mergeCell ref="EM2:EO2"/>
    <mergeCell ref="ER1:EZ1"/>
    <mergeCell ref="ER2:ET2"/>
    <mergeCell ref="EU2:EW2"/>
    <mergeCell ref="EX2:EZ2"/>
    <mergeCell ref="FC1:FK1"/>
    <mergeCell ref="FC2:FE2"/>
    <mergeCell ref="FF2:FH2"/>
    <mergeCell ref="FI2:FK2"/>
    <mergeCell ref="FN1:FV1"/>
    <mergeCell ref="FN2:FP2"/>
    <mergeCell ref="FQ2:FS2"/>
    <mergeCell ref="FT2:FV2"/>
    <mergeCell ref="FY1:GG1"/>
    <mergeCell ref="FY2:GA2"/>
    <mergeCell ref="GB2:GD2"/>
    <mergeCell ref="GE2:GG2"/>
    <mergeCell ref="GJ1:GR1"/>
    <mergeCell ref="GJ2:GL2"/>
    <mergeCell ref="GM2:GO2"/>
    <mergeCell ref="GP2:GR2"/>
    <mergeCell ref="GU1:HC1"/>
    <mergeCell ref="GU2:GW2"/>
    <mergeCell ref="GX2:GZ2"/>
    <mergeCell ref="HA2:HC2"/>
    <mergeCell ref="HF1:HN1"/>
    <mergeCell ref="HF2:HH2"/>
    <mergeCell ref="HI2:HK2"/>
    <mergeCell ref="HL2:HN2"/>
    <mergeCell ref="HQ1:HY1"/>
    <mergeCell ref="HQ2:HS2"/>
    <mergeCell ref="HT2:HV2"/>
    <mergeCell ref="HW2:HY2"/>
    <mergeCell ref="IB1:IJ1"/>
    <mergeCell ref="IB2:ID2"/>
    <mergeCell ref="IE2:IG2"/>
    <mergeCell ref="IH2:IJ2"/>
    <mergeCell ref="IM1:IU1"/>
    <mergeCell ref="IM2:IO2"/>
    <mergeCell ref="IP2:IR2"/>
    <mergeCell ref="IS2:IU2"/>
    <mergeCell ref="IX1:JF1"/>
    <mergeCell ref="IX2:IZ2"/>
    <mergeCell ref="JA2:JC2"/>
    <mergeCell ref="JD2:JF2"/>
    <mergeCell ref="JI1:JQ1"/>
    <mergeCell ref="JI2:JK2"/>
    <mergeCell ref="JL2:JN2"/>
    <mergeCell ref="JO2:JQ2"/>
    <mergeCell ref="JT1:KB1"/>
    <mergeCell ref="JT2:JV2"/>
    <mergeCell ref="JW2:JY2"/>
    <mergeCell ref="JZ2:KB2"/>
    <mergeCell ref="LL1:LT1"/>
    <mergeCell ref="LL2:LN2"/>
    <mergeCell ref="LO2:LQ2"/>
    <mergeCell ref="LR2:LT2"/>
    <mergeCell ref="LW1:ME1"/>
    <mergeCell ref="LW2:LY2"/>
    <mergeCell ref="LZ2:MB2"/>
    <mergeCell ref="MC2:ME2"/>
    <mergeCell ref="KE1:KM1"/>
    <mergeCell ref="KE2:KG2"/>
    <mergeCell ref="KH2:KJ2"/>
    <mergeCell ref="KK2:KM2"/>
    <mergeCell ref="KP1:KX1"/>
    <mergeCell ref="KP2:KR2"/>
    <mergeCell ref="KS2:KU2"/>
    <mergeCell ref="KV2:KX2"/>
    <mergeCell ref="LA1:LI1"/>
    <mergeCell ref="LA2:LC2"/>
    <mergeCell ref="LD2:LF2"/>
    <mergeCell ref="LG2:LI2"/>
  </mergeCells>
  <pageMargins left="0.7" right="0.7" top="0.75" bottom="0.75" header="0.3" footer="0.3"/>
  <pageSetup orientation="portrait" horizontalDpi="360" verticalDpi="36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N15"/>
  <sheetViews>
    <sheetView showGridLines="0" showRowColHeaders="0" workbookViewId="0">
      <selection activeCell="F4" sqref="F4"/>
    </sheetView>
  </sheetViews>
  <sheetFormatPr baseColWidth="10" defaultRowHeight="15" x14ac:dyDescent="0.25"/>
  <cols>
    <col min="14" max="14" width="22.28515625" customWidth="1"/>
  </cols>
  <sheetData>
    <row r="1" spans="1:14" x14ac:dyDescent="0.25">
      <c r="A1" s="2"/>
      <c r="B1" s="1"/>
      <c r="C1" s="2"/>
      <c r="D1" s="2"/>
      <c r="E1" s="2"/>
      <c r="F1" s="2"/>
      <c r="G1" s="2"/>
      <c r="H1" s="2"/>
      <c r="I1" s="2"/>
      <c r="J1" s="2"/>
      <c r="K1" s="2"/>
    </row>
    <row r="2" spans="1:14" ht="46.5" x14ac:dyDescent="0.25">
      <c r="A2" s="2"/>
      <c r="B2" s="1"/>
      <c r="C2" s="2"/>
      <c r="D2" s="2"/>
      <c r="E2" s="2"/>
      <c r="F2" s="276" t="s">
        <v>181</v>
      </c>
      <c r="G2" s="276"/>
      <c r="H2" s="276"/>
      <c r="I2" s="276"/>
      <c r="J2" s="276"/>
      <c r="K2" s="276"/>
      <c r="L2" s="276"/>
      <c r="M2" s="276"/>
      <c r="N2" s="59">
        <f ca="1">NOW()</f>
        <v>41188.593743981481</v>
      </c>
    </row>
    <row r="3" spans="1:14" ht="46.5" x14ac:dyDescent="0.25">
      <c r="A3" s="2"/>
      <c r="B3" s="1"/>
      <c r="C3" s="2"/>
      <c r="D3" s="2"/>
      <c r="E3" s="2"/>
      <c r="F3" s="36"/>
      <c r="G3" s="36"/>
      <c r="H3" s="36"/>
      <c r="I3" s="36"/>
      <c r="J3" s="36"/>
      <c r="K3" s="36"/>
      <c r="L3" s="36"/>
      <c r="M3" s="36"/>
    </row>
    <row r="4" spans="1:14" ht="36" x14ac:dyDescent="0.25">
      <c r="A4" s="2"/>
      <c r="B4" s="34"/>
      <c r="D4" s="2"/>
      <c r="F4" s="35"/>
      <c r="G4" s="35"/>
      <c r="H4" s="35"/>
      <c r="I4" s="35"/>
      <c r="J4" s="35"/>
      <c r="K4" s="35"/>
    </row>
    <row r="5" spans="1:14" ht="42.75" customHeight="1" x14ac:dyDescent="0.25">
      <c r="A5" s="2"/>
      <c r="B5" s="1"/>
      <c r="C5" s="2"/>
      <c r="D5" s="2"/>
      <c r="E5" s="2"/>
      <c r="F5" s="2"/>
      <c r="G5" s="2"/>
      <c r="H5" s="2"/>
      <c r="I5" s="2"/>
      <c r="J5" s="2"/>
      <c r="K5" s="2"/>
    </row>
    <row r="6" spans="1:14" ht="42.75" customHeight="1" x14ac:dyDescent="0.25">
      <c r="A6" s="2"/>
      <c r="B6" s="1"/>
      <c r="C6" s="2"/>
      <c r="D6" s="2"/>
      <c r="E6" s="2"/>
      <c r="F6" s="2"/>
      <c r="G6" s="2"/>
      <c r="H6" s="2"/>
      <c r="I6" s="2"/>
      <c r="J6" s="2"/>
      <c r="K6" s="2"/>
    </row>
    <row r="7" spans="1:14" ht="42.75" customHeight="1" x14ac:dyDescent="0.25">
      <c r="A7" s="2"/>
      <c r="B7" s="1"/>
      <c r="C7" s="2"/>
      <c r="D7" s="2"/>
      <c r="E7" s="2"/>
      <c r="F7" s="2"/>
      <c r="G7" s="2"/>
      <c r="H7" s="2"/>
      <c r="I7" s="2"/>
      <c r="J7" s="2"/>
      <c r="K7" s="2"/>
    </row>
    <row r="8" spans="1:14" ht="42.75" customHeight="1" x14ac:dyDescent="0.25">
      <c r="A8" s="2"/>
      <c r="B8" s="1"/>
      <c r="C8" s="2"/>
      <c r="D8" s="2"/>
      <c r="E8" s="2"/>
      <c r="F8" s="2"/>
      <c r="G8" s="2"/>
      <c r="H8" s="2"/>
      <c r="I8" s="2"/>
      <c r="J8" s="2"/>
      <c r="K8" s="2"/>
    </row>
    <row r="9" spans="1:14" ht="42.75" customHeight="1" x14ac:dyDescent="0.25">
      <c r="A9" s="2"/>
      <c r="B9" s="1"/>
      <c r="C9" s="2"/>
      <c r="D9" s="2"/>
      <c r="E9" s="2"/>
      <c r="F9" s="2"/>
      <c r="G9" s="2"/>
      <c r="H9" s="2"/>
      <c r="I9" s="2"/>
      <c r="J9" s="2"/>
      <c r="K9" s="2"/>
    </row>
    <row r="10" spans="1:14" ht="42.75" customHeight="1" x14ac:dyDescent="0.25">
      <c r="A10" s="2"/>
      <c r="B10" s="1"/>
      <c r="C10" s="2"/>
      <c r="D10" s="2"/>
      <c r="E10" s="2"/>
      <c r="F10" s="2"/>
      <c r="G10" s="2"/>
      <c r="H10" s="2"/>
      <c r="I10" s="2"/>
      <c r="J10" s="2"/>
      <c r="K10" s="2"/>
    </row>
    <row r="11" spans="1:14" ht="42.75" customHeight="1" x14ac:dyDescent="0.25">
      <c r="A11" s="2"/>
      <c r="B11" s="1"/>
      <c r="C11" s="2"/>
      <c r="D11" s="2"/>
      <c r="E11" s="2"/>
      <c r="F11" s="2"/>
      <c r="G11" s="2"/>
      <c r="H11" s="2"/>
      <c r="I11" s="2"/>
      <c r="J11" s="2"/>
      <c r="K11" s="2"/>
    </row>
    <row r="12" spans="1:14" ht="42.75" customHeight="1" x14ac:dyDescent="0.25">
      <c r="A12" s="2"/>
      <c r="B12" s="1"/>
      <c r="C12" s="2"/>
      <c r="D12" s="2"/>
      <c r="E12" s="2"/>
      <c r="F12" s="2"/>
      <c r="G12" s="2"/>
      <c r="H12" s="2"/>
      <c r="I12" s="2"/>
      <c r="J12" s="2"/>
      <c r="K12" s="2"/>
    </row>
    <row r="13" spans="1:14" ht="42.75" customHeight="1" x14ac:dyDescent="0.25">
      <c r="A13" s="2"/>
      <c r="B13" s="1"/>
      <c r="C13" s="2"/>
      <c r="D13" s="2"/>
      <c r="E13" s="2"/>
      <c r="F13" s="2"/>
      <c r="G13" s="2"/>
      <c r="H13" s="2"/>
      <c r="I13" s="2"/>
      <c r="J13" s="2"/>
      <c r="K13" s="2"/>
    </row>
    <row r="14" spans="1:14" ht="42.75" customHeight="1" x14ac:dyDescent="0.25">
      <c r="A14" s="2"/>
      <c r="B14" s="1"/>
      <c r="C14" s="2"/>
      <c r="D14" s="2"/>
      <c r="E14" s="2"/>
      <c r="F14" s="2"/>
      <c r="G14" s="2"/>
      <c r="H14" s="2"/>
      <c r="I14" s="2"/>
      <c r="J14" s="2"/>
      <c r="K14" s="2"/>
    </row>
    <row r="15" spans="1:14" x14ac:dyDescent="0.25">
      <c r="A15" s="2"/>
      <c r="B15" s="1"/>
      <c r="C15" s="2"/>
      <c r="D15" s="2"/>
      <c r="E15" s="2"/>
      <c r="F15" s="2"/>
      <c r="G15" s="2"/>
      <c r="H15" s="2"/>
      <c r="I15" s="2"/>
      <c r="J15" s="2"/>
      <c r="K15" s="2"/>
    </row>
  </sheetData>
  <customSheetViews>
    <customSheetView guid="{FD329D6D-133B-41A2-9E62-45727D40D6B4}" showGridLines="0">
      <selection activeCell="F4" sqref="F4"/>
      <pageMargins left="0.7" right="0.7" top="0.75" bottom="0.75" header="0.3" footer="0.3"/>
    </customSheetView>
  </customSheetViews>
  <mergeCells count="1">
    <mergeCell ref="F2:M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2:O127"/>
  <sheetViews>
    <sheetView showGridLines="0" workbookViewId="0">
      <selection activeCell="M36" sqref="M36"/>
    </sheetView>
  </sheetViews>
  <sheetFormatPr baseColWidth="10" defaultRowHeight="15" x14ac:dyDescent="0.25"/>
  <cols>
    <col min="1" max="1" width="3.5703125" style="2" customWidth="1"/>
    <col min="2" max="2" width="13.5703125" style="1" customWidth="1"/>
    <col min="3" max="7" width="13.5703125" style="2" customWidth="1"/>
    <col min="8" max="8" width="6.5703125" style="2" customWidth="1"/>
    <col min="9" max="11" width="13.5703125" style="2" customWidth="1"/>
    <col min="12" max="14" width="13.5703125" customWidth="1"/>
    <col min="15" max="15" width="12.5703125" customWidth="1"/>
  </cols>
  <sheetData>
    <row r="2" spans="1:15" ht="21" x14ac:dyDescent="0.35">
      <c r="A2" s="50"/>
      <c r="B2" s="51"/>
      <c r="C2" s="50"/>
      <c r="D2" s="52" t="s">
        <v>204</v>
      </c>
      <c r="E2" s="52"/>
      <c r="F2" s="52"/>
      <c r="G2" s="52"/>
      <c r="H2" s="52"/>
      <c r="I2" s="50"/>
      <c r="J2" s="50"/>
      <c r="K2" s="52" t="s">
        <v>206</v>
      </c>
      <c r="L2" s="53"/>
      <c r="M2" s="53"/>
      <c r="N2" s="53"/>
      <c r="O2" s="53"/>
    </row>
    <row r="3" spans="1:15" x14ac:dyDescent="0.25">
      <c r="A3" s="3"/>
      <c r="B3" s="54"/>
      <c r="C3" s="3"/>
      <c r="D3" s="3"/>
      <c r="E3" s="3"/>
      <c r="F3" s="3"/>
      <c r="G3" s="3"/>
      <c r="H3" s="3"/>
      <c r="I3" s="3"/>
      <c r="J3" s="3"/>
      <c r="K3" s="3"/>
      <c r="L3" s="55"/>
      <c r="M3" s="55"/>
      <c r="N3" s="55"/>
      <c r="O3" s="55"/>
    </row>
    <row r="4" spans="1:15" x14ac:dyDescent="0.25">
      <c r="A4" s="3"/>
      <c r="B4" s="54"/>
      <c r="C4" s="3"/>
      <c r="D4" s="3"/>
      <c r="E4" s="3"/>
      <c r="F4" s="3"/>
      <c r="G4" s="3"/>
      <c r="H4" s="3"/>
      <c r="I4" s="3"/>
      <c r="J4" s="3"/>
      <c r="K4" s="3"/>
      <c r="L4" s="55"/>
      <c r="M4" s="55"/>
      <c r="N4" s="55"/>
      <c r="O4" s="55"/>
    </row>
    <row r="5" spans="1:15" x14ac:dyDescent="0.25">
      <c r="A5" s="3"/>
      <c r="B5" s="54"/>
      <c r="C5" s="3"/>
      <c r="D5" s="3"/>
      <c r="E5" s="3"/>
      <c r="F5" s="3"/>
      <c r="G5" s="3"/>
      <c r="H5" s="3"/>
      <c r="I5" s="3"/>
      <c r="J5" s="3"/>
      <c r="K5" s="3"/>
      <c r="L5" s="55"/>
      <c r="M5" s="55"/>
      <c r="N5" s="55"/>
      <c r="O5" s="55"/>
    </row>
    <row r="6" spans="1:15" x14ac:dyDescent="0.25">
      <c r="A6" s="3"/>
      <c r="B6" s="54"/>
      <c r="C6" s="3"/>
      <c r="D6" s="3"/>
      <c r="E6" s="3"/>
      <c r="F6" s="3"/>
      <c r="G6" s="3"/>
      <c r="H6" s="3"/>
      <c r="I6" s="3"/>
      <c r="J6" s="3"/>
      <c r="K6" s="54"/>
      <c r="L6" s="55"/>
      <c r="M6" s="55"/>
      <c r="N6" s="55"/>
      <c r="O6" s="55"/>
    </row>
    <row r="7" spans="1:15" x14ac:dyDescent="0.25">
      <c r="A7" s="3"/>
      <c r="B7" s="54"/>
      <c r="C7" s="3"/>
      <c r="D7" s="3"/>
      <c r="E7" s="3"/>
      <c r="F7" s="3"/>
      <c r="G7" s="3"/>
      <c r="H7" s="3"/>
      <c r="I7" s="3"/>
      <c r="J7" s="3"/>
      <c r="K7" s="3"/>
      <c r="L7" s="55"/>
      <c r="M7" s="55"/>
      <c r="N7" s="55"/>
      <c r="O7" s="55"/>
    </row>
    <row r="8" spans="1:15" x14ac:dyDescent="0.25">
      <c r="A8" s="3"/>
      <c r="B8" s="54"/>
      <c r="C8" s="3"/>
      <c r="D8" s="3"/>
      <c r="E8" s="3"/>
      <c r="F8" s="3"/>
      <c r="G8" s="3"/>
      <c r="H8" s="3"/>
      <c r="I8" s="3"/>
      <c r="J8" s="3"/>
      <c r="K8" s="3"/>
      <c r="L8" s="55"/>
      <c r="M8" s="55"/>
      <c r="N8" s="55"/>
      <c r="O8" s="55"/>
    </row>
    <row r="9" spans="1:15" x14ac:dyDescent="0.25">
      <c r="A9" s="3"/>
      <c r="B9" s="54"/>
      <c r="C9" s="3"/>
      <c r="D9" s="3"/>
      <c r="E9" s="3"/>
      <c r="F9" s="3"/>
      <c r="G9" s="3"/>
      <c r="H9" s="3"/>
      <c r="I9" s="3"/>
      <c r="J9" s="3"/>
      <c r="K9" s="3"/>
      <c r="L9" s="55"/>
      <c r="M9" s="55"/>
      <c r="N9" s="55"/>
      <c r="O9" s="55"/>
    </row>
    <row r="10" spans="1:15" x14ac:dyDescent="0.25">
      <c r="A10" s="3"/>
      <c r="B10" s="54"/>
      <c r="C10" s="3"/>
      <c r="D10" s="3"/>
      <c r="E10" s="3"/>
      <c r="F10" s="3"/>
      <c r="G10" s="3"/>
      <c r="H10" s="3"/>
      <c r="I10" s="3"/>
      <c r="J10" s="3"/>
      <c r="K10" s="3"/>
      <c r="L10" s="55"/>
      <c r="M10" s="55"/>
      <c r="N10" s="55"/>
      <c r="O10" s="55"/>
    </row>
    <row r="11" spans="1:15" x14ac:dyDescent="0.25">
      <c r="A11" s="3"/>
      <c r="B11" s="54"/>
      <c r="C11" s="3"/>
      <c r="D11" s="3"/>
      <c r="E11" s="3"/>
      <c r="F11" s="3"/>
      <c r="G11" s="3"/>
      <c r="H11" s="3"/>
      <c r="I11" s="3"/>
      <c r="J11" s="3"/>
      <c r="K11" s="3"/>
      <c r="L11" s="55"/>
      <c r="M11" s="55"/>
      <c r="N11" s="55"/>
      <c r="O11" s="55"/>
    </row>
    <row r="12" spans="1:15" x14ac:dyDescent="0.25">
      <c r="A12" s="3"/>
      <c r="B12" s="54"/>
      <c r="C12" s="3"/>
      <c r="D12" s="3"/>
      <c r="E12" s="3"/>
      <c r="F12" s="3"/>
      <c r="G12" s="3"/>
      <c r="H12" s="3"/>
      <c r="I12" s="3"/>
      <c r="J12" s="3"/>
      <c r="K12" s="3"/>
      <c r="L12" s="55"/>
      <c r="M12" s="55"/>
      <c r="N12" s="55"/>
      <c r="O12" s="55"/>
    </row>
    <row r="13" spans="1:15" ht="21" x14ac:dyDescent="0.35">
      <c r="A13" s="56"/>
      <c r="B13" s="57"/>
      <c r="C13" s="56"/>
      <c r="D13" s="34" t="s">
        <v>207</v>
      </c>
      <c r="E13" s="34"/>
      <c r="F13" s="34"/>
      <c r="G13" s="34"/>
      <c r="H13" s="34"/>
      <c r="I13" s="56"/>
      <c r="J13" s="56"/>
      <c r="K13" s="34" t="s">
        <v>208</v>
      </c>
      <c r="L13" s="58"/>
      <c r="M13" s="58"/>
      <c r="N13" s="58"/>
      <c r="O13" s="58"/>
    </row>
    <row r="14" spans="1:15" x14ac:dyDescent="0.25">
      <c r="A14" s="3"/>
      <c r="B14" s="54"/>
      <c r="C14" s="3"/>
      <c r="D14" s="3"/>
      <c r="E14" s="3"/>
      <c r="F14" s="3"/>
      <c r="G14" s="3"/>
      <c r="H14" s="3"/>
      <c r="I14" s="3"/>
      <c r="J14" s="3"/>
      <c r="K14" s="3"/>
      <c r="L14" s="55"/>
      <c r="M14" s="55"/>
      <c r="N14" s="55"/>
      <c r="O14" s="55"/>
    </row>
    <row r="17" spans="4:11" x14ac:dyDescent="0.25">
      <c r="K17" s="1"/>
    </row>
    <row r="24" spans="4:11" ht="21" x14ac:dyDescent="0.25">
      <c r="D24" s="34" t="s">
        <v>209</v>
      </c>
      <c r="K24" s="34" t="s">
        <v>210</v>
      </c>
    </row>
    <row r="28" spans="4:11" x14ac:dyDescent="0.25">
      <c r="K28" s="1"/>
    </row>
    <row r="35" spans="1:15" ht="21" x14ac:dyDescent="0.35">
      <c r="A35" s="56"/>
      <c r="B35" s="57"/>
      <c r="C35" s="56"/>
      <c r="D35" s="34" t="s">
        <v>211</v>
      </c>
      <c r="E35" s="34"/>
      <c r="F35" s="34"/>
      <c r="G35" s="34"/>
      <c r="H35" s="34"/>
      <c r="I35" s="56"/>
      <c r="J35" s="56"/>
      <c r="K35" s="34" t="s">
        <v>212</v>
      </c>
      <c r="L35" s="58"/>
      <c r="M35" s="58"/>
      <c r="N35" s="58"/>
      <c r="O35" s="58"/>
    </row>
    <row r="39" spans="1:15" x14ac:dyDescent="0.25">
      <c r="K39" s="1"/>
    </row>
    <row r="46" spans="1:15" ht="21" x14ac:dyDescent="0.35">
      <c r="A46" s="56"/>
      <c r="B46" s="57"/>
      <c r="C46" s="56"/>
      <c r="D46" s="34" t="s">
        <v>17</v>
      </c>
      <c r="E46" s="34"/>
      <c r="F46" s="34"/>
      <c r="G46" s="34"/>
      <c r="H46" s="34"/>
      <c r="I46" s="56"/>
      <c r="J46" s="56"/>
      <c r="K46" s="34" t="s">
        <v>213</v>
      </c>
      <c r="L46" s="58"/>
      <c r="M46" s="58"/>
      <c r="N46" s="58"/>
      <c r="O46" s="58"/>
    </row>
    <row r="50" spans="1:15" x14ac:dyDescent="0.25">
      <c r="K50" s="1"/>
    </row>
    <row r="57" spans="1:15" ht="21" x14ac:dyDescent="0.35">
      <c r="A57" s="56"/>
      <c r="B57" s="57"/>
      <c r="C57" s="56"/>
      <c r="D57" s="34" t="s">
        <v>214</v>
      </c>
      <c r="E57" s="34"/>
      <c r="F57" s="34"/>
      <c r="G57" s="34"/>
      <c r="H57" s="34"/>
      <c r="I57" s="56"/>
      <c r="J57" s="56"/>
      <c r="K57" s="34" t="s">
        <v>215</v>
      </c>
      <c r="L57" s="58"/>
      <c r="M57" s="58"/>
      <c r="N57" s="58"/>
      <c r="O57" s="58"/>
    </row>
    <row r="61" spans="1:15" x14ac:dyDescent="0.25">
      <c r="K61" s="1"/>
    </row>
    <row r="68" spans="1:15" ht="21" x14ac:dyDescent="0.25">
      <c r="D68" s="34" t="s">
        <v>6</v>
      </c>
      <c r="K68" s="34" t="s">
        <v>216</v>
      </c>
    </row>
    <row r="72" spans="1:15" x14ac:dyDescent="0.25">
      <c r="K72" s="1"/>
    </row>
    <row r="79" spans="1:15" ht="21" x14ac:dyDescent="0.35">
      <c r="A79" s="56"/>
      <c r="B79" s="57"/>
      <c r="C79" s="56"/>
      <c r="D79" s="34" t="s">
        <v>217</v>
      </c>
      <c r="E79" s="34"/>
      <c r="F79" s="34"/>
      <c r="G79" s="34"/>
      <c r="H79" s="34"/>
      <c r="I79" s="56"/>
      <c r="J79" s="56"/>
      <c r="K79" s="34" t="s">
        <v>218</v>
      </c>
      <c r="L79" s="58"/>
      <c r="M79" s="58"/>
      <c r="N79" s="58"/>
      <c r="O79" s="58"/>
    </row>
    <row r="83" spans="1:15" x14ac:dyDescent="0.25">
      <c r="K83" s="1"/>
    </row>
    <row r="90" spans="1:15" ht="21" x14ac:dyDescent="0.35">
      <c r="A90" s="56"/>
      <c r="B90" s="57"/>
      <c r="C90" s="56"/>
      <c r="D90" s="34" t="s">
        <v>23</v>
      </c>
      <c r="E90" s="34"/>
      <c r="F90" s="34"/>
      <c r="G90" s="34"/>
      <c r="H90" s="34"/>
      <c r="I90" s="56"/>
      <c r="J90" s="56"/>
      <c r="K90" s="34" t="s">
        <v>24</v>
      </c>
      <c r="L90" s="58"/>
      <c r="M90" s="58"/>
      <c r="N90" s="58"/>
      <c r="O90" s="58"/>
    </row>
    <row r="94" spans="1:15" x14ac:dyDescent="0.25">
      <c r="K94" s="1"/>
    </row>
    <row r="101" spans="1:15" ht="21" x14ac:dyDescent="0.35">
      <c r="A101" s="56"/>
      <c r="B101" s="57"/>
      <c r="C101" s="56"/>
      <c r="D101" s="34" t="s">
        <v>219</v>
      </c>
      <c r="E101" s="34"/>
      <c r="F101" s="34"/>
      <c r="G101" s="34"/>
      <c r="H101" s="34"/>
      <c r="I101" s="56"/>
      <c r="J101" s="56"/>
      <c r="K101" s="34" t="s">
        <v>220</v>
      </c>
      <c r="L101" s="58"/>
      <c r="M101" s="58"/>
      <c r="N101" s="58"/>
      <c r="O101" s="58"/>
    </row>
    <row r="105" spans="1:15" x14ac:dyDescent="0.25">
      <c r="K105" s="1"/>
    </row>
    <row r="112" spans="1:15" ht="21" x14ac:dyDescent="0.25">
      <c r="D112" s="34" t="s">
        <v>221</v>
      </c>
      <c r="K112" s="34" t="s">
        <v>222</v>
      </c>
    </row>
    <row r="116" spans="1:15" x14ac:dyDescent="0.25">
      <c r="K116" s="1"/>
    </row>
    <row r="123" spans="1:15" ht="21" x14ac:dyDescent="0.35">
      <c r="A123" s="56"/>
      <c r="B123" s="57"/>
      <c r="C123" s="56"/>
      <c r="D123" s="34" t="s">
        <v>223</v>
      </c>
      <c r="E123" s="34"/>
      <c r="F123" s="34"/>
      <c r="G123" s="34"/>
      <c r="H123" s="34"/>
      <c r="I123" s="56"/>
      <c r="J123" s="56"/>
      <c r="K123" s="34" t="s">
        <v>224</v>
      </c>
      <c r="L123" s="58"/>
      <c r="M123" s="58"/>
      <c r="N123" s="58"/>
      <c r="O123" s="58"/>
    </row>
    <row r="127" spans="1:15" x14ac:dyDescent="0.25">
      <c r="K127" s="1"/>
    </row>
  </sheetData>
  <customSheetViews>
    <customSheetView guid="{FD329D6D-133B-41A2-9E62-45727D40D6B4}" showGridLines="0">
      <selection activeCell="M36" sqref="M36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D1:K30"/>
  <sheetViews>
    <sheetView showGridLines="0" showRowColHeaders="0" topLeftCell="B1" zoomScaleNormal="100" workbookViewId="0">
      <selection activeCell="L18" sqref="L18"/>
    </sheetView>
  </sheetViews>
  <sheetFormatPr baseColWidth="10" defaultRowHeight="17.25" customHeight="1" x14ac:dyDescent="0.25"/>
  <cols>
    <col min="1" max="2" width="11.42578125" style="1"/>
    <col min="3" max="3" width="20" style="1" customWidth="1"/>
    <col min="4" max="4" width="23.7109375" style="1" bestFit="1" customWidth="1"/>
    <col min="5" max="5" width="17" style="1" customWidth="1"/>
    <col min="6" max="6" width="17.85546875" style="1" customWidth="1"/>
    <col min="7" max="7" width="17.85546875" style="1" hidden="1" customWidth="1"/>
    <col min="8" max="8" width="17.85546875" style="1" customWidth="1"/>
    <col min="9" max="9" width="17" style="1" customWidth="1"/>
    <col min="10" max="10" width="7.85546875" style="1" bestFit="1" customWidth="1"/>
    <col min="12" max="12" width="21.5703125" style="1" bestFit="1" customWidth="1"/>
    <col min="13" max="16384" width="11.42578125" style="1"/>
  </cols>
  <sheetData>
    <row r="1" spans="4:11" s="188" customFormat="1" ht="48.75" customHeight="1" x14ac:dyDescent="0.25">
      <c r="E1" s="279" t="s">
        <v>181</v>
      </c>
      <c r="F1" s="279"/>
      <c r="G1" s="279"/>
      <c r="H1" s="279"/>
      <c r="I1" s="278" t="s">
        <v>238</v>
      </c>
      <c r="J1" s="278"/>
    </row>
    <row r="2" spans="4:11" s="188" customFormat="1" ht="33.75" customHeight="1" thickBot="1" x14ac:dyDescent="0.3">
      <c r="D2" s="189">
        <f ca="1">NOW()</f>
        <v>41188.593726388892</v>
      </c>
      <c r="E2" s="277" t="s">
        <v>237</v>
      </c>
      <c r="F2" s="277"/>
      <c r="G2" s="190"/>
      <c r="H2" s="277" t="s">
        <v>234</v>
      </c>
      <c r="I2" s="277"/>
      <c r="J2" s="191"/>
    </row>
    <row r="3" spans="4:11" s="186" customFormat="1" ht="30.75" customHeight="1" x14ac:dyDescent="0.25">
      <c r="D3" s="200" t="s">
        <v>5</v>
      </c>
      <c r="E3" s="192" t="s">
        <v>11</v>
      </c>
      <c r="F3" s="193" t="s">
        <v>236</v>
      </c>
      <c r="G3" s="194" t="s">
        <v>233</v>
      </c>
      <c r="H3" s="192" t="s">
        <v>11</v>
      </c>
      <c r="I3" s="193" t="s">
        <v>236</v>
      </c>
      <c r="J3" s="195" t="s">
        <v>235</v>
      </c>
    </row>
    <row r="4" spans="4:11" ht="30" customHeight="1" x14ac:dyDescent="0.25">
      <c r="D4" s="201" t="s">
        <v>177</v>
      </c>
      <c r="E4" s="196"/>
      <c r="F4" s="197"/>
      <c r="G4" s="239">
        <f>SUM(G5:G28)</f>
        <v>100</v>
      </c>
      <c r="H4" s="244">
        <f>SUM(H5:H28)</f>
        <v>0.47508223874071742</v>
      </c>
      <c r="I4" s="245">
        <f>SUM(I5:I28)</f>
        <v>0.50937307944933585</v>
      </c>
      <c r="J4" s="198">
        <f>H4-I4</f>
        <v>-3.4290840708618431E-2</v>
      </c>
      <c r="K4" s="1"/>
    </row>
    <row r="5" spans="4:11" ht="17.25" customHeight="1" x14ac:dyDescent="0.25">
      <c r="D5" s="202" t="s">
        <v>12</v>
      </c>
      <c r="E5" s="230">
        <f>VZA!AR6</f>
        <v>0.40206185567010311</v>
      </c>
      <c r="F5" s="231">
        <f>VZA!AR5</f>
        <v>0.58762886597938147</v>
      </c>
      <c r="G5" s="240">
        <v>0.51210801187107746</v>
      </c>
      <c r="H5" s="230">
        <f>E5*G5/100</f>
        <v>2.0589909755641257E-3</v>
      </c>
      <c r="I5" s="231">
        <f>F5*G5/100</f>
        <v>3.0092945027475689E-3</v>
      </c>
      <c r="J5" s="199">
        <f>E5-F5</f>
        <v>-0.18556701030927836</v>
      </c>
      <c r="K5" s="243"/>
    </row>
    <row r="6" spans="4:11" ht="17.25" customHeight="1" x14ac:dyDescent="0.25">
      <c r="D6" s="203" t="s">
        <v>13</v>
      </c>
      <c r="E6" s="232">
        <f>VZA!AR9</f>
        <v>0.34507589287938806</v>
      </c>
      <c r="F6" s="233">
        <f>VZA!AR8</f>
        <v>0.64587417898931365</v>
      </c>
      <c r="G6" s="241">
        <v>5.3530205331433178</v>
      </c>
      <c r="H6" s="232">
        <f t="shared" ref="H6:H28" si="0">E6*G6/100</f>
        <v>1.8471983400761283E-2</v>
      </c>
      <c r="I6" s="233">
        <f t="shared" ref="I6:I28" si="1">F6*G6/100</f>
        <v>3.4573777419568782E-2</v>
      </c>
      <c r="J6" s="199">
        <f t="shared" ref="J6:J28" si="2">E6-F6</f>
        <v>-0.30079828610992559</v>
      </c>
      <c r="K6" s="1"/>
    </row>
    <row r="7" spans="4:11" ht="17.25" customHeight="1" x14ac:dyDescent="0.25">
      <c r="D7" s="202" t="s">
        <v>14</v>
      </c>
      <c r="E7" s="230">
        <f>VZA!AR12</f>
        <v>0.39108212590742081</v>
      </c>
      <c r="F7" s="231">
        <f>VZA!AR11</f>
        <v>0.59928034842995637</v>
      </c>
      <c r="G7" s="240">
        <v>1.6489516331560075</v>
      </c>
      <c r="H7" s="230">
        <f t="shared" si="0"/>
        <v>6.4487551021316491E-3</v>
      </c>
      <c r="I7" s="231">
        <f t="shared" si="1"/>
        <v>9.8818430926187768E-3</v>
      </c>
      <c r="J7" s="199">
        <f t="shared" si="2"/>
        <v>-0.20819822252253556</v>
      </c>
      <c r="K7" s="1"/>
    </row>
    <row r="8" spans="4:11" ht="17.25" customHeight="1" x14ac:dyDescent="0.25">
      <c r="D8" s="203" t="s">
        <v>7</v>
      </c>
      <c r="E8" s="232">
        <f>VZA!AR15</f>
        <v>0.47572039373508224</v>
      </c>
      <c r="F8" s="233">
        <f>VZA!AR14</f>
        <v>0.50438854999136051</v>
      </c>
      <c r="G8" s="241">
        <v>6.1944114970030331</v>
      </c>
      <c r="H8" s="232">
        <f t="shared" si="0"/>
        <v>2.9468078763114032E-2</v>
      </c>
      <c r="I8" s="233">
        <f t="shared" si="1"/>
        <v>3.1243902330231728E-2</v>
      </c>
      <c r="J8" s="199">
        <f t="shared" si="2"/>
        <v>-2.8668156256278277E-2</v>
      </c>
      <c r="K8" s="1"/>
    </row>
    <row r="9" spans="4:11" ht="17.25" customHeight="1" x14ac:dyDescent="0.25">
      <c r="D9" s="202" t="s">
        <v>15</v>
      </c>
      <c r="E9" s="230">
        <f>VZA!AR18</f>
        <v>0.57581586211551095</v>
      </c>
      <c r="F9" s="231">
        <f>VZA!AR17</f>
        <v>0.40729112588551908</v>
      </c>
      <c r="G9" s="240">
        <v>2.7929644475035835</v>
      </c>
      <c r="H9" s="230">
        <f t="shared" si="0"/>
        <v>1.6082332311972477E-2</v>
      </c>
      <c r="I9" s="231">
        <f t="shared" si="1"/>
        <v>1.1375496343819614E-2</v>
      </c>
      <c r="J9" s="199">
        <f t="shared" si="2"/>
        <v>0.16852473622999187</v>
      </c>
      <c r="K9" s="1"/>
    </row>
    <row r="10" spans="4:11" ht="17.25" customHeight="1" x14ac:dyDescent="0.25">
      <c r="D10" s="203" t="s">
        <v>10</v>
      </c>
      <c r="E10" s="232">
        <f>VZA!AR21</f>
        <v>0.42445189726935756</v>
      </c>
      <c r="F10" s="233">
        <f>VZA!AR20</f>
        <v>0.56873238931497083</v>
      </c>
      <c r="G10" s="241">
        <v>5.0083195613560072</v>
      </c>
      <c r="H10" s="232">
        <f t="shared" si="0"/>
        <v>2.1257907399487942E-2</v>
      </c>
      <c r="I10" s="233">
        <f t="shared" si="1"/>
        <v>2.8483935505829089E-2</v>
      </c>
      <c r="J10" s="199">
        <f t="shared" si="2"/>
        <v>-0.14428049204561327</v>
      </c>
      <c r="K10" s="1"/>
    </row>
    <row r="11" spans="4:11" ht="17.25" customHeight="1" x14ac:dyDescent="0.25">
      <c r="D11" s="202" t="s">
        <v>8</v>
      </c>
      <c r="E11" s="230">
        <f>VZA!AR24</f>
        <v>0.42292752974005343</v>
      </c>
      <c r="F11" s="231">
        <f>VZA!AR23</f>
        <v>0.55763915639922768</v>
      </c>
      <c r="G11" s="240">
        <v>8.063975368609805</v>
      </c>
      <c r="H11" s="230">
        <f t="shared" si="0"/>
        <v>3.4104771825307821E-2</v>
      </c>
      <c r="I11" s="231">
        <f t="shared" si="1"/>
        <v>4.4967884217757222E-2</v>
      </c>
      <c r="J11" s="199">
        <f t="shared" si="2"/>
        <v>-0.13471162665917424</v>
      </c>
      <c r="K11" s="1"/>
    </row>
    <row r="12" spans="4:11" ht="17.25" customHeight="1" x14ac:dyDescent="0.25">
      <c r="D12" s="203" t="s">
        <v>16</v>
      </c>
      <c r="E12" s="232">
        <f>VZA!AR27</f>
        <v>0.5110429045075231</v>
      </c>
      <c r="F12" s="233">
        <f>VZA!AR26</f>
        <v>0.48207169678596645</v>
      </c>
      <c r="G12" s="241">
        <v>1.1861504379643024</v>
      </c>
      <c r="H12" s="232">
        <f t="shared" si="0"/>
        <v>6.0617376500014773E-3</v>
      </c>
      <c r="I12" s="233">
        <f t="shared" si="1"/>
        <v>5.7180955427286852E-3</v>
      </c>
      <c r="J12" s="199">
        <f t="shared" si="2"/>
        <v>2.8971207721556647E-2</v>
      </c>
      <c r="K12" s="1"/>
    </row>
    <row r="13" spans="4:11" ht="17.25" customHeight="1" x14ac:dyDescent="0.25">
      <c r="D13" s="202" t="s">
        <v>17</v>
      </c>
      <c r="E13" s="230">
        <f>VZA!AR30</f>
        <v>0.5</v>
      </c>
      <c r="F13" s="231">
        <f>VZA!AR29</f>
        <v>0.46875</v>
      </c>
      <c r="G13" s="240">
        <v>0.60228667475700526</v>
      </c>
      <c r="H13" s="230">
        <f t="shared" si="0"/>
        <v>3.0114333737850264E-3</v>
      </c>
      <c r="I13" s="231">
        <f t="shared" si="1"/>
        <v>2.8232187879234623E-3</v>
      </c>
      <c r="J13" s="199">
        <f t="shared" si="2"/>
        <v>3.125E-2</v>
      </c>
      <c r="K13" s="1"/>
    </row>
    <row r="14" spans="4:11" ht="17.25" customHeight="1" x14ac:dyDescent="0.25">
      <c r="D14" s="203" t="s">
        <v>18</v>
      </c>
      <c r="E14" s="232">
        <f>VZA!AR33</f>
        <v>0.60038517360975008</v>
      </c>
      <c r="F14" s="233">
        <f>VZA!AR32</f>
        <v>0.36035616527978748</v>
      </c>
      <c r="G14" s="241">
        <v>8.5571924503929608</v>
      </c>
      <c r="H14" s="232">
        <f t="shared" si="0"/>
        <v>5.1376114749412199E-2</v>
      </c>
      <c r="I14" s="233">
        <f t="shared" si="1"/>
        <v>3.0836370569847556E-2</v>
      </c>
      <c r="J14" s="199">
        <f t="shared" si="2"/>
        <v>0.2400290083299626</v>
      </c>
      <c r="K14" s="1"/>
    </row>
    <row r="15" spans="4:11" ht="17.25" customHeight="1" x14ac:dyDescent="0.25">
      <c r="D15" s="202" t="s">
        <v>19</v>
      </c>
      <c r="E15" s="230">
        <f>VZA!AR36</f>
        <v>0.3399372575385754</v>
      </c>
      <c r="F15" s="231">
        <f>VZA!AR35</f>
        <v>0.65489934957579332</v>
      </c>
      <c r="G15" s="240">
        <v>3.3751263251173746</v>
      </c>
      <c r="H15" s="230">
        <f t="shared" si="0"/>
        <v>1.1473311868066504E-2</v>
      </c>
      <c r="I15" s="231">
        <f t="shared" si="1"/>
        <v>2.2103680350555065E-2</v>
      </c>
      <c r="J15" s="199">
        <f t="shared" si="2"/>
        <v>-0.31496209203721792</v>
      </c>
      <c r="K15" s="1"/>
    </row>
    <row r="16" spans="4:11" ht="17.25" customHeight="1" x14ac:dyDescent="0.25">
      <c r="D16" s="203" t="s">
        <v>20</v>
      </c>
      <c r="E16" s="232">
        <f>VZA!AR39</f>
        <v>0.41742189991798728</v>
      </c>
      <c r="F16" s="233">
        <f>VZA!AR38</f>
        <v>0.57337724825184011</v>
      </c>
      <c r="G16" s="241">
        <v>2.6626585133582594</v>
      </c>
      <c r="H16" s="232">
        <f t="shared" si="0"/>
        <v>1.1114519754788081E-2</v>
      </c>
      <c r="I16" s="233">
        <f t="shared" si="1"/>
        <v>1.5267078114236943E-2</v>
      </c>
      <c r="J16" s="199">
        <f t="shared" si="2"/>
        <v>-0.15595534833385283</v>
      </c>
      <c r="K16" s="1"/>
    </row>
    <row r="17" spans="4:11" ht="17.25" customHeight="1" x14ac:dyDescent="0.25">
      <c r="D17" s="202" t="s">
        <v>6</v>
      </c>
      <c r="E17" s="230">
        <f>VZA!AR42</f>
        <v>0.49413943768129498</v>
      </c>
      <c r="F17" s="231">
        <f>VZA!AR41</f>
        <v>0.49758531311698512</v>
      </c>
      <c r="G17" s="240">
        <v>6.3697961258063609</v>
      </c>
      <c r="H17" s="230">
        <f t="shared" si="0"/>
        <v>3.1475674757504464E-2</v>
      </c>
      <c r="I17" s="231">
        <f t="shared" si="1"/>
        <v>3.1695169997507169E-2</v>
      </c>
      <c r="J17" s="199">
        <f t="shared" si="2"/>
        <v>-3.4458754356901378E-3</v>
      </c>
      <c r="K17" s="1"/>
    </row>
    <row r="18" spans="4:11" ht="17.25" customHeight="1" x14ac:dyDescent="0.25">
      <c r="D18" s="203" t="s">
        <v>21</v>
      </c>
      <c r="E18" s="232">
        <f>VZA!AR45</f>
        <v>0.46389349065256019</v>
      </c>
      <c r="F18" s="233">
        <f>VZA!AR44</f>
        <v>0.52385138634540618</v>
      </c>
      <c r="G18" s="241">
        <v>3.0680263881615986</v>
      </c>
      <c r="H18" s="232">
        <f t="shared" si="0"/>
        <v>1.4232374706184506E-2</v>
      </c>
      <c r="I18" s="233">
        <f t="shared" si="1"/>
        <v>1.6071898767827428E-2</v>
      </c>
      <c r="J18" s="199">
        <f t="shared" si="2"/>
        <v>-5.9957895692845986E-2</v>
      </c>
      <c r="K18" s="1"/>
    </row>
    <row r="19" spans="4:11" ht="17.25" customHeight="1" x14ac:dyDescent="0.25">
      <c r="D19" s="202" t="s">
        <v>9</v>
      </c>
      <c r="E19" s="230">
        <f>VZA!AR48</f>
        <v>0.57534752137354428</v>
      </c>
      <c r="F19" s="231">
        <f>VZA!AR47</f>
        <v>0.4029965857548729</v>
      </c>
      <c r="G19" s="240">
        <v>10.374380792859569</v>
      </c>
      <c r="H19" s="230">
        <f t="shared" si="0"/>
        <v>5.9688742749570575E-2</v>
      </c>
      <c r="I19" s="231">
        <f t="shared" si="1"/>
        <v>4.1808400388433371E-2</v>
      </c>
      <c r="J19" s="199">
        <f t="shared" si="2"/>
        <v>0.17235093561867137</v>
      </c>
      <c r="K19" s="1"/>
    </row>
    <row r="20" spans="4:11" ht="17.25" customHeight="1" x14ac:dyDescent="0.25">
      <c r="D20" s="203" t="s">
        <v>22</v>
      </c>
      <c r="E20" s="232">
        <f>VZA!AR51</f>
        <v>0.585877494012219</v>
      </c>
      <c r="F20" s="233">
        <f>VZA!AR50</f>
        <v>0.40727675755071424</v>
      </c>
      <c r="G20" s="241">
        <v>3.1648955887869992</v>
      </c>
      <c r="H20" s="232">
        <f t="shared" si="0"/>
        <v>1.8542410963688534E-2</v>
      </c>
      <c r="I20" s="233">
        <f t="shared" si="1"/>
        <v>1.2889884133877276E-2</v>
      </c>
      <c r="J20" s="199">
        <f t="shared" si="2"/>
        <v>0.17860073646150476</v>
      </c>
      <c r="K20" s="1"/>
    </row>
    <row r="21" spans="4:11" ht="17.25" customHeight="1" x14ac:dyDescent="0.25">
      <c r="D21" s="202" t="s">
        <v>23</v>
      </c>
      <c r="E21" s="230">
        <f>VZA!AR54</f>
        <v>0.37976283739361061</v>
      </c>
      <c r="F21" s="231">
        <f>VZA!AR53</f>
        <v>0.57671246705042545</v>
      </c>
      <c r="G21" s="240">
        <v>1.7526602865103122</v>
      </c>
      <c r="H21" s="230">
        <f t="shared" si="0"/>
        <v>6.6559524339225469E-3</v>
      </c>
      <c r="I21" s="231">
        <f t="shared" si="1"/>
        <v>1.0107810377346678E-2</v>
      </c>
      <c r="J21" s="199">
        <f t="shared" si="2"/>
        <v>-0.19694962965681484</v>
      </c>
      <c r="K21" s="1"/>
    </row>
    <row r="22" spans="4:11" ht="17.25" customHeight="1" x14ac:dyDescent="0.25">
      <c r="D22" s="203" t="s">
        <v>24</v>
      </c>
      <c r="E22" s="232">
        <f>VZA!AR57</f>
        <v>0.27216142874356253</v>
      </c>
      <c r="F22" s="233">
        <f>VZA!AR56</f>
        <v>0.72192433035362313</v>
      </c>
      <c r="G22" s="241">
        <v>3.0718503123545089</v>
      </c>
      <c r="H22" s="232">
        <f t="shared" si="0"/>
        <v>8.3603916989676199E-3</v>
      </c>
      <c r="I22" s="233">
        <f t="shared" si="1"/>
        <v>2.2176434796930971E-2</v>
      </c>
      <c r="J22" s="199">
        <f t="shared" si="2"/>
        <v>-0.44976290161006061</v>
      </c>
      <c r="K22" s="1"/>
    </row>
    <row r="23" spans="4:11" ht="17.25" customHeight="1" x14ac:dyDescent="0.25">
      <c r="D23" s="202" t="s">
        <v>25</v>
      </c>
      <c r="E23" s="230">
        <f>VZA!AR60</f>
        <v>0.40495557125370552</v>
      </c>
      <c r="F23" s="231">
        <f>VZA!AR59</f>
        <v>0.58318166533030369</v>
      </c>
      <c r="G23" s="240">
        <v>3.3379454432917357</v>
      </c>
      <c r="H23" s="230">
        <f t="shared" si="0"/>
        <v>1.3517196038019081E-2</v>
      </c>
      <c r="I23" s="231">
        <f t="shared" si="1"/>
        <v>1.9466285824005732E-2</v>
      </c>
      <c r="J23" s="199">
        <f t="shared" si="2"/>
        <v>-0.17822609407659817</v>
      </c>
      <c r="K23" s="1"/>
    </row>
    <row r="24" spans="4:11" ht="17.25" customHeight="1" x14ac:dyDescent="0.25">
      <c r="D24" s="203" t="s">
        <v>26</v>
      </c>
      <c r="E24" s="232">
        <f>VZA!AR63</f>
        <v>0.66238458370313891</v>
      </c>
      <c r="F24" s="233">
        <f>VZA!AR62</f>
        <v>0.31660272188067395</v>
      </c>
      <c r="G24" s="241">
        <v>4.2498582914323784</v>
      </c>
      <c r="H24" s="232">
        <f t="shared" si="0"/>
        <v>2.8150406151677691E-2</v>
      </c>
      <c r="I24" s="233">
        <f t="shared" si="1"/>
        <v>1.3455167026746415E-2</v>
      </c>
      <c r="J24" s="199">
        <f t="shared" si="2"/>
        <v>0.34578186182246495</v>
      </c>
      <c r="K24" s="1"/>
    </row>
    <row r="25" spans="4:11" ht="17.25" customHeight="1" x14ac:dyDescent="0.25">
      <c r="D25" s="202" t="s">
        <v>27</v>
      </c>
      <c r="E25" s="230">
        <f>VZA!AR66</f>
        <v>0.32077140320432512</v>
      </c>
      <c r="F25" s="231">
        <f>VZA!AR65</f>
        <v>0.67135621782923793</v>
      </c>
      <c r="G25" s="240">
        <v>2.6672589228532066</v>
      </c>
      <c r="H25" s="230">
        <f t="shared" si="0"/>
        <v>8.5558038739287981E-3</v>
      </c>
      <c r="I25" s="231">
        <f t="shared" si="1"/>
        <v>1.7906808624180159E-2</v>
      </c>
      <c r="J25" s="199">
        <f t="shared" si="2"/>
        <v>-0.35058481462491281</v>
      </c>
      <c r="K25" s="1"/>
    </row>
    <row r="26" spans="4:11" ht="17.25" customHeight="1" x14ac:dyDescent="0.25">
      <c r="D26" s="203" t="s">
        <v>28</v>
      </c>
      <c r="E26" s="232">
        <f>VZA!AR69</f>
        <v>0.41029035252485213</v>
      </c>
      <c r="F26" s="233">
        <f>VZA!AR68</f>
        <v>0.58970964747514787</v>
      </c>
      <c r="G26" s="241">
        <v>1.4142137442791383</v>
      </c>
      <c r="H26" s="232">
        <f t="shared" si="0"/>
        <v>5.8023825568577873E-3</v>
      </c>
      <c r="I26" s="233">
        <f t="shared" si="1"/>
        <v>8.3397548859335952E-3</v>
      </c>
      <c r="J26" s="199">
        <f t="shared" si="2"/>
        <v>-0.17941929495029574</v>
      </c>
      <c r="K26" s="1"/>
    </row>
    <row r="27" spans="4:11" ht="17.25" customHeight="1" x14ac:dyDescent="0.25">
      <c r="D27" s="204" t="s">
        <v>29</v>
      </c>
      <c r="E27" s="230">
        <f>VZA!AR72</f>
        <v>0.38375001547190568</v>
      </c>
      <c r="F27" s="231">
        <f>VZA!AR71</f>
        <v>0.6088866951369748</v>
      </c>
      <c r="G27" s="240">
        <v>2.1559965353864028</v>
      </c>
      <c r="H27" s="230">
        <f t="shared" si="0"/>
        <v>8.2736370381190708E-3</v>
      </c>
      <c r="I27" s="231">
        <f t="shared" si="1"/>
        <v>1.3127576051581945E-2</v>
      </c>
      <c r="J27" s="199">
        <f t="shared" si="2"/>
        <v>-0.22513667966506912</v>
      </c>
      <c r="K27" s="1"/>
    </row>
    <row r="28" spans="4:11" ht="17.25" customHeight="1" thickBot="1" x14ac:dyDescent="0.3">
      <c r="D28" s="205" t="s">
        <v>30</v>
      </c>
      <c r="E28" s="234">
        <f>VZA!AR75</f>
        <v>0.4904765098843808</v>
      </c>
      <c r="F28" s="235">
        <f>VZA!AR74</f>
        <v>0.49970643593991132</v>
      </c>
      <c r="G28" s="242">
        <v>12.415952114045055</v>
      </c>
      <c r="H28" s="234">
        <f t="shared" si="0"/>
        <v>6.089732859788418E-2</v>
      </c>
      <c r="I28" s="235">
        <f t="shared" si="1"/>
        <v>6.2043311797100618E-2</v>
      </c>
      <c r="J28" s="199">
        <f t="shared" si="2"/>
        <v>-9.229926055530524E-3</v>
      </c>
      <c r="K28" s="1"/>
    </row>
    <row r="29" spans="4:11" ht="17.25" customHeight="1" x14ac:dyDescent="0.25">
      <c r="H29" s="243"/>
      <c r="K29" s="1"/>
    </row>
    <row r="30" spans="4:11" ht="17.25" customHeight="1" x14ac:dyDescent="0.25">
      <c r="K30" s="1"/>
    </row>
  </sheetData>
  <customSheetViews>
    <customSheetView guid="{FD329D6D-133B-41A2-9E62-45727D40D6B4}" showGridLines="0" hiddenColumns="1">
      <selection activeCell="J2" sqref="J2"/>
      <pageMargins left="0.7" right="0.7" top="0.75" bottom="0.75" header="0.3" footer="0.3"/>
      <pageSetup orientation="portrait" horizontalDpi="360" verticalDpi="360" r:id="rId1"/>
    </customSheetView>
  </customSheetViews>
  <mergeCells count="4">
    <mergeCell ref="E2:F2"/>
    <mergeCell ref="H2:I2"/>
    <mergeCell ref="I1:J1"/>
    <mergeCell ref="E1:H1"/>
  </mergeCells>
  <conditionalFormatting sqref="J4:J28">
    <cfRule type="colorScale" priority="1">
      <colorScale>
        <cfvo type="min"/>
        <cfvo type="num" val="0"/>
        <cfvo type="max"/>
        <color rgb="FFFF0000"/>
        <color theme="0"/>
        <color theme="3"/>
      </colorScale>
    </cfRule>
  </conditionalFormatting>
  <pageMargins left="0.7" right="0.7" top="0.75" bottom="0.75" header="0.3" footer="0.3"/>
  <pageSetup orientation="portrait" horizontalDpi="360" verticalDpi="36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autoPageBreaks="0"/>
  </sheetPr>
  <dimension ref="D1:L216"/>
  <sheetViews>
    <sheetView showGridLines="0" showRowColHeaders="0" workbookViewId="0"/>
  </sheetViews>
  <sheetFormatPr baseColWidth="10" defaultRowHeight="18.75" x14ac:dyDescent="0.25"/>
  <cols>
    <col min="1" max="2" width="11.42578125" style="2"/>
    <col min="3" max="3" width="4.28515625" style="2" customWidth="1"/>
    <col min="4" max="4" width="4.85546875" style="216" customWidth="1"/>
    <col min="5" max="5" width="43" style="207" bestFit="1" customWidth="1"/>
    <col min="6" max="7" width="21.7109375" style="2" customWidth="1"/>
    <col min="8" max="8" width="8.7109375" style="2" customWidth="1"/>
    <col min="9" max="9" width="17.28515625" style="211" customWidth="1"/>
    <col min="10" max="10" width="3.85546875" customWidth="1"/>
    <col min="13" max="16384" width="11.42578125" style="2"/>
  </cols>
  <sheetData>
    <row r="1" spans="4:11" s="188" customFormat="1" ht="83.25" customHeight="1" thickBot="1" x14ac:dyDescent="0.3">
      <c r="D1" s="216"/>
      <c r="F1" s="218" t="s">
        <v>181</v>
      </c>
      <c r="G1" s="218"/>
      <c r="H1" s="215"/>
      <c r="I1" s="187">
        <f ca="1">NOW()</f>
        <v>41188.593726388892</v>
      </c>
      <c r="J1" s="214"/>
    </row>
    <row r="2" spans="4:11" ht="43.5" customHeight="1" thickBot="1" x14ac:dyDescent="0.3">
      <c r="D2" s="216" t="s">
        <v>251</v>
      </c>
      <c r="E2" s="225" t="s">
        <v>252</v>
      </c>
      <c r="F2" s="212" t="s">
        <v>11</v>
      </c>
      <c r="G2" s="213" t="s">
        <v>236</v>
      </c>
      <c r="H2" s="280" t="s">
        <v>250</v>
      </c>
      <c r="I2" s="281"/>
    </row>
    <row r="3" spans="4:11" x14ac:dyDescent="0.3">
      <c r="D3" s="216" t="s">
        <v>31</v>
      </c>
      <c r="E3" s="226" t="s">
        <v>31</v>
      </c>
      <c r="F3" s="228">
        <f>CORE!C7</f>
        <v>0.40206185567010311</v>
      </c>
      <c r="G3" s="229">
        <f>CORE!C6</f>
        <v>0.58762886597938147</v>
      </c>
      <c r="H3" s="227">
        <f t="shared" ref="H3:H65" si="0">F3-G3</f>
        <v>-0.18556701030927836</v>
      </c>
      <c r="I3" s="217" t="str">
        <f t="shared" ref="I3:I34" si="1">IF(H3&lt;-1%,$G$2,IF(H3&lt;1%,"S/VENTAJA",$F$2))</f>
        <v>HUGO CHAVEZ</v>
      </c>
    </row>
    <row r="4" spans="4:11" ht="19.5" thickBot="1" x14ac:dyDescent="0.35">
      <c r="D4" s="216" t="s">
        <v>31</v>
      </c>
      <c r="E4" s="220" t="s">
        <v>32</v>
      </c>
      <c r="F4" s="236">
        <f>CORE!C13</f>
        <v>0.40206185567010311</v>
      </c>
      <c r="G4" s="237">
        <f>CORE!C12</f>
        <v>0.58762886597938147</v>
      </c>
      <c r="H4" s="222">
        <f t="shared" si="0"/>
        <v>-0.18556701030927836</v>
      </c>
      <c r="I4" s="209" t="str">
        <f t="shared" si="1"/>
        <v>HUGO CHAVEZ</v>
      </c>
    </row>
    <row r="5" spans="4:11" x14ac:dyDescent="0.3">
      <c r="D5" s="216" t="s">
        <v>33</v>
      </c>
      <c r="E5" s="226" t="s">
        <v>33</v>
      </c>
      <c r="F5" s="228">
        <f>CORE!C20</f>
        <v>0.34507589287938811</v>
      </c>
      <c r="G5" s="229">
        <f>CORE!C19</f>
        <v>0.64587417898931376</v>
      </c>
      <c r="H5" s="227">
        <f t="shared" si="0"/>
        <v>-0.30079828610992565</v>
      </c>
      <c r="I5" s="217" t="str">
        <f t="shared" si="1"/>
        <v>HUGO CHAVEZ</v>
      </c>
    </row>
    <row r="6" spans="4:11" x14ac:dyDescent="0.3">
      <c r="D6" s="216" t="s">
        <v>33</v>
      </c>
      <c r="E6" s="219" t="s">
        <v>34</v>
      </c>
      <c r="F6" s="223">
        <f>CORE!C26</f>
        <v>0.32113821138211379</v>
      </c>
      <c r="G6" s="224">
        <f>CORE!C25</f>
        <v>0.67886178861788615</v>
      </c>
      <c r="H6" s="221">
        <f t="shared" si="0"/>
        <v>-0.35772357723577236</v>
      </c>
      <c r="I6" s="210" t="str">
        <f t="shared" si="1"/>
        <v>HUGO CHAVEZ</v>
      </c>
    </row>
    <row r="7" spans="4:11" x14ac:dyDescent="0.3">
      <c r="D7" s="216" t="s">
        <v>33</v>
      </c>
      <c r="E7" s="219" t="s">
        <v>35</v>
      </c>
      <c r="F7" s="223">
        <f>CORE!C32</f>
        <v>0.40497737556561081</v>
      </c>
      <c r="G7" s="224">
        <f>CORE!C31</f>
        <v>0.58371040723981893</v>
      </c>
      <c r="H7" s="221">
        <f t="shared" si="0"/>
        <v>-0.17873303167420812</v>
      </c>
      <c r="I7" s="210" t="str">
        <f t="shared" si="1"/>
        <v>HUGO CHAVEZ</v>
      </c>
    </row>
    <row r="8" spans="4:11" x14ac:dyDescent="0.3">
      <c r="D8" s="216" t="s">
        <v>33</v>
      </c>
      <c r="E8" s="219" t="s">
        <v>36</v>
      </c>
      <c r="F8" s="223">
        <f>CORE!C38</f>
        <v>0.95000000000000007</v>
      </c>
      <c r="G8" s="224">
        <f>CORE!C37</f>
        <v>4.9999999999999996E-2</v>
      </c>
      <c r="H8" s="221">
        <f t="shared" si="0"/>
        <v>0.9</v>
      </c>
      <c r="I8" s="210" t="str">
        <f t="shared" si="1"/>
        <v>HENRIQUE CAPRILES</v>
      </c>
    </row>
    <row r="9" spans="4:11" x14ac:dyDescent="0.3">
      <c r="D9" s="216" t="s">
        <v>33</v>
      </c>
      <c r="E9" s="219" t="s">
        <v>37</v>
      </c>
      <c r="F9" s="223">
        <f>CORE!C44</f>
        <v>0.2831858407079646</v>
      </c>
      <c r="G9" s="224">
        <f>CORE!C43</f>
        <v>0.68731563421828912</v>
      </c>
      <c r="H9" s="221">
        <f t="shared" si="0"/>
        <v>-0.40412979351032452</v>
      </c>
      <c r="I9" s="210" t="str">
        <f t="shared" si="1"/>
        <v>HUGO CHAVEZ</v>
      </c>
    </row>
    <row r="10" spans="4:11" x14ac:dyDescent="0.3">
      <c r="D10" s="216" t="s">
        <v>33</v>
      </c>
      <c r="E10" s="219" t="s">
        <v>38</v>
      </c>
      <c r="F10" s="223">
        <f>CORE!C50</f>
        <v>0.41052631578947363</v>
      </c>
      <c r="G10" s="224">
        <f>CORE!C49</f>
        <v>0.56842105263157883</v>
      </c>
      <c r="H10" s="221">
        <f t="shared" si="0"/>
        <v>-0.1578947368421052</v>
      </c>
      <c r="I10" s="210" t="str">
        <f t="shared" si="1"/>
        <v>HUGO CHAVEZ</v>
      </c>
    </row>
    <row r="11" spans="4:11" x14ac:dyDescent="0.3">
      <c r="D11" s="216" t="s">
        <v>33</v>
      </c>
      <c r="E11" s="219" t="s">
        <v>39</v>
      </c>
      <c r="F11" s="223">
        <f>CORE!C56</f>
        <v>0.28712871287128716</v>
      </c>
      <c r="G11" s="224">
        <f>CORE!C55</f>
        <v>0.70297029702970304</v>
      </c>
      <c r="H11" s="221">
        <f t="shared" si="0"/>
        <v>-0.41584158415841588</v>
      </c>
      <c r="I11" s="210" t="str">
        <f t="shared" si="1"/>
        <v>HUGO CHAVEZ</v>
      </c>
    </row>
    <row r="12" spans="4:11" x14ac:dyDescent="0.3">
      <c r="D12" s="216" t="s">
        <v>33</v>
      </c>
      <c r="E12" s="219" t="s">
        <v>40</v>
      </c>
      <c r="F12" s="223">
        <f>CORE!C62</f>
        <v>0.27511961722488038</v>
      </c>
      <c r="G12" s="224">
        <f>CORE!C61</f>
        <v>0.72488038277511957</v>
      </c>
      <c r="H12" s="221">
        <f t="shared" si="0"/>
        <v>-0.44976076555023919</v>
      </c>
      <c r="I12" s="210" t="str">
        <f t="shared" si="1"/>
        <v>HUGO CHAVEZ</v>
      </c>
    </row>
    <row r="13" spans="4:11" ht="19.5" thickBot="1" x14ac:dyDescent="0.35">
      <c r="D13" s="216" t="s">
        <v>33</v>
      </c>
      <c r="E13" s="220" t="s">
        <v>41</v>
      </c>
      <c r="F13" s="236">
        <f>CORE!C68</f>
        <v>0.20565552699228792</v>
      </c>
      <c r="G13" s="237">
        <f>CORE!C67</f>
        <v>0.78663239074550129</v>
      </c>
      <c r="H13" s="222">
        <f t="shared" si="0"/>
        <v>-0.58097686375321334</v>
      </c>
      <c r="I13" s="209" t="str">
        <f t="shared" si="1"/>
        <v>HUGO CHAVEZ</v>
      </c>
    </row>
    <row r="14" spans="4:11" x14ac:dyDescent="0.3">
      <c r="D14" s="216" t="s">
        <v>42</v>
      </c>
      <c r="E14" s="226" t="s">
        <v>42</v>
      </c>
      <c r="F14" s="228">
        <f>CORE!C75</f>
        <v>0.39108212590742086</v>
      </c>
      <c r="G14" s="229">
        <f>CORE!C74</f>
        <v>0.59928034842995637</v>
      </c>
      <c r="H14" s="227">
        <f t="shared" si="0"/>
        <v>-0.2081982225225355</v>
      </c>
      <c r="I14" s="217" t="str">
        <f t="shared" si="1"/>
        <v>HUGO CHAVEZ</v>
      </c>
      <c r="K14" s="4"/>
    </row>
    <row r="15" spans="4:11" x14ac:dyDescent="0.3">
      <c r="D15" s="216" t="s">
        <v>42</v>
      </c>
      <c r="E15" s="219" t="s">
        <v>43</v>
      </c>
      <c r="F15" s="223">
        <f>CORE!C81</f>
        <v>0.35955056179775285</v>
      </c>
      <c r="G15" s="224">
        <f>CORE!C80</f>
        <v>0.62921348314606751</v>
      </c>
      <c r="H15" s="221">
        <f t="shared" si="0"/>
        <v>-0.26966292134831465</v>
      </c>
      <c r="I15" s="210" t="str">
        <f t="shared" si="1"/>
        <v>HUGO CHAVEZ</v>
      </c>
    </row>
    <row r="16" spans="4:11" x14ac:dyDescent="0.3">
      <c r="D16" s="216" t="s">
        <v>42</v>
      </c>
      <c r="E16" s="219" t="s">
        <v>44</v>
      </c>
      <c r="F16" s="223">
        <f>CORE!C87</f>
        <v>0.40343347639484978</v>
      </c>
      <c r="G16" s="224">
        <f>CORE!C86</f>
        <v>0.59656652360515017</v>
      </c>
      <c r="H16" s="221">
        <f t="shared" si="0"/>
        <v>-0.19313304721030039</v>
      </c>
      <c r="I16" s="210" t="str">
        <f t="shared" si="1"/>
        <v>HUGO CHAVEZ</v>
      </c>
    </row>
    <row r="17" spans="4:9" x14ac:dyDescent="0.3">
      <c r="D17" s="216" t="s">
        <v>42</v>
      </c>
      <c r="E17" s="219" t="s">
        <v>45</v>
      </c>
      <c r="F17" s="223">
        <f>CORE!C93</f>
        <v>0.38207547169811323</v>
      </c>
      <c r="G17" s="224">
        <f>CORE!C92</f>
        <v>0.59905660377358483</v>
      </c>
      <c r="H17" s="221">
        <f t="shared" si="0"/>
        <v>-0.21698113207547159</v>
      </c>
      <c r="I17" s="210" t="str">
        <f t="shared" si="1"/>
        <v>HUGO CHAVEZ</v>
      </c>
    </row>
    <row r="18" spans="4:9" ht="19.5" thickBot="1" x14ac:dyDescent="0.35">
      <c r="D18" s="216" t="s">
        <v>42</v>
      </c>
      <c r="E18" s="220" t="s">
        <v>46</v>
      </c>
      <c r="F18" s="236">
        <f>CORE!C99</f>
        <v>0.40397350993377479</v>
      </c>
      <c r="G18" s="237">
        <f>CORE!C98</f>
        <v>0.58940397350993379</v>
      </c>
      <c r="H18" s="222">
        <f t="shared" si="0"/>
        <v>-0.185430463576159</v>
      </c>
      <c r="I18" s="209" t="str">
        <f t="shared" si="1"/>
        <v>HUGO CHAVEZ</v>
      </c>
    </row>
    <row r="19" spans="4:9" x14ac:dyDescent="0.3">
      <c r="D19" s="216" t="s">
        <v>47</v>
      </c>
      <c r="E19" s="226" t="s">
        <v>47</v>
      </c>
      <c r="F19" s="228">
        <f>CORE!C106</f>
        <v>0.47572039373508229</v>
      </c>
      <c r="G19" s="229">
        <f>CORE!C105</f>
        <v>0.50438854999136062</v>
      </c>
      <c r="H19" s="227">
        <f t="shared" si="0"/>
        <v>-2.8668156256278332E-2</v>
      </c>
      <c r="I19" s="217" t="str">
        <f t="shared" si="1"/>
        <v>HUGO CHAVEZ</v>
      </c>
    </row>
    <row r="20" spans="4:9" x14ac:dyDescent="0.3">
      <c r="D20" s="216" t="s">
        <v>47</v>
      </c>
      <c r="E20" s="219" t="s">
        <v>48</v>
      </c>
      <c r="F20" s="223">
        <f>CORE!C112</f>
        <v>0.41484716157205243</v>
      </c>
      <c r="G20" s="224">
        <f>CORE!C111</f>
        <v>0.57205240174672489</v>
      </c>
      <c r="H20" s="221">
        <f t="shared" si="0"/>
        <v>-0.15720524017467247</v>
      </c>
      <c r="I20" s="210" t="str">
        <f t="shared" si="1"/>
        <v>HUGO CHAVEZ</v>
      </c>
    </row>
    <row r="21" spans="4:9" x14ac:dyDescent="0.3">
      <c r="D21" s="216" t="s">
        <v>47</v>
      </c>
      <c r="E21" s="219" t="s">
        <v>49</v>
      </c>
      <c r="F21" s="223">
        <f>CORE!C118</f>
        <v>0.51343283582089549</v>
      </c>
      <c r="G21" s="224">
        <f>CORE!C117</f>
        <v>0.44477611940298506</v>
      </c>
      <c r="H21" s="221">
        <f t="shared" si="0"/>
        <v>6.8656716417910435E-2</v>
      </c>
      <c r="I21" s="210" t="str">
        <f t="shared" si="1"/>
        <v>HENRIQUE CAPRILES</v>
      </c>
    </row>
    <row r="22" spans="4:9" x14ac:dyDescent="0.3">
      <c r="D22" s="216" t="s">
        <v>47</v>
      </c>
      <c r="E22" s="219" t="s">
        <v>50</v>
      </c>
      <c r="F22" s="223">
        <f>CORE!C124</f>
        <v>0.35034013605442177</v>
      </c>
      <c r="G22" s="224">
        <f>CORE!C123</f>
        <v>0.64965986394557818</v>
      </c>
      <c r="H22" s="221">
        <f t="shared" si="0"/>
        <v>-0.29931972789115641</v>
      </c>
      <c r="I22" s="210" t="str">
        <f t="shared" si="1"/>
        <v>HUGO CHAVEZ</v>
      </c>
    </row>
    <row r="23" spans="4:9" x14ac:dyDescent="0.3">
      <c r="D23" s="216" t="s">
        <v>47</v>
      </c>
      <c r="E23" s="219" t="s">
        <v>51</v>
      </c>
      <c r="F23" s="223">
        <f>CORE!C130</f>
        <v>0.40487804878048778</v>
      </c>
      <c r="G23" s="224">
        <f>CORE!C129</f>
        <v>0.59024390243902436</v>
      </c>
      <c r="H23" s="221">
        <f t="shared" si="0"/>
        <v>-0.18536585365853658</v>
      </c>
      <c r="I23" s="210" t="str">
        <f t="shared" si="1"/>
        <v>HUGO CHAVEZ</v>
      </c>
    </row>
    <row r="24" spans="4:9" x14ac:dyDescent="0.3">
      <c r="D24" s="216" t="s">
        <v>47</v>
      </c>
      <c r="E24" s="219" t="s">
        <v>52</v>
      </c>
      <c r="F24" s="223">
        <f>CORE!C136</f>
        <v>0.51376146788990829</v>
      </c>
      <c r="G24" s="224">
        <f>CORE!C135</f>
        <v>0.48623853211009177</v>
      </c>
      <c r="H24" s="221">
        <f t="shared" si="0"/>
        <v>2.7522935779816515E-2</v>
      </c>
      <c r="I24" s="210" t="str">
        <f t="shared" si="1"/>
        <v>HENRIQUE CAPRILES</v>
      </c>
    </row>
    <row r="25" spans="4:9" x14ac:dyDescent="0.3">
      <c r="D25" s="216" t="s">
        <v>47</v>
      </c>
      <c r="E25" s="219" t="s">
        <v>53</v>
      </c>
      <c r="F25" s="223">
        <f>CORE!C142</f>
        <v>0.7434944237918214</v>
      </c>
      <c r="G25" s="224">
        <f>CORE!C141</f>
        <v>0.21933085501858732</v>
      </c>
      <c r="H25" s="221">
        <f t="shared" si="0"/>
        <v>0.52416356877323411</v>
      </c>
      <c r="I25" s="210" t="str">
        <f t="shared" si="1"/>
        <v>HENRIQUE CAPRILES</v>
      </c>
    </row>
    <row r="26" spans="4:9" x14ac:dyDescent="0.3">
      <c r="D26" s="216" t="s">
        <v>47</v>
      </c>
      <c r="E26" s="219" t="s">
        <v>54</v>
      </c>
      <c r="F26" s="223">
        <f>CORE!C148</f>
        <v>0.31802120141342755</v>
      </c>
      <c r="G26" s="224">
        <f>CORE!C147</f>
        <v>0.67844522968197873</v>
      </c>
      <c r="H26" s="221">
        <f t="shared" si="0"/>
        <v>-0.36042402826855119</v>
      </c>
      <c r="I26" s="210" t="str">
        <f t="shared" si="1"/>
        <v>HUGO CHAVEZ</v>
      </c>
    </row>
    <row r="27" spans="4:9" x14ac:dyDescent="0.3">
      <c r="D27" s="216" t="s">
        <v>47</v>
      </c>
      <c r="E27" s="219" t="s">
        <v>55</v>
      </c>
      <c r="F27" s="223">
        <f>CORE!C154</f>
        <v>0.61585365853658536</v>
      </c>
      <c r="G27" s="224">
        <f>CORE!C153</f>
        <v>0.37804878048780488</v>
      </c>
      <c r="H27" s="221">
        <f t="shared" si="0"/>
        <v>0.23780487804878048</v>
      </c>
      <c r="I27" s="210" t="str">
        <f t="shared" si="1"/>
        <v>HENRIQUE CAPRILES</v>
      </c>
    </row>
    <row r="28" spans="4:9" ht="19.5" thickBot="1" x14ac:dyDescent="0.35">
      <c r="D28" s="216" t="s">
        <v>47</v>
      </c>
      <c r="E28" s="220" t="s">
        <v>56</v>
      </c>
      <c r="F28" s="236">
        <f>CORE!C160</f>
        <v>0.40460526315789475</v>
      </c>
      <c r="G28" s="237">
        <f>CORE!C159</f>
        <v>0.58881578947368418</v>
      </c>
      <c r="H28" s="222">
        <f t="shared" si="0"/>
        <v>-0.18421052631578944</v>
      </c>
      <c r="I28" s="209" t="str">
        <f t="shared" si="1"/>
        <v>HUGO CHAVEZ</v>
      </c>
    </row>
    <row r="29" spans="4:9" x14ac:dyDescent="0.3">
      <c r="D29" s="216" t="s">
        <v>57</v>
      </c>
      <c r="E29" s="226" t="s">
        <v>57</v>
      </c>
      <c r="F29" s="228">
        <f>CORE!C167</f>
        <v>0.57581586211551095</v>
      </c>
      <c r="G29" s="229">
        <f>CORE!C166</f>
        <v>0.40729112588551908</v>
      </c>
      <c r="H29" s="227">
        <f t="shared" si="0"/>
        <v>0.16852473622999187</v>
      </c>
      <c r="I29" s="217" t="str">
        <f t="shared" si="1"/>
        <v>HENRIQUE CAPRILES</v>
      </c>
    </row>
    <row r="30" spans="4:9" x14ac:dyDescent="0.3">
      <c r="D30" s="216" t="s">
        <v>57</v>
      </c>
      <c r="E30" s="219" t="s">
        <v>58</v>
      </c>
      <c r="F30" s="223">
        <f>CORE!C173</f>
        <v>0.47058823529411764</v>
      </c>
      <c r="G30" s="224">
        <f>CORE!C172</f>
        <v>0.52941176470588236</v>
      </c>
      <c r="H30" s="221">
        <f t="shared" si="0"/>
        <v>-5.8823529411764719E-2</v>
      </c>
      <c r="I30" s="210" t="str">
        <f t="shared" si="1"/>
        <v>HUGO CHAVEZ</v>
      </c>
    </row>
    <row r="31" spans="4:9" x14ac:dyDescent="0.3">
      <c r="D31" s="216" t="s">
        <v>57</v>
      </c>
      <c r="E31" s="219" t="s">
        <v>57</v>
      </c>
      <c r="F31" s="223">
        <f>CORE!C179</f>
        <v>0.64444444444444449</v>
      </c>
      <c r="G31" s="224">
        <f>CORE!C178</f>
        <v>0.32962962962962966</v>
      </c>
      <c r="H31" s="221">
        <f t="shared" si="0"/>
        <v>0.31481481481481483</v>
      </c>
      <c r="I31" s="210" t="str">
        <f t="shared" si="1"/>
        <v>HENRIQUE CAPRILES</v>
      </c>
    </row>
    <row r="32" spans="4:9" x14ac:dyDescent="0.3">
      <c r="D32" s="216" t="s">
        <v>57</v>
      </c>
      <c r="E32" s="219" t="s">
        <v>35</v>
      </c>
      <c r="F32" s="223" t="e">
        <f>CORE!C185</f>
        <v>#DIV/0!</v>
      </c>
      <c r="G32" s="224" t="e">
        <f>CORE!C184</f>
        <v>#DIV/0!</v>
      </c>
      <c r="H32" s="221" t="e">
        <f t="shared" si="0"/>
        <v>#DIV/0!</v>
      </c>
      <c r="I32" s="210" t="e">
        <f t="shared" si="1"/>
        <v>#DIV/0!</v>
      </c>
    </row>
    <row r="33" spans="4:9" x14ac:dyDescent="0.3">
      <c r="D33" s="216" t="s">
        <v>57</v>
      </c>
      <c r="E33" s="219" t="s">
        <v>59</v>
      </c>
      <c r="F33" s="223">
        <f>CORE!C191</f>
        <v>0.52631578947368418</v>
      </c>
      <c r="G33" s="224">
        <f>CORE!C190</f>
        <v>0.46992481203007519</v>
      </c>
      <c r="H33" s="221">
        <f t="shared" si="0"/>
        <v>5.6390977443608992E-2</v>
      </c>
      <c r="I33" s="210" t="str">
        <f t="shared" si="1"/>
        <v>HENRIQUE CAPRILES</v>
      </c>
    </row>
    <row r="34" spans="4:9" ht="19.5" thickBot="1" x14ac:dyDescent="0.35">
      <c r="D34" s="216" t="s">
        <v>57</v>
      </c>
      <c r="E34" s="220" t="s">
        <v>60</v>
      </c>
      <c r="F34" s="236">
        <f>CORE!C197</f>
        <v>0.37931034482758619</v>
      </c>
      <c r="G34" s="237">
        <f>CORE!C196</f>
        <v>0.62068965517241381</v>
      </c>
      <c r="H34" s="222">
        <f t="shared" si="0"/>
        <v>-0.24137931034482762</v>
      </c>
      <c r="I34" s="209" t="str">
        <f t="shared" si="1"/>
        <v>HUGO CHAVEZ</v>
      </c>
    </row>
    <row r="35" spans="4:9" x14ac:dyDescent="0.3">
      <c r="D35" s="216" t="s">
        <v>35</v>
      </c>
      <c r="E35" s="226" t="s">
        <v>35</v>
      </c>
      <c r="F35" s="228">
        <f>CORE!C204</f>
        <v>0.4244518972693575</v>
      </c>
      <c r="G35" s="229">
        <f>CORE!C203</f>
        <v>0.56873238931497072</v>
      </c>
      <c r="H35" s="227">
        <f t="shared" si="0"/>
        <v>-0.14428049204561322</v>
      </c>
      <c r="I35" s="217" t="str">
        <f t="shared" ref="I35:I65" si="2">IF(H35&lt;-1%,$G$2,IF(H35&lt;1%,"S/VENTAJA",$F$2))</f>
        <v>HUGO CHAVEZ</v>
      </c>
    </row>
    <row r="36" spans="4:9" x14ac:dyDescent="0.3">
      <c r="D36" s="216" t="s">
        <v>35</v>
      </c>
      <c r="E36" s="219" t="s">
        <v>61</v>
      </c>
      <c r="F36" s="223">
        <f>CORE!C210</f>
        <v>0.42211838006230529</v>
      </c>
      <c r="G36" s="224">
        <f>CORE!C209</f>
        <v>0.56853582554517135</v>
      </c>
      <c r="H36" s="221">
        <f t="shared" si="0"/>
        <v>-0.14641744548286606</v>
      </c>
      <c r="I36" s="210" t="str">
        <f t="shared" si="2"/>
        <v>HUGO CHAVEZ</v>
      </c>
    </row>
    <row r="37" spans="4:9" x14ac:dyDescent="0.3">
      <c r="D37" s="216" t="s">
        <v>35</v>
      </c>
      <c r="E37" s="219" t="s">
        <v>62</v>
      </c>
      <c r="F37" s="223">
        <f>CORE!C216</f>
        <v>0.42379182156133832</v>
      </c>
      <c r="G37" s="224">
        <f>CORE!C215</f>
        <v>0.57620817843866168</v>
      </c>
      <c r="H37" s="221">
        <f t="shared" si="0"/>
        <v>-0.15241635687732336</v>
      </c>
      <c r="I37" s="210" t="str">
        <f t="shared" si="2"/>
        <v>HUGO CHAVEZ</v>
      </c>
    </row>
    <row r="38" spans="4:9" x14ac:dyDescent="0.3">
      <c r="D38" s="216" t="s">
        <v>35</v>
      </c>
      <c r="E38" s="219" t="s">
        <v>63</v>
      </c>
      <c r="F38" s="223">
        <f>CORE!C222</f>
        <v>0.39795918367346939</v>
      </c>
      <c r="G38" s="224">
        <f>CORE!C221</f>
        <v>0.60204081632653061</v>
      </c>
      <c r="H38" s="221">
        <f t="shared" si="0"/>
        <v>-0.20408163265306123</v>
      </c>
      <c r="I38" s="210" t="str">
        <f t="shared" si="2"/>
        <v>HUGO CHAVEZ</v>
      </c>
    </row>
    <row r="39" spans="4:9" ht="19.5" thickBot="1" x14ac:dyDescent="0.35">
      <c r="D39" s="216" t="s">
        <v>35</v>
      </c>
      <c r="E39" s="220" t="s">
        <v>64</v>
      </c>
      <c r="F39" s="236">
        <f>CORE!C228</f>
        <v>0.52243589743589747</v>
      </c>
      <c r="G39" s="237">
        <f>CORE!C227</f>
        <v>0.46153846153846156</v>
      </c>
      <c r="H39" s="222">
        <f t="shared" si="0"/>
        <v>6.0897435897435903E-2</v>
      </c>
      <c r="I39" s="209" t="str">
        <f t="shared" si="2"/>
        <v>HENRIQUE CAPRILES</v>
      </c>
    </row>
    <row r="40" spans="4:9" x14ac:dyDescent="0.3">
      <c r="D40" s="216" t="s">
        <v>65</v>
      </c>
      <c r="E40" s="226" t="s">
        <v>65</v>
      </c>
      <c r="F40" s="228">
        <f>CORE!C235</f>
        <v>0.42292752974005343</v>
      </c>
      <c r="G40" s="229">
        <f>CORE!C234</f>
        <v>0.55763915639922768</v>
      </c>
      <c r="H40" s="227">
        <f t="shared" si="0"/>
        <v>-0.13471162665917424</v>
      </c>
      <c r="I40" s="217" t="str">
        <f t="shared" si="2"/>
        <v>HUGO CHAVEZ</v>
      </c>
    </row>
    <row r="41" spans="4:9" x14ac:dyDescent="0.3">
      <c r="D41" s="216" t="s">
        <v>65</v>
      </c>
      <c r="E41" s="219" t="s">
        <v>66</v>
      </c>
      <c r="F41" s="223">
        <f>CORE!C241</f>
        <v>0.38613861386138615</v>
      </c>
      <c r="G41" s="224">
        <f>CORE!C240</f>
        <v>0.58415841584158423</v>
      </c>
      <c r="H41" s="221">
        <f t="shared" si="0"/>
        <v>-0.19801980198019808</v>
      </c>
      <c r="I41" s="210" t="str">
        <f t="shared" si="2"/>
        <v>HUGO CHAVEZ</v>
      </c>
    </row>
    <row r="42" spans="4:9" x14ac:dyDescent="0.3">
      <c r="D42" s="216" t="s">
        <v>65</v>
      </c>
      <c r="E42" s="219" t="s">
        <v>67</v>
      </c>
      <c r="F42" s="223">
        <f>CORE!C247</f>
        <v>0.1348314606741573</v>
      </c>
      <c r="G42" s="224">
        <f>CORE!C246</f>
        <v>0.8651685393258427</v>
      </c>
      <c r="H42" s="221">
        <f t="shared" si="0"/>
        <v>-0.7303370786516854</v>
      </c>
      <c r="I42" s="210" t="str">
        <f t="shared" si="2"/>
        <v>HUGO CHAVEZ</v>
      </c>
    </row>
    <row r="43" spans="4:9" x14ac:dyDescent="0.3">
      <c r="D43" s="216" t="s">
        <v>65</v>
      </c>
      <c r="E43" s="219" t="s">
        <v>68</v>
      </c>
      <c r="F43" s="223">
        <f>CORE!C253</f>
        <v>0.27027027027027029</v>
      </c>
      <c r="G43" s="224">
        <f>CORE!C252</f>
        <v>0.70270270270270274</v>
      </c>
      <c r="H43" s="221">
        <f t="shared" si="0"/>
        <v>-0.43243243243243246</v>
      </c>
      <c r="I43" s="210" t="str">
        <f t="shared" si="2"/>
        <v>HUGO CHAVEZ</v>
      </c>
    </row>
    <row r="44" spans="4:9" x14ac:dyDescent="0.3">
      <c r="D44" s="216" t="s">
        <v>65</v>
      </c>
      <c r="E44" s="219" t="s">
        <v>69</v>
      </c>
      <c r="F44" s="223">
        <f>CORE!C259</f>
        <v>0.45247148288973371</v>
      </c>
      <c r="G44" s="224">
        <f>CORE!C258</f>
        <v>0.53992395437262353</v>
      </c>
      <c r="H44" s="221">
        <f t="shared" si="0"/>
        <v>-8.7452471482889815E-2</v>
      </c>
      <c r="I44" s="210" t="str">
        <f t="shared" si="2"/>
        <v>HUGO CHAVEZ</v>
      </c>
    </row>
    <row r="45" spans="4:9" x14ac:dyDescent="0.3">
      <c r="D45" s="216" t="s">
        <v>65</v>
      </c>
      <c r="E45" s="219" t="s">
        <v>70</v>
      </c>
      <c r="F45" s="223">
        <f>CORE!C265</f>
        <v>0.38118811881188119</v>
      </c>
      <c r="G45" s="224">
        <f>CORE!C264</f>
        <v>0.61881188118811881</v>
      </c>
      <c r="H45" s="221">
        <f t="shared" si="0"/>
        <v>-0.23762376237623761</v>
      </c>
      <c r="I45" s="210" t="str">
        <f t="shared" si="2"/>
        <v>HUGO CHAVEZ</v>
      </c>
    </row>
    <row r="46" spans="4:9" x14ac:dyDescent="0.3">
      <c r="D46" s="216" t="s">
        <v>65</v>
      </c>
      <c r="E46" s="219" t="s">
        <v>52</v>
      </c>
      <c r="F46" s="223">
        <f>CORE!C271</f>
        <v>0.44169611307420492</v>
      </c>
      <c r="G46" s="224">
        <f>CORE!C270</f>
        <v>0.55830388692579513</v>
      </c>
      <c r="H46" s="221">
        <f t="shared" si="0"/>
        <v>-0.11660777385159021</v>
      </c>
      <c r="I46" s="210" t="str">
        <f t="shared" si="2"/>
        <v>HUGO CHAVEZ</v>
      </c>
    </row>
    <row r="47" spans="4:9" x14ac:dyDescent="0.3">
      <c r="D47" s="216" t="s">
        <v>65</v>
      </c>
      <c r="E47" s="219" t="s">
        <v>71</v>
      </c>
      <c r="F47" s="223">
        <f>CORE!C277</f>
        <v>0.23655913978494625</v>
      </c>
      <c r="G47" s="224">
        <f>CORE!C276</f>
        <v>0.76344086021505375</v>
      </c>
      <c r="H47" s="221">
        <f t="shared" si="0"/>
        <v>-0.5268817204301075</v>
      </c>
      <c r="I47" s="210" t="str">
        <f t="shared" si="2"/>
        <v>HUGO CHAVEZ</v>
      </c>
    </row>
    <row r="48" spans="4:9" x14ac:dyDescent="0.3">
      <c r="D48" s="216" t="s">
        <v>65</v>
      </c>
      <c r="E48" s="219" t="s">
        <v>72</v>
      </c>
      <c r="F48" s="223">
        <f>CORE!C283</f>
        <v>0.46666666666666667</v>
      </c>
      <c r="G48" s="224">
        <f>CORE!C282</f>
        <v>0.46666666666666667</v>
      </c>
      <c r="H48" s="221">
        <f t="shared" si="0"/>
        <v>0</v>
      </c>
      <c r="I48" s="210" t="str">
        <f t="shared" si="2"/>
        <v>S/VENTAJA</v>
      </c>
    </row>
    <row r="49" spans="4:9" x14ac:dyDescent="0.3">
      <c r="D49" s="216" t="s">
        <v>65</v>
      </c>
      <c r="E49" s="219" t="s">
        <v>73</v>
      </c>
      <c r="F49" s="223">
        <f>CORE!C289</f>
        <v>0.24199288256227758</v>
      </c>
      <c r="G49" s="224">
        <f>CORE!C288</f>
        <v>0.73309608540925275</v>
      </c>
      <c r="H49" s="221">
        <f t="shared" si="0"/>
        <v>-0.49110320284697517</v>
      </c>
      <c r="I49" s="210" t="str">
        <f t="shared" si="2"/>
        <v>HUGO CHAVEZ</v>
      </c>
    </row>
    <row r="50" spans="4:9" x14ac:dyDescent="0.3">
      <c r="D50" s="216" t="s">
        <v>65</v>
      </c>
      <c r="E50" s="219" t="s">
        <v>74</v>
      </c>
      <c r="F50" s="223">
        <f>CORE!C295</f>
        <v>0.79772079772079774</v>
      </c>
      <c r="G50" s="224">
        <f>CORE!C294</f>
        <v>0.20227920227920226</v>
      </c>
      <c r="H50" s="221">
        <f t="shared" si="0"/>
        <v>0.59544159544159547</v>
      </c>
      <c r="I50" s="210" t="str">
        <f t="shared" si="2"/>
        <v>HENRIQUE CAPRILES</v>
      </c>
    </row>
    <row r="51" spans="4:9" x14ac:dyDescent="0.3">
      <c r="D51" s="216" t="s">
        <v>65</v>
      </c>
      <c r="E51" s="219" t="s">
        <v>75</v>
      </c>
      <c r="F51" s="223">
        <f>CORE!C301</f>
        <v>0.53731343283582089</v>
      </c>
      <c r="G51" s="224">
        <f>CORE!C300</f>
        <v>0.45522388059701491</v>
      </c>
      <c r="H51" s="221">
        <f t="shared" si="0"/>
        <v>8.2089552238805985E-2</v>
      </c>
      <c r="I51" s="210" t="str">
        <f t="shared" si="2"/>
        <v>HENRIQUE CAPRILES</v>
      </c>
    </row>
    <row r="52" spans="4:9" ht="19.5" thickBot="1" x14ac:dyDescent="0.35">
      <c r="D52" s="216" t="s">
        <v>65</v>
      </c>
      <c r="E52" s="220" t="s">
        <v>76</v>
      </c>
      <c r="F52" s="236">
        <f>CORE!C307</f>
        <v>0.50822669104204743</v>
      </c>
      <c r="G52" s="237">
        <f>CORE!C306</f>
        <v>0.46617915904936008</v>
      </c>
      <c r="H52" s="222">
        <f t="shared" si="0"/>
        <v>4.2047531992687348E-2</v>
      </c>
      <c r="I52" s="209" t="str">
        <f t="shared" si="2"/>
        <v>HENRIQUE CAPRILES</v>
      </c>
    </row>
    <row r="53" spans="4:9" x14ac:dyDescent="0.3">
      <c r="D53" s="216" t="s">
        <v>77</v>
      </c>
      <c r="E53" s="226" t="s">
        <v>77</v>
      </c>
      <c r="F53" s="228">
        <f>CORE!C314</f>
        <v>0.51104290450752299</v>
      </c>
      <c r="G53" s="229">
        <f>CORE!C313</f>
        <v>0.4820716967859664</v>
      </c>
      <c r="H53" s="227">
        <f t="shared" si="0"/>
        <v>2.8971207721556591E-2</v>
      </c>
      <c r="I53" s="217" t="str">
        <f t="shared" si="2"/>
        <v>HENRIQUE CAPRILES</v>
      </c>
    </row>
    <row r="54" spans="4:9" x14ac:dyDescent="0.3">
      <c r="D54" s="216" t="s">
        <v>77</v>
      </c>
      <c r="E54" s="219" t="s">
        <v>59</v>
      </c>
      <c r="F54" s="223">
        <f>CORE!C320</f>
        <v>0.53913043478260869</v>
      </c>
      <c r="G54" s="224">
        <f>CORE!C319</f>
        <v>0.44782608695652176</v>
      </c>
      <c r="H54" s="221">
        <f t="shared" si="0"/>
        <v>9.1304347826086929E-2</v>
      </c>
      <c r="I54" s="210" t="str">
        <f t="shared" si="2"/>
        <v>HENRIQUE CAPRILES</v>
      </c>
    </row>
    <row r="55" spans="4:9" ht="19.5" thickBot="1" x14ac:dyDescent="0.35">
      <c r="D55" s="216" t="s">
        <v>77</v>
      </c>
      <c r="E55" s="220" t="s">
        <v>171</v>
      </c>
      <c r="F55" s="236">
        <f>CORE!C326</f>
        <v>0.47963800904977377</v>
      </c>
      <c r="G55" s="237">
        <f>CORE!C325</f>
        <v>0.52036199095022628</v>
      </c>
      <c r="H55" s="222">
        <f t="shared" si="0"/>
        <v>-4.0723981900452511E-2</v>
      </c>
      <c r="I55" s="209" t="str">
        <f t="shared" si="2"/>
        <v>HUGO CHAVEZ</v>
      </c>
    </row>
    <row r="56" spans="4:9" x14ac:dyDescent="0.3">
      <c r="D56" s="216" t="s">
        <v>79</v>
      </c>
      <c r="E56" s="226" t="s">
        <v>79</v>
      </c>
      <c r="F56" s="228">
        <f>CORE!C333</f>
        <v>0.5</v>
      </c>
      <c r="G56" s="229">
        <f>CORE!C332</f>
        <v>0.46875</v>
      </c>
      <c r="H56" s="227">
        <f t="shared" si="0"/>
        <v>3.125E-2</v>
      </c>
      <c r="I56" s="217" t="str">
        <f t="shared" si="2"/>
        <v>HENRIQUE CAPRILES</v>
      </c>
    </row>
    <row r="57" spans="4:9" ht="19.5" thickBot="1" x14ac:dyDescent="0.35">
      <c r="D57" s="216" t="s">
        <v>79</v>
      </c>
      <c r="E57" s="220" t="s">
        <v>239</v>
      </c>
      <c r="F57" s="236">
        <f>CORE!C339</f>
        <v>0.5</v>
      </c>
      <c r="G57" s="237">
        <f>CORE!C338</f>
        <v>0.46875</v>
      </c>
      <c r="H57" s="222">
        <f t="shared" si="0"/>
        <v>3.125E-2</v>
      </c>
      <c r="I57" s="209" t="str">
        <f t="shared" si="2"/>
        <v>HENRIQUE CAPRILES</v>
      </c>
    </row>
    <row r="58" spans="4:9" x14ac:dyDescent="0.3">
      <c r="D58" s="216" t="s">
        <v>80</v>
      </c>
      <c r="E58" s="226" t="s">
        <v>80</v>
      </c>
      <c r="F58" s="228">
        <f>CORE!C346</f>
        <v>0.60038517360975008</v>
      </c>
      <c r="G58" s="229">
        <f>CORE!C345</f>
        <v>0.36035616527978748</v>
      </c>
      <c r="H58" s="227">
        <f t="shared" si="0"/>
        <v>0.2400290083299626</v>
      </c>
      <c r="I58" s="217" t="str">
        <f t="shared" si="2"/>
        <v>HENRIQUE CAPRILES</v>
      </c>
    </row>
    <row r="59" spans="4:9" x14ac:dyDescent="0.3">
      <c r="D59" s="216" t="s">
        <v>80</v>
      </c>
      <c r="E59" s="219" t="s">
        <v>81</v>
      </c>
      <c r="F59" s="223">
        <f>CORE!C352</f>
        <v>0.53468208092485547</v>
      </c>
      <c r="G59" s="224">
        <f>CORE!C351</f>
        <v>0.4364161849710983</v>
      </c>
      <c r="H59" s="221">
        <f t="shared" si="0"/>
        <v>9.8265895953757176E-2</v>
      </c>
      <c r="I59" s="210" t="str">
        <f t="shared" si="2"/>
        <v>HENRIQUE CAPRILES</v>
      </c>
    </row>
    <row r="60" spans="4:9" x14ac:dyDescent="0.3">
      <c r="D60" s="216" t="s">
        <v>80</v>
      </c>
      <c r="E60" s="219" t="s">
        <v>82</v>
      </c>
      <c r="F60" s="223">
        <f>CORE!C358</f>
        <v>0.57062146892655374</v>
      </c>
      <c r="G60" s="224">
        <f>CORE!C357</f>
        <v>0.41242937853107348</v>
      </c>
      <c r="H60" s="221">
        <f t="shared" si="0"/>
        <v>0.15819209039548027</v>
      </c>
      <c r="I60" s="210" t="str">
        <f t="shared" si="2"/>
        <v>HENRIQUE CAPRILES</v>
      </c>
    </row>
    <row r="61" spans="4:9" x14ac:dyDescent="0.3">
      <c r="D61" s="216" t="s">
        <v>80</v>
      </c>
      <c r="E61" s="219" t="s">
        <v>231</v>
      </c>
      <c r="F61" s="223">
        <f>CORE!C364</f>
        <v>0.40909090909090912</v>
      </c>
      <c r="G61" s="224">
        <f>CORE!C363</f>
        <v>0.44318181818181818</v>
      </c>
      <c r="H61" s="221">
        <f t="shared" si="0"/>
        <v>-3.4090909090909061E-2</v>
      </c>
      <c r="I61" s="210" t="str">
        <f t="shared" si="2"/>
        <v>HUGO CHAVEZ</v>
      </c>
    </row>
    <row r="62" spans="4:9" x14ac:dyDescent="0.3">
      <c r="D62" s="216" t="s">
        <v>80</v>
      </c>
      <c r="E62" s="219" t="s">
        <v>83</v>
      </c>
      <c r="F62" s="223">
        <f>CORE!C370</f>
        <v>0.77499999999999991</v>
      </c>
      <c r="G62" s="224">
        <f>CORE!C369</f>
        <v>0.1875</v>
      </c>
      <c r="H62" s="221">
        <f t="shared" si="0"/>
        <v>0.58749999999999991</v>
      </c>
      <c r="I62" s="210" t="str">
        <f t="shared" si="2"/>
        <v>HENRIQUE CAPRILES</v>
      </c>
    </row>
    <row r="63" spans="4:9" x14ac:dyDescent="0.3">
      <c r="D63" s="216" t="s">
        <v>80</v>
      </c>
      <c r="E63" s="219" t="s">
        <v>84</v>
      </c>
      <c r="F63" s="223">
        <f>CORE!C376</f>
        <v>0.62745098039215685</v>
      </c>
      <c r="G63" s="224">
        <f>CORE!C375</f>
        <v>0.33333333333333331</v>
      </c>
      <c r="H63" s="221">
        <f t="shared" si="0"/>
        <v>0.29411764705882354</v>
      </c>
      <c r="I63" s="210" t="str">
        <f t="shared" si="2"/>
        <v>HENRIQUE CAPRILES</v>
      </c>
    </row>
    <row r="64" spans="4:9" x14ac:dyDescent="0.3">
      <c r="D64" s="216" t="s">
        <v>80</v>
      </c>
      <c r="E64" s="219" t="s">
        <v>85</v>
      </c>
      <c r="F64" s="223">
        <f>CORE!C382</f>
        <v>0.54999999999999993</v>
      </c>
      <c r="G64" s="224">
        <f>CORE!C381</f>
        <v>0.44999999999999996</v>
      </c>
      <c r="H64" s="221">
        <f t="shared" si="0"/>
        <v>9.9999999999999978E-2</v>
      </c>
      <c r="I64" s="210" t="str">
        <f t="shared" si="2"/>
        <v>HENRIQUE CAPRILES</v>
      </c>
    </row>
    <row r="65" spans="4:9" x14ac:dyDescent="0.3">
      <c r="D65" s="216" t="s">
        <v>80</v>
      </c>
      <c r="E65" s="219" t="s">
        <v>86</v>
      </c>
      <c r="F65" s="223" t="e">
        <f>CORE!C388</f>
        <v>#DIV/0!</v>
      </c>
      <c r="G65" s="224" t="e">
        <f>CORE!C387</f>
        <v>#DIV/0!</v>
      </c>
      <c r="H65" s="221" t="e">
        <f t="shared" si="0"/>
        <v>#DIV/0!</v>
      </c>
      <c r="I65" s="210" t="e">
        <f t="shared" si="2"/>
        <v>#DIV/0!</v>
      </c>
    </row>
    <row r="66" spans="4:9" x14ac:dyDescent="0.3">
      <c r="D66" s="216" t="s">
        <v>80</v>
      </c>
      <c r="E66" s="219" t="s">
        <v>87</v>
      </c>
      <c r="F66" s="223">
        <f>CORE!C394</f>
        <v>0.752</v>
      </c>
      <c r="G66" s="224">
        <f>CORE!C393</f>
        <v>0.22399999999999998</v>
      </c>
      <c r="H66" s="221">
        <f t="shared" ref="H66:H129" si="3">F66-G66</f>
        <v>0.52800000000000002</v>
      </c>
      <c r="I66" s="210" t="str">
        <f t="shared" ref="I66:I129" si="4">IF(H66&lt;-1%,$G$2,IF(H66&lt;1%,"S/VENTAJA",$F$2))</f>
        <v>HENRIQUE CAPRILES</v>
      </c>
    </row>
    <row r="67" spans="4:9" x14ac:dyDescent="0.3">
      <c r="D67" s="216" t="s">
        <v>80</v>
      </c>
      <c r="E67" s="219" t="s">
        <v>88</v>
      </c>
      <c r="F67" s="223">
        <f>CORE!C400</f>
        <v>0.61463414634146341</v>
      </c>
      <c r="G67" s="224">
        <f>CORE!C399</f>
        <v>0.33658536585365856</v>
      </c>
      <c r="H67" s="221">
        <f t="shared" si="3"/>
        <v>0.27804878048780485</v>
      </c>
      <c r="I67" s="210" t="str">
        <f t="shared" si="4"/>
        <v>HENRIQUE CAPRILES</v>
      </c>
    </row>
    <row r="68" spans="4:9" x14ac:dyDescent="0.3">
      <c r="D68" s="216" t="s">
        <v>80</v>
      </c>
      <c r="E68" s="219" t="s">
        <v>89</v>
      </c>
      <c r="F68" s="223">
        <f>CORE!C406</f>
        <v>0.5116279069767441</v>
      </c>
      <c r="G68" s="224">
        <f>CORE!C405</f>
        <v>0.47286821705426352</v>
      </c>
      <c r="H68" s="221">
        <f t="shared" si="3"/>
        <v>3.8759689922480578E-2</v>
      </c>
      <c r="I68" s="210" t="str">
        <f t="shared" si="4"/>
        <v>HENRIQUE CAPRILES</v>
      </c>
    </row>
    <row r="69" spans="4:9" x14ac:dyDescent="0.3">
      <c r="D69" s="216" t="s">
        <v>80</v>
      </c>
      <c r="E69" s="219" t="s">
        <v>90</v>
      </c>
      <c r="F69" s="223">
        <f>CORE!C412</f>
        <v>0.46118721461187218</v>
      </c>
      <c r="G69" s="224">
        <f>CORE!C411</f>
        <v>0.50684931506849318</v>
      </c>
      <c r="H69" s="221">
        <f t="shared" si="3"/>
        <v>-4.5662100456621002E-2</v>
      </c>
      <c r="I69" s="210" t="str">
        <f t="shared" si="4"/>
        <v>HUGO CHAVEZ</v>
      </c>
    </row>
    <row r="70" spans="4:9" x14ac:dyDescent="0.3">
      <c r="D70" s="216" t="s">
        <v>80</v>
      </c>
      <c r="E70" s="219" t="s">
        <v>91</v>
      </c>
      <c r="F70" s="223">
        <f>CORE!C418</f>
        <v>0.94680851063829785</v>
      </c>
      <c r="G70" s="224">
        <f>CORE!C417</f>
        <v>2.1276595744680851E-2</v>
      </c>
      <c r="H70" s="221">
        <f t="shared" si="3"/>
        <v>0.92553191489361697</v>
      </c>
      <c r="I70" s="210" t="str">
        <f t="shared" si="4"/>
        <v>HENRIQUE CAPRILES</v>
      </c>
    </row>
    <row r="71" spans="4:9" x14ac:dyDescent="0.3">
      <c r="D71" s="216" t="s">
        <v>80</v>
      </c>
      <c r="E71" s="219" t="s">
        <v>92</v>
      </c>
      <c r="F71" s="223">
        <f>CORE!C424</f>
        <v>0.44444444444444448</v>
      </c>
      <c r="G71" s="224">
        <f>CORE!C423</f>
        <v>0.55555555555555558</v>
      </c>
      <c r="H71" s="221">
        <f t="shared" si="3"/>
        <v>-0.1111111111111111</v>
      </c>
      <c r="I71" s="210" t="str">
        <f t="shared" si="4"/>
        <v>HUGO CHAVEZ</v>
      </c>
    </row>
    <row r="72" spans="4:9" x14ac:dyDescent="0.3">
      <c r="D72" s="216" t="s">
        <v>80</v>
      </c>
      <c r="E72" s="219" t="s">
        <v>93</v>
      </c>
      <c r="F72" s="223">
        <f>CORE!C430</f>
        <v>0.46979865771812079</v>
      </c>
      <c r="G72" s="224">
        <f>CORE!C429</f>
        <v>0.5302013422818791</v>
      </c>
      <c r="H72" s="221">
        <f t="shared" si="3"/>
        <v>-6.0402684563758302E-2</v>
      </c>
      <c r="I72" s="210" t="str">
        <f t="shared" si="4"/>
        <v>HUGO CHAVEZ</v>
      </c>
    </row>
    <row r="73" spans="4:9" x14ac:dyDescent="0.3">
      <c r="D73" s="216" t="s">
        <v>80</v>
      </c>
      <c r="E73" s="219" t="s">
        <v>94</v>
      </c>
      <c r="F73" s="223">
        <f>CORE!C436</f>
        <v>0.87096774193548387</v>
      </c>
      <c r="G73" s="224">
        <f>CORE!C435</f>
        <v>0.12903225806451613</v>
      </c>
      <c r="H73" s="221">
        <f t="shared" si="3"/>
        <v>0.74193548387096775</v>
      </c>
      <c r="I73" s="210" t="str">
        <f t="shared" si="4"/>
        <v>HENRIQUE CAPRILES</v>
      </c>
    </row>
    <row r="74" spans="4:9" x14ac:dyDescent="0.3">
      <c r="D74" s="216" t="s">
        <v>80</v>
      </c>
      <c r="E74" s="219" t="s">
        <v>95</v>
      </c>
      <c r="F74" s="223">
        <f>CORE!C442</f>
        <v>0.52747252747252749</v>
      </c>
      <c r="G74" s="224">
        <f>CORE!C441</f>
        <v>0.46153846153846156</v>
      </c>
      <c r="H74" s="221">
        <f t="shared" si="3"/>
        <v>6.5934065934065922E-2</v>
      </c>
      <c r="I74" s="210" t="str">
        <f t="shared" si="4"/>
        <v>HENRIQUE CAPRILES</v>
      </c>
    </row>
    <row r="75" spans="4:9" x14ac:dyDescent="0.3">
      <c r="D75" s="216" t="s">
        <v>80</v>
      </c>
      <c r="E75" s="219" t="s">
        <v>96</v>
      </c>
      <c r="F75" s="223">
        <f>CORE!C448</f>
        <v>0.75</v>
      </c>
      <c r="G75" s="224">
        <f>CORE!C447</f>
        <v>0.25</v>
      </c>
      <c r="H75" s="221">
        <f t="shared" si="3"/>
        <v>0.5</v>
      </c>
      <c r="I75" s="210" t="str">
        <f t="shared" si="4"/>
        <v>HENRIQUE CAPRILES</v>
      </c>
    </row>
    <row r="76" spans="4:9" x14ac:dyDescent="0.3">
      <c r="D76" s="216" t="s">
        <v>80</v>
      </c>
      <c r="E76" s="219" t="s">
        <v>97</v>
      </c>
      <c r="F76" s="223">
        <f>CORE!C454</f>
        <v>0.51505016722408026</v>
      </c>
      <c r="G76" s="224">
        <f>CORE!C453</f>
        <v>0.39799331103678931</v>
      </c>
      <c r="H76" s="221">
        <f t="shared" si="3"/>
        <v>0.11705685618729095</v>
      </c>
      <c r="I76" s="210" t="str">
        <f t="shared" si="4"/>
        <v>HENRIQUE CAPRILES</v>
      </c>
    </row>
    <row r="77" spans="4:9" ht="19.5" thickBot="1" x14ac:dyDescent="0.35">
      <c r="D77" s="216" t="s">
        <v>80</v>
      </c>
      <c r="E77" s="220" t="s">
        <v>55</v>
      </c>
      <c r="F77" s="236">
        <f>CORE!C460</f>
        <v>0.57678355501813783</v>
      </c>
      <c r="G77" s="237">
        <f>CORE!C459</f>
        <v>0.37484885126964934</v>
      </c>
      <c r="H77" s="222">
        <f t="shared" si="3"/>
        <v>0.20193470374848849</v>
      </c>
      <c r="I77" s="209" t="str">
        <f t="shared" si="4"/>
        <v>HENRIQUE CAPRILES</v>
      </c>
    </row>
    <row r="78" spans="4:9" x14ac:dyDescent="0.3">
      <c r="D78" s="216" t="s">
        <v>78</v>
      </c>
      <c r="E78" s="226" t="s">
        <v>78</v>
      </c>
      <c r="F78" s="228">
        <f>CORE!C467</f>
        <v>0.33993725753857545</v>
      </c>
      <c r="G78" s="229">
        <f>CORE!C466</f>
        <v>0.65489934957579332</v>
      </c>
      <c r="H78" s="227">
        <f t="shared" si="3"/>
        <v>-0.31496209203721787</v>
      </c>
      <c r="I78" s="217" t="str">
        <f t="shared" si="4"/>
        <v>HUGO CHAVEZ</v>
      </c>
    </row>
    <row r="79" spans="4:9" x14ac:dyDescent="0.3">
      <c r="D79" s="216" t="s">
        <v>78</v>
      </c>
      <c r="E79" s="219" t="s">
        <v>98</v>
      </c>
      <c r="F79" s="223">
        <f>CORE!C473</f>
        <v>0.27604166666666669</v>
      </c>
      <c r="G79" s="224">
        <f>CORE!C472</f>
        <v>0.71614583333333337</v>
      </c>
      <c r="H79" s="221">
        <f t="shared" si="3"/>
        <v>-0.44010416666666669</v>
      </c>
      <c r="I79" s="210" t="str">
        <f t="shared" si="4"/>
        <v>HUGO CHAVEZ</v>
      </c>
    </row>
    <row r="80" spans="4:9" x14ac:dyDescent="0.3">
      <c r="D80" s="216" t="s">
        <v>78</v>
      </c>
      <c r="E80" s="219" t="s">
        <v>78</v>
      </c>
      <c r="F80" s="223">
        <f>CORE!C479</f>
        <v>0.45779220779220775</v>
      </c>
      <c r="G80" s="224">
        <f>CORE!C478</f>
        <v>0.54220779220779214</v>
      </c>
      <c r="H80" s="221">
        <f t="shared" si="3"/>
        <v>-8.4415584415584388E-2</v>
      </c>
      <c r="I80" s="210" t="str">
        <f t="shared" si="4"/>
        <v>HUGO CHAVEZ</v>
      </c>
    </row>
    <row r="81" spans="4:9" x14ac:dyDescent="0.3">
      <c r="D81" s="216" t="s">
        <v>78</v>
      </c>
      <c r="E81" s="219" t="s">
        <v>99</v>
      </c>
      <c r="F81" s="223">
        <f>CORE!C485</f>
        <v>0.44059405940594065</v>
      </c>
      <c r="G81" s="224">
        <f>CORE!C484</f>
        <v>0.54950495049504955</v>
      </c>
      <c r="H81" s="221">
        <f t="shared" si="3"/>
        <v>-0.1089108910891089</v>
      </c>
      <c r="I81" s="210" t="str">
        <f t="shared" si="4"/>
        <v>HUGO CHAVEZ</v>
      </c>
    </row>
    <row r="82" spans="4:9" ht="19.5" thickBot="1" x14ac:dyDescent="0.35">
      <c r="D82" s="216" t="s">
        <v>78</v>
      </c>
      <c r="E82" s="220" t="s">
        <v>39</v>
      </c>
      <c r="F82" s="236">
        <f>CORE!C491</f>
        <v>0.35849056603773582</v>
      </c>
      <c r="G82" s="237">
        <f>CORE!C490</f>
        <v>0.63915094339622636</v>
      </c>
      <c r="H82" s="222">
        <f t="shared" si="3"/>
        <v>-0.28066037735849053</v>
      </c>
      <c r="I82" s="209" t="str">
        <f t="shared" si="4"/>
        <v>HUGO CHAVEZ</v>
      </c>
    </row>
    <row r="83" spans="4:9" x14ac:dyDescent="0.3">
      <c r="D83" s="216" t="s">
        <v>100</v>
      </c>
      <c r="E83" s="226" t="s">
        <v>100</v>
      </c>
      <c r="F83" s="228">
        <f>CORE!C498</f>
        <v>0.41742189991798734</v>
      </c>
      <c r="G83" s="229">
        <f>CORE!C497</f>
        <v>0.57337724825184022</v>
      </c>
      <c r="H83" s="227">
        <f t="shared" si="3"/>
        <v>-0.15595534833385288</v>
      </c>
      <c r="I83" s="217" t="str">
        <f t="shared" si="4"/>
        <v>HUGO CHAVEZ</v>
      </c>
    </row>
    <row r="84" spans="4:9" x14ac:dyDescent="0.3">
      <c r="D84" s="216" t="s">
        <v>100</v>
      </c>
      <c r="E84" s="219" t="s">
        <v>243</v>
      </c>
      <c r="F84" s="223">
        <f>CORE!C504</f>
        <v>0.45652173913043481</v>
      </c>
      <c r="G84" s="224">
        <f>CORE!C503</f>
        <v>0.53804347826086962</v>
      </c>
      <c r="H84" s="221">
        <f t="shared" si="3"/>
        <v>-8.1521739130434812E-2</v>
      </c>
      <c r="I84" s="210" t="str">
        <f t="shared" si="4"/>
        <v>HUGO CHAVEZ</v>
      </c>
    </row>
    <row r="85" spans="4:9" x14ac:dyDescent="0.3">
      <c r="D85" s="216" t="s">
        <v>100</v>
      </c>
      <c r="E85" s="219" t="s">
        <v>240</v>
      </c>
      <c r="F85" s="223">
        <f>CORE!C510</f>
        <v>0.40314136125654448</v>
      </c>
      <c r="G85" s="224">
        <f>CORE!C509</f>
        <v>0.59685863874345546</v>
      </c>
      <c r="H85" s="221">
        <f t="shared" si="3"/>
        <v>-0.19371727748691098</v>
      </c>
      <c r="I85" s="210" t="str">
        <f t="shared" si="4"/>
        <v>HUGO CHAVEZ</v>
      </c>
    </row>
    <row r="86" spans="4:9" x14ac:dyDescent="0.3">
      <c r="D86" s="216" t="s">
        <v>100</v>
      </c>
      <c r="E86" s="219" t="s">
        <v>241</v>
      </c>
      <c r="F86" s="223">
        <f>CORE!C516</f>
        <v>0.31779661016949157</v>
      </c>
      <c r="G86" s="224">
        <f>CORE!C515</f>
        <v>0.65677966101694918</v>
      </c>
      <c r="H86" s="221">
        <f t="shared" si="3"/>
        <v>-0.33898305084745761</v>
      </c>
      <c r="I86" s="210" t="str">
        <f t="shared" si="4"/>
        <v>HUGO CHAVEZ</v>
      </c>
    </row>
    <row r="87" spans="4:9" x14ac:dyDescent="0.3">
      <c r="D87" s="216" t="s">
        <v>100</v>
      </c>
      <c r="E87" s="219" t="s">
        <v>242</v>
      </c>
      <c r="F87" s="223">
        <f>CORE!C522</f>
        <v>0.44886363636363641</v>
      </c>
      <c r="G87" s="224">
        <f>CORE!C521</f>
        <v>0.53409090909090917</v>
      </c>
      <c r="H87" s="221">
        <f t="shared" si="3"/>
        <v>-8.5227272727272763E-2</v>
      </c>
      <c r="I87" s="210" t="str">
        <f t="shared" si="4"/>
        <v>HUGO CHAVEZ</v>
      </c>
    </row>
    <row r="88" spans="4:9" ht="19.5" thickBot="1" x14ac:dyDescent="0.35">
      <c r="D88" s="216" t="s">
        <v>100</v>
      </c>
      <c r="E88" s="220" t="s">
        <v>244</v>
      </c>
      <c r="F88" s="236">
        <f>CORE!C528</f>
        <v>0.43122676579925645</v>
      </c>
      <c r="G88" s="237">
        <f>CORE!C527</f>
        <v>0.56877323420074355</v>
      </c>
      <c r="H88" s="222">
        <f t="shared" si="3"/>
        <v>-0.1375464684014871</v>
      </c>
      <c r="I88" s="209" t="str">
        <f t="shared" si="4"/>
        <v>HUGO CHAVEZ</v>
      </c>
    </row>
    <row r="89" spans="4:9" x14ac:dyDescent="0.3">
      <c r="D89" s="216" t="s">
        <v>101</v>
      </c>
      <c r="E89" s="226" t="s">
        <v>101</v>
      </c>
      <c r="F89" s="228">
        <f>CORE!C535</f>
        <v>0.49413943768129492</v>
      </c>
      <c r="G89" s="229">
        <f>CORE!C534</f>
        <v>0.49758531311698501</v>
      </c>
      <c r="H89" s="227">
        <f t="shared" si="3"/>
        <v>-3.4458754356900823E-3</v>
      </c>
      <c r="I89" s="217" t="str">
        <f t="shared" si="4"/>
        <v>S/VENTAJA</v>
      </c>
    </row>
    <row r="90" spans="4:9" x14ac:dyDescent="0.3">
      <c r="D90" s="216" t="s">
        <v>101</v>
      </c>
      <c r="E90" s="219" t="s">
        <v>245</v>
      </c>
      <c r="F90" s="223">
        <f>CORE!C541</f>
        <v>0.47916666666666669</v>
      </c>
      <c r="G90" s="224">
        <f>CORE!C540</f>
        <v>0.49583333333333329</v>
      </c>
      <c r="H90" s="221">
        <f t="shared" si="3"/>
        <v>-1.6666666666666607E-2</v>
      </c>
      <c r="I90" s="210" t="str">
        <f t="shared" si="4"/>
        <v>HUGO CHAVEZ</v>
      </c>
    </row>
    <row r="91" spans="4:9" x14ac:dyDescent="0.3">
      <c r="D91" s="216" t="s">
        <v>101</v>
      </c>
      <c r="E91" s="219" t="s">
        <v>102</v>
      </c>
      <c r="F91" s="223">
        <f>CORE!C547</f>
        <v>0.48255813953488375</v>
      </c>
      <c r="G91" s="224">
        <f>CORE!C546</f>
        <v>0.5058139534883721</v>
      </c>
      <c r="H91" s="221">
        <f t="shared" si="3"/>
        <v>-2.3255813953488358E-2</v>
      </c>
      <c r="I91" s="210" t="str">
        <f t="shared" si="4"/>
        <v>HUGO CHAVEZ</v>
      </c>
    </row>
    <row r="92" spans="4:9" x14ac:dyDescent="0.3">
      <c r="D92" s="216" t="s">
        <v>101</v>
      </c>
      <c r="E92" s="219" t="s">
        <v>103</v>
      </c>
      <c r="F92" s="223">
        <f>CORE!C553</f>
        <v>0.56258064516129036</v>
      </c>
      <c r="G92" s="224">
        <f>CORE!C552</f>
        <v>0.42967741935483866</v>
      </c>
      <c r="H92" s="221">
        <f t="shared" si="3"/>
        <v>0.1329032258064517</v>
      </c>
      <c r="I92" s="210" t="str">
        <f t="shared" si="4"/>
        <v>HENRIQUE CAPRILES</v>
      </c>
    </row>
    <row r="93" spans="4:9" x14ac:dyDescent="0.3">
      <c r="D93" s="216" t="s">
        <v>101</v>
      </c>
      <c r="E93" s="219" t="s">
        <v>104</v>
      </c>
      <c r="F93" s="223">
        <f>CORE!C559</f>
        <v>0.36071428571428571</v>
      </c>
      <c r="G93" s="224">
        <f>CORE!C558</f>
        <v>0.63928571428571435</v>
      </c>
      <c r="H93" s="221">
        <f t="shared" si="3"/>
        <v>-0.27857142857142864</v>
      </c>
      <c r="I93" s="210" t="str">
        <f t="shared" si="4"/>
        <v>HUGO CHAVEZ</v>
      </c>
    </row>
    <row r="94" spans="4:9" x14ac:dyDescent="0.3">
      <c r="D94" s="216" t="s">
        <v>101</v>
      </c>
      <c r="E94" s="219" t="s">
        <v>105</v>
      </c>
      <c r="F94" s="223">
        <f>CORE!C565</f>
        <v>0.4390243902439025</v>
      </c>
      <c r="G94" s="224">
        <f>CORE!C564</f>
        <v>0.5609756097560975</v>
      </c>
      <c r="H94" s="221">
        <f t="shared" si="3"/>
        <v>-0.12195121951219501</v>
      </c>
      <c r="I94" s="210" t="str">
        <f t="shared" si="4"/>
        <v>HUGO CHAVEZ</v>
      </c>
    </row>
    <row r="95" spans="4:9" x14ac:dyDescent="0.3">
      <c r="D95" s="216" t="s">
        <v>101</v>
      </c>
      <c r="E95" s="219" t="s">
        <v>106</v>
      </c>
      <c r="F95" s="223">
        <f>CORE!C571</f>
        <v>0.53017241379310343</v>
      </c>
      <c r="G95" s="224">
        <f>CORE!C570</f>
        <v>0.45258620689655171</v>
      </c>
      <c r="H95" s="221">
        <f t="shared" si="3"/>
        <v>7.7586206896551713E-2</v>
      </c>
      <c r="I95" s="210" t="str">
        <f t="shared" si="4"/>
        <v>HENRIQUE CAPRILES</v>
      </c>
    </row>
    <row r="96" spans="4:9" x14ac:dyDescent="0.3">
      <c r="D96" s="216" t="s">
        <v>101</v>
      </c>
      <c r="E96" s="219" t="s">
        <v>107</v>
      </c>
      <c r="F96" s="223">
        <f>CORE!C577</f>
        <v>0.29561200923787528</v>
      </c>
      <c r="G96" s="224">
        <f>CORE!C576</f>
        <v>0.69284064665127021</v>
      </c>
      <c r="H96" s="221">
        <f t="shared" si="3"/>
        <v>-0.39722863741339492</v>
      </c>
      <c r="I96" s="210" t="str">
        <f t="shared" si="4"/>
        <v>HUGO CHAVEZ</v>
      </c>
    </row>
    <row r="97" spans="4:9" ht="19.5" thickBot="1" x14ac:dyDescent="0.35">
      <c r="D97" s="216" t="s">
        <v>101</v>
      </c>
      <c r="E97" s="220" t="s">
        <v>108</v>
      </c>
      <c r="F97" s="236">
        <f>CORE!C583</f>
        <v>0.26209677419354838</v>
      </c>
      <c r="G97" s="237">
        <f>CORE!C582</f>
        <v>0.73790322580645162</v>
      </c>
      <c r="H97" s="222">
        <f t="shared" si="3"/>
        <v>-0.47580645161290325</v>
      </c>
      <c r="I97" s="209" t="str">
        <f t="shared" si="4"/>
        <v>HUGO CHAVEZ</v>
      </c>
    </row>
    <row r="98" spans="4:9" x14ac:dyDescent="0.3">
      <c r="D98" s="216" t="s">
        <v>109</v>
      </c>
      <c r="E98" s="226" t="s">
        <v>109</v>
      </c>
      <c r="F98" s="228">
        <f>CORE!C590</f>
        <v>0.46389349065256014</v>
      </c>
      <c r="G98" s="229">
        <f>CORE!C589</f>
        <v>0.52385138634540607</v>
      </c>
      <c r="H98" s="227">
        <f t="shared" si="3"/>
        <v>-5.9957895692845931E-2</v>
      </c>
      <c r="I98" s="217" t="str">
        <f t="shared" si="4"/>
        <v>HUGO CHAVEZ</v>
      </c>
    </row>
    <row r="99" spans="4:9" x14ac:dyDescent="0.3">
      <c r="D99" s="216" t="s">
        <v>109</v>
      </c>
      <c r="E99" s="219" t="s">
        <v>110</v>
      </c>
      <c r="F99" s="223">
        <f>CORE!C596</f>
        <v>0.22408026755852845</v>
      </c>
      <c r="G99" s="224">
        <f>CORE!C595</f>
        <v>0.74247491638795993</v>
      </c>
      <c r="H99" s="221">
        <f t="shared" si="3"/>
        <v>-0.51839464882943154</v>
      </c>
      <c r="I99" s="210" t="str">
        <f t="shared" si="4"/>
        <v>HUGO CHAVEZ</v>
      </c>
    </row>
    <row r="100" spans="4:9" x14ac:dyDescent="0.3">
      <c r="D100" s="216" t="s">
        <v>109</v>
      </c>
      <c r="E100" s="219" t="s">
        <v>111</v>
      </c>
      <c r="F100" s="223">
        <f>CORE!C602</f>
        <v>0.58791208791208782</v>
      </c>
      <c r="G100" s="224">
        <f>CORE!C601</f>
        <v>0.40659340659340659</v>
      </c>
      <c r="H100" s="221">
        <f t="shared" si="3"/>
        <v>0.18131868131868123</v>
      </c>
      <c r="I100" s="210" t="str">
        <f t="shared" si="4"/>
        <v>HENRIQUE CAPRILES</v>
      </c>
    </row>
    <row r="101" spans="4:9" x14ac:dyDescent="0.3">
      <c r="D101" s="216" t="s">
        <v>109</v>
      </c>
      <c r="E101" s="219" t="s">
        <v>52</v>
      </c>
      <c r="F101" s="223">
        <f>CORE!C608</f>
        <v>0.54415954415954415</v>
      </c>
      <c r="G101" s="224">
        <f>CORE!C607</f>
        <v>0.45584045584045579</v>
      </c>
      <c r="H101" s="221">
        <f t="shared" si="3"/>
        <v>8.8319088319088357E-2</v>
      </c>
      <c r="I101" s="210" t="str">
        <f t="shared" si="4"/>
        <v>HENRIQUE CAPRILES</v>
      </c>
    </row>
    <row r="102" spans="4:9" ht="19.5" thickBot="1" x14ac:dyDescent="0.35">
      <c r="D102" s="216" t="s">
        <v>109</v>
      </c>
      <c r="E102" s="220" t="s">
        <v>55</v>
      </c>
      <c r="F102" s="236">
        <f>CORE!C614</f>
        <v>0.42338709677419356</v>
      </c>
      <c r="G102" s="237">
        <f>CORE!C613</f>
        <v>0.54435483870967727</v>
      </c>
      <c r="H102" s="222">
        <f t="shared" si="3"/>
        <v>-0.12096774193548371</v>
      </c>
      <c r="I102" s="209" t="str">
        <f t="shared" si="4"/>
        <v>HUGO CHAVEZ</v>
      </c>
    </row>
    <row r="103" spans="4:9" x14ac:dyDescent="0.3">
      <c r="D103" s="216" t="s">
        <v>39</v>
      </c>
      <c r="E103" s="226" t="s">
        <v>39</v>
      </c>
      <c r="F103" s="228">
        <f>CORE!C621</f>
        <v>0.57534752137354439</v>
      </c>
      <c r="G103" s="229">
        <f>CORE!C620</f>
        <v>0.40299658575487296</v>
      </c>
      <c r="H103" s="227">
        <f t="shared" si="3"/>
        <v>0.17235093561867143</v>
      </c>
      <c r="I103" s="217" t="str">
        <f t="shared" si="4"/>
        <v>HENRIQUE CAPRILES</v>
      </c>
    </row>
    <row r="104" spans="4:9" x14ac:dyDescent="0.3">
      <c r="D104" s="216" t="s">
        <v>39</v>
      </c>
      <c r="E104" s="219" t="s">
        <v>112</v>
      </c>
      <c r="F104" s="223">
        <f>CORE!C627</f>
        <v>0.28082191780821919</v>
      </c>
      <c r="G104" s="224">
        <f>CORE!C626</f>
        <v>0.5547945205479452</v>
      </c>
      <c r="H104" s="221">
        <f t="shared" si="3"/>
        <v>-0.27397260273972601</v>
      </c>
      <c r="I104" s="210" t="str">
        <f t="shared" si="4"/>
        <v>HUGO CHAVEZ</v>
      </c>
    </row>
    <row r="105" spans="4:9" x14ac:dyDescent="0.3">
      <c r="D105" s="216" t="s">
        <v>39</v>
      </c>
      <c r="E105" s="219" t="s">
        <v>113</v>
      </c>
      <c r="F105" s="223">
        <f>CORE!C633</f>
        <v>0.66666666666666674</v>
      </c>
      <c r="G105" s="224">
        <f>CORE!C632</f>
        <v>0.31372549019607843</v>
      </c>
      <c r="H105" s="221">
        <f t="shared" si="3"/>
        <v>0.35294117647058831</v>
      </c>
      <c r="I105" s="210" t="str">
        <f t="shared" si="4"/>
        <v>HENRIQUE CAPRILES</v>
      </c>
    </row>
    <row r="106" spans="4:9" x14ac:dyDescent="0.3">
      <c r="D106" s="216" t="s">
        <v>39</v>
      </c>
      <c r="E106" s="219" t="s">
        <v>114</v>
      </c>
      <c r="F106" s="223">
        <f>CORE!C639</f>
        <v>0.41414141414141425</v>
      </c>
      <c r="G106" s="224">
        <f>CORE!C638</f>
        <v>0.5757575757575758</v>
      </c>
      <c r="H106" s="221">
        <f t="shared" si="3"/>
        <v>-0.16161616161616155</v>
      </c>
      <c r="I106" s="210" t="str">
        <f t="shared" si="4"/>
        <v>HUGO CHAVEZ</v>
      </c>
    </row>
    <row r="107" spans="4:9" x14ac:dyDescent="0.3">
      <c r="D107" s="216" t="s">
        <v>39</v>
      </c>
      <c r="E107" s="219" t="s">
        <v>115</v>
      </c>
      <c r="F107" s="223">
        <f>CORE!C645</f>
        <v>0.61</v>
      </c>
      <c r="G107" s="224">
        <f>CORE!C644</f>
        <v>0.35</v>
      </c>
      <c r="H107" s="221">
        <f t="shared" si="3"/>
        <v>0.26</v>
      </c>
      <c r="I107" s="210" t="str">
        <f t="shared" si="4"/>
        <v>HENRIQUE CAPRILES</v>
      </c>
    </row>
    <row r="108" spans="4:9" x14ac:dyDescent="0.3">
      <c r="D108" s="216" t="s">
        <v>39</v>
      </c>
      <c r="E108" s="219" t="s">
        <v>116</v>
      </c>
      <c r="F108" s="223" t="e">
        <f>CORE!C651</f>
        <v>#DIV/0!</v>
      </c>
      <c r="G108" s="224" t="e">
        <f>CORE!C650</f>
        <v>#DIV/0!</v>
      </c>
      <c r="H108" s="221" t="e">
        <f t="shared" si="3"/>
        <v>#DIV/0!</v>
      </c>
      <c r="I108" s="210" t="e">
        <f t="shared" si="4"/>
        <v>#DIV/0!</v>
      </c>
    </row>
    <row r="109" spans="4:9" x14ac:dyDescent="0.3">
      <c r="D109" s="216" t="s">
        <v>39</v>
      </c>
      <c r="E109" s="219" t="s">
        <v>117</v>
      </c>
      <c r="F109" s="223">
        <f>CORE!C657</f>
        <v>0.26865671641791045</v>
      </c>
      <c r="G109" s="224">
        <f>CORE!C656</f>
        <v>0.73134328358208955</v>
      </c>
      <c r="H109" s="221">
        <f t="shared" si="3"/>
        <v>-0.46268656716417911</v>
      </c>
      <c r="I109" s="210" t="str">
        <f t="shared" si="4"/>
        <v>HUGO CHAVEZ</v>
      </c>
    </row>
    <row r="110" spans="4:9" x14ac:dyDescent="0.3">
      <c r="D110" s="216" t="s">
        <v>39</v>
      </c>
      <c r="E110" s="219" t="s">
        <v>118</v>
      </c>
      <c r="F110" s="223" t="e">
        <f>CORE!C663</f>
        <v>#DIV/0!</v>
      </c>
      <c r="G110" s="224" t="e">
        <f>CORE!C662</f>
        <v>#DIV/0!</v>
      </c>
      <c r="H110" s="221" t="e">
        <f t="shared" si="3"/>
        <v>#DIV/0!</v>
      </c>
      <c r="I110" s="210" t="e">
        <f t="shared" si="4"/>
        <v>#DIV/0!</v>
      </c>
    </row>
    <row r="111" spans="4:9" x14ac:dyDescent="0.3">
      <c r="D111" s="216" t="s">
        <v>39</v>
      </c>
      <c r="E111" s="219" t="s">
        <v>119</v>
      </c>
      <c r="F111" s="223">
        <f>CORE!C669</f>
        <v>0.5429184549356223</v>
      </c>
      <c r="G111" s="224">
        <f>CORE!C668</f>
        <v>0.45064377682403428</v>
      </c>
      <c r="H111" s="221">
        <f t="shared" si="3"/>
        <v>9.2274678111588015E-2</v>
      </c>
      <c r="I111" s="210" t="str">
        <f t="shared" si="4"/>
        <v>HENRIQUE CAPRILES</v>
      </c>
    </row>
    <row r="112" spans="4:9" x14ac:dyDescent="0.3">
      <c r="D112" s="216" t="s">
        <v>39</v>
      </c>
      <c r="E112" s="219" t="s">
        <v>120</v>
      </c>
      <c r="F112" s="223">
        <f>CORE!C675</f>
        <v>0.30057803468208089</v>
      </c>
      <c r="G112" s="224">
        <f>CORE!C674</f>
        <v>0.65895953757225434</v>
      </c>
      <c r="H112" s="221">
        <f t="shared" si="3"/>
        <v>-0.35838150289017345</v>
      </c>
      <c r="I112" s="210" t="str">
        <f t="shared" si="4"/>
        <v>HUGO CHAVEZ</v>
      </c>
    </row>
    <row r="113" spans="4:9" x14ac:dyDescent="0.3">
      <c r="D113" s="216" t="s">
        <v>39</v>
      </c>
      <c r="E113" s="219" t="s">
        <v>121</v>
      </c>
      <c r="F113" s="223">
        <f>CORE!C681</f>
        <v>0.3595890410958904</v>
      </c>
      <c r="G113" s="224">
        <f>CORE!C680</f>
        <v>0.6404109589041096</v>
      </c>
      <c r="H113" s="221">
        <f t="shared" si="3"/>
        <v>-0.28082191780821919</v>
      </c>
      <c r="I113" s="210" t="str">
        <f t="shared" si="4"/>
        <v>HUGO CHAVEZ</v>
      </c>
    </row>
    <row r="114" spans="4:9" x14ac:dyDescent="0.3">
      <c r="D114" s="216" t="s">
        <v>39</v>
      </c>
      <c r="E114" s="219" t="s">
        <v>122</v>
      </c>
      <c r="F114" s="223">
        <f>CORE!C687</f>
        <v>0.76557863501483681</v>
      </c>
      <c r="G114" s="224">
        <f>CORE!C686</f>
        <v>0.18100890207715134</v>
      </c>
      <c r="H114" s="221">
        <f t="shared" si="3"/>
        <v>0.58456973293768544</v>
      </c>
      <c r="I114" s="210" t="str">
        <f t="shared" si="4"/>
        <v>HENRIQUE CAPRILES</v>
      </c>
    </row>
    <row r="115" spans="4:9" x14ac:dyDescent="0.3">
      <c r="D115" s="216" t="s">
        <v>39</v>
      </c>
      <c r="E115" s="219" t="s">
        <v>123</v>
      </c>
      <c r="F115" s="223">
        <f>CORE!C693</f>
        <v>0.20967741935483869</v>
      </c>
      <c r="G115" s="224">
        <f>CORE!C692</f>
        <v>0.78494623655913986</v>
      </c>
      <c r="H115" s="221">
        <f t="shared" si="3"/>
        <v>-0.57526881720430123</v>
      </c>
      <c r="I115" s="210" t="str">
        <f t="shared" si="4"/>
        <v>HUGO CHAVEZ</v>
      </c>
    </row>
    <row r="116" spans="4:9" x14ac:dyDescent="0.3">
      <c r="D116" s="216" t="s">
        <v>39</v>
      </c>
      <c r="E116" s="219" t="s">
        <v>124</v>
      </c>
      <c r="F116" s="223">
        <f>CORE!C699</f>
        <v>0.46666666666666662</v>
      </c>
      <c r="G116" s="224">
        <f>CORE!C698</f>
        <v>0.48205128205128206</v>
      </c>
      <c r="H116" s="221">
        <f t="shared" si="3"/>
        <v>-1.5384615384615441E-2</v>
      </c>
      <c r="I116" s="210" t="str">
        <f t="shared" si="4"/>
        <v>HUGO CHAVEZ</v>
      </c>
    </row>
    <row r="117" spans="4:9" x14ac:dyDescent="0.3">
      <c r="D117" s="216" t="s">
        <v>39</v>
      </c>
      <c r="E117" s="219" t="s">
        <v>55</v>
      </c>
      <c r="F117" s="223">
        <f>CORE!C705</f>
        <v>0.8441558441558441</v>
      </c>
      <c r="G117" s="224">
        <f>CORE!C704</f>
        <v>0.15584415584415587</v>
      </c>
      <c r="H117" s="221">
        <f t="shared" si="3"/>
        <v>0.68831168831168821</v>
      </c>
      <c r="I117" s="210" t="str">
        <f t="shared" si="4"/>
        <v>HENRIQUE CAPRILES</v>
      </c>
    </row>
    <row r="118" spans="4:9" x14ac:dyDescent="0.3">
      <c r="D118" s="216" t="s">
        <v>39</v>
      </c>
      <c r="E118" s="219" t="s">
        <v>108</v>
      </c>
      <c r="F118" s="223">
        <f>CORE!C711</f>
        <v>0.51162790697674421</v>
      </c>
      <c r="G118" s="224">
        <f>CORE!C710</f>
        <v>0.44186046511627902</v>
      </c>
      <c r="H118" s="221">
        <f t="shared" si="3"/>
        <v>6.9767441860465185E-2</v>
      </c>
      <c r="I118" s="210" t="str">
        <f t="shared" si="4"/>
        <v>HENRIQUE CAPRILES</v>
      </c>
    </row>
    <row r="119" spans="4:9" ht="19.5" thickBot="1" x14ac:dyDescent="0.35">
      <c r="D119" s="216" t="s">
        <v>39</v>
      </c>
      <c r="E119" s="220" t="s">
        <v>56</v>
      </c>
      <c r="F119" s="236">
        <f>CORE!C717</f>
        <v>0.44637681159420284</v>
      </c>
      <c r="G119" s="237">
        <f>CORE!C716</f>
        <v>0.53043478260869559</v>
      </c>
      <c r="H119" s="222">
        <f t="shared" si="3"/>
        <v>-8.4057971014492749E-2</v>
      </c>
      <c r="I119" s="209" t="str">
        <f t="shared" si="4"/>
        <v>HUGO CHAVEZ</v>
      </c>
    </row>
    <row r="120" spans="4:9" x14ac:dyDescent="0.3">
      <c r="D120" s="216" t="s">
        <v>125</v>
      </c>
      <c r="E120" s="226" t="s">
        <v>125</v>
      </c>
      <c r="F120" s="228">
        <f>CORE!C724</f>
        <v>0.585877494012219</v>
      </c>
      <c r="G120" s="229">
        <f>CORE!C723</f>
        <v>0.40727675755071424</v>
      </c>
      <c r="H120" s="227">
        <f t="shared" si="3"/>
        <v>0.17860073646150476</v>
      </c>
      <c r="I120" s="217" t="str">
        <f t="shared" si="4"/>
        <v>HENRIQUE CAPRILES</v>
      </c>
    </row>
    <row r="121" spans="4:9" x14ac:dyDescent="0.3">
      <c r="D121" s="216" t="s">
        <v>125</v>
      </c>
      <c r="E121" s="219" t="s">
        <v>59</v>
      </c>
      <c r="F121" s="223">
        <f>CORE!C730</f>
        <v>0.5195729537366548</v>
      </c>
      <c r="G121" s="224">
        <f>CORE!C729</f>
        <v>0.46619217081850534</v>
      </c>
      <c r="H121" s="221">
        <f t="shared" si="3"/>
        <v>5.3380782918149461E-2</v>
      </c>
      <c r="I121" s="210" t="str">
        <f t="shared" si="4"/>
        <v>HENRIQUE CAPRILES</v>
      </c>
    </row>
    <row r="122" spans="4:9" x14ac:dyDescent="0.3">
      <c r="D122" s="216" t="s">
        <v>125</v>
      </c>
      <c r="E122" s="219" t="s">
        <v>126</v>
      </c>
      <c r="F122" s="223">
        <f>CORE!C736</f>
        <v>0.60714285714285721</v>
      </c>
      <c r="G122" s="224">
        <f>CORE!C735</f>
        <v>0.38655462184873951</v>
      </c>
      <c r="H122" s="221">
        <f t="shared" si="3"/>
        <v>0.2205882352941177</v>
      </c>
      <c r="I122" s="210" t="str">
        <f t="shared" si="4"/>
        <v>HENRIQUE CAPRILES</v>
      </c>
    </row>
    <row r="123" spans="4:9" ht="19.5" thickBot="1" x14ac:dyDescent="0.35">
      <c r="D123" s="216" t="s">
        <v>125</v>
      </c>
      <c r="E123" s="220" t="s">
        <v>64</v>
      </c>
      <c r="F123" s="236">
        <f>CORE!C742</f>
        <v>0.44662921348314599</v>
      </c>
      <c r="G123" s="237">
        <f>CORE!C741</f>
        <v>0.550561797752809</v>
      </c>
      <c r="H123" s="222">
        <f t="shared" si="3"/>
        <v>-0.10393258426966301</v>
      </c>
      <c r="I123" s="209" t="str">
        <f t="shared" si="4"/>
        <v>HUGO CHAVEZ</v>
      </c>
    </row>
    <row r="124" spans="4:9" x14ac:dyDescent="0.3">
      <c r="D124" s="216" t="s">
        <v>127</v>
      </c>
      <c r="E124" s="226" t="s">
        <v>127</v>
      </c>
      <c r="F124" s="228">
        <f>CORE!C749</f>
        <v>0.37976283739361061</v>
      </c>
      <c r="G124" s="229">
        <f>CORE!C748</f>
        <v>0.57671246705042556</v>
      </c>
      <c r="H124" s="227">
        <f t="shared" si="3"/>
        <v>-0.19694962965681495</v>
      </c>
      <c r="I124" s="217" t="str">
        <f t="shared" si="4"/>
        <v>HUGO CHAVEZ</v>
      </c>
    </row>
    <row r="125" spans="4:9" x14ac:dyDescent="0.3">
      <c r="D125" s="216" t="s">
        <v>127</v>
      </c>
      <c r="E125" s="219" t="s">
        <v>128</v>
      </c>
      <c r="F125" s="223">
        <f>CORE!C755</f>
        <v>0.38461538461538464</v>
      </c>
      <c r="G125" s="224">
        <f>CORE!C754</f>
        <v>0.61538461538461531</v>
      </c>
      <c r="H125" s="221">
        <f t="shared" si="3"/>
        <v>-0.23076923076923067</v>
      </c>
      <c r="I125" s="210" t="str">
        <f t="shared" si="4"/>
        <v>HUGO CHAVEZ</v>
      </c>
    </row>
    <row r="126" spans="4:9" x14ac:dyDescent="0.3">
      <c r="D126" s="216" t="s">
        <v>127</v>
      </c>
      <c r="E126" s="219" t="s">
        <v>129</v>
      </c>
      <c r="F126" s="223">
        <f>CORE!C761</f>
        <v>0.5637393767705382</v>
      </c>
      <c r="G126" s="224">
        <f>CORE!C760</f>
        <v>0.43059490084985835</v>
      </c>
      <c r="H126" s="221">
        <f t="shared" si="3"/>
        <v>0.13314447592067985</v>
      </c>
      <c r="I126" s="210" t="str">
        <f t="shared" si="4"/>
        <v>HENRIQUE CAPRILES</v>
      </c>
    </row>
    <row r="127" spans="4:9" x14ac:dyDescent="0.3">
      <c r="D127" s="216" t="s">
        <v>127</v>
      </c>
      <c r="E127" s="219" t="s">
        <v>130</v>
      </c>
      <c r="F127" s="223">
        <f>CORE!C767</f>
        <v>0.48618784530386749</v>
      </c>
      <c r="G127" s="224">
        <f>CORE!C766</f>
        <v>0.51381215469613251</v>
      </c>
      <c r="H127" s="221">
        <f t="shared" si="3"/>
        <v>-2.7624309392265012E-2</v>
      </c>
      <c r="I127" s="210" t="str">
        <f t="shared" si="4"/>
        <v>HUGO CHAVEZ</v>
      </c>
    </row>
    <row r="128" spans="4:9" ht="19.5" thickBot="1" x14ac:dyDescent="0.35">
      <c r="D128" s="216" t="s">
        <v>127</v>
      </c>
      <c r="E128" s="220" t="s">
        <v>131</v>
      </c>
      <c r="F128" s="236">
        <f>CORE!C773</f>
        <v>0.23684210526315788</v>
      </c>
      <c r="G128" s="237">
        <f>CORE!C772</f>
        <v>0.6578947368421052</v>
      </c>
      <c r="H128" s="222">
        <f t="shared" si="3"/>
        <v>-0.42105263157894735</v>
      </c>
      <c r="I128" s="209" t="str">
        <f t="shared" si="4"/>
        <v>HUGO CHAVEZ</v>
      </c>
    </row>
    <row r="129" spans="4:9" x14ac:dyDescent="0.3">
      <c r="D129" s="216" t="s">
        <v>132</v>
      </c>
      <c r="E129" s="226" t="s">
        <v>132</v>
      </c>
      <c r="F129" s="228">
        <f>CORE!C780</f>
        <v>0.27216142874356253</v>
      </c>
      <c r="G129" s="229">
        <f>CORE!C779</f>
        <v>0.72192433035362324</v>
      </c>
      <c r="H129" s="227">
        <f t="shared" si="3"/>
        <v>-0.44976290161006072</v>
      </c>
      <c r="I129" s="217" t="str">
        <f t="shared" si="4"/>
        <v>HUGO CHAVEZ</v>
      </c>
    </row>
    <row r="130" spans="4:9" x14ac:dyDescent="0.3">
      <c r="D130" s="216" t="s">
        <v>132</v>
      </c>
      <c r="E130" s="219" t="s">
        <v>133</v>
      </c>
      <c r="F130" s="223">
        <f>CORE!C786</f>
        <v>0.14851485148514851</v>
      </c>
      <c r="G130" s="224">
        <f>CORE!C785</f>
        <v>0.85148514851485146</v>
      </c>
      <c r="H130" s="221">
        <f t="shared" ref="H130:H183" si="5">F130-G130</f>
        <v>-0.70297029702970293</v>
      </c>
      <c r="I130" s="210" t="str">
        <f t="shared" ref="I130:I183" si="6">IF(H130&lt;-1%,$G$2,IF(H130&lt;1%,"S/VENTAJA",$F$2))</f>
        <v>HUGO CHAVEZ</v>
      </c>
    </row>
    <row r="131" spans="4:9" x14ac:dyDescent="0.3">
      <c r="D131" s="216" t="s">
        <v>132</v>
      </c>
      <c r="E131" s="219" t="s">
        <v>134</v>
      </c>
      <c r="F131" s="223">
        <f>CORE!C792</f>
        <v>0.46178343949044592</v>
      </c>
      <c r="G131" s="224">
        <f>CORE!C791</f>
        <v>0.53503184713375795</v>
      </c>
      <c r="H131" s="221">
        <f t="shared" si="5"/>
        <v>-7.324840764331203E-2</v>
      </c>
      <c r="I131" s="210" t="str">
        <f t="shared" si="6"/>
        <v>HUGO CHAVEZ</v>
      </c>
    </row>
    <row r="132" spans="4:9" x14ac:dyDescent="0.3">
      <c r="D132" s="216" t="s">
        <v>132</v>
      </c>
      <c r="E132" s="219" t="s">
        <v>135</v>
      </c>
      <c r="F132" s="223">
        <f>CORE!C798</f>
        <v>0.25396825396825401</v>
      </c>
      <c r="G132" s="224">
        <f>CORE!C797</f>
        <v>0.74603174603174593</v>
      </c>
      <c r="H132" s="221">
        <f t="shared" si="5"/>
        <v>-0.49206349206349193</v>
      </c>
      <c r="I132" s="210" t="str">
        <f t="shared" si="6"/>
        <v>HUGO CHAVEZ</v>
      </c>
    </row>
    <row r="133" spans="4:9" x14ac:dyDescent="0.3">
      <c r="D133" s="216" t="s">
        <v>132</v>
      </c>
      <c r="E133" s="219" t="s">
        <v>45</v>
      </c>
      <c r="F133" s="223">
        <f>CORE!C804</f>
        <v>0.18333333333333335</v>
      </c>
      <c r="G133" s="224">
        <f>CORE!C803</f>
        <v>0.81111111111111112</v>
      </c>
      <c r="H133" s="221">
        <f t="shared" si="5"/>
        <v>-0.62777777777777777</v>
      </c>
      <c r="I133" s="210" t="str">
        <f t="shared" si="6"/>
        <v>HUGO CHAVEZ</v>
      </c>
    </row>
    <row r="134" spans="4:9" x14ac:dyDescent="0.3">
      <c r="D134" s="216" t="s">
        <v>132</v>
      </c>
      <c r="E134" s="219" t="s">
        <v>55</v>
      </c>
      <c r="F134" s="223">
        <f>CORE!C810</f>
        <v>0.41279069767441862</v>
      </c>
      <c r="G134" s="224">
        <f>CORE!C809</f>
        <v>0.55232558139534882</v>
      </c>
      <c r="H134" s="221">
        <f t="shared" si="5"/>
        <v>-0.1395348837209302</v>
      </c>
      <c r="I134" s="210" t="str">
        <f t="shared" si="6"/>
        <v>HUGO CHAVEZ</v>
      </c>
    </row>
    <row r="135" spans="4:9" ht="19.5" thickBot="1" x14ac:dyDescent="0.35">
      <c r="D135" s="216" t="s">
        <v>132</v>
      </c>
      <c r="E135" s="220" t="s">
        <v>136</v>
      </c>
      <c r="F135" s="236">
        <f>CORE!C816</f>
        <v>0.14215686274509803</v>
      </c>
      <c r="G135" s="237">
        <f>CORE!C815</f>
        <v>0.84803921568627449</v>
      </c>
      <c r="H135" s="222">
        <f t="shared" si="5"/>
        <v>-0.70588235294117641</v>
      </c>
      <c r="I135" s="209" t="str">
        <f t="shared" si="6"/>
        <v>HUGO CHAVEZ</v>
      </c>
    </row>
    <row r="136" spans="4:9" x14ac:dyDescent="0.3">
      <c r="D136" s="216" t="s">
        <v>55</v>
      </c>
      <c r="E136" s="226" t="s">
        <v>55</v>
      </c>
      <c r="F136" s="228">
        <f>CORE!C823</f>
        <v>0.40495557125370546</v>
      </c>
      <c r="G136" s="229">
        <f>CORE!C822</f>
        <v>0.58318166533030369</v>
      </c>
      <c r="H136" s="227">
        <f t="shared" si="5"/>
        <v>-0.17822609407659823</v>
      </c>
      <c r="I136" s="217" t="str">
        <f t="shared" si="6"/>
        <v>HUGO CHAVEZ</v>
      </c>
    </row>
    <row r="137" spans="4:9" x14ac:dyDescent="0.3">
      <c r="D137" s="216" t="s">
        <v>55</v>
      </c>
      <c r="E137" s="219" t="s">
        <v>137</v>
      </c>
      <c r="F137" s="223">
        <f>CORE!C829</f>
        <v>0.12121212121212122</v>
      </c>
      <c r="G137" s="224">
        <f>CORE!C828</f>
        <v>0.8787878787878789</v>
      </c>
      <c r="H137" s="221">
        <f t="shared" si="5"/>
        <v>-0.75757575757575768</v>
      </c>
      <c r="I137" s="210" t="str">
        <f t="shared" si="6"/>
        <v>HUGO CHAVEZ</v>
      </c>
    </row>
    <row r="138" spans="4:9" x14ac:dyDescent="0.3">
      <c r="D138" s="216" t="s">
        <v>55</v>
      </c>
      <c r="E138" s="219" t="s">
        <v>138</v>
      </c>
      <c r="F138" s="223">
        <f>CORE!C835</f>
        <v>0.41228070175438597</v>
      </c>
      <c r="G138" s="224">
        <f>CORE!C834</f>
        <v>0.58771929824561397</v>
      </c>
      <c r="H138" s="221">
        <f t="shared" si="5"/>
        <v>-0.175438596491228</v>
      </c>
      <c r="I138" s="210" t="str">
        <f t="shared" si="6"/>
        <v>HUGO CHAVEZ</v>
      </c>
    </row>
    <row r="139" spans="4:9" x14ac:dyDescent="0.3">
      <c r="D139" s="216" t="s">
        <v>55</v>
      </c>
      <c r="E139" s="219" t="s">
        <v>139</v>
      </c>
      <c r="F139" s="223">
        <f>CORE!C841</f>
        <v>0.25</v>
      </c>
      <c r="G139" s="224">
        <f>CORE!C840</f>
        <v>0.75</v>
      </c>
      <c r="H139" s="221">
        <f t="shared" si="5"/>
        <v>-0.5</v>
      </c>
      <c r="I139" s="210" t="str">
        <f t="shared" si="6"/>
        <v>HUGO CHAVEZ</v>
      </c>
    </row>
    <row r="140" spans="4:9" x14ac:dyDescent="0.3">
      <c r="D140" s="216" t="s">
        <v>55</v>
      </c>
      <c r="E140" s="219" t="s">
        <v>140</v>
      </c>
      <c r="F140" s="223">
        <f>CORE!C847</f>
        <v>0.44242424242424244</v>
      </c>
      <c r="G140" s="224">
        <f>CORE!C846</f>
        <v>0.55757575757575761</v>
      </c>
      <c r="H140" s="221">
        <f t="shared" si="5"/>
        <v>-0.11515151515151517</v>
      </c>
      <c r="I140" s="210" t="str">
        <f t="shared" si="6"/>
        <v>HUGO CHAVEZ</v>
      </c>
    </row>
    <row r="141" spans="4:9" ht="19.5" thickBot="1" x14ac:dyDescent="0.35">
      <c r="D141" s="216" t="s">
        <v>55</v>
      </c>
      <c r="E141" s="220" t="s">
        <v>55</v>
      </c>
      <c r="F141" s="236">
        <f>CORE!C853</f>
        <v>0.46169354838709675</v>
      </c>
      <c r="G141" s="237">
        <f>CORE!C852</f>
        <v>0.5161290322580645</v>
      </c>
      <c r="H141" s="222">
        <f t="shared" si="5"/>
        <v>-5.4435483870967749E-2</v>
      </c>
      <c r="I141" s="209" t="str">
        <f t="shared" si="6"/>
        <v>HUGO CHAVEZ</v>
      </c>
    </row>
    <row r="142" spans="4:9" x14ac:dyDescent="0.3">
      <c r="D142" s="216" t="s">
        <v>141</v>
      </c>
      <c r="E142" s="226" t="s">
        <v>141</v>
      </c>
      <c r="F142" s="228">
        <f>CORE!C860</f>
        <v>0.66238458370313902</v>
      </c>
      <c r="G142" s="229">
        <f>CORE!C859</f>
        <v>0.31660272188067401</v>
      </c>
      <c r="H142" s="227">
        <f t="shared" si="5"/>
        <v>0.34578186182246501</v>
      </c>
      <c r="I142" s="217" t="str">
        <f t="shared" si="6"/>
        <v>HENRIQUE CAPRILES</v>
      </c>
    </row>
    <row r="143" spans="4:9" x14ac:dyDescent="0.3">
      <c r="D143" s="216" t="s">
        <v>141</v>
      </c>
      <c r="E143" s="219" t="s">
        <v>142</v>
      </c>
      <c r="F143" s="223">
        <f>CORE!C866</f>
        <v>0.73529411764705888</v>
      </c>
      <c r="G143" s="224">
        <f>CORE!C865</f>
        <v>0.24705882352941178</v>
      </c>
      <c r="H143" s="221">
        <f t="shared" si="5"/>
        <v>0.4882352941176471</v>
      </c>
      <c r="I143" s="210" t="str">
        <f t="shared" si="6"/>
        <v>HENRIQUE CAPRILES</v>
      </c>
    </row>
    <row r="144" spans="4:9" x14ac:dyDescent="0.3">
      <c r="D144" s="216" t="s">
        <v>141</v>
      </c>
      <c r="E144" s="219" t="s">
        <v>35</v>
      </c>
      <c r="F144" s="223">
        <f>CORE!C872</f>
        <v>0.48399999999999999</v>
      </c>
      <c r="G144" s="224">
        <f>CORE!C871</f>
        <v>0.51200000000000001</v>
      </c>
      <c r="H144" s="221">
        <f t="shared" si="5"/>
        <v>-2.8000000000000025E-2</v>
      </c>
      <c r="I144" s="210" t="str">
        <f t="shared" si="6"/>
        <v>HUGO CHAVEZ</v>
      </c>
    </row>
    <row r="145" spans="4:9" x14ac:dyDescent="0.3">
      <c r="D145" s="216" t="s">
        <v>141</v>
      </c>
      <c r="E145" s="219" t="s">
        <v>143</v>
      </c>
      <c r="F145" s="223">
        <f>CORE!C878</f>
        <v>0.8267148014440433</v>
      </c>
      <c r="G145" s="224">
        <f>CORE!C877</f>
        <v>0.16606498194945848</v>
      </c>
      <c r="H145" s="221">
        <f t="shared" si="5"/>
        <v>0.66064981949458479</v>
      </c>
      <c r="I145" s="210" t="str">
        <f t="shared" si="6"/>
        <v>HENRIQUE CAPRILES</v>
      </c>
    </row>
    <row r="146" spans="4:9" x14ac:dyDescent="0.3">
      <c r="D146" s="216" t="s">
        <v>141</v>
      </c>
      <c r="E146" s="219" t="s">
        <v>144</v>
      </c>
      <c r="F146" s="223">
        <f>CORE!C884</f>
        <v>0.47500000000000009</v>
      </c>
      <c r="G146" s="224">
        <f>CORE!C883</f>
        <v>0.52500000000000002</v>
      </c>
      <c r="H146" s="221">
        <f t="shared" si="5"/>
        <v>-4.9999999999999933E-2</v>
      </c>
      <c r="I146" s="210" t="str">
        <f t="shared" si="6"/>
        <v>HUGO CHAVEZ</v>
      </c>
    </row>
    <row r="147" spans="4:9" x14ac:dyDescent="0.3">
      <c r="D147" s="216" t="s">
        <v>141</v>
      </c>
      <c r="E147" s="219" t="s">
        <v>145</v>
      </c>
      <c r="F147" s="223">
        <f>CORE!C890</f>
        <v>0.56521739130434778</v>
      </c>
      <c r="G147" s="224">
        <f>CORE!C889</f>
        <v>0.40579710144927533</v>
      </c>
      <c r="H147" s="221">
        <f t="shared" si="5"/>
        <v>0.15942028985507245</v>
      </c>
      <c r="I147" s="210" t="str">
        <f t="shared" si="6"/>
        <v>HENRIQUE CAPRILES</v>
      </c>
    </row>
    <row r="148" spans="4:9" x14ac:dyDescent="0.3">
      <c r="D148" s="216" t="s">
        <v>141</v>
      </c>
      <c r="E148" s="219" t="s">
        <v>146</v>
      </c>
      <c r="F148" s="223">
        <f>CORE!C896</f>
        <v>0.57291666666666674</v>
      </c>
      <c r="G148" s="224">
        <f>CORE!C895</f>
        <v>0.41666666666666663</v>
      </c>
      <c r="H148" s="221">
        <f t="shared" si="5"/>
        <v>0.15625000000000011</v>
      </c>
      <c r="I148" s="210" t="str">
        <f t="shared" si="6"/>
        <v>HENRIQUE CAPRILES</v>
      </c>
    </row>
    <row r="149" spans="4:9" ht="19.5" thickBot="1" x14ac:dyDescent="0.35">
      <c r="D149" s="216" t="s">
        <v>141</v>
      </c>
      <c r="E149" s="220" t="s">
        <v>147</v>
      </c>
      <c r="F149" s="236">
        <f>CORE!C902</f>
        <v>0.70883054892601427</v>
      </c>
      <c r="G149" s="237">
        <f>CORE!C901</f>
        <v>0.25775656324582336</v>
      </c>
      <c r="H149" s="222">
        <f t="shared" si="5"/>
        <v>0.45107398568019091</v>
      </c>
      <c r="I149" s="209" t="str">
        <f t="shared" si="6"/>
        <v>HENRIQUE CAPRILES</v>
      </c>
    </row>
    <row r="150" spans="4:9" x14ac:dyDescent="0.3">
      <c r="D150" s="216" t="s">
        <v>148</v>
      </c>
      <c r="E150" s="226" t="s">
        <v>148</v>
      </c>
      <c r="F150" s="228">
        <f>CORE!C909</f>
        <v>0.32077140320432512</v>
      </c>
      <c r="G150" s="229">
        <f>CORE!C908</f>
        <v>0.67135621782923793</v>
      </c>
      <c r="H150" s="227">
        <f t="shared" si="5"/>
        <v>-0.35058481462491281</v>
      </c>
      <c r="I150" s="217" t="str">
        <f t="shared" si="6"/>
        <v>HUGO CHAVEZ</v>
      </c>
    </row>
    <row r="151" spans="4:9" x14ac:dyDescent="0.3">
      <c r="D151" s="216" t="s">
        <v>148</v>
      </c>
      <c r="E151" s="219" t="s">
        <v>227</v>
      </c>
      <c r="F151" s="223">
        <f>CORE!C915</f>
        <v>0.39743589743589741</v>
      </c>
      <c r="G151" s="224">
        <f>CORE!C914</f>
        <v>0.60256410256410253</v>
      </c>
      <c r="H151" s="221">
        <f t="shared" si="5"/>
        <v>-0.20512820512820512</v>
      </c>
      <c r="I151" s="210" t="str">
        <f t="shared" si="6"/>
        <v>HUGO CHAVEZ</v>
      </c>
    </row>
    <row r="152" spans="4:9" x14ac:dyDescent="0.3">
      <c r="D152" s="216" t="s">
        <v>148</v>
      </c>
      <c r="E152" s="219" t="s">
        <v>246</v>
      </c>
      <c r="F152" s="223">
        <f>CORE!C921</f>
        <v>0.26250000000000001</v>
      </c>
      <c r="G152" s="224">
        <f>CORE!C920</f>
        <v>0.73750000000000004</v>
      </c>
      <c r="H152" s="221">
        <f t="shared" si="5"/>
        <v>-0.47500000000000003</v>
      </c>
      <c r="I152" s="210" t="str">
        <f t="shared" si="6"/>
        <v>HUGO CHAVEZ</v>
      </c>
    </row>
    <row r="153" spans="4:9" x14ac:dyDescent="0.3">
      <c r="D153" s="216" t="s">
        <v>148</v>
      </c>
      <c r="E153" s="219" t="s">
        <v>247</v>
      </c>
      <c r="F153" s="223">
        <f>CORE!C927</f>
        <v>0.44736842105263158</v>
      </c>
      <c r="G153" s="224">
        <f>CORE!C926</f>
        <v>0.55263157894736847</v>
      </c>
      <c r="H153" s="221">
        <f t="shared" si="5"/>
        <v>-0.10526315789473689</v>
      </c>
      <c r="I153" s="210" t="str">
        <f t="shared" si="6"/>
        <v>HUGO CHAVEZ</v>
      </c>
    </row>
    <row r="154" spans="4:9" x14ac:dyDescent="0.3">
      <c r="D154" s="216" t="s">
        <v>148</v>
      </c>
      <c r="E154" s="219" t="s">
        <v>148</v>
      </c>
      <c r="F154" s="223">
        <f>CORE!C933</f>
        <v>0.28476821192052981</v>
      </c>
      <c r="G154" s="224">
        <f>CORE!C932</f>
        <v>0.67549668874172186</v>
      </c>
      <c r="H154" s="221">
        <f t="shared" si="5"/>
        <v>-0.39072847682119205</v>
      </c>
      <c r="I154" s="210" t="str">
        <f t="shared" si="6"/>
        <v>HUGO CHAVEZ</v>
      </c>
    </row>
    <row r="155" spans="4:9" ht="19.5" thickBot="1" x14ac:dyDescent="0.35">
      <c r="D155" s="216" t="s">
        <v>148</v>
      </c>
      <c r="E155" s="220" t="s">
        <v>230</v>
      </c>
      <c r="F155" s="236">
        <f>CORE!C939</f>
        <v>0.25870646766169153</v>
      </c>
      <c r="G155" s="237">
        <f>CORE!C938</f>
        <v>0.7363184079601991</v>
      </c>
      <c r="H155" s="222">
        <f t="shared" si="5"/>
        <v>-0.47761194029850756</v>
      </c>
      <c r="I155" s="209" t="str">
        <f t="shared" si="6"/>
        <v>HUGO CHAVEZ</v>
      </c>
    </row>
    <row r="156" spans="4:9" x14ac:dyDescent="0.3">
      <c r="D156" s="216" t="s">
        <v>149</v>
      </c>
      <c r="E156" s="226" t="s">
        <v>149</v>
      </c>
      <c r="F156" s="228">
        <f>CORE!C946</f>
        <v>0.41029035252485213</v>
      </c>
      <c r="G156" s="229">
        <f>CORE!C945</f>
        <v>0.58970964747514787</v>
      </c>
      <c r="H156" s="227">
        <f t="shared" si="5"/>
        <v>-0.17941929495029574</v>
      </c>
      <c r="I156" s="217" t="str">
        <f t="shared" si="6"/>
        <v>HUGO CHAVEZ</v>
      </c>
    </row>
    <row r="157" spans="4:9" x14ac:dyDescent="0.3">
      <c r="D157" s="216" t="s">
        <v>149</v>
      </c>
      <c r="E157" s="219" t="s">
        <v>151</v>
      </c>
      <c r="F157" s="223">
        <f>CORE!C952</f>
        <v>0.38709677419354843</v>
      </c>
      <c r="G157" s="224">
        <f>CORE!C951</f>
        <v>0.61290322580645162</v>
      </c>
      <c r="H157" s="221">
        <f t="shared" ref="H157" si="7">F157-G157</f>
        <v>-0.22580645161290319</v>
      </c>
      <c r="I157" s="210" t="str">
        <f t="shared" ref="I157" si="8">IF(H157&lt;-1%,$G$2,IF(H157&lt;1%,"S/VENTAJA",$F$2))</f>
        <v>HUGO CHAVEZ</v>
      </c>
    </row>
    <row r="158" spans="4:9" x14ac:dyDescent="0.3">
      <c r="D158" s="216" t="s">
        <v>149</v>
      </c>
      <c r="E158" s="219" t="s">
        <v>232</v>
      </c>
      <c r="F158" s="223">
        <f>CORE!C958</f>
        <v>0.4299065420560747</v>
      </c>
      <c r="G158" s="224">
        <f>CORE!C957</f>
        <v>0.5700934579439253</v>
      </c>
      <c r="H158" s="221">
        <f t="shared" si="5"/>
        <v>-0.14018691588785059</v>
      </c>
      <c r="I158" s="210" t="str">
        <f t="shared" si="6"/>
        <v>HUGO CHAVEZ</v>
      </c>
    </row>
    <row r="159" spans="4:9" ht="19.5" thickBot="1" x14ac:dyDescent="0.35">
      <c r="D159" s="216" t="s">
        <v>149</v>
      </c>
      <c r="E159" s="220" t="s">
        <v>150</v>
      </c>
      <c r="F159" s="236">
        <f>CORE!C964</f>
        <v>0.4375</v>
      </c>
      <c r="G159" s="237">
        <f>CORE!C963</f>
        <v>0.5625</v>
      </c>
      <c r="H159" s="222">
        <f t="shared" si="5"/>
        <v>-0.125</v>
      </c>
      <c r="I159" s="209" t="str">
        <f t="shared" si="6"/>
        <v>HUGO CHAVEZ</v>
      </c>
    </row>
    <row r="160" spans="4:9" x14ac:dyDescent="0.3">
      <c r="D160" s="216" t="s">
        <v>152</v>
      </c>
      <c r="E160" s="226" t="s">
        <v>152</v>
      </c>
      <c r="F160" s="228">
        <f>CORE!C971</f>
        <v>0.38375001547190568</v>
      </c>
      <c r="G160" s="229">
        <f>CORE!C970</f>
        <v>0.6088866951369748</v>
      </c>
      <c r="H160" s="227">
        <f t="shared" si="5"/>
        <v>-0.22513667966506912</v>
      </c>
      <c r="I160" s="217" t="str">
        <f t="shared" si="6"/>
        <v>HUGO CHAVEZ</v>
      </c>
    </row>
    <row r="161" spans="4:9" x14ac:dyDescent="0.3">
      <c r="D161" s="216" t="s">
        <v>152</v>
      </c>
      <c r="E161" s="219" t="s">
        <v>153</v>
      </c>
      <c r="F161" s="223">
        <f>CORE!C977</f>
        <v>0.13122171945701358</v>
      </c>
      <c r="G161" s="224">
        <f>CORE!C976</f>
        <v>0.86877828054298645</v>
      </c>
      <c r="H161" s="221">
        <f t="shared" si="5"/>
        <v>-0.73755656108597289</v>
      </c>
      <c r="I161" s="210" t="str">
        <f t="shared" si="6"/>
        <v>HUGO CHAVEZ</v>
      </c>
    </row>
    <row r="162" spans="4:9" x14ac:dyDescent="0.3">
      <c r="D162" s="216" t="s">
        <v>152</v>
      </c>
      <c r="E162" s="219" t="s">
        <v>120</v>
      </c>
      <c r="F162" s="223">
        <f>CORE!C983</f>
        <v>0.39575971731448761</v>
      </c>
      <c r="G162" s="224">
        <f>CORE!C982</f>
        <v>0.60424028268551233</v>
      </c>
      <c r="H162" s="221">
        <f t="shared" si="5"/>
        <v>-0.20848056537102472</v>
      </c>
      <c r="I162" s="210" t="str">
        <f t="shared" si="6"/>
        <v>HUGO CHAVEZ</v>
      </c>
    </row>
    <row r="163" spans="4:9" x14ac:dyDescent="0.3">
      <c r="D163" s="216" t="s">
        <v>152</v>
      </c>
      <c r="E163" s="219" t="s">
        <v>154</v>
      </c>
      <c r="F163" s="223">
        <f>CORE!C989</f>
        <v>0.70408163265306134</v>
      </c>
      <c r="G163" s="224">
        <f>CORE!C988</f>
        <v>0.2857142857142857</v>
      </c>
      <c r="H163" s="221">
        <f t="shared" si="5"/>
        <v>0.41836734693877564</v>
      </c>
      <c r="I163" s="210" t="str">
        <f t="shared" si="6"/>
        <v>HENRIQUE CAPRILES</v>
      </c>
    </row>
    <row r="164" spans="4:9" x14ac:dyDescent="0.3">
      <c r="D164" s="216" t="s">
        <v>152</v>
      </c>
      <c r="E164" s="219" t="s">
        <v>155</v>
      </c>
      <c r="F164" s="223">
        <f>CORE!C995</f>
        <v>0.37423312883435583</v>
      </c>
      <c r="G164" s="224">
        <f>CORE!C994</f>
        <v>0.61963190184049077</v>
      </c>
      <c r="H164" s="221">
        <f t="shared" si="5"/>
        <v>-0.24539877300613494</v>
      </c>
      <c r="I164" s="210" t="str">
        <f t="shared" si="6"/>
        <v>HUGO CHAVEZ</v>
      </c>
    </row>
    <row r="165" spans="4:9" ht="19.5" thickBot="1" x14ac:dyDescent="0.35">
      <c r="D165" s="216" t="s">
        <v>152</v>
      </c>
      <c r="E165" s="220" t="s">
        <v>156</v>
      </c>
      <c r="F165" s="236">
        <f>CORE!C1001</f>
        <v>0.36315789473684207</v>
      </c>
      <c r="G165" s="237">
        <f>CORE!C1000</f>
        <v>0.62105263157894741</v>
      </c>
      <c r="H165" s="222">
        <f t="shared" si="5"/>
        <v>-0.25789473684210534</v>
      </c>
      <c r="I165" s="209" t="str">
        <f t="shared" si="6"/>
        <v>HUGO CHAVEZ</v>
      </c>
    </row>
    <row r="166" spans="4:9" x14ac:dyDescent="0.3">
      <c r="D166" s="216" t="s">
        <v>157</v>
      </c>
      <c r="E166" s="226" t="s">
        <v>157</v>
      </c>
      <c r="F166" s="228">
        <f>CORE!C1008</f>
        <v>0.4904765098843808</v>
      </c>
      <c r="G166" s="229">
        <f>CORE!C1007</f>
        <v>0.49970643593991132</v>
      </c>
      <c r="H166" s="227">
        <f t="shared" si="5"/>
        <v>-9.229926055530524E-3</v>
      </c>
      <c r="I166" s="217" t="str">
        <f t="shared" si="6"/>
        <v>S/VENTAJA</v>
      </c>
    </row>
    <row r="167" spans="4:9" x14ac:dyDescent="0.3">
      <c r="D167" s="216" t="s">
        <v>157</v>
      </c>
      <c r="E167" s="219" t="s">
        <v>158</v>
      </c>
      <c r="F167" s="223">
        <f>CORE!C1014</f>
        <v>0.54545454545454541</v>
      </c>
      <c r="G167" s="224">
        <f>CORE!C1013</f>
        <v>0.45454545454545453</v>
      </c>
      <c r="H167" s="221">
        <f t="shared" si="5"/>
        <v>9.0909090909090884E-2</v>
      </c>
      <c r="I167" s="210" t="str">
        <f t="shared" si="6"/>
        <v>HENRIQUE CAPRILES</v>
      </c>
    </row>
    <row r="168" spans="4:9" x14ac:dyDescent="0.3">
      <c r="D168" s="216" t="s">
        <v>157</v>
      </c>
      <c r="E168" s="219" t="s">
        <v>159</v>
      </c>
      <c r="F168" s="223">
        <f>CORE!C1020</f>
        <v>0.34536082474226815</v>
      </c>
      <c r="G168" s="224">
        <f>CORE!C1019</f>
        <v>0.64690721649484539</v>
      </c>
      <c r="H168" s="221">
        <f t="shared" si="5"/>
        <v>-0.30154639175257725</v>
      </c>
      <c r="I168" s="210" t="str">
        <f t="shared" si="6"/>
        <v>HUGO CHAVEZ</v>
      </c>
    </row>
    <row r="169" spans="4:9" x14ac:dyDescent="0.3">
      <c r="D169" s="216" t="s">
        <v>157</v>
      </c>
      <c r="E169" s="219" t="s">
        <v>160</v>
      </c>
      <c r="F169" s="223">
        <f>CORE!C1026</f>
        <v>0.38566552901023893</v>
      </c>
      <c r="G169" s="224">
        <f>CORE!C1025</f>
        <v>0.61433447098976113</v>
      </c>
      <c r="H169" s="221">
        <f t="shared" si="5"/>
        <v>-0.2286689419795222</v>
      </c>
      <c r="I169" s="210" t="str">
        <f t="shared" si="6"/>
        <v>HUGO CHAVEZ</v>
      </c>
    </row>
    <row r="170" spans="4:9" x14ac:dyDescent="0.3">
      <c r="D170" s="216" t="s">
        <v>157</v>
      </c>
      <c r="E170" s="219" t="s">
        <v>161</v>
      </c>
      <c r="F170" s="223">
        <f>CORE!C1032</f>
        <v>0.40073529411764708</v>
      </c>
      <c r="G170" s="224">
        <f>CORE!C1031</f>
        <v>0.59558823529411775</v>
      </c>
      <c r="H170" s="221">
        <f t="shared" si="5"/>
        <v>-0.19485294117647067</v>
      </c>
      <c r="I170" s="210" t="str">
        <f t="shared" si="6"/>
        <v>HUGO CHAVEZ</v>
      </c>
    </row>
    <row r="171" spans="4:9" x14ac:dyDescent="0.3">
      <c r="D171" s="216" t="s">
        <v>157</v>
      </c>
      <c r="E171" s="219" t="s">
        <v>248</v>
      </c>
      <c r="F171" s="223">
        <f>CORE!C1038</f>
        <v>0.52244897959183667</v>
      </c>
      <c r="G171" s="224">
        <f>CORE!C1037</f>
        <v>0.47755102040816322</v>
      </c>
      <c r="H171" s="221">
        <f t="shared" si="5"/>
        <v>4.4897959183673453E-2</v>
      </c>
      <c r="I171" s="210" t="str">
        <f t="shared" si="6"/>
        <v>HENRIQUE CAPRILES</v>
      </c>
    </row>
    <row r="172" spans="4:9" x14ac:dyDescent="0.3">
      <c r="D172" s="216" t="s">
        <v>157</v>
      </c>
      <c r="E172" s="219" t="s">
        <v>162</v>
      </c>
      <c r="F172" s="223">
        <f>CORE!C1044</f>
        <v>0.49565217391304345</v>
      </c>
      <c r="G172" s="224">
        <f>CORE!C1043</f>
        <v>0.5</v>
      </c>
      <c r="H172" s="221">
        <f t="shared" si="5"/>
        <v>-4.3478260869565521E-3</v>
      </c>
      <c r="I172" s="210" t="str">
        <f t="shared" si="6"/>
        <v>S/VENTAJA</v>
      </c>
    </row>
    <row r="173" spans="4:9" x14ac:dyDescent="0.3">
      <c r="D173" s="216" t="s">
        <v>157</v>
      </c>
      <c r="E173" s="219" t="s">
        <v>163</v>
      </c>
      <c r="F173" s="223">
        <f>CORE!C1050</f>
        <v>0.55029585798816572</v>
      </c>
      <c r="G173" s="224">
        <f>CORE!C1049</f>
        <v>0.44970414201183428</v>
      </c>
      <c r="H173" s="221">
        <f t="shared" si="5"/>
        <v>0.10059171597633143</v>
      </c>
      <c r="I173" s="210" t="str">
        <f t="shared" si="6"/>
        <v>HENRIQUE CAPRILES</v>
      </c>
    </row>
    <row r="174" spans="4:9" x14ac:dyDescent="0.3">
      <c r="D174" s="216" t="s">
        <v>157</v>
      </c>
      <c r="E174" s="219" t="s">
        <v>164</v>
      </c>
      <c r="F174" s="223">
        <f>CORE!C1056</f>
        <v>0.63207547169811329</v>
      </c>
      <c r="G174" s="224">
        <f>CORE!C1055</f>
        <v>0.35377358490566035</v>
      </c>
      <c r="H174" s="221">
        <f t="shared" si="5"/>
        <v>0.27830188679245293</v>
      </c>
      <c r="I174" s="210" t="str">
        <f t="shared" si="6"/>
        <v>HENRIQUE CAPRILES</v>
      </c>
    </row>
    <row r="175" spans="4:9" x14ac:dyDescent="0.3">
      <c r="D175" s="216" t="s">
        <v>157</v>
      </c>
      <c r="E175" s="219" t="s">
        <v>165</v>
      </c>
      <c r="F175" s="223">
        <f>CORE!C1062</f>
        <v>0.28981723237597912</v>
      </c>
      <c r="G175" s="224">
        <f>CORE!C1061</f>
        <v>0.62924281984334207</v>
      </c>
      <c r="H175" s="221">
        <f t="shared" si="5"/>
        <v>-0.33942558746736295</v>
      </c>
      <c r="I175" s="210" t="str">
        <f t="shared" si="6"/>
        <v>HUGO CHAVEZ</v>
      </c>
    </row>
    <row r="176" spans="4:9" x14ac:dyDescent="0.3">
      <c r="D176" s="216" t="s">
        <v>157</v>
      </c>
      <c r="E176" s="219" t="s">
        <v>166</v>
      </c>
      <c r="F176" s="223">
        <f>CORE!C1068</f>
        <v>0.5485714285714286</v>
      </c>
      <c r="G176" s="224">
        <f>CORE!C1067</f>
        <v>0.4414285714285715</v>
      </c>
      <c r="H176" s="221">
        <f t="shared" si="5"/>
        <v>0.1071428571428571</v>
      </c>
      <c r="I176" s="210" t="str">
        <f t="shared" si="6"/>
        <v>HENRIQUE CAPRILES</v>
      </c>
    </row>
    <row r="177" spans="4:9" x14ac:dyDescent="0.3">
      <c r="D177" s="216" t="s">
        <v>157</v>
      </c>
      <c r="E177" s="219" t="s">
        <v>39</v>
      </c>
      <c r="F177" s="223">
        <f>CORE!C1074</f>
        <v>0.49212598425196852</v>
      </c>
      <c r="G177" s="224">
        <f>CORE!C1073</f>
        <v>0.50393700787401574</v>
      </c>
      <c r="H177" s="221">
        <f t="shared" si="5"/>
        <v>-1.1811023622047223E-2</v>
      </c>
      <c r="I177" s="210" t="str">
        <f t="shared" si="6"/>
        <v>HUGO CHAVEZ</v>
      </c>
    </row>
    <row r="178" spans="4:9" x14ac:dyDescent="0.3">
      <c r="D178" s="216" t="s">
        <v>157</v>
      </c>
      <c r="E178" s="219" t="s">
        <v>249</v>
      </c>
      <c r="F178" s="223">
        <f>CORE!C1080</f>
        <v>0.54421768707482998</v>
      </c>
      <c r="G178" s="224">
        <f>CORE!C1079</f>
        <v>0.45578231292517013</v>
      </c>
      <c r="H178" s="221">
        <f t="shared" si="5"/>
        <v>8.8435374149659851E-2</v>
      </c>
      <c r="I178" s="210" t="str">
        <f t="shared" si="6"/>
        <v>HENRIQUE CAPRILES</v>
      </c>
    </row>
    <row r="179" spans="4:9" x14ac:dyDescent="0.3">
      <c r="D179" s="216" t="s">
        <v>157</v>
      </c>
      <c r="E179" s="219" t="s">
        <v>167</v>
      </c>
      <c r="F179" s="223">
        <f>CORE!C1086</f>
        <v>0.45833333333333331</v>
      </c>
      <c r="G179" s="224">
        <f>CORE!C1085</f>
        <v>0.54166666666666674</v>
      </c>
      <c r="H179" s="221">
        <f t="shared" si="5"/>
        <v>-8.3333333333333426E-2</v>
      </c>
      <c r="I179" s="210" t="str">
        <f t="shared" si="6"/>
        <v>HUGO CHAVEZ</v>
      </c>
    </row>
    <row r="180" spans="4:9" x14ac:dyDescent="0.3">
      <c r="D180" s="216" t="s">
        <v>157</v>
      </c>
      <c r="E180" s="219" t="s">
        <v>168</v>
      </c>
      <c r="F180" s="223">
        <f>CORE!C1092</f>
        <v>0.47807017543859653</v>
      </c>
      <c r="G180" s="224">
        <f>CORE!C1091</f>
        <v>0.52192982456140358</v>
      </c>
      <c r="H180" s="221">
        <f t="shared" si="5"/>
        <v>-4.3859649122807043E-2</v>
      </c>
      <c r="I180" s="210" t="str">
        <f t="shared" si="6"/>
        <v>HUGO CHAVEZ</v>
      </c>
    </row>
    <row r="181" spans="4:9" x14ac:dyDescent="0.3">
      <c r="D181" s="216" t="s">
        <v>157</v>
      </c>
      <c r="E181" s="219" t="s">
        <v>169</v>
      </c>
      <c r="F181" s="223">
        <f>CORE!C1098</f>
        <v>0.47179487179487178</v>
      </c>
      <c r="G181" s="224">
        <f>CORE!C1097</f>
        <v>0.52820512820512822</v>
      </c>
      <c r="H181" s="221">
        <f t="shared" si="5"/>
        <v>-5.6410256410256432E-2</v>
      </c>
      <c r="I181" s="210" t="str">
        <f t="shared" si="6"/>
        <v>HUGO CHAVEZ</v>
      </c>
    </row>
    <row r="182" spans="4:9" x14ac:dyDescent="0.3">
      <c r="D182" s="216" t="s">
        <v>157</v>
      </c>
      <c r="E182" s="219" t="s">
        <v>55</v>
      </c>
      <c r="F182" s="223">
        <f>CORE!C1104</f>
        <v>0.29319371727748689</v>
      </c>
      <c r="G182" s="224">
        <f>CORE!C1103</f>
        <v>0.70680628272251311</v>
      </c>
      <c r="H182" s="221">
        <f t="shared" si="5"/>
        <v>-0.41361256544502623</v>
      </c>
      <c r="I182" s="210" t="str">
        <f t="shared" si="6"/>
        <v>HUGO CHAVEZ</v>
      </c>
    </row>
    <row r="183" spans="4:9" ht="19.5" thickBot="1" x14ac:dyDescent="0.35">
      <c r="D183" s="216" t="s">
        <v>157</v>
      </c>
      <c r="E183" s="220" t="s">
        <v>170</v>
      </c>
      <c r="F183" s="236">
        <f>CORE!C1110</f>
        <v>0.52054794520547942</v>
      </c>
      <c r="G183" s="237">
        <f>CORE!C1109</f>
        <v>0.47945205479452052</v>
      </c>
      <c r="H183" s="222">
        <f t="shared" si="5"/>
        <v>4.1095890410958902E-2</v>
      </c>
      <c r="I183" s="209" t="str">
        <f t="shared" si="6"/>
        <v>HENRIQUE CAPRILES</v>
      </c>
    </row>
    <row r="184" spans="4:9" x14ac:dyDescent="0.25">
      <c r="E184" s="208"/>
      <c r="F184" s="206"/>
      <c r="G184" s="206"/>
    </row>
    <row r="185" spans="4:9" x14ac:dyDescent="0.25">
      <c r="E185" s="208"/>
      <c r="F185" s="206"/>
      <c r="G185" s="206"/>
    </row>
    <row r="186" spans="4:9" x14ac:dyDescent="0.25">
      <c r="E186" s="208"/>
      <c r="F186" s="206"/>
      <c r="G186" s="206"/>
    </row>
    <row r="187" spans="4:9" x14ac:dyDescent="0.25">
      <c r="E187" s="208"/>
      <c r="F187" s="206"/>
      <c r="G187" s="206"/>
    </row>
    <row r="188" spans="4:9" x14ac:dyDescent="0.25">
      <c r="E188" s="208"/>
      <c r="F188" s="206"/>
      <c r="G188" s="206"/>
    </row>
    <row r="189" spans="4:9" x14ac:dyDescent="0.25">
      <c r="E189" s="208"/>
      <c r="F189" s="206"/>
      <c r="G189" s="206"/>
    </row>
    <row r="190" spans="4:9" x14ac:dyDescent="0.25">
      <c r="E190" s="208"/>
      <c r="F190" s="206"/>
      <c r="G190" s="206"/>
    </row>
    <row r="191" spans="4:9" x14ac:dyDescent="0.25">
      <c r="E191" s="208"/>
      <c r="F191" s="206"/>
      <c r="G191" s="206"/>
    </row>
    <row r="192" spans="4:9" x14ac:dyDescent="0.25">
      <c r="E192" s="208"/>
      <c r="F192" s="206"/>
      <c r="G192" s="206"/>
    </row>
    <row r="193" spans="5:7" x14ac:dyDescent="0.25">
      <c r="E193" s="208"/>
      <c r="F193" s="206"/>
      <c r="G193" s="206"/>
    </row>
    <row r="194" spans="5:7" x14ac:dyDescent="0.25">
      <c r="E194" s="208"/>
    </row>
    <row r="195" spans="5:7" x14ac:dyDescent="0.25">
      <c r="E195" s="208"/>
    </row>
    <row r="196" spans="5:7" x14ac:dyDescent="0.25">
      <c r="E196" s="208"/>
    </row>
    <row r="197" spans="5:7" x14ac:dyDescent="0.25">
      <c r="E197" s="208"/>
    </row>
    <row r="198" spans="5:7" x14ac:dyDescent="0.25">
      <c r="E198" s="208"/>
    </row>
    <row r="199" spans="5:7" x14ac:dyDescent="0.25">
      <c r="E199" s="208"/>
    </row>
    <row r="200" spans="5:7" x14ac:dyDescent="0.25">
      <c r="E200" s="208"/>
    </row>
    <row r="201" spans="5:7" x14ac:dyDescent="0.25">
      <c r="E201" s="208"/>
    </row>
    <row r="202" spans="5:7" x14ac:dyDescent="0.25">
      <c r="E202" s="208"/>
    </row>
    <row r="203" spans="5:7" x14ac:dyDescent="0.25">
      <c r="E203" s="208"/>
    </row>
    <row r="204" spans="5:7" x14ac:dyDescent="0.25">
      <c r="E204" s="208"/>
    </row>
    <row r="205" spans="5:7" x14ac:dyDescent="0.25">
      <c r="E205" s="208"/>
    </row>
    <row r="206" spans="5:7" x14ac:dyDescent="0.25">
      <c r="E206" s="208"/>
    </row>
    <row r="207" spans="5:7" x14ac:dyDescent="0.25">
      <c r="E207" s="208"/>
    </row>
    <row r="208" spans="5:7" x14ac:dyDescent="0.25">
      <c r="E208" s="208"/>
    </row>
    <row r="209" spans="5:5" x14ac:dyDescent="0.25">
      <c r="E209" s="208"/>
    </row>
    <row r="210" spans="5:5" x14ac:dyDescent="0.25">
      <c r="E210" s="208"/>
    </row>
    <row r="211" spans="5:5" x14ac:dyDescent="0.25">
      <c r="E211" s="208"/>
    </row>
    <row r="212" spans="5:5" x14ac:dyDescent="0.25">
      <c r="E212" s="208"/>
    </row>
    <row r="213" spans="5:5" x14ac:dyDescent="0.25">
      <c r="E213" s="208"/>
    </row>
    <row r="214" spans="5:5" x14ac:dyDescent="0.25">
      <c r="E214" s="208"/>
    </row>
    <row r="215" spans="5:5" x14ac:dyDescent="0.25">
      <c r="E215" s="208"/>
    </row>
    <row r="216" spans="5:5" x14ac:dyDescent="0.25">
      <c r="E216" s="208"/>
    </row>
  </sheetData>
  <autoFilter ref="D2:I183">
    <filterColumn colId="4" showButton="0"/>
  </autoFilter>
  <customSheetViews>
    <customSheetView guid="{FD329D6D-133B-41A2-9E62-45727D40D6B4}" showGridLines="0" showAutoFilter="1" topLeftCell="A97">
      <selection activeCell="A176" sqref="A176:XFD176"/>
      <pageMargins left="0.70866141732283472" right="0.70866141732283472" top="0.74803149606299213" bottom="0.74803149606299213" header="0.31496062992125984" footer="0.31496062992125984"/>
      <pageSetup orientation="landscape" horizontalDpi="360" verticalDpi="360" r:id="rId1"/>
      <autoFilter ref="B2:G183">
        <filterColumn colId="4" showButton="0"/>
      </autoFilter>
    </customSheetView>
  </customSheetViews>
  <mergeCells count="1">
    <mergeCell ref="H2:I2"/>
  </mergeCells>
  <conditionalFormatting sqref="H3:H156 H158:H183">
    <cfRule type="iconSet" priority="5">
      <iconSet showValue="0">
        <cfvo type="percent" val="0"/>
        <cfvo type="num" val="-0.01"/>
        <cfvo type="num" val="0.01"/>
      </iconSet>
    </cfRule>
  </conditionalFormatting>
  <conditionalFormatting sqref="H157">
    <cfRule type="iconSet" priority="1">
      <iconSet showValue="0">
        <cfvo type="percent" val="0"/>
        <cfvo type="num" val="-0.01"/>
        <cfvo type="num" val="0.01"/>
      </iconSet>
    </cfRule>
  </conditionalFormatting>
  <pageMargins left="0.70866141732283472" right="0.70866141732283472" top="0.74803149606299213" bottom="0.74803149606299213" header="0.31496062992125984" footer="0.31496062992125984"/>
  <pageSetup orientation="landscape" horizontalDpi="360" verticalDpi="36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Entrada</vt:lpstr>
      <vt:lpstr>CORE</vt:lpstr>
      <vt:lpstr>VZA</vt:lpstr>
      <vt:lpstr>T1</vt:lpstr>
      <vt:lpstr>T2</vt:lpstr>
      <vt:lpstr>R1</vt:lpstr>
      <vt:lpstr>R2</vt:lpstr>
      <vt:lpstr>Capriles</vt:lpstr>
      <vt:lpstr>Centro</vt:lpstr>
      <vt:lpstr>Chavez</vt:lpstr>
      <vt:lpstr>codigo</vt:lpstr>
      <vt:lpstr>Otro</vt:lpstr>
      <vt:lpstr>totalv</vt:lpstr>
      <vt:lpstr>Turno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PLM</cp:lastModifiedBy>
  <cp:lastPrinted>2012-09-24T16:56:00Z</cp:lastPrinted>
  <dcterms:created xsi:type="dcterms:W3CDTF">2012-07-15T23:37:15Z</dcterms:created>
  <dcterms:modified xsi:type="dcterms:W3CDTF">2012-10-06T18:16:40Z</dcterms:modified>
</cp:coreProperties>
</file>